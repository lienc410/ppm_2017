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30435" windowHeight="17400"/>
  </bookViews>
  <sheets>
    <sheet name="HARPable Universe" sheetId="1" r:id="rId1"/>
  </sheets>
  <externalReferences>
    <externalReference r:id="rId2"/>
    <externalReference r:id="rId3"/>
    <externalReference r:id="rId4"/>
  </externalReferences>
  <definedNames>
    <definedName name="CAPR">'[2]Wells - Conventional'!$C$5</definedName>
    <definedName name="CIR">'[2]Wells - Conventional'!$C$4</definedName>
    <definedName name="CP">'[2]Wells - Conventional'!$C$6</definedName>
    <definedName name="CurrentCloseDate">[1]Report!$U$2</definedName>
    <definedName name="HistoricalMtgRatesDataTable">#REF!</definedName>
    <definedName name="IR">#REF!</definedName>
    <definedName name="MmExcelLinker_D5EFE7B8_A5AE_4CC6_B628_05FDC84CBEA4">Early Market [3]Data!$C$44:$C$44</definedName>
    <definedName name="NoLagTopTenDataTable">#REF!</definedName>
    <definedName name="OneDayBusDate">#REF!</definedName>
    <definedName name="OneMonthBusDate">#REF!</definedName>
    <definedName name="OneWeekBusDate">#REF!</definedName>
    <definedName name="PDFReportDir">[1]Report!$U$3</definedName>
    <definedName name="PivotTable10">#REF!</definedName>
    <definedName name="PivotTable11">#REF!</definedName>
    <definedName name="PivotTable12">#REF!</definedName>
    <definedName name="_xlnm.Print_Area" localSheetId="0">'HARPable Universe'!$T$1:$AJ$40</definedName>
    <definedName name="temp_17">#REF!</definedName>
    <definedName name="temp_8">#REF!</definedName>
    <definedName name="temp1" localSheetId="0">'HARPable Universe'!$F$2:$G$228</definedName>
    <definedName name="temp1_1" localSheetId="0">'HARPable Universe'!$I$2:$K$228</definedName>
    <definedName name="temp1_2" localSheetId="0">'HARPable Universe'!$O$2:$Q$228</definedName>
  </definedNames>
  <calcPr calcId="145621"/>
</workbook>
</file>

<file path=xl/calcChain.xml><?xml version="1.0" encoding="utf-8"?>
<calcChain xmlns="http://schemas.openxmlformats.org/spreadsheetml/2006/main">
  <c r="L228" i="1" l="1"/>
  <c r="M228" i="1" s="1"/>
  <c r="L227" i="1"/>
  <c r="M227" i="1" s="1"/>
  <c r="D227" i="1"/>
  <c r="C227" i="1"/>
  <c r="L226" i="1"/>
  <c r="M226" i="1" s="1"/>
  <c r="D226" i="1"/>
  <c r="C226" i="1"/>
  <c r="L225" i="1"/>
  <c r="M225" i="1" s="1"/>
  <c r="D225" i="1"/>
  <c r="C225" i="1"/>
  <c r="M224" i="1"/>
  <c r="L224" i="1"/>
  <c r="D224" i="1"/>
  <c r="C224" i="1"/>
  <c r="L223" i="1"/>
  <c r="M223" i="1" s="1"/>
  <c r="D223" i="1"/>
  <c r="C223" i="1"/>
  <c r="L222" i="1"/>
  <c r="M222" i="1" s="1"/>
  <c r="D222" i="1"/>
  <c r="C222" i="1"/>
  <c r="L221" i="1"/>
  <c r="M221" i="1" s="1"/>
  <c r="D221" i="1"/>
  <c r="C221" i="1"/>
  <c r="L220" i="1"/>
  <c r="M220" i="1" s="1"/>
  <c r="D220" i="1"/>
  <c r="C220" i="1"/>
  <c r="L219" i="1"/>
  <c r="M219" i="1" s="1"/>
  <c r="D219" i="1"/>
  <c r="C219" i="1"/>
  <c r="L218" i="1"/>
  <c r="M218" i="1" s="1"/>
  <c r="D218" i="1"/>
  <c r="C218" i="1"/>
  <c r="L217" i="1"/>
  <c r="M217" i="1" s="1"/>
  <c r="D217" i="1"/>
  <c r="C217" i="1"/>
  <c r="M216" i="1"/>
  <c r="L216" i="1"/>
  <c r="D216" i="1"/>
  <c r="C216" i="1"/>
  <c r="L215" i="1"/>
  <c r="M215" i="1" s="1"/>
  <c r="D215" i="1"/>
  <c r="C215" i="1"/>
  <c r="L214" i="1"/>
  <c r="M214" i="1" s="1"/>
  <c r="D214" i="1"/>
  <c r="C214" i="1"/>
  <c r="L213" i="1"/>
  <c r="M213" i="1" s="1"/>
  <c r="D213" i="1"/>
  <c r="C213" i="1"/>
  <c r="L212" i="1"/>
  <c r="M212" i="1" s="1"/>
  <c r="D212" i="1"/>
  <c r="C212" i="1"/>
  <c r="L211" i="1"/>
  <c r="M211" i="1" s="1"/>
  <c r="D211" i="1"/>
  <c r="C211" i="1"/>
  <c r="L210" i="1"/>
  <c r="M210" i="1" s="1"/>
  <c r="D210" i="1"/>
  <c r="C210" i="1"/>
  <c r="L209" i="1"/>
  <c r="M209" i="1" s="1"/>
  <c r="D209" i="1"/>
  <c r="C209" i="1"/>
  <c r="M208" i="1"/>
  <c r="L208" i="1"/>
  <c r="D208" i="1"/>
  <c r="C208" i="1"/>
  <c r="L207" i="1"/>
  <c r="M207" i="1" s="1"/>
  <c r="D207" i="1"/>
  <c r="C207" i="1"/>
  <c r="L206" i="1"/>
  <c r="M206" i="1" s="1"/>
  <c r="D206" i="1"/>
  <c r="C206" i="1"/>
  <c r="L205" i="1"/>
  <c r="M205" i="1" s="1"/>
  <c r="D205" i="1"/>
  <c r="C205" i="1"/>
  <c r="L204" i="1"/>
  <c r="M204" i="1" s="1"/>
  <c r="D204" i="1"/>
  <c r="C204" i="1"/>
  <c r="L203" i="1"/>
  <c r="M203" i="1" s="1"/>
  <c r="D203" i="1"/>
  <c r="C203" i="1"/>
  <c r="L202" i="1"/>
  <c r="M202" i="1" s="1"/>
  <c r="D202" i="1"/>
  <c r="C202" i="1"/>
  <c r="L201" i="1"/>
  <c r="M201" i="1" s="1"/>
  <c r="D201" i="1"/>
  <c r="C201" i="1"/>
  <c r="M200" i="1"/>
  <c r="L200" i="1"/>
  <c r="D200" i="1"/>
  <c r="C200" i="1"/>
  <c r="L199" i="1"/>
  <c r="M199" i="1" s="1"/>
  <c r="D199" i="1"/>
  <c r="C199" i="1"/>
  <c r="L198" i="1"/>
  <c r="M198" i="1" s="1"/>
  <c r="D198" i="1"/>
  <c r="C198" i="1"/>
  <c r="L197" i="1"/>
  <c r="M197" i="1" s="1"/>
  <c r="D197" i="1"/>
  <c r="C197" i="1"/>
  <c r="L196" i="1"/>
  <c r="M196" i="1" s="1"/>
  <c r="D196" i="1"/>
  <c r="C196" i="1"/>
  <c r="L195" i="1"/>
  <c r="M195" i="1" s="1"/>
  <c r="D195" i="1"/>
  <c r="C195" i="1"/>
  <c r="L194" i="1"/>
  <c r="M194" i="1" s="1"/>
  <c r="D194" i="1"/>
  <c r="C194" i="1"/>
  <c r="L193" i="1"/>
  <c r="M193" i="1" s="1"/>
  <c r="D193" i="1"/>
  <c r="C193" i="1"/>
  <c r="M192" i="1"/>
  <c r="L192" i="1"/>
  <c r="D192" i="1"/>
  <c r="C192" i="1"/>
  <c r="L191" i="1"/>
  <c r="M191" i="1" s="1"/>
  <c r="D191" i="1"/>
  <c r="C191" i="1"/>
  <c r="L190" i="1"/>
  <c r="M190" i="1" s="1"/>
  <c r="D190" i="1"/>
  <c r="C190" i="1"/>
  <c r="L189" i="1"/>
  <c r="M189" i="1" s="1"/>
  <c r="D189" i="1"/>
  <c r="C189" i="1"/>
  <c r="L188" i="1"/>
  <c r="M188" i="1" s="1"/>
  <c r="D188" i="1"/>
  <c r="C188" i="1"/>
  <c r="L187" i="1"/>
  <c r="M187" i="1" s="1"/>
  <c r="D187" i="1"/>
  <c r="C187" i="1"/>
  <c r="L186" i="1"/>
  <c r="M186" i="1" s="1"/>
  <c r="D186" i="1"/>
  <c r="C186" i="1"/>
  <c r="L185" i="1"/>
  <c r="M185" i="1" s="1"/>
  <c r="D185" i="1"/>
  <c r="C185" i="1"/>
  <c r="M184" i="1"/>
  <c r="L184" i="1"/>
  <c r="D184" i="1"/>
  <c r="C184" i="1"/>
  <c r="L183" i="1"/>
  <c r="M183" i="1" s="1"/>
  <c r="D183" i="1"/>
  <c r="C183" i="1"/>
  <c r="L182" i="1"/>
  <c r="M182" i="1" s="1"/>
  <c r="D182" i="1"/>
  <c r="C182" i="1"/>
  <c r="L181" i="1"/>
  <c r="M181" i="1" s="1"/>
  <c r="D181" i="1"/>
  <c r="C181" i="1"/>
  <c r="L180" i="1"/>
  <c r="M180" i="1" s="1"/>
  <c r="D180" i="1"/>
  <c r="C180" i="1"/>
  <c r="L179" i="1"/>
  <c r="M179" i="1" s="1"/>
  <c r="D179" i="1"/>
  <c r="C179" i="1"/>
  <c r="L178" i="1"/>
  <c r="M178" i="1" s="1"/>
  <c r="D178" i="1"/>
  <c r="C178" i="1"/>
  <c r="L177" i="1"/>
  <c r="M177" i="1" s="1"/>
  <c r="D177" i="1"/>
  <c r="C177" i="1"/>
  <c r="M176" i="1"/>
  <c r="L176" i="1"/>
  <c r="D176" i="1"/>
  <c r="C176" i="1"/>
  <c r="L175" i="1"/>
  <c r="M175" i="1" s="1"/>
  <c r="D175" i="1"/>
  <c r="C175" i="1"/>
  <c r="L174" i="1"/>
  <c r="M174" i="1" s="1"/>
  <c r="D174" i="1"/>
  <c r="C174" i="1"/>
  <c r="L173" i="1"/>
  <c r="M173" i="1" s="1"/>
  <c r="D173" i="1"/>
  <c r="C173" i="1"/>
  <c r="L172" i="1"/>
  <c r="M172" i="1" s="1"/>
  <c r="D172" i="1"/>
  <c r="C172" i="1"/>
  <c r="L171" i="1"/>
  <c r="M171" i="1" s="1"/>
  <c r="D171" i="1"/>
  <c r="C171" i="1"/>
  <c r="L170" i="1"/>
  <c r="M170" i="1" s="1"/>
  <c r="D170" i="1"/>
  <c r="C170" i="1"/>
  <c r="L169" i="1"/>
  <c r="M169" i="1" s="1"/>
  <c r="D169" i="1"/>
  <c r="C169" i="1"/>
  <c r="M168" i="1"/>
  <c r="L168" i="1"/>
  <c r="D168" i="1"/>
  <c r="C168" i="1"/>
  <c r="L167" i="1"/>
  <c r="M167" i="1" s="1"/>
  <c r="D167" i="1"/>
  <c r="C167" i="1"/>
  <c r="L166" i="1"/>
  <c r="M166" i="1" s="1"/>
  <c r="D166" i="1"/>
  <c r="C166" i="1"/>
  <c r="L165" i="1"/>
  <c r="M165" i="1" s="1"/>
  <c r="D165" i="1"/>
  <c r="C165" i="1"/>
  <c r="L164" i="1"/>
  <c r="M164" i="1" s="1"/>
  <c r="D164" i="1"/>
  <c r="C164" i="1"/>
  <c r="L163" i="1"/>
  <c r="M163" i="1" s="1"/>
  <c r="D163" i="1"/>
  <c r="C163" i="1"/>
  <c r="L162" i="1"/>
  <c r="M162" i="1" s="1"/>
  <c r="D162" i="1"/>
  <c r="C162" i="1"/>
  <c r="L161" i="1"/>
  <c r="M161" i="1" s="1"/>
  <c r="D161" i="1"/>
  <c r="C161" i="1"/>
  <c r="M160" i="1"/>
  <c r="L160" i="1"/>
  <c r="D160" i="1"/>
  <c r="C160" i="1"/>
  <c r="L159" i="1"/>
  <c r="M159" i="1" s="1"/>
  <c r="D159" i="1"/>
  <c r="C159" i="1"/>
  <c r="L158" i="1"/>
  <c r="M158" i="1" s="1"/>
  <c r="D158" i="1"/>
  <c r="C158" i="1"/>
  <c r="L157" i="1"/>
  <c r="M157" i="1" s="1"/>
  <c r="D157" i="1"/>
  <c r="C157" i="1"/>
  <c r="L156" i="1"/>
  <c r="M156" i="1" s="1"/>
  <c r="D156" i="1"/>
  <c r="C156" i="1"/>
  <c r="L155" i="1"/>
  <c r="M155" i="1" s="1"/>
  <c r="D155" i="1"/>
  <c r="C155" i="1"/>
  <c r="L154" i="1"/>
  <c r="M154" i="1" s="1"/>
  <c r="D154" i="1"/>
  <c r="C154" i="1"/>
  <c r="L153" i="1"/>
  <c r="M153" i="1" s="1"/>
  <c r="D153" i="1"/>
  <c r="C153" i="1"/>
  <c r="M152" i="1"/>
  <c r="L152" i="1"/>
  <c r="D152" i="1"/>
  <c r="C152" i="1"/>
  <c r="L151" i="1"/>
  <c r="M151" i="1" s="1"/>
  <c r="D151" i="1"/>
  <c r="C151" i="1"/>
  <c r="L150" i="1"/>
  <c r="M150" i="1" s="1"/>
  <c r="D150" i="1"/>
  <c r="C150" i="1"/>
  <c r="L149" i="1"/>
  <c r="M149" i="1" s="1"/>
  <c r="D149" i="1"/>
  <c r="C149" i="1"/>
  <c r="L148" i="1"/>
  <c r="M148" i="1" s="1"/>
  <c r="D148" i="1"/>
  <c r="C148" i="1"/>
  <c r="L147" i="1"/>
  <c r="M147" i="1" s="1"/>
  <c r="D147" i="1"/>
  <c r="C147" i="1"/>
  <c r="L146" i="1"/>
  <c r="M146" i="1" s="1"/>
  <c r="D146" i="1"/>
  <c r="C146" i="1"/>
  <c r="L145" i="1"/>
  <c r="M145" i="1" s="1"/>
  <c r="D145" i="1"/>
  <c r="C145" i="1"/>
  <c r="M144" i="1"/>
  <c r="L144" i="1"/>
  <c r="D144" i="1"/>
  <c r="C144" i="1"/>
  <c r="L143" i="1"/>
  <c r="M143" i="1" s="1"/>
  <c r="D143" i="1"/>
  <c r="C143" i="1"/>
  <c r="L142" i="1"/>
  <c r="M142" i="1" s="1"/>
  <c r="D142" i="1"/>
  <c r="C142" i="1"/>
  <c r="L141" i="1"/>
  <c r="M141" i="1" s="1"/>
  <c r="D141" i="1"/>
  <c r="C141" i="1"/>
  <c r="L140" i="1"/>
  <c r="M140" i="1" s="1"/>
  <c r="D140" i="1"/>
  <c r="C140" i="1"/>
  <c r="L139" i="1"/>
  <c r="M139" i="1" s="1"/>
  <c r="D139" i="1"/>
  <c r="C139" i="1"/>
  <c r="L138" i="1"/>
  <c r="M138" i="1" s="1"/>
  <c r="D138" i="1"/>
  <c r="C138" i="1"/>
  <c r="L137" i="1"/>
  <c r="M137" i="1" s="1"/>
  <c r="D137" i="1"/>
  <c r="C137" i="1"/>
  <c r="M136" i="1"/>
  <c r="L136" i="1"/>
  <c r="D136" i="1"/>
  <c r="C136" i="1"/>
  <c r="L135" i="1"/>
  <c r="M135" i="1" s="1"/>
  <c r="D135" i="1"/>
  <c r="C135" i="1"/>
  <c r="L134" i="1"/>
  <c r="M134" i="1" s="1"/>
  <c r="D134" i="1"/>
  <c r="C134" i="1"/>
  <c r="L133" i="1"/>
  <c r="M133" i="1" s="1"/>
  <c r="D133" i="1"/>
  <c r="C133" i="1"/>
  <c r="L132" i="1"/>
  <c r="M132" i="1" s="1"/>
  <c r="D132" i="1"/>
  <c r="C132" i="1"/>
  <c r="L131" i="1"/>
  <c r="M131" i="1" s="1"/>
  <c r="D131" i="1"/>
  <c r="C131" i="1"/>
  <c r="L130" i="1"/>
  <c r="M130" i="1" s="1"/>
  <c r="D130" i="1"/>
  <c r="C130" i="1"/>
  <c r="L129" i="1"/>
  <c r="M129" i="1" s="1"/>
  <c r="D129" i="1"/>
  <c r="C129" i="1"/>
  <c r="M128" i="1"/>
  <c r="L128" i="1"/>
  <c r="D128" i="1"/>
  <c r="C128" i="1"/>
  <c r="L127" i="1"/>
  <c r="M127" i="1" s="1"/>
  <c r="D127" i="1"/>
  <c r="C127" i="1"/>
  <c r="L126" i="1"/>
  <c r="M126" i="1" s="1"/>
  <c r="D126" i="1"/>
  <c r="C126" i="1"/>
  <c r="L125" i="1"/>
  <c r="M125" i="1" s="1"/>
  <c r="D125" i="1"/>
  <c r="C125" i="1"/>
  <c r="L124" i="1"/>
  <c r="M124" i="1" s="1"/>
  <c r="D124" i="1"/>
  <c r="C124" i="1"/>
  <c r="L123" i="1"/>
  <c r="M123" i="1" s="1"/>
  <c r="D123" i="1"/>
  <c r="C123" i="1"/>
  <c r="L122" i="1"/>
  <c r="M122" i="1" s="1"/>
  <c r="D122" i="1"/>
  <c r="C122" i="1"/>
  <c r="L121" i="1"/>
  <c r="M121" i="1" s="1"/>
  <c r="D121" i="1"/>
  <c r="C121" i="1"/>
  <c r="M120" i="1"/>
  <c r="L120" i="1"/>
  <c r="D120" i="1"/>
  <c r="C120" i="1"/>
  <c r="L119" i="1"/>
  <c r="M119" i="1" s="1"/>
  <c r="D119" i="1"/>
  <c r="C119" i="1"/>
  <c r="L118" i="1"/>
  <c r="M118" i="1" s="1"/>
  <c r="D118" i="1"/>
  <c r="C118" i="1"/>
  <c r="L117" i="1"/>
  <c r="M117" i="1" s="1"/>
  <c r="D117" i="1"/>
  <c r="C117" i="1"/>
  <c r="L116" i="1"/>
  <c r="M116" i="1" s="1"/>
  <c r="D116" i="1"/>
  <c r="C116" i="1"/>
  <c r="L115" i="1"/>
  <c r="M115" i="1" s="1"/>
  <c r="D115" i="1"/>
  <c r="C115" i="1"/>
  <c r="L114" i="1"/>
  <c r="M114" i="1" s="1"/>
  <c r="D114" i="1"/>
  <c r="C114" i="1"/>
  <c r="L113" i="1"/>
  <c r="M113" i="1" s="1"/>
  <c r="D113" i="1"/>
  <c r="C113" i="1"/>
  <c r="M112" i="1"/>
  <c r="L112" i="1"/>
  <c r="D112" i="1"/>
  <c r="C112" i="1"/>
  <c r="L111" i="1"/>
  <c r="M111" i="1" s="1"/>
  <c r="D111" i="1"/>
  <c r="C111" i="1"/>
  <c r="L110" i="1"/>
  <c r="M110" i="1" s="1"/>
  <c r="D110" i="1"/>
  <c r="C110" i="1"/>
  <c r="L109" i="1"/>
  <c r="M109" i="1" s="1"/>
  <c r="D109" i="1"/>
  <c r="C109" i="1"/>
  <c r="L108" i="1"/>
  <c r="M108" i="1" s="1"/>
  <c r="D108" i="1"/>
  <c r="C108" i="1"/>
  <c r="L107" i="1"/>
  <c r="M107" i="1" s="1"/>
  <c r="D107" i="1"/>
  <c r="C107" i="1"/>
  <c r="L106" i="1"/>
  <c r="M106" i="1" s="1"/>
  <c r="D106" i="1"/>
  <c r="C106" i="1"/>
  <c r="L105" i="1"/>
  <c r="M105" i="1" s="1"/>
  <c r="D105" i="1"/>
  <c r="C105" i="1"/>
  <c r="M104" i="1"/>
  <c r="L104" i="1"/>
  <c r="D104" i="1"/>
  <c r="C104" i="1"/>
  <c r="L103" i="1"/>
  <c r="M103" i="1" s="1"/>
  <c r="D103" i="1"/>
  <c r="C103" i="1"/>
  <c r="L102" i="1"/>
  <c r="M102" i="1" s="1"/>
  <c r="D102" i="1"/>
  <c r="C102" i="1"/>
  <c r="L101" i="1"/>
  <c r="M101" i="1" s="1"/>
  <c r="D101" i="1"/>
  <c r="C101" i="1"/>
  <c r="L100" i="1"/>
  <c r="M100" i="1" s="1"/>
  <c r="D100" i="1"/>
  <c r="C100" i="1"/>
  <c r="L99" i="1"/>
  <c r="M99" i="1" s="1"/>
  <c r="D99" i="1"/>
  <c r="C99" i="1"/>
  <c r="L98" i="1"/>
  <c r="M98" i="1" s="1"/>
  <c r="D98" i="1"/>
  <c r="C98" i="1"/>
  <c r="L97" i="1"/>
  <c r="M97" i="1" s="1"/>
  <c r="D97" i="1"/>
  <c r="C97" i="1"/>
  <c r="M96" i="1"/>
  <c r="L96" i="1"/>
  <c r="D96" i="1"/>
  <c r="C96" i="1"/>
  <c r="L95" i="1"/>
  <c r="M95" i="1" s="1"/>
  <c r="D95" i="1"/>
  <c r="C95" i="1"/>
  <c r="L94" i="1"/>
  <c r="M94" i="1" s="1"/>
  <c r="D94" i="1"/>
  <c r="C94" i="1"/>
  <c r="L93" i="1"/>
  <c r="M93" i="1" s="1"/>
  <c r="D93" i="1"/>
  <c r="C93" i="1"/>
  <c r="L92" i="1"/>
  <c r="M92" i="1" s="1"/>
  <c r="D92" i="1"/>
  <c r="C92" i="1"/>
  <c r="L91" i="1"/>
  <c r="M91" i="1" s="1"/>
  <c r="D91" i="1"/>
  <c r="C91" i="1"/>
  <c r="L90" i="1"/>
  <c r="M90" i="1" s="1"/>
  <c r="D90" i="1"/>
  <c r="C90" i="1"/>
  <c r="L89" i="1"/>
  <c r="M89" i="1" s="1"/>
  <c r="D89" i="1"/>
  <c r="C89" i="1"/>
  <c r="M88" i="1"/>
  <c r="L88" i="1"/>
  <c r="D88" i="1"/>
  <c r="C88" i="1"/>
  <c r="L87" i="1"/>
  <c r="M87" i="1" s="1"/>
  <c r="D87" i="1"/>
  <c r="C87" i="1"/>
  <c r="L86" i="1"/>
  <c r="M86" i="1" s="1"/>
  <c r="D86" i="1"/>
  <c r="C86" i="1"/>
  <c r="L85" i="1"/>
  <c r="M85" i="1" s="1"/>
  <c r="D85" i="1"/>
  <c r="C85" i="1"/>
  <c r="L84" i="1"/>
  <c r="M84" i="1" s="1"/>
  <c r="D84" i="1"/>
  <c r="C84" i="1"/>
  <c r="L83" i="1"/>
  <c r="M83" i="1" s="1"/>
  <c r="D83" i="1"/>
  <c r="C83" i="1"/>
  <c r="L82" i="1"/>
  <c r="M82" i="1" s="1"/>
  <c r="D82" i="1"/>
  <c r="C82" i="1"/>
  <c r="L81" i="1"/>
  <c r="M81" i="1" s="1"/>
  <c r="D81" i="1"/>
  <c r="C81" i="1"/>
  <c r="M80" i="1"/>
  <c r="L80" i="1"/>
  <c r="D80" i="1"/>
  <c r="C80" i="1"/>
  <c r="L79" i="1"/>
  <c r="M79" i="1" s="1"/>
  <c r="D79" i="1"/>
  <c r="C79" i="1"/>
  <c r="L78" i="1"/>
  <c r="M78" i="1" s="1"/>
  <c r="D78" i="1"/>
  <c r="C78" i="1"/>
  <c r="L77" i="1"/>
  <c r="M77" i="1" s="1"/>
  <c r="D77" i="1"/>
  <c r="C77" i="1"/>
  <c r="L76" i="1"/>
  <c r="M76" i="1" s="1"/>
  <c r="D76" i="1"/>
  <c r="C76" i="1"/>
  <c r="L75" i="1"/>
  <c r="M75" i="1" s="1"/>
  <c r="D75" i="1"/>
  <c r="C75" i="1"/>
  <c r="L74" i="1"/>
  <c r="M74" i="1" s="1"/>
  <c r="D74" i="1"/>
  <c r="C74" i="1"/>
  <c r="L73" i="1"/>
  <c r="M73" i="1" s="1"/>
  <c r="D73" i="1"/>
  <c r="C73" i="1"/>
  <c r="M72" i="1"/>
  <c r="L72" i="1"/>
  <c r="D72" i="1"/>
  <c r="C72" i="1"/>
  <c r="L71" i="1"/>
  <c r="M71" i="1" s="1"/>
  <c r="D71" i="1"/>
  <c r="C71" i="1"/>
  <c r="L70" i="1"/>
  <c r="M70" i="1" s="1"/>
  <c r="D70" i="1"/>
  <c r="C70" i="1"/>
  <c r="L69" i="1"/>
  <c r="M69" i="1" s="1"/>
  <c r="D69" i="1"/>
  <c r="C69" i="1"/>
  <c r="L68" i="1"/>
  <c r="M68" i="1" s="1"/>
  <c r="D68" i="1"/>
  <c r="C68" i="1"/>
  <c r="L67" i="1"/>
  <c r="M67" i="1" s="1"/>
  <c r="D67" i="1"/>
  <c r="C67" i="1"/>
  <c r="L66" i="1"/>
  <c r="M66" i="1" s="1"/>
  <c r="D66" i="1"/>
  <c r="C66" i="1"/>
  <c r="L65" i="1"/>
  <c r="M65" i="1" s="1"/>
  <c r="D65" i="1"/>
  <c r="C65" i="1"/>
  <c r="M64" i="1"/>
  <c r="L64" i="1"/>
  <c r="D64" i="1"/>
  <c r="C64" i="1"/>
  <c r="L63" i="1"/>
  <c r="M63" i="1" s="1"/>
  <c r="D63" i="1"/>
  <c r="C63" i="1"/>
  <c r="L62" i="1"/>
  <c r="M62" i="1" s="1"/>
  <c r="D62" i="1"/>
  <c r="C62" i="1"/>
  <c r="L61" i="1"/>
  <c r="M61" i="1" s="1"/>
  <c r="D61" i="1"/>
  <c r="C61" i="1"/>
  <c r="L60" i="1"/>
  <c r="M60" i="1" s="1"/>
  <c r="D60" i="1"/>
  <c r="C60" i="1"/>
  <c r="L59" i="1"/>
  <c r="M59" i="1" s="1"/>
  <c r="D59" i="1"/>
  <c r="C59" i="1"/>
  <c r="L58" i="1"/>
  <c r="M58" i="1" s="1"/>
  <c r="D58" i="1"/>
  <c r="C58" i="1"/>
  <c r="L57" i="1"/>
  <c r="M57" i="1" s="1"/>
  <c r="D57" i="1"/>
  <c r="C57" i="1"/>
  <c r="L56" i="1"/>
  <c r="M56" i="1" s="1"/>
  <c r="D56" i="1"/>
  <c r="C56" i="1"/>
  <c r="L55" i="1"/>
  <c r="M55" i="1" s="1"/>
  <c r="D55" i="1"/>
  <c r="C55" i="1"/>
  <c r="L54" i="1"/>
  <c r="M54" i="1" s="1"/>
  <c r="D54" i="1"/>
  <c r="C54" i="1"/>
  <c r="L53" i="1"/>
  <c r="M53" i="1" s="1"/>
  <c r="D53" i="1"/>
  <c r="C53" i="1"/>
  <c r="L52" i="1"/>
  <c r="M52" i="1" s="1"/>
  <c r="D52" i="1"/>
  <c r="C52" i="1"/>
  <c r="L51" i="1"/>
  <c r="M51" i="1" s="1"/>
  <c r="D51" i="1"/>
  <c r="C51" i="1"/>
  <c r="L50" i="1"/>
  <c r="M50" i="1" s="1"/>
  <c r="D50" i="1"/>
  <c r="C50" i="1"/>
  <c r="L49" i="1"/>
  <c r="M49" i="1" s="1"/>
  <c r="D49" i="1"/>
  <c r="C49" i="1"/>
  <c r="L48" i="1"/>
  <c r="M48" i="1" s="1"/>
  <c r="D48" i="1"/>
  <c r="C48" i="1"/>
  <c r="L47" i="1"/>
  <c r="M47" i="1" s="1"/>
  <c r="D47" i="1"/>
  <c r="C47" i="1"/>
  <c r="L46" i="1"/>
  <c r="M46" i="1" s="1"/>
  <c r="D46" i="1"/>
  <c r="C46" i="1"/>
  <c r="L45" i="1"/>
  <c r="M45" i="1" s="1"/>
  <c r="D45" i="1"/>
  <c r="C45" i="1"/>
  <c r="L44" i="1"/>
  <c r="M44" i="1" s="1"/>
  <c r="D44" i="1"/>
  <c r="C44" i="1"/>
  <c r="L43" i="1"/>
  <c r="M43" i="1" s="1"/>
  <c r="D43" i="1"/>
  <c r="C43" i="1"/>
  <c r="L42" i="1"/>
  <c r="M42" i="1" s="1"/>
  <c r="D42" i="1"/>
  <c r="C42" i="1"/>
  <c r="L41" i="1"/>
  <c r="M41" i="1" s="1"/>
  <c r="D41" i="1"/>
  <c r="C41" i="1"/>
  <c r="L40" i="1"/>
  <c r="M40" i="1" s="1"/>
  <c r="D40" i="1"/>
  <c r="C40" i="1"/>
  <c r="L39" i="1"/>
  <c r="M39" i="1" s="1"/>
  <c r="D39" i="1"/>
  <c r="C39" i="1"/>
  <c r="L38" i="1"/>
  <c r="M38" i="1" s="1"/>
  <c r="D38" i="1"/>
  <c r="C38" i="1"/>
  <c r="L37" i="1"/>
  <c r="M37" i="1" s="1"/>
  <c r="D37" i="1"/>
  <c r="C37" i="1"/>
  <c r="L36" i="1"/>
  <c r="M36" i="1" s="1"/>
  <c r="D36" i="1"/>
  <c r="C36" i="1"/>
  <c r="L35" i="1"/>
  <c r="M35" i="1" s="1"/>
  <c r="D35" i="1"/>
  <c r="C35" i="1"/>
  <c r="L34" i="1"/>
  <c r="M34" i="1" s="1"/>
  <c r="D34" i="1"/>
  <c r="C34" i="1"/>
  <c r="L33" i="1"/>
  <c r="M33" i="1" s="1"/>
  <c r="D33" i="1"/>
  <c r="C33" i="1"/>
  <c r="L32" i="1"/>
  <c r="M32" i="1" s="1"/>
  <c r="D32" i="1"/>
  <c r="C32" i="1"/>
  <c r="L31" i="1"/>
  <c r="M31" i="1" s="1"/>
  <c r="D31" i="1"/>
  <c r="C31" i="1"/>
  <c r="L30" i="1"/>
  <c r="M30" i="1" s="1"/>
  <c r="D30" i="1"/>
  <c r="C30" i="1"/>
  <c r="L29" i="1"/>
  <c r="M29" i="1" s="1"/>
  <c r="D29" i="1"/>
  <c r="C29" i="1"/>
  <c r="L28" i="1"/>
  <c r="M28" i="1" s="1"/>
  <c r="D28" i="1"/>
  <c r="C28" i="1"/>
  <c r="L27" i="1"/>
  <c r="M27" i="1" s="1"/>
  <c r="D27" i="1"/>
  <c r="C27" i="1"/>
  <c r="L26" i="1"/>
  <c r="M26" i="1" s="1"/>
  <c r="D26" i="1"/>
  <c r="C26" i="1"/>
  <c r="L25" i="1"/>
  <c r="M25" i="1" s="1"/>
  <c r="D25" i="1"/>
  <c r="C25" i="1"/>
  <c r="L24" i="1"/>
  <c r="M24" i="1" s="1"/>
  <c r="D24" i="1"/>
  <c r="C24" i="1"/>
  <c r="L23" i="1"/>
  <c r="M23" i="1" s="1"/>
  <c r="D23" i="1"/>
  <c r="C23" i="1"/>
  <c r="L22" i="1"/>
  <c r="M22" i="1" s="1"/>
  <c r="D22" i="1"/>
  <c r="C22" i="1"/>
  <c r="L21" i="1"/>
  <c r="M21" i="1" s="1"/>
  <c r="D21" i="1"/>
  <c r="C21" i="1"/>
  <c r="L20" i="1"/>
  <c r="M20" i="1" s="1"/>
  <c r="D20" i="1"/>
  <c r="C20" i="1"/>
  <c r="L19" i="1"/>
  <c r="M19" i="1" s="1"/>
  <c r="D19" i="1"/>
  <c r="C19" i="1"/>
  <c r="L18" i="1"/>
  <c r="M18" i="1" s="1"/>
  <c r="D18" i="1"/>
  <c r="C18" i="1"/>
  <c r="L17" i="1"/>
  <c r="M17" i="1" s="1"/>
  <c r="D17" i="1"/>
  <c r="C17" i="1"/>
  <c r="L16" i="1"/>
  <c r="M16" i="1" s="1"/>
  <c r="D16" i="1"/>
  <c r="C16" i="1"/>
  <c r="L15" i="1"/>
  <c r="M15" i="1" s="1"/>
  <c r="D15" i="1"/>
  <c r="C15" i="1"/>
  <c r="L14" i="1"/>
  <c r="M14" i="1" s="1"/>
  <c r="D14" i="1"/>
  <c r="C14" i="1"/>
  <c r="L13" i="1"/>
  <c r="M13" i="1" s="1"/>
  <c r="D13" i="1"/>
  <c r="C13" i="1"/>
  <c r="L12" i="1"/>
  <c r="M12" i="1" s="1"/>
  <c r="D12" i="1"/>
  <c r="C12" i="1"/>
  <c r="L11" i="1"/>
  <c r="M11" i="1" s="1"/>
  <c r="D11" i="1"/>
  <c r="C11" i="1"/>
  <c r="L10" i="1"/>
  <c r="M10" i="1" s="1"/>
  <c r="D10" i="1"/>
  <c r="C10" i="1"/>
  <c r="L9" i="1"/>
  <c r="M9" i="1" s="1"/>
  <c r="D9" i="1"/>
  <c r="C9" i="1"/>
  <c r="L8" i="1"/>
  <c r="M8" i="1" s="1"/>
  <c r="D8" i="1"/>
  <c r="C8" i="1"/>
  <c r="L7" i="1"/>
  <c r="M7" i="1" s="1"/>
  <c r="D7" i="1"/>
  <c r="C7" i="1"/>
  <c r="L6" i="1"/>
  <c r="M6" i="1" s="1"/>
  <c r="D6" i="1"/>
  <c r="C6" i="1"/>
  <c r="L5" i="1"/>
  <c r="M5" i="1" s="1"/>
  <c r="D5" i="1"/>
  <c r="C5" i="1"/>
  <c r="L4" i="1"/>
  <c r="M4" i="1" s="1"/>
  <c r="D4" i="1"/>
  <c r="C4" i="1"/>
  <c r="L3" i="1"/>
  <c r="M3" i="1" s="1"/>
  <c r="D3" i="1"/>
  <c r="C3" i="1"/>
</calcChain>
</file>

<file path=xl/connections.xml><?xml version="1.0" encoding="utf-8"?>
<connections xmlns="http://schemas.openxmlformats.org/spreadsheetml/2006/main">
  <connection id="1" name="temp14" type="6" refreshedVersion="4" background="1" saveData="1">
    <textPr codePage="437" sourceFile="C:\Users\lien.chen\Desktop\temp1.csv" space="1" comma="1" consecutive="1" qualifier="singleQuote">
      <textFields count="2">
        <textField/>
        <textField/>
      </textFields>
    </textPr>
  </connection>
  <connection id="2" name="temp15" type="6" refreshedVersion="4" background="1" saveData="1">
    <textPr codePage="437" sourceFile="C:\Users\lien.chen\Desktop\temp1.csv" space="1" comma="1" consecutive="1" qualifier="singleQuote">
      <textFields count="3">
        <textField/>
        <textField/>
        <textField/>
      </textFields>
    </textPr>
  </connection>
  <connection id="3" name="temp16" type="6" refreshedVersion="4" background="1" saveData="1">
    <textPr codePage="437" sourceFile="C:\Users\lien.chen\Desktop\temp1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<sst xmlns="http://schemas.openxmlformats.org/spreadsheetml/2006/main" count="17" uniqueCount="11">
  <si>
    <t>Refi Plus</t>
  </si>
  <si>
    <t>Regular Refi Matrix</t>
  </si>
  <si>
    <t>Total Universe</t>
  </si>
  <si>
    <t>asOfDate</t>
  </si>
  <si>
    <t>Regular</t>
  </si>
  <si>
    <t>refinanceible</t>
  </si>
  <si>
    <t>HARPable Balance</t>
  </si>
  <si>
    <t>Total Balance</t>
  </si>
  <si>
    <t>currBalance</t>
  </si>
  <si>
    <t>Plot</t>
  </si>
  <si>
    <t>Balance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</si>
</sst>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indexed="52"/>
      <name val="Calibri"/>
      <family val="2"/>
    </font>
    <font>
      <sz val="10"/>
      <color theme="4"/>
      <name val="Calibri"/>
      <family val="2"/>
      <scheme val="minor"/>
    </font>
    <font>
      <sz val="10"/>
      <name val="Calibri"/>
      <family val="2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u/>
      <sz val="11"/>
      <color theme="10"/>
      <name val="Calibri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5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8" fillId="5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" fillId="7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" fillId="9" borderId="0" applyNumberFormat="0" applyBorder="0" applyAlignment="0" applyProtection="0"/>
    <xf numFmtId="0" fontId="12" fillId="23" borderId="0" applyNumberFormat="0" applyBorder="0" applyAlignment="0" applyProtection="0"/>
    <xf numFmtId="0" fontId="13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" fillId="11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" fillId="13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" fillId="15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" fillId="6" borderId="0" applyNumberFormat="0" applyBorder="0" applyAlignment="0" applyProtection="0"/>
    <xf numFmtId="0" fontId="12" fillId="30" borderId="0" applyNumberFormat="0" applyBorder="0" applyAlignment="0" applyProtection="0"/>
    <xf numFmtId="0" fontId="13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" fillId="8" borderId="0" applyNumberFormat="0" applyBorder="0" applyAlignment="0" applyProtection="0"/>
    <xf numFmtId="0" fontId="12" fillId="21" borderId="0" applyNumberFormat="0" applyBorder="0" applyAlignment="0" applyProtection="0"/>
    <xf numFmtId="0" fontId="13" fillId="24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" fillId="10" borderId="0" applyNumberFormat="0" applyBorder="0" applyAlignment="0" applyProtection="0"/>
    <xf numFmtId="0" fontId="12" fillId="27" borderId="0" applyNumberFormat="0" applyBorder="0" applyAlignment="0" applyProtection="0"/>
    <xf numFmtId="0" fontId="13" fillId="3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" fillId="12" borderId="0" applyNumberFormat="0" applyBorder="0" applyAlignment="0" applyProtection="0"/>
    <xf numFmtId="0" fontId="12" fillId="29" borderId="0" applyNumberFormat="0" applyBorder="0" applyAlignment="0" applyProtection="0"/>
    <xf numFmtId="0" fontId="13" fillId="26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" fillId="16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6" borderId="0" applyNumberFormat="0" applyBorder="0" applyAlignment="0" applyProtection="0"/>
    <xf numFmtId="0" fontId="14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30" borderId="0" applyNumberFormat="0" applyBorder="0" applyAlignment="0" applyProtection="0"/>
    <xf numFmtId="0" fontId="14" fillId="21" borderId="0" applyNumberFormat="0" applyBorder="0" applyAlignment="0" applyProtection="0"/>
    <xf numFmtId="0" fontId="15" fillId="24" borderId="0" applyNumberFormat="0" applyBorder="0" applyAlignment="0" applyProtection="0"/>
    <xf numFmtId="0" fontId="16" fillId="31" borderId="0" applyNumberFormat="0" applyBorder="0" applyAlignment="0" applyProtection="0"/>
    <xf numFmtId="0" fontId="14" fillId="27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4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39" borderId="0" applyNumberFormat="0" applyBorder="0" applyAlignment="0" applyProtection="0"/>
    <xf numFmtId="0" fontId="14" fillId="34" borderId="0" applyNumberFormat="0" applyBorder="0" applyAlignment="0" applyProtection="0"/>
    <xf numFmtId="0" fontId="15" fillId="40" borderId="0" applyNumberFormat="0" applyBorder="0" applyAlignment="0" applyProtection="0"/>
    <xf numFmtId="0" fontId="16" fillId="41" borderId="0" applyNumberFormat="0" applyBorder="0" applyAlignment="0" applyProtection="0"/>
    <xf numFmtId="0" fontId="14" fillId="42" borderId="0" applyNumberFormat="0" applyBorder="0" applyAlignment="0" applyProtection="0"/>
    <xf numFmtId="0" fontId="15" fillId="43" borderId="0" applyNumberFormat="0" applyBorder="0" applyAlignment="0" applyProtection="0"/>
    <xf numFmtId="0" fontId="16" fillId="42" borderId="0" applyNumberFormat="0" applyBorder="0" applyAlignment="0" applyProtection="0"/>
    <xf numFmtId="0" fontId="14" fillId="44" borderId="0" applyNumberFormat="0" applyBorder="0" applyAlignment="0" applyProtection="0"/>
    <xf numFmtId="0" fontId="15" fillId="43" borderId="0" applyNumberFormat="0" applyBorder="0" applyAlignment="0" applyProtection="0"/>
    <xf numFmtId="0" fontId="16" fillId="44" borderId="0" applyNumberFormat="0" applyBorder="0" applyAlignment="0" applyProtection="0"/>
    <xf numFmtId="0" fontId="14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44" borderId="0" applyNumberFormat="0" applyBorder="0" applyAlignment="0" applyProtection="0"/>
    <xf numFmtId="0" fontId="16" fillId="34" borderId="0" applyNumberFormat="0" applyBorder="0" applyAlignment="0" applyProtection="0"/>
    <xf numFmtId="0" fontId="14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45" borderId="0" applyNumberFormat="0" applyBorder="0" applyAlignment="0" applyProtection="0"/>
    <xf numFmtId="0" fontId="9" fillId="0" borderId="0"/>
    <xf numFmtId="17" fontId="9" fillId="0" borderId="0" applyFont="0" applyFill="0" applyBorder="0" applyProtection="0">
      <alignment horizontal="left"/>
    </xf>
    <xf numFmtId="0" fontId="9" fillId="0" borderId="0" applyFont="0" applyFill="0" applyBorder="0" applyProtection="0">
      <alignment horizontal="left"/>
    </xf>
    <xf numFmtId="0" fontId="17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/>
    <xf numFmtId="38" fontId="20" fillId="23" borderId="0"/>
    <xf numFmtId="0" fontId="21" fillId="0" borderId="0" applyNumberFormat="0" applyFill="0" applyBorder="0" applyAlignment="0" applyProtection="0"/>
    <xf numFmtId="0" fontId="22" fillId="46" borderId="0">
      <alignment horizontal="left"/>
    </xf>
    <xf numFmtId="2" fontId="23" fillId="47" borderId="6" applyProtection="0">
      <alignment horizontal="left"/>
      <protection locked="0"/>
    </xf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9" fillId="48" borderId="0"/>
    <xf numFmtId="167" fontId="10" fillId="0" borderId="0" applyFont="0" applyFill="0" applyBorder="0" applyAlignment="0" applyProtection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9" fillId="0" borderId="0" applyFill="0" applyBorder="0" applyAlignment="0"/>
    <xf numFmtId="170" fontId="9" fillId="0" borderId="0" applyFill="0" applyBorder="0" applyAlignment="0"/>
    <xf numFmtId="0" fontId="9" fillId="0" borderId="0" applyFill="0" applyBorder="0" applyAlignment="0"/>
    <xf numFmtId="168" fontId="27" fillId="0" borderId="0" applyFill="0" applyBorder="0" applyAlignment="0"/>
    <xf numFmtId="0" fontId="9" fillId="0" borderId="0" applyFill="0" applyBorder="0" applyAlignment="0"/>
    <xf numFmtId="171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8" fillId="23" borderId="8" applyNumberFormat="0" applyAlignment="0" applyProtection="0"/>
    <xf numFmtId="0" fontId="29" fillId="25" borderId="8" applyNumberFormat="0" applyAlignment="0" applyProtection="0"/>
    <xf numFmtId="0" fontId="30" fillId="27" borderId="8" applyNumberFormat="0" applyAlignment="0" applyProtection="0"/>
    <xf numFmtId="0" fontId="31" fillId="3" borderId="1" applyNumberFormat="0" applyAlignment="0" applyProtection="0"/>
    <xf numFmtId="0" fontId="4" fillId="3" borderId="1" applyNumberFormat="0" applyAlignment="0" applyProtection="0"/>
    <xf numFmtId="0" fontId="32" fillId="49" borderId="9" applyNumberFormat="0"/>
    <xf numFmtId="0" fontId="33" fillId="50" borderId="10" applyBorder="0">
      <alignment horizontal="center" wrapText="1"/>
    </xf>
    <xf numFmtId="0" fontId="33" fillId="51" borderId="10" applyBorder="0">
      <alignment horizontal="center" wrapText="1"/>
    </xf>
    <xf numFmtId="0" fontId="34" fillId="52" borderId="9" applyNumberFormat="0"/>
    <xf numFmtId="0" fontId="35" fillId="53" borderId="9" applyNumberFormat="0"/>
    <xf numFmtId="0" fontId="5" fillId="53" borderId="9" applyNumberFormat="0"/>
    <xf numFmtId="0" fontId="35" fillId="53" borderId="9" applyNumberFormat="0"/>
    <xf numFmtId="0" fontId="36" fillId="47" borderId="11" applyNumberFormat="0"/>
    <xf numFmtId="0" fontId="34" fillId="52" borderId="9" applyNumberFormat="0"/>
    <xf numFmtId="0" fontId="35" fillId="52" borderId="9" applyNumberFormat="0"/>
    <xf numFmtId="0" fontId="36" fillId="47" borderId="11" applyNumberFormat="0"/>
    <xf numFmtId="0" fontId="37" fillId="54" borderId="12" applyNumberFormat="0"/>
    <xf numFmtId="0" fontId="34" fillId="49" borderId="9" applyNumberFormat="0"/>
    <xf numFmtId="0" fontId="32" fillId="49" borderId="9" applyNumberFormat="0"/>
    <xf numFmtId="0" fontId="37" fillId="54" borderId="12" applyNumberFormat="0" applyBorder="0"/>
    <xf numFmtId="0" fontId="34" fillId="49" borderId="9" applyNumberFormat="0"/>
    <xf numFmtId="0" fontId="37" fillId="54" borderId="12" applyNumberFormat="0" applyBorder="0"/>
    <xf numFmtId="0" fontId="38" fillId="55" borderId="11" applyNumberFormat="0"/>
    <xf numFmtId="0" fontId="37" fillId="54" borderId="12" applyNumberFormat="0"/>
    <xf numFmtId="0" fontId="37" fillId="54" borderId="12" applyNumberFormat="0" applyBorder="0"/>
    <xf numFmtId="14" fontId="39" fillId="52" borderId="13" applyNumberFormat="0" applyAlignment="0"/>
    <xf numFmtId="14" fontId="39" fillId="53" borderId="13" applyNumberFormat="0" applyAlignment="0"/>
    <xf numFmtId="14" fontId="40" fillId="53" borderId="13" applyNumberFormat="0" applyAlignment="0"/>
    <xf numFmtId="14" fontId="39" fillId="52" borderId="13" applyNumberFormat="0" applyAlignment="0"/>
    <xf numFmtId="0" fontId="41" fillId="56" borderId="14" applyNumberFormat="0" applyAlignment="0" applyProtection="0"/>
    <xf numFmtId="0" fontId="42" fillId="56" borderId="14" applyNumberFormat="0" applyAlignment="0" applyProtection="0"/>
    <xf numFmtId="0" fontId="43" fillId="56" borderId="14" applyNumberFormat="0" applyAlignment="0" applyProtection="0"/>
    <xf numFmtId="0" fontId="44" fillId="0" borderId="0" applyNumberFormat="0" applyFill="0" applyBorder="0" applyAlignment="0" applyProtection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172" fontId="45" fillId="0" borderId="0"/>
    <xf numFmtId="172" fontId="46" fillId="0" borderId="0"/>
    <xf numFmtId="0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ill="0" applyBorder="0" applyAlignment="0" applyProtection="0"/>
    <xf numFmtId="0" fontId="47" fillId="0" borderId="0"/>
    <xf numFmtId="0" fontId="48" fillId="0" borderId="0" applyNumberFormat="0" applyAlignment="0">
      <alignment horizontal="left"/>
    </xf>
    <xf numFmtId="0" fontId="49" fillId="0" borderId="0">
      <alignment horizontal="center"/>
    </xf>
    <xf numFmtId="0" fontId="47" fillId="0" borderId="0"/>
    <xf numFmtId="0" fontId="26" fillId="0" borderId="0" applyFont="0" applyFill="0" applyBorder="0" applyAlignment="0" applyProtection="0"/>
    <xf numFmtId="169" fontId="9" fillId="0" borderId="0" applyFont="0" applyFill="0" applyBorder="0" applyAlignment="0" applyProtection="0"/>
    <xf numFmtId="8" fontId="50" fillId="0" borderId="15">
      <protection locked="0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5" fontId="9" fillId="0" borderId="0" applyFill="0" applyBorder="0" applyAlignment="0" applyProtection="0"/>
    <xf numFmtId="173" fontId="10" fillId="0" borderId="0" applyFont="0" applyFill="0" applyBorder="0" applyAlignment="0" applyProtection="0"/>
    <xf numFmtId="10" fontId="9" fillId="0" borderId="0" applyFont="0" applyFill="0" applyBorder="0" applyProtection="0">
      <alignment horizontal="center"/>
    </xf>
    <xf numFmtId="174" fontId="9" fillId="0" borderId="0" applyFont="0" applyFill="0" applyBorder="0" applyProtection="0"/>
    <xf numFmtId="175" fontId="9" fillId="0" borderId="0" applyFont="0" applyFill="0" applyBorder="0" applyProtection="0"/>
    <xf numFmtId="15" fontId="51" fillId="0" borderId="0" applyFont="0" applyFill="0" applyBorder="0" applyAlignment="0" applyProtection="0"/>
    <xf numFmtId="0" fontId="47" fillId="0" borderId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5" fontId="13" fillId="23" borderId="0"/>
    <xf numFmtId="14" fontId="13" fillId="0" borderId="0" applyFill="0" applyBorder="0" applyAlignment="0"/>
    <xf numFmtId="0" fontId="49" fillId="47" borderId="0">
      <alignment horizontal="left"/>
    </xf>
    <xf numFmtId="176" fontId="9" fillId="0" borderId="0" applyFill="0" applyBorder="0" applyAlignment="0" applyProtection="0"/>
    <xf numFmtId="14" fontId="9" fillId="0" borderId="0"/>
    <xf numFmtId="0" fontId="52" fillId="30" borderId="0">
      <alignment horizontal="left"/>
    </xf>
    <xf numFmtId="0" fontId="53" fillId="0" borderId="0">
      <alignment horizontal="left"/>
    </xf>
    <xf numFmtId="38" fontId="54" fillId="0" borderId="16">
      <alignment vertical="center"/>
    </xf>
    <xf numFmtId="177" fontId="9" fillId="0" borderId="0">
      <alignment horizontal="right"/>
    </xf>
    <xf numFmtId="1" fontId="9" fillId="0" borderId="0">
      <alignment horizontal="right"/>
    </xf>
    <xf numFmtId="1" fontId="9" fillId="0" borderId="0">
      <alignment horizontal="right"/>
    </xf>
    <xf numFmtId="178" fontId="9" fillId="0" borderId="0">
      <alignment horizontal="right"/>
    </xf>
    <xf numFmtId="49" fontId="9" fillId="0" borderId="0">
      <alignment horizontal="left"/>
    </xf>
    <xf numFmtId="49" fontId="9" fillId="0" borderId="0">
      <alignment horizontal="left"/>
    </xf>
    <xf numFmtId="49" fontId="9" fillId="0" borderId="0">
      <alignment horizontal="right"/>
    </xf>
    <xf numFmtId="14" fontId="9" fillId="0" borderId="0">
      <alignment horizontal="left"/>
    </xf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55" fillId="0" borderId="0" applyNumberFormat="0" applyAlignment="0">
      <alignment horizontal="left"/>
    </xf>
    <xf numFmtId="9" fontId="56" fillId="0" borderId="17" applyNumberFormat="0" applyBorder="0" applyAlignment="0">
      <protection locked="0"/>
    </xf>
    <xf numFmtId="179" fontId="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2" fontId="9" fillId="0" borderId="0" applyFill="0" applyBorder="0" applyAlignment="0" applyProtection="0"/>
    <xf numFmtId="180" fontId="9" fillId="0" borderId="0" applyFont="0" applyFill="0" applyBorder="0" applyAlignment="0" applyProtection="0"/>
    <xf numFmtId="0" fontId="13" fillId="23" borderId="0"/>
    <xf numFmtId="0" fontId="60" fillId="22" borderId="0" applyNumberFormat="0" applyBorder="0" applyAlignment="0" applyProtection="0"/>
    <xf numFmtId="0" fontId="61" fillId="26" borderId="0" applyNumberFormat="0" applyBorder="0" applyAlignment="0" applyProtection="0"/>
    <xf numFmtId="0" fontId="62" fillId="22" borderId="0" applyNumberFormat="0" applyBorder="0" applyAlignment="0" applyProtection="0"/>
    <xf numFmtId="2" fontId="63" fillId="47" borderId="6" applyProtection="0">
      <alignment horizontal="left"/>
      <protection locked="0"/>
    </xf>
    <xf numFmtId="38" fontId="44" fillId="57" borderId="0" applyNumberFormat="0" applyBorder="0" applyAlignment="0" applyProtection="0"/>
    <xf numFmtId="0" fontId="64" fillId="0" borderId="18" applyNumberFormat="0" applyAlignment="0" applyProtection="0">
      <alignment horizontal="left" vertical="center"/>
    </xf>
    <xf numFmtId="0" fontId="64" fillId="0" borderId="19">
      <alignment horizontal="left" vertical="center"/>
    </xf>
    <xf numFmtId="0" fontId="65" fillId="27" borderId="17">
      <alignment horizontal="centerContinuous"/>
    </xf>
    <xf numFmtId="0" fontId="66" fillId="0" borderId="20" applyNumberFormat="0" applyFill="0" applyAlignment="0" applyProtection="0"/>
    <xf numFmtId="0" fontId="67" fillId="0" borderId="21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22" applyNumberFormat="0" applyFill="0" applyAlignment="0" applyProtection="0"/>
    <xf numFmtId="0" fontId="71" fillId="0" borderId="23" applyNumberFormat="0" applyFill="0" applyAlignment="0" applyProtection="0"/>
    <xf numFmtId="0" fontId="72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3" fillId="0" borderId="23" applyNumberFormat="0" applyFill="0" applyAlignment="0" applyProtection="0"/>
    <xf numFmtId="0" fontId="74" fillId="0" borderId="25" applyNumberFormat="0" applyFill="0" applyAlignment="0" applyProtection="0"/>
    <xf numFmtId="0" fontId="75" fillId="0" borderId="26" applyNumberFormat="0" applyFill="0" applyAlignment="0" applyProtection="0"/>
    <xf numFmtId="0" fontId="76" fillId="0" borderId="27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23" borderId="0"/>
    <xf numFmtId="0" fontId="6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10" fontId="44" fillId="58" borderId="17" applyNumberFormat="0" applyBorder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2" fontId="80" fillId="0" borderId="28" applyNumberFormat="0" applyFill="0" applyBorder="0" applyAlignment="0">
      <alignment horizontal="center"/>
      <protection locked="0"/>
    </xf>
    <xf numFmtId="2" fontId="80" fillId="0" borderId="28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81" fillId="19" borderId="8" applyNumberFormat="0" applyAlignment="0" applyProtection="0"/>
    <xf numFmtId="0" fontId="81" fillId="19" borderId="8" applyNumberFormat="0" applyAlignment="0" applyProtection="0"/>
    <xf numFmtId="0" fontId="81" fillId="19" borderId="8" applyNumberFormat="0" applyAlignment="0" applyProtection="0"/>
    <xf numFmtId="0" fontId="81" fillId="19" borderId="8" applyNumberFormat="0" applyAlignment="0" applyProtection="0"/>
    <xf numFmtId="37" fontId="82" fillId="0" borderId="0" applyNumberFormat="0" applyAlignment="0">
      <protection locked="0"/>
    </xf>
    <xf numFmtId="0" fontId="2" fillId="2" borderId="1" applyNumberFormat="0" applyAlignment="0" applyProtection="0"/>
    <xf numFmtId="0" fontId="2" fillId="2" borderId="1" applyNumberFormat="0" applyAlignment="0" applyProtection="0"/>
    <xf numFmtId="0" fontId="83" fillId="0" borderId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36" fillId="0" borderId="29" applyNumberFormat="0" applyFill="0" applyAlignment="0" applyProtection="0"/>
    <xf numFmtId="0" fontId="84" fillId="0" borderId="29" applyNumberFormat="0" applyFill="0" applyAlignment="0" applyProtection="0"/>
    <xf numFmtId="0" fontId="85" fillId="0" borderId="29" applyNumberFormat="0" applyFill="0" applyAlignment="0" applyProtection="0"/>
    <xf numFmtId="0" fontId="9" fillId="57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3" fillId="23" borderId="0"/>
    <xf numFmtId="0" fontId="86" fillId="19" borderId="0" applyNumberFormat="0" applyBorder="0" applyAlignment="0" applyProtection="0"/>
    <xf numFmtId="0" fontId="87" fillId="24" borderId="0" applyNumberFormat="0" applyBorder="0" applyAlignment="0" applyProtection="0"/>
    <xf numFmtId="0" fontId="88" fillId="48" borderId="0" applyNumberFormat="0" applyBorder="0" applyAlignment="0" applyProtection="0"/>
    <xf numFmtId="37" fontId="89" fillId="0" borderId="0"/>
    <xf numFmtId="0" fontId="52" fillId="23" borderId="0" applyNumberFormat="0" applyFont="0" applyFill="0" applyBorder="0" applyAlignment="0"/>
    <xf numFmtId="10" fontId="13" fillId="23" borderId="0"/>
    <xf numFmtId="181" fontId="90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34" fillId="52" borderId="0"/>
    <xf numFmtId="0" fontId="38" fillId="47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53" borderId="0"/>
    <xf numFmtId="0" fontId="9" fillId="53" borderId="0"/>
    <xf numFmtId="0" fontId="9" fillId="0" borderId="0"/>
    <xf numFmtId="0" fontId="9" fillId="0" borderId="0"/>
    <xf numFmtId="0" fontId="34" fillId="52" borderId="0"/>
    <xf numFmtId="0" fontId="34" fillId="52" borderId="0"/>
    <xf numFmtId="0" fontId="34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34" fillId="52" borderId="0"/>
    <xf numFmtId="0" fontId="9" fillId="0" borderId="0"/>
    <xf numFmtId="0" fontId="9" fillId="0" borderId="0"/>
    <xf numFmtId="0" fontId="34" fillId="52" borderId="0"/>
    <xf numFmtId="0" fontId="11" fillId="0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34" fillId="52" borderId="0"/>
    <xf numFmtId="0" fontId="34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/>
    <xf numFmtId="0" fontId="9" fillId="0" borderId="0"/>
    <xf numFmtId="0" fontId="9" fillId="0" borderId="0"/>
    <xf numFmtId="0" fontId="34" fillId="4" borderId="3" applyNumberFormat="0" applyFont="0" applyAlignment="0" applyProtection="0"/>
    <xf numFmtId="0" fontId="13" fillId="21" borderId="30" applyNumberFormat="0" applyFont="0" applyAlignment="0" applyProtection="0"/>
    <xf numFmtId="0" fontId="92" fillId="21" borderId="30" applyNumberFormat="0" applyFont="0" applyAlignment="0" applyProtection="0"/>
    <xf numFmtId="0" fontId="34" fillId="4" borderId="3" applyNumberFormat="0" applyFont="0" applyAlignment="0" applyProtection="0"/>
    <xf numFmtId="0" fontId="93" fillId="0" borderId="0"/>
    <xf numFmtId="0" fontId="11" fillId="21" borderId="30" applyNumberFormat="0" applyFont="0" applyAlignment="0" applyProtection="0"/>
    <xf numFmtId="0" fontId="11" fillId="21" borderId="30" applyNumberFormat="0" applyFont="0" applyAlignment="0" applyProtection="0"/>
    <xf numFmtId="0" fontId="11" fillId="21" borderId="30" applyNumberFormat="0" applyFont="0" applyAlignment="0" applyProtection="0"/>
    <xf numFmtId="0" fontId="11" fillId="21" borderId="30" applyNumberFormat="0" applyFont="0" applyAlignment="0" applyProtection="0"/>
    <xf numFmtId="0" fontId="11" fillId="21" borderId="30" applyNumberFormat="0" applyFont="0" applyAlignment="0" applyProtection="0"/>
    <xf numFmtId="0" fontId="11" fillId="21" borderId="30" applyNumberFormat="0" applyFont="0" applyAlignment="0" applyProtection="0"/>
    <xf numFmtId="0" fontId="34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4" fillId="4" borderId="3" applyNumberFormat="0" applyFont="0" applyAlignment="0" applyProtection="0"/>
    <xf numFmtId="0" fontId="34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182" fontId="26" fillId="0" borderId="0">
      <alignment horizontal="center"/>
    </xf>
    <xf numFmtId="37" fontId="9" fillId="0" borderId="0"/>
    <xf numFmtId="183" fontId="4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4" fontId="94" fillId="0" borderId="0" applyNumberFormat="0" applyFill="0" applyBorder="0" applyAlignment="0" applyProtection="0"/>
    <xf numFmtId="185" fontId="26" fillId="0" borderId="0">
      <alignment horizontal="center"/>
    </xf>
    <xf numFmtId="0" fontId="34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4" fillId="59" borderId="0" applyNumberFormat="0" applyFont="0" applyBorder="0" applyAlignment="0" applyProtection="0"/>
    <xf numFmtId="0" fontId="94" fillId="0" borderId="31"/>
    <xf numFmtId="2" fontId="95" fillId="47" borderId="6">
      <alignment horizontal="left"/>
    </xf>
    <xf numFmtId="0" fontId="96" fillId="23" borderId="32" applyNumberFormat="0" applyAlignment="0" applyProtection="0"/>
    <xf numFmtId="0" fontId="97" fillId="25" borderId="32" applyNumberFormat="0" applyAlignment="0" applyProtection="0"/>
    <xf numFmtId="0" fontId="98" fillId="27" borderId="32" applyNumberFormat="0" applyAlignment="0" applyProtection="0"/>
    <xf numFmtId="0" fontId="3" fillId="3" borderId="2" applyNumberFormat="0" applyAlignment="0" applyProtection="0"/>
    <xf numFmtId="40" fontId="13" fillId="47" borderId="0">
      <alignment horizontal="right"/>
    </xf>
    <xf numFmtId="0" fontId="99" fillId="58" borderId="0">
      <alignment horizontal="center"/>
    </xf>
    <xf numFmtId="0" fontId="42" fillId="60" borderId="6"/>
    <xf numFmtId="0" fontId="100" fillId="0" borderId="0" applyBorder="0">
      <alignment horizontal="centerContinuous"/>
    </xf>
    <xf numFmtId="0" fontId="101" fillId="0" borderId="0" applyBorder="0">
      <alignment horizontal="centerContinuous"/>
    </xf>
    <xf numFmtId="0" fontId="64" fillId="0" borderId="0"/>
    <xf numFmtId="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02" fillId="0" borderId="0" applyFont="0" applyFill="0" applyBorder="0" applyAlignment="0" applyProtection="0"/>
    <xf numFmtId="186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94" fillId="0" borderId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187" fontId="26" fillId="0" borderId="0">
      <alignment horizontal="center"/>
    </xf>
    <xf numFmtId="188" fontId="26" fillId="0" borderId="17">
      <alignment horizontal="center"/>
    </xf>
    <xf numFmtId="0" fontId="103" fillId="0" borderId="33" applyAlignment="0">
      <alignment horizontal="center"/>
    </xf>
    <xf numFmtId="0" fontId="104" fillId="57" borderId="0"/>
    <xf numFmtId="0" fontId="54" fillId="0" borderId="0" applyNumberFormat="0" applyFont="0" applyFill="0" applyBorder="0" applyAlignment="0" applyProtection="0">
      <alignment horizontal="left"/>
    </xf>
    <xf numFmtId="0" fontId="105" fillId="0" borderId="34">
      <alignment horizontal="center"/>
    </xf>
    <xf numFmtId="0" fontId="51" fillId="0" borderId="0">
      <alignment vertical="top"/>
    </xf>
    <xf numFmtId="189" fontId="51" fillId="0" borderId="0">
      <alignment vertical="top"/>
    </xf>
    <xf numFmtId="0" fontId="103" fillId="0" borderId="0">
      <alignment horizontal="left"/>
    </xf>
    <xf numFmtId="0" fontId="103" fillId="0" borderId="0">
      <alignment horizontal="right"/>
    </xf>
    <xf numFmtId="0" fontId="13" fillId="0" borderId="6" applyNumberFormat="0" applyBorder="0" applyAlignment="0"/>
    <xf numFmtId="190" fontId="106" fillId="0" borderId="0" applyNumberFormat="0" applyFill="0" applyBorder="0" applyAlignment="0" applyProtection="0">
      <alignment horizontal="left"/>
    </xf>
    <xf numFmtId="0" fontId="52" fillId="44" borderId="0">
      <alignment horizontal="left"/>
    </xf>
    <xf numFmtId="0" fontId="107" fillId="0" borderId="35"/>
    <xf numFmtId="188" fontId="23" fillId="21" borderId="0">
      <alignment horizontal="center"/>
    </xf>
    <xf numFmtId="188" fontId="108" fillId="21" borderId="0">
      <alignment horizontal="center"/>
    </xf>
    <xf numFmtId="188" fontId="23" fillId="22" borderId="0">
      <alignment horizontal="center"/>
    </xf>
    <xf numFmtId="0" fontId="23" fillId="21" borderId="0">
      <alignment horizontal="left"/>
    </xf>
    <xf numFmtId="0" fontId="109" fillId="0" borderId="0" applyFont="0" applyFill="0" applyBorder="0" applyAlignment="0" applyProtection="0"/>
    <xf numFmtId="191" fontId="27" fillId="0" borderId="0" applyFont="0" applyFill="0" applyBorder="0" applyAlignment="0" applyProtection="0"/>
    <xf numFmtId="192" fontId="9" fillId="0" borderId="0"/>
    <xf numFmtId="0" fontId="9" fillId="0" borderId="0"/>
    <xf numFmtId="0" fontId="9" fillId="0" borderId="0">
      <alignment horizontal="left" wrapText="1"/>
    </xf>
    <xf numFmtId="0" fontId="23" fillId="21" borderId="0">
      <alignment horizontal="center"/>
    </xf>
    <xf numFmtId="0" fontId="103" fillId="0" borderId="0"/>
    <xf numFmtId="0" fontId="110" fillId="0" borderId="0"/>
    <xf numFmtId="40" fontId="111" fillId="0" borderId="0" applyBorder="0">
      <alignment horizontal="right"/>
    </xf>
    <xf numFmtId="0" fontId="9" fillId="47" borderId="30"/>
    <xf numFmtId="0" fontId="26" fillId="0" borderId="0">
      <alignment horizontal="center"/>
    </xf>
    <xf numFmtId="15" fontId="26" fillId="0" borderId="0">
      <alignment horizontal="center"/>
    </xf>
    <xf numFmtId="0" fontId="112" fillId="0" borderId="0">
      <alignment horizontal="center"/>
    </xf>
    <xf numFmtId="3" fontId="26" fillId="0" borderId="0">
      <alignment horizontal="center"/>
    </xf>
    <xf numFmtId="193" fontId="26" fillId="0" borderId="0">
      <alignment horizontal="center"/>
    </xf>
    <xf numFmtId="188" fontId="26" fillId="0" borderId="0">
      <alignment horizontal="center"/>
    </xf>
    <xf numFmtId="0" fontId="113" fillId="61" borderId="0"/>
    <xf numFmtId="194" fontId="26" fillId="0" borderId="0">
      <alignment horizontal="center"/>
    </xf>
    <xf numFmtId="194" fontId="26" fillId="0" borderId="36">
      <alignment horizontal="center"/>
    </xf>
    <xf numFmtId="0" fontId="26" fillId="0" borderId="0">
      <alignment horizontal="left"/>
    </xf>
    <xf numFmtId="0" fontId="114" fillId="0" borderId="0">
      <alignment horizontal="center"/>
    </xf>
    <xf numFmtId="0" fontId="115" fillId="0" borderId="0" applyNumberFormat="0" applyFill="0" applyBorder="0"/>
    <xf numFmtId="0" fontId="13" fillId="23" borderId="0"/>
    <xf numFmtId="49" fontId="13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9" fillId="0" borderId="0" applyFill="0" applyBorder="0" applyAlignment="0"/>
    <xf numFmtId="171" fontId="9" fillId="0" borderId="0" applyFill="0" applyBorder="0" applyAlignment="0"/>
    <xf numFmtId="49" fontId="9" fillId="0" borderId="0"/>
    <xf numFmtId="0" fontId="116" fillId="0" borderId="0">
      <alignment horizontal="right"/>
    </xf>
    <xf numFmtId="0" fontId="117" fillId="0" borderId="0">
      <alignment horizontal="right"/>
      <protection locked="0"/>
    </xf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0" fillId="23" borderId="0"/>
    <xf numFmtId="0" fontId="34" fillId="62" borderId="37" applyBorder="0">
      <alignment horizontal="center" wrapText="1"/>
    </xf>
    <xf numFmtId="0" fontId="33" fillId="50" borderId="10" applyBorder="0">
      <alignment horizontal="center" wrapText="1"/>
    </xf>
    <xf numFmtId="0" fontId="33" fillId="50" borderId="10" applyBorder="0">
      <alignment horizontal="center" wrapText="1"/>
    </xf>
    <xf numFmtId="0" fontId="38" fillId="58" borderId="37" applyBorder="0">
      <alignment horizontal="center" wrapText="1"/>
    </xf>
    <xf numFmtId="0" fontId="34" fillId="63" borderId="10" applyBorder="0">
      <alignment horizontal="center" wrapText="1"/>
    </xf>
    <xf numFmtId="0" fontId="33" fillId="51" borderId="10" applyBorder="0">
      <alignment horizontal="center" wrapText="1"/>
    </xf>
    <xf numFmtId="0" fontId="34" fillId="63" borderId="10" applyBorder="0">
      <alignment horizontal="center" wrapText="1"/>
    </xf>
    <xf numFmtId="0" fontId="38" fillId="47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33" fillId="66" borderId="10" applyBorder="0">
      <alignment horizontal="center" wrapText="1"/>
    </xf>
    <xf numFmtId="0" fontId="33" fillId="66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8" fillId="64" borderId="10" applyBorder="0">
      <alignment horizontal="center" wrapText="1"/>
    </xf>
    <xf numFmtId="0" fontId="12" fillId="65" borderId="10" applyBorder="0">
      <alignment horizontal="center" wrapText="1"/>
    </xf>
    <xf numFmtId="0" fontId="12" fillId="65" borderId="10" applyBorder="0">
      <alignment horizontal="center" wrapText="1"/>
    </xf>
    <xf numFmtId="0" fontId="103" fillId="0" borderId="0" applyNumberFormat="0" applyFill="0" applyBorder="0" applyAlignment="0" applyProtection="0"/>
    <xf numFmtId="0" fontId="121" fillId="0" borderId="38" applyNumberFormat="0" applyFill="0" applyAlignment="0" applyProtection="0"/>
    <xf numFmtId="0" fontId="20" fillId="0" borderId="39" applyNumberFormat="0" applyFill="0" applyAlignment="0" applyProtection="0"/>
    <xf numFmtId="0" fontId="9" fillId="0" borderId="40" applyNumberFormat="0" applyFill="0" applyAlignment="0" applyProtection="0"/>
    <xf numFmtId="0" fontId="122" fillId="0" borderId="41" applyNumberFormat="0" applyFill="0" applyAlignment="0" applyProtection="0"/>
    <xf numFmtId="0" fontId="122" fillId="0" borderId="41" applyNumberFormat="0" applyFill="0" applyAlignment="0" applyProtection="0"/>
    <xf numFmtId="0" fontId="122" fillId="0" borderId="41" applyNumberFormat="0" applyFill="0" applyAlignment="0" applyProtection="0"/>
    <xf numFmtId="0" fontId="123" fillId="23" borderId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" fontId="127" fillId="52" borderId="13"/>
    <xf numFmtId="1" fontId="127" fillId="53" borderId="13"/>
    <xf numFmtId="1" fontId="127" fillId="53" borderId="13"/>
    <xf numFmtId="2" fontId="128" fillId="53" borderId="13"/>
    <xf numFmtId="0" fontId="129" fillId="52" borderId="12" applyNumberFormat="0" applyAlignment="0"/>
    <xf numFmtId="0" fontId="129" fillId="52" borderId="12" applyNumberFormat="0" applyAlignment="0"/>
    <xf numFmtId="0" fontId="130" fillId="53" borderId="12" applyNumberFormat="0" applyAlignment="0"/>
    <xf numFmtId="1" fontId="131" fillId="53" borderId="13" applyNumberFormat="0"/>
    <xf numFmtId="177" fontId="132" fillId="53" borderId="13" applyNumberFormat="0"/>
    <xf numFmtId="0" fontId="9" fillId="0" borderId="0"/>
  </cellStyleXfs>
  <cellXfs count="7">
    <xf numFmtId="0" fontId="0" fillId="0" borderId="0" xfId="0"/>
    <xf numFmtId="0" fontId="7" fillId="17" borderId="4" xfId="0" applyFont="1" applyFill="1" applyBorder="1"/>
    <xf numFmtId="14" fontId="8" fillId="0" borderId="4" xfId="0" applyNumberFormat="1" applyFont="1" applyBorder="1"/>
    <xf numFmtId="14" fontId="0" fillId="0" borderId="0" xfId="0" applyNumberFormat="1"/>
    <xf numFmtId="164" fontId="0" fillId="0" borderId="0" xfId="1" applyNumberFormat="1" applyFont="1"/>
    <xf numFmtId="9" fontId="0" fillId="0" borderId="0" xfId="2" applyFont="1"/>
    <xf numFmtId="14" fontId="8" fillId="0" borderId="5" xfId="0" applyNumberFormat="1" applyFont="1" applyBorder="1"/>
  </cellXfs>
  <cellStyles count="1050">
    <cellStyle name="_Bonds" xfId="3"/>
    <cellStyle name="_Bonds 2" xfId="4"/>
    <cellStyle name="_Offering" xfId="5"/>
    <cellStyle name="_Offering 2" xfId="6"/>
    <cellStyle name="£ BP" xfId="7"/>
    <cellStyle name="¥ JY" xfId="8"/>
    <cellStyle name="20% - Accent1 2" xfId="9"/>
    <cellStyle name="20% - Accent1 2 2" xfId="10"/>
    <cellStyle name="20% - Accent1 2 3" xfId="11"/>
    <cellStyle name="20% - Accent1 3" xfId="12"/>
    <cellStyle name="20% - Accent1 3 2" xfId="13"/>
    <cellStyle name="20% - Accent1 3 3" xfId="14"/>
    <cellStyle name="20% - Accent1 4" xfId="15"/>
    <cellStyle name="20% - Accent1 4 2" xfId="16"/>
    <cellStyle name="20% - Accent1 4 2 2" xfId="17"/>
    <cellStyle name="20% - Accent1 4 3" xfId="18"/>
    <cellStyle name="20% - Accent1 4 3 2" xfId="19"/>
    <cellStyle name="20% - Accent1 4 4" xfId="20"/>
    <cellStyle name="20% - Accent1 4_Primary vs Secondary Spread Oct 3" xfId="21"/>
    <cellStyle name="20% - Accent1 5" xfId="22"/>
    <cellStyle name="20% - Accent2 2" xfId="23"/>
    <cellStyle name="20% - Accent2 3" xfId="24"/>
    <cellStyle name="20% - Accent2 4" xfId="25"/>
    <cellStyle name="20% - Accent2 4 2" xfId="26"/>
    <cellStyle name="20% - Accent2 4 2 2" xfId="27"/>
    <cellStyle name="20% - Accent2 4 3" xfId="28"/>
    <cellStyle name="20% - Accent2 4 3 2" xfId="29"/>
    <cellStyle name="20% - Accent2 4 4" xfId="30"/>
    <cellStyle name="20% - Accent2 4_Primary vs Secondary Spread Oct 3" xfId="31"/>
    <cellStyle name="20% - Accent2 5" xfId="32"/>
    <cellStyle name="20% - Accent3 2" xfId="33"/>
    <cellStyle name="20% - Accent3 3" xfId="34"/>
    <cellStyle name="20% - Accent3 4" xfId="35"/>
    <cellStyle name="20% - Accent3 4 2" xfId="36"/>
    <cellStyle name="20% - Accent3 4 2 2" xfId="37"/>
    <cellStyle name="20% - Accent3 4 3" xfId="38"/>
    <cellStyle name="20% - Accent3 4 3 2" xfId="39"/>
    <cellStyle name="20% - Accent3 4 4" xfId="40"/>
    <cellStyle name="20% - Accent3 4_Primary vs Secondary Spread Oct 3" xfId="41"/>
    <cellStyle name="20% - Accent3 5" xfId="42"/>
    <cellStyle name="20% - Accent4 2" xfId="43"/>
    <cellStyle name="20% - Accent4 3" xfId="44"/>
    <cellStyle name="20% - Accent4 4" xfId="45"/>
    <cellStyle name="20% - Accent4 4 2" xfId="46"/>
    <cellStyle name="20% - Accent4 4 2 2" xfId="47"/>
    <cellStyle name="20% - Accent4 4 3" xfId="48"/>
    <cellStyle name="20% - Accent4 4 3 2" xfId="49"/>
    <cellStyle name="20% - Accent4 4 4" xfId="50"/>
    <cellStyle name="20% - Accent4 4_Primary vs Secondary Spread Oct 3" xfId="51"/>
    <cellStyle name="20% - Accent4 5" xfId="52"/>
    <cellStyle name="20% - Accent5 2" xfId="53"/>
    <cellStyle name="20% - Accent5 3" xfId="54"/>
    <cellStyle name="20% - Accent5 4" xfId="55"/>
    <cellStyle name="20% - Accent5 4 2" xfId="56"/>
    <cellStyle name="20% - Accent5 4 2 2" xfId="57"/>
    <cellStyle name="20% - Accent5 4 3" xfId="58"/>
    <cellStyle name="20% - Accent5 4 3 2" xfId="59"/>
    <cellStyle name="20% - Accent5 4 4" xfId="60"/>
    <cellStyle name="20% - Accent5 4_Primary vs Secondary Spread Oct 3" xfId="61"/>
    <cellStyle name="20% - Accent5 5" xfId="62"/>
    <cellStyle name="20% - Accent6 2" xfId="63"/>
    <cellStyle name="20% - Accent6 3" xfId="64"/>
    <cellStyle name="20% - Accent6 4" xfId="65"/>
    <cellStyle name="20% - Accent6 4 2" xfId="66"/>
    <cellStyle name="20% - Accent6 4 2 2" xfId="67"/>
    <cellStyle name="20% - Accent6 4 3" xfId="68"/>
    <cellStyle name="20% - Accent6 4 3 2" xfId="69"/>
    <cellStyle name="20% - Accent6 4 4" xfId="70"/>
    <cellStyle name="20% - Accent6 4_Primary vs Secondary Spread Oct 3" xfId="71"/>
    <cellStyle name="20% - Accent6 5" xfId="72"/>
    <cellStyle name="40% - Accent1 2" xfId="73"/>
    <cellStyle name="40% - Accent1 3" xfId="74"/>
    <cellStyle name="40% - Accent1 4" xfId="75"/>
    <cellStyle name="40% - Accent1 4 2" xfId="76"/>
    <cellStyle name="40% - Accent1 4 2 2" xfId="77"/>
    <cellStyle name="40% - Accent1 4 3" xfId="78"/>
    <cellStyle name="40% - Accent1 4 3 2" xfId="79"/>
    <cellStyle name="40% - Accent1 4 4" xfId="80"/>
    <cellStyle name="40% - Accent1 4_Primary vs Secondary Spread Oct 3" xfId="81"/>
    <cellStyle name="40% - Accent1 5" xfId="82"/>
    <cellStyle name="40% - Accent2 2" xfId="83"/>
    <cellStyle name="40% - Accent2 3" xfId="84"/>
    <cellStyle name="40% - Accent2 4" xfId="85"/>
    <cellStyle name="40% - Accent2 4 2" xfId="86"/>
    <cellStyle name="40% - Accent2 4 2 2" xfId="87"/>
    <cellStyle name="40% - Accent2 4 3" xfId="88"/>
    <cellStyle name="40% - Accent2 4 3 2" xfId="89"/>
    <cellStyle name="40% - Accent2 4 4" xfId="90"/>
    <cellStyle name="40% - Accent2 4_Primary vs Secondary Spread Oct 3" xfId="91"/>
    <cellStyle name="40% - Accent2 5" xfId="92"/>
    <cellStyle name="40% - Accent3 2" xfId="93"/>
    <cellStyle name="40% - Accent3 3" xfId="94"/>
    <cellStyle name="40% - Accent3 4" xfId="95"/>
    <cellStyle name="40% - Accent3 4 2" xfId="96"/>
    <cellStyle name="40% - Accent3 4 2 2" xfId="97"/>
    <cellStyle name="40% - Accent3 4 3" xfId="98"/>
    <cellStyle name="40% - Accent3 4 3 2" xfId="99"/>
    <cellStyle name="40% - Accent3 4 4" xfId="100"/>
    <cellStyle name="40% - Accent3 4_Primary vs Secondary Spread Oct 3" xfId="101"/>
    <cellStyle name="40% - Accent3 5" xfId="102"/>
    <cellStyle name="40% - Accent4 2" xfId="103"/>
    <cellStyle name="40% - Accent4 3" xfId="104"/>
    <cellStyle name="40% - Accent4 4" xfId="105"/>
    <cellStyle name="40% - Accent4 4 2" xfId="106"/>
    <cellStyle name="40% - Accent4 4 2 2" xfId="107"/>
    <cellStyle name="40% - Accent4 4 3" xfId="108"/>
    <cellStyle name="40% - Accent4 4 3 2" xfId="109"/>
    <cellStyle name="40% - Accent4 4 4" xfId="110"/>
    <cellStyle name="40% - Accent4 4_Primary vs Secondary Spread Oct 3" xfId="111"/>
    <cellStyle name="40% - Accent4 5" xfId="112"/>
    <cellStyle name="40% - Accent5 2" xfId="113"/>
    <cellStyle name="40% - Accent5 3" xfId="114"/>
    <cellStyle name="40% - Accent5 4" xfId="115"/>
    <cellStyle name="40% - Accent5 4 2" xfId="116"/>
    <cellStyle name="40% - Accent5 4 2 2" xfId="117"/>
    <cellStyle name="40% - Accent5 4 3" xfId="118"/>
    <cellStyle name="40% - Accent5 4 3 2" xfId="119"/>
    <cellStyle name="40% - Accent5 4 4" xfId="120"/>
    <cellStyle name="40% - Accent5 4_Primary vs Secondary Spread Oct 3" xfId="121"/>
    <cellStyle name="40% - Accent5 5" xfId="122"/>
    <cellStyle name="40% - Accent6 2" xfId="123"/>
    <cellStyle name="40% - Accent6 3" xfId="124"/>
    <cellStyle name="40% - Accent6 4" xfId="125"/>
    <cellStyle name="40% - Accent6 4 2" xfId="126"/>
    <cellStyle name="40% - Accent6 4 2 2" xfId="127"/>
    <cellStyle name="40% - Accent6 4 3" xfId="128"/>
    <cellStyle name="40% - Accent6 4 3 2" xfId="129"/>
    <cellStyle name="40% - Accent6 4 4" xfId="130"/>
    <cellStyle name="40% - Accent6 4_Primary vs Secondary Spread Oct 3" xfId="131"/>
    <cellStyle name="40% - Accent6 5" xfId="132"/>
    <cellStyle name="60% - Accent1 2" xfId="133"/>
    <cellStyle name="60% - Accent1 3" xfId="134"/>
    <cellStyle name="60% - Accent1 4" xfId="135"/>
    <cellStyle name="60% - Accent2 2" xfId="136"/>
    <cellStyle name="60% - Accent2 3" xfId="137"/>
    <cellStyle name="60% - Accent2 4" xfId="138"/>
    <cellStyle name="60% - Accent3 2" xfId="139"/>
    <cellStyle name="60% - Accent3 3" xfId="140"/>
    <cellStyle name="60% - Accent3 4" xfId="141"/>
    <cellStyle name="60% - Accent4 2" xfId="142"/>
    <cellStyle name="60% - Accent4 3" xfId="143"/>
    <cellStyle name="60% - Accent4 4" xfId="144"/>
    <cellStyle name="60% - Accent5 2" xfId="145"/>
    <cellStyle name="60% - Accent5 3" xfId="146"/>
    <cellStyle name="60% - Accent5 4" xfId="147"/>
    <cellStyle name="60% - Accent6 2" xfId="148"/>
    <cellStyle name="60% - Accent6 3" xfId="149"/>
    <cellStyle name="60% - Accent6 4" xfId="150"/>
    <cellStyle name="Accent1 2" xfId="151"/>
    <cellStyle name="Accent1 3" xfId="152"/>
    <cellStyle name="Accent1 4" xfId="153"/>
    <cellStyle name="Accent2 2" xfId="154"/>
    <cellStyle name="Accent2 3" xfId="155"/>
    <cellStyle name="Accent2 4" xfId="156"/>
    <cellStyle name="Accent3 2" xfId="157"/>
    <cellStyle name="Accent3 3" xfId="158"/>
    <cellStyle name="Accent3 4" xfId="159"/>
    <cellStyle name="Accent4 2" xfId="160"/>
    <cellStyle name="Accent4 3" xfId="161"/>
    <cellStyle name="Accent4 4" xfId="162"/>
    <cellStyle name="Accent5 2" xfId="163"/>
    <cellStyle name="Accent5 3" xfId="164"/>
    <cellStyle name="Accent5 4" xfId="165"/>
    <cellStyle name="Accent6 2" xfId="166"/>
    <cellStyle name="Accent6 3" xfId="167"/>
    <cellStyle name="Accent6 4" xfId="168"/>
    <cellStyle name="Auto_OpenAuto_CloseExtractD_Sheet1" xfId="169"/>
    <cellStyle name="Axis.EffectiveDate" xfId="170"/>
    <cellStyle name="Axis.Seasoning" xfId="171"/>
    <cellStyle name="Bad 2" xfId="172"/>
    <cellStyle name="Bad 3" xfId="173"/>
    <cellStyle name="Bad 4" xfId="174"/>
    <cellStyle name="Big Money" xfId="175"/>
    <cellStyle name="Blue" xfId="176"/>
    <cellStyle name="blue axis cells" xfId="177"/>
    <cellStyle name="blue text cells" xfId="178"/>
    <cellStyle name="Body" xfId="179"/>
    <cellStyle name="Bold/Border" xfId="180"/>
    <cellStyle name="Border" xfId="181"/>
    <cellStyle name="Bullet" xfId="182"/>
    <cellStyle name="Calc Currency (0)" xfId="183"/>
    <cellStyle name="Calc Currency (0) 2" xfId="184"/>
    <cellStyle name="Calc Currency (2)" xfId="185"/>
    <cellStyle name="Calc Currency (2) 2" xfId="186"/>
    <cellStyle name="Calc Percent (0)" xfId="187"/>
    <cellStyle name="Calc Percent (0) 2" xfId="188"/>
    <cellStyle name="Calc Percent (1)" xfId="189"/>
    <cellStyle name="Calc Percent (1) 2" xfId="190"/>
    <cellStyle name="Calc Percent (2)" xfId="191"/>
    <cellStyle name="Calc Percent (2) 2" xfId="192"/>
    <cellStyle name="Calc Units (0)" xfId="193"/>
    <cellStyle name="Calc Units (0) 2" xfId="194"/>
    <cellStyle name="Calc Units (1)" xfId="195"/>
    <cellStyle name="Calc Units (1) 2" xfId="196"/>
    <cellStyle name="Calc Units (2)" xfId="197"/>
    <cellStyle name="Calc Units (2) 2" xfId="198"/>
    <cellStyle name="Calculation 2" xfId="199"/>
    <cellStyle name="Calculation 3" xfId="200"/>
    <cellStyle name="Calculation 4" xfId="201"/>
    <cellStyle name="Calculation 5" xfId="202"/>
    <cellStyle name="Calculation 6" xfId="203"/>
    <cellStyle name="CCM Input" xfId="204"/>
    <cellStyle name="CCM Title Calculations" xfId="205"/>
    <cellStyle name="CCM Title Indicative" xfId="206"/>
    <cellStyle name="Cello Calculation" xfId="207"/>
    <cellStyle name="Cello Calculation 2" xfId="208"/>
    <cellStyle name="Cello Calculation 2 2" xfId="209"/>
    <cellStyle name="Cello Calculation 2 3" xfId="210"/>
    <cellStyle name="Cello Calculation 2_Primary vs Secondary Spread Oct 3" xfId="211"/>
    <cellStyle name="Cello Calculation 3" xfId="212"/>
    <cellStyle name="Cello Calculation 4" xfId="213"/>
    <cellStyle name="Cello Calculation_Primary vs Secondary Spread Oct 3" xfId="214"/>
    <cellStyle name="Cello Input" xfId="215"/>
    <cellStyle name="Cello Input 2" xfId="216"/>
    <cellStyle name="Cello Input 2 2" xfId="217"/>
    <cellStyle name="Cello Input 2 3" xfId="218"/>
    <cellStyle name="Cello Input 2 4" xfId="219"/>
    <cellStyle name="Cello Input 2 5" xfId="220"/>
    <cellStyle name="Cello Input 2_Primary vs Secondary Spread Oct 3" xfId="221"/>
    <cellStyle name="Cello Input 3" xfId="222"/>
    <cellStyle name="Cello Input 4" xfId="223"/>
    <cellStyle name="Cello Linked Cell" xfId="224"/>
    <cellStyle name="Cello Linked Cell 2" xfId="225"/>
    <cellStyle name="Cello Linked Cell 2 2" xfId="226"/>
    <cellStyle name="Cello Linked Cell 3" xfId="227"/>
    <cellStyle name="Check Cell 2" xfId="228"/>
    <cellStyle name="Check Cell 3" xfId="229"/>
    <cellStyle name="Check Cell 4" xfId="230"/>
    <cellStyle name="Co. Names" xfId="231"/>
    <cellStyle name="Comma" xfId="1" builtinId="3"/>
    <cellStyle name="Comma  - Style1" xfId="232"/>
    <cellStyle name="Comma  - Style1 2" xfId="233"/>
    <cellStyle name="Comma  - Style2" xfId="234"/>
    <cellStyle name="Comma  - Style2 2" xfId="235"/>
    <cellStyle name="Comma  - Style3" xfId="236"/>
    <cellStyle name="Comma  - Style3 2" xfId="237"/>
    <cellStyle name="Comma  - Style4" xfId="238"/>
    <cellStyle name="Comma  - Style4 2" xfId="239"/>
    <cellStyle name="Comma  - Style5" xfId="240"/>
    <cellStyle name="Comma  - Style5 2" xfId="241"/>
    <cellStyle name="Comma  - Style6" xfId="242"/>
    <cellStyle name="Comma  - Style6 2" xfId="243"/>
    <cellStyle name="Comma  - Style7" xfId="244"/>
    <cellStyle name="Comma  - Style7 2" xfId="245"/>
    <cellStyle name="Comma  - Style8" xfId="246"/>
    <cellStyle name="Comma  - Style8 2" xfId="247"/>
    <cellStyle name="Comma [00]" xfId="248"/>
    <cellStyle name="Comma [00] 2" xfId="249"/>
    <cellStyle name="Comma 10" xfId="250"/>
    <cellStyle name="Comma 11" xfId="251"/>
    <cellStyle name="Comma 12" xfId="252"/>
    <cellStyle name="Comma 13" xfId="253"/>
    <cellStyle name="Comma 14" xfId="254"/>
    <cellStyle name="Comma 15" xfId="255"/>
    <cellStyle name="Comma 16" xfId="256"/>
    <cellStyle name="Comma 16 2" xfId="257"/>
    <cellStyle name="Comma 17" xfId="258"/>
    <cellStyle name="Comma 18" xfId="259"/>
    <cellStyle name="Comma 19" xfId="260"/>
    <cellStyle name="Comma 2" xfId="261"/>
    <cellStyle name="Comma 20" xfId="262"/>
    <cellStyle name="Comma 21" xfId="263"/>
    <cellStyle name="Comma 22" xfId="264"/>
    <cellStyle name="Comma 23" xfId="265"/>
    <cellStyle name="Comma 24" xfId="266"/>
    <cellStyle name="Comma 25" xfId="267"/>
    <cellStyle name="Comma 26" xfId="268"/>
    <cellStyle name="Comma 27" xfId="269"/>
    <cellStyle name="Comma 28" xfId="270"/>
    <cellStyle name="Comma 29" xfId="271"/>
    <cellStyle name="Comma 29 2" xfId="272"/>
    <cellStyle name="Comma 29 2 2" xfId="273"/>
    <cellStyle name="Comma 29 3" xfId="274"/>
    <cellStyle name="Comma 29 3 2" xfId="275"/>
    <cellStyle name="Comma 29 4" xfId="276"/>
    <cellStyle name="Comma 29 5" xfId="277"/>
    <cellStyle name="Comma 3" xfId="278"/>
    <cellStyle name="Comma 30" xfId="279"/>
    <cellStyle name="Comma 31" xfId="280"/>
    <cellStyle name="Comma 32" xfId="281"/>
    <cellStyle name="Comma 33" xfId="282"/>
    <cellStyle name="Comma 34" xfId="283"/>
    <cellStyle name="Comma 35" xfId="284"/>
    <cellStyle name="Comma 4" xfId="285"/>
    <cellStyle name="Comma 4 2" xfId="286"/>
    <cellStyle name="Comma 5" xfId="287"/>
    <cellStyle name="Comma 6" xfId="288"/>
    <cellStyle name="Comma 7" xfId="289"/>
    <cellStyle name="Comma 8" xfId="290"/>
    <cellStyle name="Comma 9" xfId="291"/>
    <cellStyle name="Comma0" xfId="292"/>
    <cellStyle name="Comma1 - Style1" xfId="293"/>
    <cellStyle name="Copied" xfId="294"/>
    <cellStyle name="CTDSwitchAnalysisHeader" xfId="295"/>
    <cellStyle name="Curren - Style2" xfId="296"/>
    <cellStyle name="Currency [00]" xfId="297"/>
    <cellStyle name="Currency [00] 2" xfId="298"/>
    <cellStyle name="Currency [2]" xfId="299"/>
    <cellStyle name="Currency 10" xfId="300"/>
    <cellStyle name="Currency 11" xfId="301"/>
    <cellStyle name="Currency 12" xfId="302"/>
    <cellStyle name="Currency 13" xfId="303"/>
    <cellStyle name="Currency 14" xfId="304"/>
    <cellStyle name="Currency 15" xfId="305"/>
    <cellStyle name="Currency 16" xfId="306"/>
    <cellStyle name="Currency 17" xfId="307"/>
    <cellStyle name="Currency 18" xfId="308"/>
    <cellStyle name="Currency 19" xfId="309"/>
    <cellStyle name="Currency 2" xfId="310"/>
    <cellStyle name="Currency 20" xfId="311"/>
    <cellStyle name="Currency 21" xfId="312"/>
    <cellStyle name="Currency 3" xfId="313"/>
    <cellStyle name="Currency 4" xfId="314"/>
    <cellStyle name="Currency 5" xfId="315"/>
    <cellStyle name="Currency 6" xfId="316"/>
    <cellStyle name="Currency 7" xfId="317"/>
    <cellStyle name="Currency 8" xfId="318"/>
    <cellStyle name="Currency 9" xfId="319"/>
    <cellStyle name="Currency0" xfId="320"/>
    <cellStyle name="Dash" xfId="321"/>
    <cellStyle name="Data.LongPercent" xfId="322"/>
    <cellStyle name="Data.NumPercent" xfId="323"/>
    <cellStyle name="Data.NumShortPercent" xfId="324"/>
    <cellStyle name="date" xfId="325"/>
    <cellStyle name="Date - Style3" xfId="326"/>
    <cellStyle name="Date 2" xfId="327"/>
    <cellStyle name="Date 3" xfId="328"/>
    <cellStyle name="Date 4" xfId="329"/>
    <cellStyle name="Date 5" xfId="330"/>
    <cellStyle name="Date 6" xfId="331"/>
    <cellStyle name="Date 7" xfId="332"/>
    <cellStyle name="Date Short" xfId="333"/>
    <cellStyle name="date title" xfId="334"/>
    <cellStyle name="Date_DV01" xfId="335"/>
    <cellStyle name="DateFormat" xfId="336"/>
    <cellStyle name="DBAHandle" xfId="337"/>
    <cellStyle name="DBAParameter" xfId="338"/>
    <cellStyle name="DELTA" xfId="339"/>
    <cellStyle name="DS 0" xfId="340"/>
    <cellStyle name="DS 1" xfId="341"/>
    <cellStyle name="DS 2" xfId="342"/>
    <cellStyle name="DS 3" xfId="343"/>
    <cellStyle name="DS 4" xfId="344"/>
    <cellStyle name="DS 5" xfId="345"/>
    <cellStyle name="DS 5 2" xfId="346"/>
    <cellStyle name="DS 6" xfId="347"/>
    <cellStyle name="Enter Currency (0)" xfId="348"/>
    <cellStyle name="Enter Currency (0) 2" xfId="349"/>
    <cellStyle name="Enter Currency (2)" xfId="350"/>
    <cellStyle name="Enter Currency (2) 2" xfId="351"/>
    <cellStyle name="Enter Units (0)" xfId="352"/>
    <cellStyle name="Enter Units (0) 2" xfId="353"/>
    <cellStyle name="Enter Units (1)" xfId="354"/>
    <cellStyle name="Enter Units (1) 2" xfId="355"/>
    <cellStyle name="Enter Units (2)" xfId="356"/>
    <cellStyle name="Enter Units (2) 2" xfId="357"/>
    <cellStyle name="Entered" xfId="358"/>
    <cellStyle name="Entries" xfId="359"/>
    <cellStyle name="Euro" xfId="360"/>
    <cellStyle name="Explanatory Text 2" xfId="361"/>
    <cellStyle name="Explanatory Text 3" xfId="362"/>
    <cellStyle name="Explanatory Text 4" xfId="363"/>
    <cellStyle name="Fixed" xfId="364"/>
    <cellStyle name="FullTime" xfId="365"/>
    <cellStyle name="General" xfId="366"/>
    <cellStyle name="Good 2" xfId="367"/>
    <cellStyle name="Good 3" xfId="368"/>
    <cellStyle name="Good 4" xfId="369"/>
    <cellStyle name="gray text cells" xfId="370"/>
    <cellStyle name="Grey" xfId="371"/>
    <cellStyle name="Header1" xfId="372"/>
    <cellStyle name="Header2" xfId="373"/>
    <cellStyle name="Heading" xfId="374"/>
    <cellStyle name="Heading 1 2" xfId="375"/>
    <cellStyle name="Heading 1 2 2" xfId="376"/>
    <cellStyle name="Heading 1 3" xfId="377"/>
    <cellStyle name="Heading 1 4" xfId="378"/>
    <cellStyle name="Heading 1 5" xfId="379"/>
    <cellStyle name="Heading 2 2" xfId="380"/>
    <cellStyle name="Heading 2 2 2" xfId="381"/>
    <cellStyle name="Heading 2 3" xfId="382"/>
    <cellStyle name="Heading 2 4" xfId="383"/>
    <cellStyle name="Heading 2 5" xfId="384"/>
    <cellStyle name="Heading 3 2" xfId="385"/>
    <cellStyle name="Heading 3 3" xfId="386"/>
    <cellStyle name="Heading 3 4" xfId="387"/>
    <cellStyle name="Heading 4 2" xfId="388"/>
    <cellStyle name="Heading 4 3" xfId="389"/>
    <cellStyle name="Heading 4 4" xfId="390"/>
    <cellStyle name="Heading 5" xfId="391"/>
    <cellStyle name="HEADING1" xfId="392"/>
    <cellStyle name="HEADING2" xfId="393"/>
    <cellStyle name="Hyperlink 2" xfId="394"/>
    <cellStyle name="Hyperlink 3" xfId="395"/>
    <cellStyle name="Input [yellow]" xfId="396"/>
    <cellStyle name="Input 10" xfId="397"/>
    <cellStyle name="Input 11" xfId="398"/>
    <cellStyle name="Input 12" xfId="399"/>
    <cellStyle name="Input 13" xfId="400"/>
    <cellStyle name="Input 14" xfId="401"/>
    <cellStyle name="Input 15" xfId="402"/>
    <cellStyle name="Input 2" xfId="403"/>
    <cellStyle name="Input 2 2" xfId="404"/>
    <cellStyle name="Input 2 3" xfId="405"/>
    <cellStyle name="Input 3" xfId="406"/>
    <cellStyle name="Input 4" xfId="407"/>
    <cellStyle name="Input 5" xfId="408"/>
    <cellStyle name="Input 6" xfId="409"/>
    <cellStyle name="Input 7" xfId="410"/>
    <cellStyle name="Input 8" xfId="411"/>
    <cellStyle name="Input 9" xfId="412"/>
    <cellStyle name="Item" xfId="413"/>
    <cellStyle name="Link Currency (0)" xfId="414"/>
    <cellStyle name="Link Currency (0) 2" xfId="415"/>
    <cellStyle name="Link Currency (2)" xfId="416"/>
    <cellStyle name="Link Currency (2) 2" xfId="417"/>
    <cellStyle name="Link Units (0)" xfId="418"/>
    <cellStyle name="Link Units (0) 2" xfId="419"/>
    <cellStyle name="Link Units (1)" xfId="420"/>
    <cellStyle name="Link Units (1) 2" xfId="421"/>
    <cellStyle name="Link Units (2)" xfId="422"/>
    <cellStyle name="Link Units (2) 2" xfId="423"/>
    <cellStyle name="Linked Cell 2" xfId="424"/>
    <cellStyle name="Linked Cell 3" xfId="425"/>
    <cellStyle name="Linked Cell 4" xfId="426"/>
    <cellStyle name="Lookup" xfId="427"/>
    <cellStyle name="Milliers [0]_Basis" xfId="428"/>
    <cellStyle name="Milliers_Basis" xfId="429"/>
    <cellStyle name="Monétaire [0]_Basis" xfId="430"/>
    <cellStyle name="Monétaire_Basis" xfId="431"/>
    <cellStyle name="Money" xfId="432"/>
    <cellStyle name="Neutral 2" xfId="433"/>
    <cellStyle name="Neutral 3" xfId="434"/>
    <cellStyle name="Neutral 4" xfId="435"/>
    <cellStyle name="no dec" xfId="436"/>
    <cellStyle name="NoChange" xfId="437"/>
    <cellStyle name="Non Zero" xfId="438"/>
    <cellStyle name="Normal" xfId="0" builtinId="0"/>
    <cellStyle name="Normal - Style1" xfId="439"/>
    <cellStyle name="Normal 10" xfId="440"/>
    <cellStyle name="Normal 10 2" xfId="441"/>
    <cellStyle name="Normal 107" xfId="442"/>
    <cellStyle name="Normal 11" xfId="443"/>
    <cellStyle name="Normal 11 2" xfId="444"/>
    <cellStyle name="Normal 12" xfId="445"/>
    <cellStyle name="Normal 13" xfId="446"/>
    <cellStyle name="Normal 14" xfId="447"/>
    <cellStyle name="Normal 15" xfId="448"/>
    <cellStyle name="Normal 16" xfId="449"/>
    <cellStyle name="Normal 17" xfId="450"/>
    <cellStyle name="Normal 18" xfId="451"/>
    <cellStyle name="Normal 19" xfId="452"/>
    <cellStyle name="Normal 2" xfId="453"/>
    <cellStyle name="Normal 2 2" xfId="454"/>
    <cellStyle name="Normal 2 2 2" xfId="455"/>
    <cellStyle name="Normal 2 2 3" xfId="456"/>
    <cellStyle name="Normal 2 2_Primary vs Secondary Spread Oct 3" xfId="457"/>
    <cellStyle name="Normal 2 3" xfId="458"/>
    <cellStyle name="Normal 2 3 2" xfId="459"/>
    <cellStyle name="Normal 2 3 2 2" xfId="460"/>
    <cellStyle name="Normal 2 3 3" xfId="461"/>
    <cellStyle name="Normal 2 3_Primary vs Secondary Spread Oct 3" xfId="462"/>
    <cellStyle name="Normal 2 4" xfId="463"/>
    <cellStyle name="Normal 2 4 2" xfId="464"/>
    <cellStyle name="Normal 2 4 2 2" xfId="465"/>
    <cellStyle name="Normal 2 4 3" xfId="466"/>
    <cellStyle name="Normal 2 4_Primary vs Secondary Spread Oct 3" xfId="467"/>
    <cellStyle name="Normal 2 5" xfId="468"/>
    <cellStyle name="Normal 2 5 2" xfId="469"/>
    <cellStyle name="Normal 2 6" xfId="470"/>
    <cellStyle name="Normal 2 7" xfId="471"/>
    <cellStyle name="Normal 2_Primary vs Secondary Spread Oct 3" xfId="472"/>
    <cellStyle name="Normal 20" xfId="473"/>
    <cellStyle name="Normal 21" xfId="474"/>
    <cellStyle name="Normal 22" xfId="475"/>
    <cellStyle name="Normal 23" xfId="476"/>
    <cellStyle name="Normal 24" xfId="477"/>
    <cellStyle name="Normal 25" xfId="478"/>
    <cellStyle name="Normal 26" xfId="479"/>
    <cellStyle name="Normal 27" xfId="480"/>
    <cellStyle name="Normal 28" xfId="481"/>
    <cellStyle name="Normal 28 2" xfId="482"/>
    <cellStyle name="Normal 29" xfId="483"/>
    <cellStyle name="Normal 3" xfId="484"/>
    <cellStyle name="Normal 3 2" xfId="485"/>
    <cellStyle name="Normal 3 3" xfId="486"/>
    <cellStyle name="Normal 3_Primary vs Secondary Spread Oct 3" xfId="487"/>
    <cellStyle name="Normal 30" xfId="488"/>
    <cellStyle name="Normal 31" xfId="489"/>
    <cellStyle name="Normal 32" xfId="490"/>
    <cellStyle name="Normal 33" xfId="491"/>
    <cellStyle name="Normal 34" xfId="492"/>
    <cellStyle name="Normal 35" xfId="493"/>
    <cellStyle name="Normal 36" xfId="494"/>
    <cellStyle name="Normal 37" xfId="495"/>
    <cellStyle name="Normal 38" xfId="496"/>
    <cellStyle name="Normal 38 2" xfId="497"/>
    <cellStyle name="Normal 38 2 2" xfId="498"/>
    <cellStyle name="Normal 38 3" xfId="499"/>
    <cellStyle name="Normal 38_Primary vs Secondary Spread Oct 3" xfId="500"/>
    <cellStyle name="Normal 39" xfId="501"/>
    <cellStyle name="Normal 4" xfId="502"/>
    <cellStyle name="Normal 4 2" xfId="503"/>
    <cellStyle name="Normal 4 3" xfId="504"/>
    <cellStyle name="Normal 4 4" xfId="505"/>
    <cellStyle name="Normal 4_Primary vs Secondary Spread Oct 3" xfId="506"/>
    <cellStyle name="Normal 40" xfId="507"/>
    <cellStyle name="Normal 41" xfId="508"/>
    <cellStyle name="Normal 42" xfId="509"/>
    <cellStyle name="Normal 42 2" xfId="510"/>
    <cellStyle name="Normal 43" xfId="511"/>
    <cellStyle name="Normal 44" xfId="512"/>
    <cellStyle name="Normal 45" xfId="513"/>
    <cellStyle name="Normal 46" xfId="514"/>
    <cellStyle name="Normal 47" xfId="515"/>
    <cellStyle name="Normal 48" xfId="516"/>
    <cellStyle name="Normal 49" xfId="517"/>
    <cellStyle name="Normal 5" xfId="518"/>
    <cellStyle name="Normal 5 2" xfId="519"/>
    <cellStyle name="Normal 5 2 2" xfId="520"/>
    <cellStyle name="Normal 5 3" xfId="521"/>
    <cellStyle name="Normal 5 3 2" xfId="522"/>
    <cellStyle name="Normal 5 4" xfId="523"/>
    <cellStyle name="Normal 5_Primary vs Secondary Spread Oct 3" xfId="524"/>
    <cellStyle name="Normal 50" xfId="525"/>
    <cellStyle name="Normal 51" xfId="526"/>
    <cellStyle name="Normal 52" xfId="527"/>
    <cellStyle name="Normal 53" xfId="528"/>
    <cellStyle name="Normal 6" xfId="529"/>
    <cellStyle name="Normal 6 2" xfId="530"/>
    <cellStyle name="Normal 7" xfId="531"/>
    <cellStyle name="Normal 7 2" xfId="532"/>
    <cellStyle name="Normal 8" xfId="533"/>
    <cellStyle name="Normal 88" xfId="534"/>
    <cellStyle name="Normal 9" xfId="535"/>
    <cellStyle name="Normal 9 2" xfId="536"/>
    <cellStyle name="Note 2" xfId="537"/>
    <cellStyle name="Note 2 2" xfId="538"/>
    <cellStyle name="Note 2 3" xfId="539"/>
    <cellStyle name="Note 2 4" xfId="540"/>
    <cellStyle name="Note 3" xfId="541"/>
    <cellStyle name="Note 4" xfId="542"/>
    <cellStyle name="Note 4 2" xfId="543"/>
    <cellStyle name="Note 4 2 2" xfId="544"/>
    <cellStyle name="Note 4 3" xfId="545"/>
    <cellStyle name="Note 4 3 2" xfId="546"/>
    <cellStyle name="Note 4 4" xfId="547"/>
    <cellStyle name="Note 5" xfId="548"/>
    <cellStyle name="Note 5 2" xfId="549"/>
    <cellStyle name="Note 5 2 2" xfId="550"/>
    <cellStyle name="Note 5 3" xfId="551"/>
    <cellStyle name="Note 5 3 2" xfId="552"/>
    <cellStyle name="Note 5 4" xfId="553"/>
    <cellStyle name="Note 6" xfId="554"/>
    <cellStyle name="Note 6 2" xfId="555"/>
    <cellStyle name="Note 6 2 2" xfId="556"/>
    <cellStyle name="Note 6 3" xfId="557"/>
    <cellStyle name="Note 6 3 2" xfId="558"/>
    <cellStyle name="Note 6 4" xfId="559"/>
    <cellStyle name="Note 6 5" xfId="560"/>
    <cellStyle name="Note 7" xfId="561"/>
    <cellStyle name="Note 7 2" xfId="562"/>
    <cellStyle name="Note 7 2 2" xfId="563"/>
    <cellStyle name="Note 7 3" xfId="564"/>
    <cellStyle name="Note 7 3 2" xfId="565"/>
    <cellStyle name="Note 7 4" xfId="566"/>
    <cellStyle name="Note 7 5" xfId="567"/>
    <cellStyle name="Note 8" xfId="568"/>
    <cellStyle name="Note 9" xfId="569"/>
    <cellStyle name="NumberAsPercent" xfId="570"/>
    <cellStyle name="NumberFormat" xfId="571"/>
    <cellStyle name="Numbers" xfId="572"/>
    <cellStyle name="Numbers - Bold" xfId="573"/>
    <cellStyle name="Numbers_increm pf" xfId="574"/>
    <cellStyle name="NumberTo1DecPlace" xfId="575"/>
    <cellStyle name="OffWhite" xfId="576"/>
    <cellStyle name="OffWhite 2" xfId="577"/>
    <cellStyle name="OffWhite 2 2" xfId="578"/>
    <cellStyle name="OffWhite 3" xfId="579"/>
    <cellStyle name="OffWhite 3 2" xfId="580"/>
    <cellStyle name="OffWhite 4" xfId="581"/>
    <cellStyle name="Option" xfId="582"/>
    <cellStyle name="orange text cell" xfId="583"/>
    <cellStyle name="Output 2" xfId="584"/>
    <cellStyle name="Output 3" xfId="585"/>
    <cellStyle name="Output 4" xfId="586"/>
    <cellStyle name="Output 5" xfId="587"/>
    <cellStyle name="Output Amounts" xfId="588"/>
    <cellStyle name="Output Column Headings" xfId="589"/>
    <cellStyle name="Output Line Items" xfId="590"/>
    <cellStyle name="Output Report Heading" xfId="591"/>
    <cellStyle name="Output Report Title" xfId="592"/>
    <cellStyle name="Pageheading" xfId="593"/>
    <cellStyle name="Percent" xfId="2" builtinId="5"/>
    <cellStyle name="Percent [0]" xfId="594"/>
    <cellStyle name="Percent [0] 2" xfId="595"/>
    <cellStyle name="Percent [00]" xfId="596"/>
    <cellStyle name="Percent [00] 2" xfId="597"/>
    <cellStyle name="Percent [2]" xfId="598"/>
    <cellStyle name="Percent 2" xfId="599"/>
    <cellStyle name="Percent 2 2" xfId="600"/>
    <cellStyle name="Percent 2 2 2" xfId="601"/>
    <cellStyle name="Percent 2 3" xfId="602"/>
    <cellStyle name="Percent 2 3 2" xfId="603"/>
    <cellStyle name="Percent 2 4" xfId="604"/>
    <cellStyle name="Percent 2 5" xfId="605"/>
    <cellStyle name="Percent 3" xfId="606"/>
    <cellStyle name="Percent 3 2" xfId="607"/>
    <cellStyle name="Percent 3 2 2" xfId="608"/>
    <cellStyle name="Percent 3 3" xfId="609"/>
    <cellStyle name="Percent 3 3 2" xfId="610"/>
    <cellStyle name="Percent 3 4" xfId="611"/>
    <cellStyle name="Percent 4" xfId="612"/>
    <cellStyle name="Percent 4 2" xfId="613"/>
    <cellStyle name="Percent 4 2 2" xfId="614"/>
    <cellStyle name="Percent 4 3" xfId="615"/>
    <cellStyle name="Percent 4 3 2" xfId="616"/>
    <cellStyle name="Percent 4 4" xfId="617"/>
    <cellStyle name="Percent 5" xfId="618"/>
    <cellStyle name="Percent 5 2" xfId="619"/>
    <cellStyle name="Percent 5 2 2" xfId="620"/>
    <cellStyle name="Percent 5 3" xfId="621"/>
    <cellStyle name="Percent 5 3 2" xfId="622"/>
    <cellStyle name="Percent 5 4" xfId="623"/>
    <cellStyle name="Percentage" xfId="624"/>
    <cellStyle name="PrePop Currency (0)" xfId="625"/>
    <cellStyle name="PrePop Currency (0) 2" xfId="626"/>
    <cellStyle name="PrePop Currency (2)" xfId="627"/>
    <cellStyle name="PrePop Currency (2) 2" xfId="628"/>
    <cellStyle name="PrePop Units (0)" xfId="629"/>
    <cellStyle name="PrePop Units (0) 2" xfId="630"/>
    <cellStyle name="PrePop Units (1)" xfId="631"/>
    <cellStyle name="PrePop Units (1) 2" xfId="632"/>
    <cellStyle name="PrePop Units (2)" xfId="633"/>
    <cellStyle name="PrePop Units (2) 2" xfId="634"/>
    <cellStyle name="PriceTo3DecPlaces" xfId="635"/>
    <cellStyle name="PriceWithBorderAround" xfId="636"/>
    <cellStyle name="PRICING" xfId="637"/>
    <cellStyle name="Product Header" xfId="638"/>
    <cellStyle name="PSChar" xfId="639"/>
    <cellStyle name="PSHeading" xfId="640"/>
    <cellStyle name="r" xfId="641"/>
    <cellStyle name="r_pldt" xfId="642"/>
    <cellStyle name="ReportLeftHeader" xfId="643"/>
    <cellStyle name="ReportRightHeader" xfId="644"/>
    <cellStyle name="results" xfId="645"/>
    <cellStyle name="RevList" xfId="646"/>
    <cellStyle name="RVRQueryHandle" xfId="647"/>
    <cellStyle name="Section" xfId="648"/>
    <cellStyle name="SecuritiesPricingTable" xfId="649"/>
    <cellStyle name="SecuritiesPricingTableFinalData" xfId="650"/>
    <cellStyle name="SecuritiesPricingTableManualData" xfId="651"/>
    <cellStyle name="SecuritiesPricingTableText" xfId="652"/>
    <cellStyle name="Short $" xfId="653"/>
    <cellStyle name="Short $ 2" xfId="654"/>
    <cellStyle name="SIZE" xfId="655"/>
    <cellStyle name="Standard_Swaps-Bonds-Blending" xfId="656"/>
    <cellStyle name="Style 1" xfId="657"/>
    <cellStyle name="StyleSecuritiesPricingTableInteger" xfId="658"/>
    <cellStyle name="Subheading" xfId="659"/>
    <cellStyle name="subtitle" xfId="660"/>
    <cellStyle name="Subtotal" xfId="661"/>
    <cellStyle name="Table" xfId="662"/>
    <cellStyle name="Tablebody" xfId="663"/>
    <cellStyle name="TablebodyDate" xfId="664"/>
    <cellStyle name="TablebodyHeading" xfId="665"/>
    <cellStyle name="TablebodyOutstandingAmount" xfId="666"/>
    <cellStyle name="TablebodyPercent" xfId="667"/>
    <cellStyle name="TablebodyPrice" xfId="668"/>
    <cellStyle name="TablebodyReverse" xfId="669"/>
    <cellStyle name="TablebodySpread" xfId="670"/>
    <cellStyle name="TablebodySpreadBorder" xfId="671"/>
    <cellStyle name="TablebodyText" xfId="672"/>
    <cellStyle name="Tableheading" xfId="673"/>
    <cellStyle name="Text" xfId="674"/>
    <cellStyle name="Text 2" xfId="675"/>
    <cellStyle name="Text Indent A" xfId="676"/>
    <cellStyle name="Text Indent B" xfId="677"/>
    <cellStyle name="Text Indent B 2" xfId="678"/>
    <cellStyle name="Text Indent C" xfId="679"/>
    <cellStyle name="Text Indent C 2" xfId="680"/>
    <cellStyle name="TextStyle" xfId="681"/>
    <cellStyle name="tic display" xfId="682"/>
    <cellStyle name="tic input" xfId="683"/>
    <cellStyle name="Title - Underline" xfId="684"/>
    <cellStyle name="Title 2" xfId="685"/>
    <cellStyle name="Title 3" xfId="686"/>
    <cellStyle name="Title 4" xfId="687"/>
    <cellStyle name="Title 5" xfId="688"/>
    <cellStyle name="Title 6" xfId="689"/>
    <cellStyle name="Title 7" xfId="690"/>
    <cellStyle name="Title Calculations" xfId="691"/>
    <cellStyle name="Title Calculations 2" xfId="692"/>
    <cellStyle name="Title Calculations 2 2" xfId="693"/>
    <cellStyle name="Title Calculations_Primary vs Secondary Spread Oct 3" xfId="694"/>
    <cellStyle name="Title Indicative" xfId="695"/>
    <cellStyle name="Title Indicative 2" xfId="696"/>
    <cellStyle name="Title Indicative 2 2" xfId="697"/>
    <cellStyle name="Title Indicative_Primary vs Secondary Spread Oct 3" xfId="698"/>
    <cellStyle name="Title Pricing Assumptions" xfId="699"/>
    <cellStyle name="Title Pricing Assumptions 10" xfId="700"/>
    <cellStyle name="Title Pricing Assumptions 10 2" xfId="701"/>
    <cellStyle name="Title Pricing Assumptions 10 2 2" xfId="702"/>
    <cellStyle name="Title Pricing Assumptions 10 2_Primary vs Secondary Spread Oct 3" xfId="703"/>
    <cellStyle name="Title Pricing Assumptions 10 3" xfId="704"/>
    <cellStyle name="Title Pricing Assumptions 10 4" xfId="705"/>
    <cellStyle name="Title Pricing Assumptions 10 5" xfId="706"/>
    <cellStyle name="Title Pricing Assumptions 10_Primary vs Secondary Spread Oct 3" xfId="707"/>
    <cellStyle name="Title Pricing Assumptions 11" xfId="708"/>
    <cellStyle name="Title Pricing Assumptions 11 2" xfId="709"/>
    <cellStyle name="Title Pricing Assumptions 11_Primary vs Secondary Spread Oct 3" xfId="710"/>
    <cellStyle name="Title Pricing Assumptions 12" xfId="711"/>
    <cellStyle name="Title Pricing Assumptions 12 2" xfId="712"/>
    <cellStyle name="Title Pricing Assumptions 12_Primary vs Secondary Spread Oct 3" xfId="713"/>
    <cellStyle name="Title Pricing Assumptions 13" xfId="714"/>
    <cellStyle name="Title Pricing Assumptions 14" xfId="715"/>
    <cellStyle name="Title Pricing Assumptions 15" xfId="716"/>
    <cellStyle name="Title Pricing Assumptions 2" xfId="717"/>
    <cellStyle name="Title Pricing Assumptions 2 2" xfId="718"/>
    <cellStyle name="Title Pricing Assumptions 2 3" xfId="719"/>
    <cellStyle name="Title Pricing Assumptions 3" xfId="720"/>
    <cellStyle name="Title Pricing Assumptions 3 10" xfId="721"/>
    <cellStyle name="Title Pricing Assumptions 3 10 2" xfId="722"/>
    <cellStyle name="Title Pricing Assumptions 3 10_Primary vs Secondary Spread Oct 3" xfId="723"/>
    <cellStyle name="Title Pricing Assumptions 3 11" xfId="724"/>
    <cellStyle name="Title Pricing Assumptions 3 12" xfId="725"/>
    <cellStyle name="Title Pricing Assumptions 3 12 8" xfId="726"/>
    <cellStyle name="Title Pricing Assumptions 3 2" xfId="727"/>
    <cellStyle name="Title Pricing Assumptions 3 2 2" xfId="728"/>
    <cellStyle name="Title Pricing Assumptions 3 2 2 2" xfId="729"/>
    <cellStyle name="Title Pricing Assumptions 3 2 2 2 2" xfId="730"/>
    <cellStyle name="Title Pricing Assumptions 3 2 2 2_Primary vs Secondary Spread Oct 3" xfId="731"/>
    <cellStyle name="Title Pricing Assumptions 3 2 2 3" xfId="732"/>
    <cellStyle name="Title Pricing Assumptions 3 2 2 4" xfId="733"/>
    <cellStyle name="Title Pricing Assumptions 3 2 2 5" xfId="734"/>
    <cellStyle name="Title Pricing Assumptions 3 2 2_Primary vs Secondary Spread Oct 3" xfId="735"/>
    <cellStyle name="Title Pricing Assumptions 3 2 3" xfId="736"/>
    <cellStyle name="Title Pricing Assumptions 3 2 3 2" xfId="737"/>
    <cellStyle name="Title Pricing Assumptions 3 2 3 2 2" xfId="738"/>
    <cellStyle name="Title Pricing Assumptions 3 2 3 2_Primary vs Secondary Spread Oct 3" xfId="739"/>
    <cellStyle name="Title Pricing Assumptions 3 2 3 3" xfId="740"/>
    <cellStyle name="Title Pricing Assumptions 3 2 3 4" xfId="741"/>
    <cellStyle name="Title Pricing Assumptions 3 2 3 5" xfId="742"/>
    <cellStyle name="Title Pricing Assumptions 3 2 3_Primary vs Secondary Spread Oct 3" xfId="743"/>
    <cellStyle name="Title Pricing Assumptions 3 2 4" xfId="744"/>
    <cellStyle name="Title Pricing Assumptions 3 2 4 2" xfId="745"/>
    <cellStyle name="Title Pricing Assumptions 3 2 4 2 2" xfId="746"/>
    <cellStyle name="Title Pricing Assumptions 3 2 4 2_Primary vs Secondary Spread Oct 3" xfId="747"/>
    <cellStyle name="Title Pricing Assumptions 3 2 4 3" xfId="748"/>
    <cellStyle name="Title Pricing Assumptions 3 2 4 4" xfId="749"/>
    <cellStyle name="Title Pricing Assumptions 3 2 4 5" xfId="750"/>
    <cellStyle name="Title Pricing Assumptions 3 2 4_Primary vs Secondary Spread Oct 3" xfId="751"/>
    <cellStyle name="Title Pricing Assumptions 3 2 5" xfId="752"/>
    <cellStyle name="Title Pricing Assumptions 3 2 5 2" xfId="753"/>
    <cellStyle name="Title Pricing Assumptions 3 2 5_Primary vs Secondary Spread Oct 3" xfId="754"/>
    <cellStyle name="Title Pricing Assumptions 3 2 6" xfId="755"/>
    <cellStyle name="Title Pricing Assumptions 3 2 6 2" xfId="756"/>
    <cellStyle name="Title Pricing Assumptions 3 2 6_Primary vs Secondary Spread Oct 3" xfId="757"/>
    <cellStyle name="Title Pricing Assumptions 3 2 7" xfId="758"/>
    <cellStyle name="Title Pricing Assumptions 3 2 8" xfId="759"/>
    <cellStyle name="Title Pricing Assumptions 3 2_Primary vs Secondary Spread Oct 3" xfId="760"/>
    <cellStyle name="Title Pricing Assumptions 3 3" xfId="761"/>
    <cellStyle name="Title Pricing Assumptions 3 3 2" xfId="762"/>
    <cellStyle name="Title Pricing Assumptions 3 3 2 2" xfId="763"/>
    <cellStyle name="Title Pricing Assumptions 3 3 2 2 2" xfId="764"/>
    <cellStyle name="Title Pricing Assumptions 3 3 2 2_Primary vs Secondary Spread Oct 3" xfId="765"/>
    <cellStyle name="Title Pricing Assumptions 3 3 2 3" xfId="766"/>
    <cellStyle name="Title Pricing Assumptions 3 3 2 4" xfId="767"/>
    <cellStyle name="Title Pricing Assumptions 3 3 2 5" xfId="768"/>
    <cellStyle name="Title Pricing Assumptions 3 3 2_Primary vs Secondary Spread Oct 3" xfId="769"/>
    <cellStyle name="Title Pricing Assumptions 3 3 3" xfId="770"/>
    <cellStyle name="Title Pricing Assumptions 3 3 3 2" xfId="771"/>
    <cellStyle name="Title Pricing Assumptions 3 3 3 2 2" xfId="772"/>
    <cellStyle name="Title Pricing Assumptions 3 3 3 2_Primary vs Secondary Spread Oct 3" xfId="773"/>
    <cellStyle name="Title Pricing Assumptions 3 3 3 3" xfId="774"/>
    <cellStyle name="Title Pricing Assumptions 3 3 3 4" xfId="775"/>
    <cellStyle name="Title Pricing Assumptions 3 3 3 5" xfId="776"/>
    <cellStyle name="Title Pricing Assumptions 3 3 3_Primary vs Secondary Spread Oct 3" xfId="777"/>
    <cellStyle name="Title Pricing Assumptions 3 3 4" xfId="778"/>
    <cellStyle name="Title Pricing Assumptions 3 3 4 2" xfId="779"/>
    <cellStyle name="Title Pricing Assumptions 3 3 4 2 2" xfId="780"/>
    <cellStyle name="Title Pricing Assumptions 3 3 4 2_Primary vs Secondary Spread Oct 3" xfId="781"/>
    <cellStyle name="Title Pricing Assumptions 3 3 4 3" xfId="782"/>
    <cellStyle name="Title Pricing Assumptions 3 3 4 4" xfId="783"/>
    <cellStyle name="Title Pricing Assumptions 3 3 4 5" xfId="784"/>
    <cellStyle name="Title Pricing Assumptions 3 3 4_Primary vs Secondary Spread Oct 3" xfId="785"/>
    <cellStyle name="Title Pricing Assumptions 3 3 5" xfId="786"/>
    <cellStyle name="Title Pricing Assumptions 3 3 5 2" xfId="787"/>
    <cellStyle name="Title Pricing Assumptions 3 3 5_Primary vs Secondary Spread Oct 3" xfId="788"/>
    <cellStyle name="Title Pricing Assumptions 3 3 6" xfId="789"/>
    <cellStyle name="Title Pricing Assumptions 3 3 6 2" xfId="790"/>
    <cellStyle name="Title Pricing Assumptions 3 3 6_Primary vs Secondary Spread Oct 3" xfId="791"/>
    <cellStyle name="Title Pricing Assumptions 3 3 7" xfId="792"/>
    <cellStyle name="Title Pricing Assumptions 3 3 8" xfId="793"/>
    <cellStyle name="Title Pricing Assumptions 3 3_Primary vs Secondary Spread Oct 3" xfId="794"/>
    <cellStyle name="Title Pricing Assumptions 3 4" xfId="795"/>
    <cellStyle name="Title Pricing Assumptions 3 4 2" xfId="796"/>
    <cellStyle name="Title Pricing Assumptions 3 4 2 2" xfId="797"/>
    <cellStyle name="Title Pricing Assumptions 3 4 2 2 2" xfId="798"/>
    <cellStyle name="Title Pricing Assumptions 3 4 2 2_Primary vs Secondary Spread Oct 3" xfId="799"/>
    <cellStyle name="Title Pricing Assumptions 3 4 2 3" xfId="800"/>
    <cellStyle name="Title Pricing Assumptions 3 4 2 4" xfId="801"/>
    <cellStyle name="Title Pricing Assumptions 3 4 2 5" xfId="802"/>
    <cellStyle name="Title Pricing Assumptions 3 4 2_Primary vs Secondary Spread Oct 3" xfId="803"/>
    <cellStyle name="Title Pricing Assumptions 3 4 3" xfId="804"/>
    <cellStyle name="Title Pricing Assumptions 3 4 3 2" xfId="805"/>
    <cellStyle name="Title Pricing Assumptions 3 4 3 2 2" xfId="806"/>
    <cellStyle name="Title Pricing Assumptions 3 4 3 2_Primary vs Secondary Spread Oct 3" xfId="807"/>
    <cellStyle name="Title Pricing Assumptions 3 4 3 3" xfId="808"/>
    <cellStyle name="Title Pricing Assumptions 3 4 3 4" xfId="809"/>
    <cellStyle name="Title Pricing Assumptions 3 4 3 5" xfId="810"/>
    <cellStyle name="Title Pricing Assumptions 3 4 3_Primary vs Secondary Spread Oct 3" xfId="811"/>
    <cellStyle name="Title Pricing Assumptions 3 4 4" xfId="812"/>
    <cellStyle name="Title Pricing Assumptions 3 4 4 2" xfId="813"/>
    <cellStyle name="Title Pricing Assumptions 3 4 4 2 2" xfId="814"/>
    <cellStyle name="Title Pricing Assumptions 3 4 4 2_Primary vs Secondary Spread Oct 3" xfId="815"/>
    <cellStyle name="Title Pricing Assumptions 3 4 4 3" xfId="816"/>
    <cellStyle name="Title Pricing Assumptions 3 4 4 4" xfId="817"/>
    <cellStyle name="Title Pricing Assumptions 3 4 4 5" xfId="818"/>
    <cellStyle name="Title Pricing Assumptions 3 4 4_Primary vs Secondary Spread Oct 3" xfId="819"/>
    <cellStyle name="Title Pricing Assumptions 3 4 5" xfId="820"/>
    <cellStyle name="Title Pricing Assumptions 3 4 5 2" xfId="821"/>
    <cellStyle name="Title Pricing Assumptions 3 4 5_Primary vs Secondary Spread Oct 3" xfId="822"/>
    <cellStyle name="Title Pricing Assumptions 3 4 6" xfId="823"/>
    <cellStyle name="Title Pricing Assumptions 3 4 6 2" xfId="824"/>
    <cellStyle name="Title Pricing Assumptions 3 4 6_Primary vs Secondary Spread Oct 3" xfId="825"/>
    <cellStyle name="Title Pricing Assumptions 3 4 7" xfId="826"/>
    <cellStyle name="Title Pricing Assumptions 3 4 8" xfId="827"/>
    <cellStyle name="Title Pricing Assumptions 3 4_Primary vs Secondary Spread Oct 3" xfId="828"/>
    <cellStyle name="Title Pricing Assumptions 3 5" xfId="829"/>
    <cellStyle name="Title Pricing Assumptions 3 5 2" xfId="830"/>
    <cellStyle name="Title Pricing Assumptions 3 5 2 2" xfId="831"/>
    <cellStyle name="Title Pricing Assumptions 3 5 2 2 2" xfId="832"/>
    <cellStyle name="Title Pricing Assumptions 3 5 2 2_Primary vs Secondary Spread Oct 3" xfId="833"/>
    <cellStyle name="Title Pricing Assumptions 3 5 2 3" xfId="834"/>
    <cellStyle name="Title Pricing Assumptions 3 5 2 4" xfId="835"/>
    <cellStyle name="Title Pricing Assumptions 3 5 2 5" xfId="836"/>
    <cellStyle name="Title Pricing Assumptions 3 5 2_Primary vs Secondary Spread Oct 3" xfId="837"/>
    <cellStyle name="Title Pricing Assumptions 3 5 3" xfId="838"/>
    <cellStyle name="Title Pricing Assumptions 3 5 3 2" xfId="839"/>
    <cellStyle name="Title Pricing Assumptions 3 5 3 2 2" xfId="840"/>
    <cellStyle name="Title Pricing Assumptions 3 5 3 2_Primary vs Secondary Spread Oct 3" xfId="841"/>
    <cellStyle name="Title Pricing Assumptions 3 5 3 3" xfId="842"/>
    <cellStyle name="Title Pricing Assumptions 3 5 3 4" xfId="843"/>
    <cellStyle name="Title Pricing Assumptions 3 5 3 5" xfId="844"/>
    <cellStyle name="Title Pricing Assumptions 3 5 3_Primary vs Secondary Spread Oct 3" xfId="845"/>
    <cellStyle name="Title Pricing Assumptions 3 5 4" xfId="846"/>
    <cellStyle name="Title Pricing Assumptions 3 5 4 2" xfId="847"/>
    <cellStyle name="Title Pricing Assumptions 3 5 4_Primary vs Secondary Spread Oct 3" xfId="848"/>
    <cellStyle name="Title Pricing Assumptions 3 5 5" xfId="849"/>
    <cellStyle name="Title Pricing Assumptions 3 5 5 2" xfId="850"/>
    <cellStyle name="Title Pricing Assumptions 3 5 5_Primary vs Secondary Spread Oct 3" xfId="851"/>
    <cellStyle name="Title Pricing Assumptions 3 5 6" xfId="852"/>
    <cellStyle name="Title Pricing Assumptions 3 5 7" xfId="853"/>
    <cellStyle name="Title Pricing Assumptions 3 5_Primary vs Secondary Spread Oct 3" xfId="854"/>
    <cellStyle name="Title Pricing Assumptions 3 6" xfId="855"/>
    <cellStyle name="Title Pricing Assumptions 3 6 2" xfId="856"/>
    <cellStyle name="Title Pricing Assumptions 3 6 2 2" xfId="857"/>
    <cellStyle name="Title Pricing Assumptions 3 6 2_Primary vs Secondary Spread Oct 3" xfId="858"/>
    <cellStyle name="Title Pricing Assumptions 3 6 3" xfId="859"/>
    <cellStyle name="Title Pricing Assumptions 3 6 4" xfId="860"/>
    <cellStyle name="Title Pricing Assumptions 3 6 4 2 8" xfId="861"/>
    <cellStyle name="Title Pricing Assumptions 3 6 5" xfId="862"/>
    <cellStyle name="Title Pricing Assumptions 3 6_Primary vs Secondary Spread Oct 3" xfId="863"/>
    <cellStyle name="Title Pricing Assumptions 3 7" xfId="864"/>
    <cellStyle name="Title Pricing Assumptions 3 7 2" xfId="865"/>
    <cellStyle name="Title Pricing Assumptions 3 7 2 2" xfId="866"/>
    <cellStyle name="Title Pricing Assumptions 3 7 2_Primary vs Secondary Spread Oct 3" xfId="867"/>
    <cellStyle name="Title Pricing Assumptions 3 7 3" xfId="868"/>
    <cellStyle name="Title Pricing Assumptions 3 7 4" xfId="869"/>
    <cellStyle name="Title Pricing Assumptions 3 7 5" xfId="870"/>
    <cellStyle name="Title Pricing Assumptions 3 7_Primary vs Secondary Spread Oct 3" xfId="871"/>
    <cellStyle name="Title Pricing Assumptions 3 8" xfId="872"/>
    <cellStyle name="Title Pricing Assumptions 3 8 2" xfId="873"/>
    <cellStyle name="Title Pricing Assumptions 3 8 2 2" xfId="874"/>
    <cellStyle name="Title Pricing Assumptions 3 8 2_Primary vs Secondary Spread Oct 3" xfId="875"/>
    <cellStyle name="Title Pricing Assumptions 3 8 3" xfId="876"/>
    <cellStyle name="Title Pricing Assumptions 3 8 4" xfId="877"/>
    <cellStyle name="Title Pricing Assumptions 3 8 5" xfId="878"/>
    <cellStyle name="Title Pricing Assumptions 3 8_Primary vs Secondary Spread Oct 3" xfId="879"/>
    <cellStyle name="Title Pricing Assumptions 3 9" xfId="880"/>
    <cellStyle name="Title Pricing Assumptions 3 9 2" xfId="881"/>
    <cellStyle name="Title Pricing Assumptions 3 9_Primary vs Secondary Spread Oct 3" xfId="882"/>
    <cellStyle name="Title Pricing Assumptions 3_Primary vs Secondary Spread Oct 3" xfId="883"/>
    <cellStyle name="Title Pricing Assumptions 4" xfId="884"/>
    <cellStyle name="Title Pricing Assumptions 4 2" xfId="885"/>
    <cellStyle name="Title Pricing Assumptions 4 2 2" xfId="886"/>
    <cellStyle name="Title Pricing Assumptions 4 2 2 2" xfId="887"/>
    <cellStyle name="Title Pricing Assumptions 4 2 2_Primary vs Secondary Spread Oct 3" xfId="888"/>
    <cellStyle name="Title Pricing Assumptions 4 2 3" xfId="889"/>
    <cellStyle name="Title Pricing Assumptions 4 2 4" xfId="890"/>
    <cellStyle name="Title Pricing Assumptions 4 2 5" xfId="891"/>
    <cellStyle name="Title Pricing Assumptions 4 2_Primary vs Secondary Spread Oct 3" xfId="892"/>
    <cellStyle name="Title Pricing Assumptions 4 3" xfId="893"/>
    <cellStyle name="Title Pricing Assumptions 4 3 2" xfId="894"/>
    <cellStyle name="Title Pricing Assumptions 4 3 2 2" xfId="895"/>
    <cellStyle name="Title Pricing Assumptions 4 3 2_Primary vs Secondary Spread Oct 3" xfId="896"/>
    <cellStyle name="Title Pricing Assumptions 4 3 3" xfId="897"/>
    <cellStyle name="Title Pricing Assumptions 4 3 4" xfId="898"/>
    <cellStyle name="Title Pricing Assumptions 4 3 5" xfId="899"/>
    <cellStyle name="Title Pricing Assumptions 4 3_Primary vs Secondary Spread Oct 3" xfId="900"/>
    <cellStyle name="Title Pricing Assumptions 4 4" xfId="901"/>
    <cellStyle name="Title Pricing Assumptions 4 4 2" xfId="902"/>
    <cellStyle name="Title Pricing Assumptions 4 4 2 2" xfId="903"/>
    <cellStyle name="Title Pricing Assumptions 4 4 2_Primary vs Secondary Spread Oct 3" xfId="904"/>
    <cellStyle name="Title Pricing Assumptions 4 4 3" xfId="905"/>
    <cellStyle name="Title Pricing Assumptions 4 4 4" xfId="906"/>
    <cellStyle name="Title Pricing Assumptions 4 4 5" xfId="907"/>
    <cellStyle name="Title Pricing Assumptions 4 4_Primary vs Secondary Spread Oct 3" xfId="908"/>
    <cellStyle name="Title Pricing Assumptions 4 5" xfId="909"/>
    <cellStyle name="Title Pricing Assumptions 4 5 2" xfId="910"/>
    <cellStyle name="Title Pricing Assumptions 4 5_Primary vs Secondary Spread Oct 3" xfId="911"/>
    <cellStyle name="Title Pricing Assumptions 4 6" xfId="912"/>
    <cellStyle name="Title Pricing Assumptions 4 6 2" xfId="913"/>
    <cellStyle name="Title Pricing Assumptions 4 6_Primary vs Secondary Spread Oct 3" xfId="914"/>
    <cellStyle name="Title Pricing Assumptions 4 7" xfId="915"/>
    <cellStyle name="Title Pricing Assumptions 4 8" xfId="916"/>
    <cellStyle name="Title Pricing Assumptions 4_Primary vs Secondary Spread Oct 3" xfId="917"/>
    <cellStyle name="Title Pricing Assumptions 5" xfId="918"/>
    <cellStyle name="Title Pricing Assumptions 5 2" xfId="919"/>
    <cellStyle name="Title Pricing Assumptions 5 2 2" xfId="920"/>
    <cellStyle name="Title Pricing Assumptions 5 2 2 2" xfId="921"/>
    <cellStyle name="Title Pricing Assumptions 5 2 2_Primary vs Secondary Spread Oct 3" xfId="922"/>
    <cellStyle name="Title Pricing Assumptions 5 2 3" xfId="923"/>
    <cellStyle name="Title Pricing Assumptions 5 2 4" xfId="924"/>
    <cellStyle name="Title Pricing Assumptions 5 2 5" xfId="925"/>
    <cellStyle name="Title Pricing Assumptions 5 2_Primary vs Secondary Spread Oct 3" xfId="926"/>
    <cellStyle name="Title Pricing Assumptions 5 3" xfId="927"/>
    <cellStyle name="Title Pricing Assumptions 5 3 2" xfId="928"/>
    <cellStyle name="Title Pricing Assumptions 5 3 2 2" xfId="929"/>
    <cellStyle name="Title Pricing Assumptions 5 3 2_Primary vs Secondary Spread Oct 3" xfId="930"/>
    <cellStyle name="Title Pricing Assumptions 5 3 3" xfId="931"/>
    <cellStyle name="Title Pricing Assumptions 5 3 4" xfId="932"/>
    <cellStyle name="Title Pricing Assumptions 5 3 5" xfId="933"/>
    <cellStyle name="Title Pricing Assumptions 5 3_Primary vs Secondary Spread Oct 3" xfId="934"/>
    <cellStyle name="Title Pricing Assumptions 5 4" xfId="935"/>
    <cellStyle name="Title Pricing Assumptions 5 4 2" xfId="936"/>
    <cellStyle name="Title Pricing Assumptions 5 4 2 2" xfId="937"/>
    <cellStyle name="Title Pricing Assumptions 5 4 2_Primary vs Secondary Spread Oct 3" xfId="938"/>
    <cellStyle name="Title Pricing Assumptions 5 4 3" xfId="939"/>
    <cellStyle name="Title Pricing Assumptions 5 4 4" xfId="940"/>
    <cellStyle name="Title Pricing Assumptions 5 4 5" xfId="941"/>
    <cellStyle name="Title Pricing Assumptions 5 4_Primary vs Secondary Spread Oct 3" xfId="942"/>
    <cellStyle name="Title Pricing Assumptions 5 5" xfId="943"/>
    <cellStyle name="Title Pricing Assumptions 5 5 2" xfId="944"/>
    <cellStyle name="Title Pricing Assumptions 5 5_Primary vs Secondary Spread Oct 3" xfId="945"/>
    <cellStyle name="Title Pricing Assumptions 5 6" xfId="946"/>
    <cellStyle name="Title Pricing Assumptions 5 6 2" xfId="947"/>
    <cellStyle name="Title Pricing Assumptions 5 6_Primary vs Secondary Spread Oct 3" xfId="948"/>
    <cellStyle name="Title Pricing Assumptions 5 7" xfId="949"/>
    <cellStyle name="Title Pricing Assumptions 5 8" xfId="950"/>
    <cellStyle name="Title Pricing Assumptions 5_Primary vs Secondary Spread Oct 3" xfId="951"/>
    <cellStyle name="Title Pricing Assumptions 6" xfId="952"/>
    <cellStyle name="Title Pricing Assumptions 6 2" xfId="953"/>
    <cellStyle name="Title Pricing Assumptions 6 2 2" xfId="954"/>
    <cellStyle name="Title Pricing Assumptions 6 2 2 2" xfId="955"/>
    <cellStyle name="Title Pricing Assumptions 6 2 2_Primary vs Secondary Spread Oct 3" xfId="956"/>
    <cellStyle name="Title Pricing Assumptions 6 2 3" xfId="957"/>
    <cellStyle name="Title Pricing Assumptions 6 2 4" xfId="958"/>
    <cellStyle name="Title Pricing Assumptions 6 2 5" xfId="959"/>
    <cellStyle name="Title Pricing Assumptions 6 2_Primary vs Secondary Spread Oct 3" xfId="960"/>
    <cellStyle name="Title Pricing Assumptions 6 3" xfId="961"/>
    <cellStyle name="Title Pricing Assumptions 6 3 2" xfId="962"/>
    <cellStyle name="Title Pricing Assumptions 6 3 2 2" xfId="963"/>
    <cellStyle name="Title Pricing Assumptions 6 3 2_Primary vs Secondary Spread Oct 3" xfId="964"/>
    <cellStyle name="Title Pricing Assumptions 6 3 3" xfId="965"/>
    <cellStyle name="Title Pricing Assumptions 6 3 4" xfId="966"/>
    <cellStyle name="Title Pricing Assumptions 6 3_Primary vs Secondary Spread Oct 3" xfId="967"/>
    <cellStyle name="Title Pricing Assumptions 6 4" xfId="968"/>
    <cellStyle name="Title Pricing Assumptions 6 4 2" xfId="969"/>
    <cellStyle name="Title Pricing Assumptions 6 4 2 2" xfId="970"/>
    <cellStyle name="Title Pricing Assumptions 6 4 2_Primary vs Secondary Spread Oct 3" xfId="971"/>
    <cellStyle name="Title Pricing Assumptions 6 4 3" xfId="972"/>
    <cellStyle name="Title Pricing Assumptions 6 4 4" xfId="973"/>
    <cellStyle name="Title Pricing Assumptions 6 4 5" xfId="974"/>
    <cellStyle name="Title Pricing Assumptions 6 4_Primary vs Secondary Spread Oct 3" xfId="975"/>
    <cellStyle name="Title Pricing Assumptions 6 5" xfId="976"/>
    <cellStyle name="Title Pricing Assumptions 6 5 2" xfId="977"/>
    <cellStyle name="Title Pricing Assumptions 6 5_Primary vs Secondary Spread Oct 3" xfId="978"/>
    <cellStyle name="Title Pricing Assumptions 6 6" xfId="979"/>
    <cellStyle name="Title Pricing Assumptions 6 6 2" xfId="980"/>
    <cellStyle name="Title Pricing Assumptions 6 6_Primary vs Secondary Spread Oct 3" xfId="981"/>
    <cellStyle name="Title Pricing Assumptions 6 7" xfId="982"/>
    <cellStyle name="Title Pricing Assumptions 6 8" xfId="983"/>
    <cellStyle name="Title Pricing Assumptions 6_Primary vs Secondary Spread Oct 3" xfId="984"/>
    <cellStyle name="Title Pricing Assumptions 7" xfId="985"/>
    <cellStyle name="Title Pricing Assumptions 7 2" xfId="986"/>
    <cellStyle name="Title Pricing Assumptions 7 2 2" xfId="987"/>
    <cellStyle name="Title Pricing Assumptions 7 2 2 2" xfId="988"/>
    <cellStyle name="Title Pricing Assumptions 7 2 2_Primary vs Secondary Spread Oct 3" xfId="989"/>
    <cellStyle name="Title Pricing Assumptions 7 2 3" xfId="990"/>
    <cellStyle name="Title Pricing Assumptions 7 2 4" xfId="991"/>
    <cellStyle name="Title Pricing Assumptions 7 2 5" xfId="992"/>
    <cellStyle name="Title Pricing Assumptions 7 2_Primary vs Secondary Spread Oct 3" xfId="993"/>
    <cellStyle name="Title Pricing Assumptions 7 3" xfId="994"/>
    <cellStyle name="Title Pricing Assumptions 7 3 2" xfId="995"/>
    <cellStyle name="Title Pricing Assumptions 7 3 2 2" xfId="996"/>
    <cellStyle name="Title Pricing Assumptions 7 3 2_Primary vs Secondary Spread Oct 3" xfId="997"/>
    <cellStyle name="Title Pricing Assumptions 7 3 3" xfId="998"/>
    <cellStyle name="Title Pricing Assumptions 7 3 4" xfId="999"/>
    <cellStyle name="Title Pricing Assumptions 7 3 5" xfId="1000"/>
    <cellStyle name="Title Pricing Assumptions 7 3_Primary vs Secondary Spread Oct 3" xfId="1001"/>
    <cellStyle name="Title Pricing Assumptions 7 4" xfId="1002"/>
    <cellStyle name="Title Pricing Assumptions 7 4 2" xfId="1003"/>
    <cellStyle name="Title Pricing Assumptions 7 4_Primary vs Secondary Spread Oct 3" xfId="1004"/>
    <cellStyle name="Title Pricing Assumptions 7 5" xfId="1005"/>
    <cellStyle name="Title Pricing Assumptions 7 5 2" xfId="1006"/>
    <cellStyle name="Title Pricing Assumptions 7 5_Primary vs Secondary Spread Oct 3" xfId="1007"/>
    <cellStyle name="Title Pricing Assumptions 7 6" xfId="1008"/>
    <cellStyle name="Title Pricing Assumptions 7 7" xfId="1009"/>
    <cellStyle name="Title Pricing Assumptions 7_Primary vs Secondary Spread Oct 3" xfId="1010"/>
    <cellStyle name="Title Pricing Assumptions 8" xfId="1011"/>
    <cellStyle name="Title Pricing Assumptions 8 2" xfId="1012"/>
    <cellStyle name="Title Pricing Assumptions 8 2 2" xfId="1013"/>
    <cellStyle name="Title Pricing Assumptions 8 2_Primary vs Secondary Spread Oct 3" xfId="1014"/>
    <cellStyle name="Title Pricing Assumptions 8 3" xfId="1015"/>
    <cellStyle name="Title Pricing Assumptions 8 4" xfId="1016"/>
    <cellStyle name="Title Pricing Assumptions 8 5" xfId="1017"/>
    <cellStyle name="Title Pricing Assumptions 8_Primary vs Secondary Spread Oct 3" xfId="1018"/>
    <cellStyle name="Title Pricing Assumptions 9" xfId="1019"/>
    <cellStyle name="Title Pricing Assumptions 9 2" xfId="1020"/>
    <cellStyle name="Title Pricing Assumptions 9 2 2" xfId="1021"/>
    <cellStyle name="Title Pricing Assumptions 9 2_Primary vs Secondary Spread Oct 3" xfId="1022"/>
    <cellStyle name="Title Pricing Assumptions 9 3" xfId="1023"/>
    <cellStyle name="Title Pricing Assumptions 9 4" xfId="1024"/>
    <cellStyle name="Title Pricing Assumptions 9 5" xfId="1025"/>
    <cellStyle name="Title Pricing Assumptions 9_Primary vs Secondary Spread Oct 3" xfId="1026"/>
    <cellStyle name="Title Pricing Assumptions_Primary vs Secondary Spread Oct 3" xfId="1027"/>
    <cellStyle name="Titles - Other" xfId="1028"/>
    <cellStyle name="Total 2" xfId="1029"/>
    <cellStyle name="Total 2 2" xfId="1030"/>
    <cellStyle name="Total 3" xfId="1031"/>
    <cellStyle name="Total 4" xfId="1032"/>
    <cellStyle name="Total 4 2" xfId="1033"/>
    <cellStyle name="Total 4_Primary vs Secondary Spread Oct 3" xfId="1034"/>
    <cellStyle name="Warning" xfId="1035"/>
    <cellStyle name="Warning Text 2" xfId="1036"/>
    <cellStyle name="Warning Text 3" xfId="1037"/>
    <cellStyle name="Warning Text 4" xfId="1038"/>
    <cellStyle name="Warning Text 5" xfId="1039"/>
    <cellStyle name="YB Calculations" xfId="1040"/>
    <cellStyle name="YB Calculations 2" xfId="1041"/>
    <cellStyle name="YB Calculations 2 2" xfId="1042"/>
    <cellStyle name="YB Curve" xfId="1043"/>
    <cellStyle name="YB Indicative" xfId="1044"/>
    <cellStyle name="YB Indicative 2" xfId="1045"/>
    <cellStyle name="YBINDIC" xfId="1046"/>
    <cellStyle name="YBIOPOBE" xfId="1047"/>
    <cellStyle name="YBPRICE" xfId="1048"/>
    <cellStyle name="一般_原始檔案" xfId="10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HARPable Universe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'HARPable Universe'!$C$2</c:f>
              <c:strCache>
                <c:ptCount val="1"/>
                <c:pt idx="0">
                  <c:v>Refi Plus</c:v>
                </c:pt>
              </c:strCache>
            </c:strRef>
          </c:tx>
          <c:marker>
            <c:symbol val="none"/>
          </c:marker>
          <c:cat>
            <c:numRef>
              <c:f>'HARPable Universe'!$B$3:$B$227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'HARPable Universe'!$C$3:$C$227</c:f>
              <c:numCache>
                <c:formatCode>General</c:formatCode>
                <c:ptCount val="225"/>
                <c:pt idx="0">
                  <c:v>0.68934342154794104</c:v>
                </c:pt>
                <c:pt idx="1">
                  <c:v>0.70307643177109502</c:v>
                </c:pt>
                <c:pt idx="2">
                  <c:v>0.68938813329756798</c:v>
                </c:pt>
                <c:pt idx="3">
                  <c:v>0.68933878258023296</c:v>
                </c:pt>
                <c:pt idx="4">
                  <c:v>0.67503887167036103</c:v>
                </c:pt>
                <c:pt idx="5">
                  <c:v>0.62601198303170802</c:v>
                </c:pt>
                <c:pt idx="6">
                  <c:v>0.64635810340061295</c:v>
                </c:pt>
                <c:pt idx="7">
                  <c:v>0.657316480570869</c:v>
                </c:pt>
                <c:pt idx="8">
                  <c:v>0.67062319372880397</c:v>
                </c:pt>
                <c:pt idx="9">
                  <c:v>0.67056643052686704</c:v>
                </c:pt>
                <c:pt idx="10">
                  <c:v>0.69499981858565096</c:v>
                </c:pt>
                <c:pt idx="11">
                  <c:v>0.68107814802781896</c:v>
                </c:pt>
                <c:pt idx="12">
                  <c:v>0.67063539524591398</c:v>
                </c:pt>
                <c:pt idx="13">
                  <c:v>0.667098340408248</c:v>
                </c:pt>
                <c:pt idx="14">
                  <c:v>0.66704040155500299</c:v>
                </c:pt>
                <c:pt idx="15">
                  <c:v>0.67762590916364096</c:v>
                </c:pt>
                <c:pt idx="16">
                  <c:v>0.67764813539017299</c:v>
                </c:pt>
                <c:pt idx="17">
                  <c:v>0.68894669316518398</c:v>
                </c:pt>
                <c:pt idx="18">
                  <c:v>0.71405065373301202</c:v>
                </c:pt>
                <c:pt idx="19">
                  <c:v>0.71407362852576595</c:v>
                </c:pt>
                <c:pt idx="20">
                  <c:v>0.71409882525790402</c:v>
                </c:pt>
                <c:pt idx="21">
                  <c:v>0.72824875176082904</c:v>
                </c:pt>
                <c:pt idx="22">
                  <c:v>0.74506714039606803</c:v>
                </c:pt>
                <c:pt idx="23">
                  <c:v>0.74505340929157504</c:v>
                </c:pt>
                <c:pt idx="24">
                  <c:v>0.72824875176082904</c:v>
                </c:pt>
                <c:pt idx="25">
                  <c:v>0.74479550295308605</c:v>
                </c:pt>
                <c:pt idx="26">
                  <c:v>0.70952144486954205</c:v>
                </c:pt>
                <c:pt idx="27">
                  <c:v>0.74275012081458902</c:v>
                </c:pt>
                <c:pt idx="28">
                  <c:v>0.72609841989856705</c:v>
                </c:pt>
                <c:pt idx="29">
                  <c:v>0.72572799430629997</c:v>
                </c:pt>
                <c:pt idx="30">
                  <c:v>0.77903375194828495</c:v>
                </c:pt>
                <c:pt idx="31">
                  <c:v>0.86382425683094299</c:v>
                </c:pt>
                <c:pt idx="32">
                  <c:v>0.93211944193435403</c:v>
                </c:pt>
                <c:pt idx="33">
                  <c:v>0.89991044673128795</c:v>
                </c:pt>
                <c:pt idx="34">
                  <c:v>0.89921029459495505</c:v>
                </c:pt>
                <c:pt idx="35">
                  <c:v>0.94885867876400498</c:v>
                </c:pt>
                <c:pt idx="36">
                  <c:v>0.948919698883541</c:v>
                </c:pt>
                <c:pt idx="37">
                  <c:v>0.948919698883541</c:v>
                </c:pt>
                <c:pt idx="38">
                  <c:v>0.974512005363524</c:v>
                </c:pt>
                <c:pt idx="39">
                  <c:v>0.97415183550259199</c:v>
                </c:pt>
                <c:pt idx="40">
                  <c:v>0.930833872341434</c:v>
                </c:pt>
                <c:pt idx="41">
                  <c:v>0.948221735508743</c:v>
                </c:pt>
                <c:pt idx="42">
                  <c:v>0.94825133674425999</c:v>
                </c:pt>
                <c:pt idx="43">
                  <c:v>0.97363330958432404</c:v>
                </c:pt>
                <c:pt idx="44">
                  <c:v>0.97363631849321397</c:v>
                </c:pt>
                <c:pt idx="45">
                  <c:v>0.97363330958432404</c:v>
                </c:pt>
                <c:pt idx="46">
                  <c:v>0.97364489082606698</c:v>
                </c:pt>
                <c:pt idx="47">
                  <c:v>0.97319978848678002</c:v>
                </c:pt>
                <c:pt idx="48">
                  <c:v>0.973202121427309</c:v>
                </c:pt>
                <c:pt idx="49">
                  <c:v>0.97322297014224102</c:v>
                </c:pt>
                <c:pt idx="50">
                  <c:v>0.98378393141539</c:v>
                </c:pt>
                <c:pt idx="51">
                  <c:v>0.98374645848449505</c:v>
                </c:pt>
                <c:pt idx="52">
                  <c:v>0.98350298040027295</c:v>
                </c:pt>
                <c:pt idx="53">
                  <c:v>0.983519920596025</c:v>
                </c:pt>
                <c:pt idx="54">
                  <c:v>0.98351461374668603</c:v>
                </c:pt>
                <c:pt idx="55">
                  <c:v>0.97286189980816695</c:v>
                </c:pt>
                <c:pt idx="56">
                  <c:v>0.98329981748947404</c:v>
                </c:pt>
                <c:pt idx="57">
                  <c:v>0.98329981748947404</c:v>
                </c:pt>
                <c:pt idx="58">
                  <c:v>0.98329981748947404</c:v>
                </c:pt>
                <c:pt idx="59">
                  <c:v>0.97253147097901604</c:v>
                </c:pt>
                <c:pt idx="60">
                  <c:v>0.98307098130391601</c:v>
                </c:pt>
                <c:pt idx="61">
                  <c:v>0.98308116533178702</c:v>
                </c:pt>
                <c:pt idx="62">
                  <c:v>0.98304412035651201</c:v>
                </c:pt>
                <c:pt idx="63">
                  <c:v>0.94621671624645198</c:v>
                </c:pt>
                <c:pt idx="64">
                  <c:v>0.97221317553099895</c:v>
                </c:pt>
                <c:pt idx="65">
                  <c:v>0.972659113561122</c:v>
                </c:pt>
                <c:pt idx="66">
                  <c:v>0.98910284855503505</c:v>
                </c:pt>
                <c:pt idx="67">
                  <c:v>0.98328533943875196</c:v>
                </c:pt>
                <c:pt idx="68">
                  <c:v>0.98910284855503505</c:v>
                </c:pt>
                <c:pt idx="69">
                  <c:v>0.98918794291197698</c:v>
                </c:pt>
                <c:pt idx="70">
                  <c:v>0.98919709187808802</c:v>
                </c:pt>
                <c:pt idx="71">
                  <c:v>0.99452879876186695</c:v>
                </c:pt>
                <c:pt idx="72">
                  <c:v>0.994528175384642</c:v>
                </c:pt>
                <c:pt idx="73">
                  <c:v>0.99453076174602095</c:v>
                </c:pt>
                <c:pt idx="74">
                  <c:v>0.99920990822137301</c:v>
                </c:pt>
                <c:pt idx="75">
                  <c:v>0.99750984999361303</c:v>
                </c:pt>
                <c:pt idx="76">
                  <c:v>0.99920990822137301</c:v>
                </c:pt>
                <c:pt idx="77">
                  <c:v>0.99920990822137301</c:v>
                </c:pt>
                <c:pt idx="78">
                  <c:v>0.99921052750741601</c:v>
                </c:pt>
                <c:pt idx="79">
                  <c:v>0.99993082487965101</c:v>
                </c:pt>
                <c:pt idx="80">
                  <c:v>0.99993082487965101</c:v>
                </c:pt>
                <c:pt idx="81">
                  <c:v>0.99994356235953297</c:v>
                </c:pt>
                <c:pt idx="82">
                  <c:v>0.99992850979514003</c:v>
                </c:pt>
                <c:pt idx="83">
                  <c:v>0.99992850979514003</c:v>
                </c:pt>
                <c:pt idx="84">
                  <c:v>0.99991808103115498</c:v>
                </c:pt>
                <c:pt idx="85">
                  <c:v>0.99920283129912302</c:v>
                </c:pt>
                <c:pt idx="86">
                  <c:v>0.99992850979514003</c:v>
                </c:pt>
                <c:pt idx="87">
                  <c:v>0.999925926572371</c:v>
                </c:pt>
                <c:pt idx="88">
                  <c:v>0.999925926572371</c:v>
                </c:pt>
                <c:pt idx="89">
                  <c:v>0.99993925458967703</c:v>
                </c:pt>
                <c:pt idx="90">
                  <c:v>0.999963330930556</c:v>
                </c:pt>
                <c:pt idx="91">
                  <c:v>0.99996184565451895</c:v>
                </c:pt>
                <c:pt idx="92">
                  <c:v>0.99994149110272401</c:v>
                </c:pt>
                <c:pt idx="93">
                  <c:v>0.99996184565451895</c:v>
                </c:pt>
                <c:pt idx="94">
                  <c:v>0.99994149110272401</c:v>
                </c:pt>
                <c:pt idx="95">
                  <c:v>0.99993955387432398</c:v>
                </c:pt>
                <c:pt idx="96">
                  <c:v>0.99993955387432398</c:v>
                </c:pt>
                <c:pt idx="97">
                  <c:v>0.999960116591327</c:v>
                </c:pt>
                <c:pt idx="98">
                  <c:v>0.99997526938915204</c:v>
                </c:pt>
                <c:pt idx="99">
                  <c:v>0.999960116591327</c:v>
                </c:pt>
                <c:pt idx="100">
                  <c:v>0.99995840571303796</c:v>
                </c:pt>
                <c:pt idx="101">
                  <c:v>0.99997421417518995</c:v>
                </c:pt>
                <c:pt idx="102">
                  <c:v>0.99995840571303796</c:v>
                </c:pt>
                <c:pt idx="103">
                  <c:v>0.99995840571303796</c:v>
                </c:pt>
                <c:pt idx="104">
                  <c:v>0.99995690344517796</c:v>
                </c:pt>
                <c:pt idx="105">
                  <c:v>0.99993449558008296</c:v>
                </c:pt>
                <c:pt idx="106">
                  <c:v>0.99995690344517796</c:v>
                </c:pt>
                <c:pt idx="107">
                  <c:v>0.99993449558008296</c:v>
                </c:pt>
                <c:pt idx="108">
                  <c:v>0.99991411771788796</c:v>
                </c:pt>
                <c:pt idx="109">
                  <c:v>0.99991089237320696</c:v>
                </c:pt>
                <c:pt idx="110">
                  <c:v>0.99991089237320696</c:v>
                </c:pt>
                <c:pt idx="111">
                  <c:v>0.99989953187824898</c:v>
                </c:pt>
                <c:pt idx="112">
                  <c:v>0.99991089237320696</c:v>
                </c:pt>
                <c:pt idx="113">
                  <c:v>0.99990931344518297</c:v>
                </c:pt>
                <c:pt idx="114">
                  <c:v>0.99915802709531398</c:v>
                </c:pt>
                <c:pt idx="115">
                  <c:v>0.99990931344518297</c:v>
                </c:pt>
                <c:pt idx="116">
                  <c:v>0.999897251404256</c:v>
                </c:pt>
                <c:pt idx="117">
                  <c:v>0.99990366179078405</c:v>
                </c:pt>
                <c:pt idx="118">
                  <c:v>0.99991982126825196</c:v>
                </c:pt>
                <c:pt idx="119">
                  <c:v>0.99992797902387898</c:v>
                </c:pt>
                <c:pt idx="120">
                  <c:v>0.99992797902387898</c:v>
                </c:pt>
                <c:pt idx="121">
                  <c:v>0.9999571303068</c:v>
                </c:pt>
                <c:pt idx="122">
                  <c:v>0.999926355664575</c:v>
                </c:pt>
                <c:pt idx="123">
                  <c:v>0.99991596688144602</c:v>
                </c:pt>
                <c:pt idx="124">
                  <c:v>0.999891003765222</c:v>
                </c:pt>
                <c:pt idx="125">
                  <c:v>0.98959937329126002</c:v>
                </c:pt>
                <c:pt idx="126">
                  <c:v>0.98319620204482405</c:v>
                </c:pt>
                <c:pt idx="127">
                  <c:v>0.97483509520421197</c:v>
                </c:pt>
                <c:pt idx="128">
                  <c:v>0.974845105001512</c:v>
                </c:pt>
                <c:pt idx="129">
                  <c:v>0.75861637191260001</c:v>
                </c:pt>
                <c:pt idx="130">
                  <c:v>0.87464281994842097</c:v>
                </c:pt>
                <c:pt idx="131">
                  <c:v>0.73939644380791003</c:v>
                </c:pt>
                <c:pt idx="132">
                  <c:v>0.83595927197837805</c:v>
                </c:pt>
                <c:pt idx="133">
                  <c:v>0.83620473842721499</c:v>
                </c:pt>
                <c:pt idx="134">
                  <c:v>0.79246254673167404</c:v>
                </c:pt>
                <c:pt idx="135">
                  <c:v>0.792438207756055</c:v>
                </c:pt>
                <c:pt idx="136">
                  <c:v>0.792438207756055</c:v>
                </c:pt>
                <c:pt idx="137">
                  <c:v>0.72293605511047399</c:v>
                </c:pt>
                <c:pt idx="138">
                  <c:v>0.75618136859207497</c:v>
                </c:pt>
                <c:pt idx="139">
                  <c:v>0.73241928482112195</c:v>
                </c:pt>
                <c:pt idx="140">
                  <c:v>0.71851650648965204</c:v>
                </c:pt>
                <c:pt idx="141">
                  <c:v>0.75283799652968897</c:v>
                </c:pt>
                <c:pt idx="142">
                  <c:v>0.87216740152542305</c:v>
                </c:pt>
                <c:pt idx="143">
                  <c:v>0.91006704896642798</c:v>
                </c:pt>
                <c:pt idx="144">
                  <c:v>0.91000379323017</c:v>
                </c:pt>
                <c:pt idx="145">
                  <c:v>0.87030379941598801</c:v>
                </c:pt>
                <c:pt idx="146">
                  <c:v>0.92948151561270798</c:v>
                </c:pt>
                <c:pt idx="147">
                  <c:v>0.946371224192602</c:v>
                </c:pt>
                <c:pt idx="148">
                  <c:v>0.92862600348226998</c:v>
                </c:pt>
                <c:pt idx="149">
                  <c:v>0.82764760393529802</c:v>
                </c:pt>
                <c:pt idx="150">
                  <c:v>0.90867076242729805</c:v>
                </c:pt>
                <c:pt idx="151">
                  <c:v>0.868879336155854</c:v>
                </c:pt>
                <c:pt idx="152">
                  <c:v>0.78150994044042599</c:v>
                </c:pt>
                <c:pt idx="153">
                  <c:v>0.78142626283674099</c:v>
                </c:pt>
                <c:pt idx="154">
                  <c:v>0.74080880570196705</c:v>
                </c:pt>
                <c:pt idx="155">
                  <c:v>0.74072304288786295</c:v>
                </c:pt>
                <c:pt idx="156">
                  <c:v>0.71573440369395702</c:v>
                </c:pt>
                <c:pt idx="157">
                  <c:v>0.737862180577046</c:v>
                </c:pt>
                <c:pt idx="158">
                  <c:v>0.77881660913151596</c:v>
                </c:pt>
                <c:pt idx="159">
                  <c:v>0.77893724315267199</c:v>
                </c:pt>
                <c:pt idx="160">
                  <c:v>0.86531452225895999</c:v>
                </c:pt>
                <c:pt idx="161">
                  <c:v>0.904840601248314</c:v>
                </c:pt>
                <c:pt idx="162">
                  <c:v>0.86420449138465305</c:v>
                </c:pt>
                <c:pt idx="163">
                  <c:v>0.82103225324176798</c:v>
                </c:pt>
                <c:pt idx="164">
                  <c:v>0.82077124571501203</c:v>
                </c:pt>
                <c:pt idx="165">
                  <c:v>0.86296973588403203</c:v>
                </c:pt>
                <c:pt idx="166">
                  <c:v>0.81906765211778298</c:v>
                </c:pt>
                <c:pt idx="167">
                  <c:v>0.86286183686691498</c:v>
                </c:pt>
                <c:pt idx="168">
                  <c:v>0.81889916283087805</c:v>
                </c:pt>
                <c:pt idx="169">
                  <c:v>0.77382163087992895</c:v>
                </c:pt>
                <c:pt idx="170">
                  <c:v>0.81929535733400805</c:v>
                </c:pt>
                <c:pt idx="171">
                  <c:v>0.86307390731589495</c:v>
                </c:pt>
                <c:pt idx="172">
                  <c:v>0.862883144079441</c:v>
                </c:pt>
                <c:pt idx="173">
                  <c:v>0.86338218182302096</c:v>
                </c:pt>
                <c:pt idx="174">
                  <c:v>0.92469964057410103</c:v>
                </c:pt>
                <c:pt idx="175">
                  <c:v>0.92471213874485103</c:v>
                </c:pt>
                <c:pt idx="176">
                  <c:v>0.942170788335981</c:v>
                </c:pt>
                <c:pt idx="177">
                  <c:v>0.94220364207853702</c:v>
                </c:pt>
                <c:pt idx="178">
                  <c:v>0.94191255638832705</c:v>
                </c:pt>
                <c:pt idx="179">
                  <c:v>0.924708662683428</c:v>
                </c:pt>
                <c:pt idx="180">
                  <c:v>0.92478797041361505</c:v>
                </c:pt>
                <c:pt idx="181">
                  <c:v>0.94191255638832705</c:v>
                </c:pt>
                <c:pt idx="182">
                  <c:v>0.95933486163638704</c:v>
                </c:pt>
                <c:pt idx="183">
                  <c:v>0.92435732512698199</c:v>
                </c:pt>
                <c:pt idx="184">
                  <c:v>0.94140193159732499</c:v>
                </c:pt>
                <c:pt idx="185">
                  <c:v>0.94140193159732499</c:v>
                </c:pt>
                <c:pt idx="186">
                  <c:v>0.94141649683931705</c:v>
                </c:pt>
                <c:pt idx="187">
                  <c:v>0.92406873351741203</c:v>
                </c:pt>
                <c:pt idx="188">
                  <c:v>0.94091871934431903</c:v>
                </c:pt>
                <c:pt idx="189">
                  <c:v>0.95930523734958395</c:v>
                </c:pt>
                <c:pt idx="190">
                  <c:v>0.95930523734958395</c:v>
                </c:pt>
                <c:pt idx="191">
                  <c:v>0.959184322523427</c:v>
                </c:pt>
                <c:pt idx="192">
                  <c:v>0.95904395158926303</c:v>
                </c:pt>
                <c:pt idx="193">
                  <c:v>0.92367592231458095</c:v>
                </c:pt>
                <c:pt idx="194">
                  <c:v>0.92375754000891097</c:v>
                </c:pt>
                <c:pt idx="195">
                  <c:v>0.939877910552257</c:v>
                </c:pt>
                <c:pt idx="196">
                  <c:v>0.95870597013426595</c:v>
                </c:pt>
                <c:pt idx="197">
                  <c:v>0.98146689029705902</c:v>
                </c:pt>
                <c:pt idx="198">
                  <c:v>0.98818151288594802</c:v>
                </c:pt>
                <c:pt idx="199">
                  <c:v>0.98146296312210002</c:v>
                </c:pt>
                <c:pt idx="200">
                  <c:v>0.97081970689119501</c:v>
                </c:pt>
                <c:pt idx="201">
                  <c:v>0.97082427955975303</c:v>
                </c:pt>
                <c:pt idx="202">
                  <c:v>0.98114317383489702</c:v>
                </c:pt>
                <c:pt idx="203">
                  <c:v>0.98115309471965295</c:v>
                </c:pt>
                <c:pt idx="204">
                  <c:v>0.98784281177175604</c:v>
                </c:pt>
                <c:pt idx="205">
                  <c:v>0.98783408332259803</c:v>
                </c:pt>
                <c:pt idx="206">
                  <c:v>0.99479182701672098</c:v>
                </c:pt>
                <c:pt idx="207">
                  <c:v>0.99479023677626099</c:v>
                </c:pt>
                <c:pt idx="208">
                  <c:v>0.98784159692108897</c:v>
                </c:pt>
                <c:pt idx="209">
                  <c:v>0.99863696366528298</c:v>
                </c:pt>
                <c:pt idx="210">
                  <c:v>0.99972875942488504</c:v>
                </c:pt>
                <c:pt idx="211">
                  <c:v>0.99972875942488504</c:v>
                </c:pt>
                <c:pt idx="212">
                  <c:v>0.99972875942488504</c:v>
                </c:pt>
                <c:pt idx="213">
                  <c:v>0.99972493862629996</c:v>
                </c:pt>
                <c:pt idx="214">
                  <c:v>0.99902094218210002</c:v>
                </c:pt>
                <c:pt idx="215">
                  <c:v>0.99863084569716998</c:v>
                </c:pt>
                <c:pt idx="216">
                  <c:v>0.99472881095047105</c:v>
                </c:pt>
                <c:pt idx="217">
                  <c:v>0.99843910380784895</c:v>
                </c:pt>
                <c:pt idx="218">
                  <c:v>0.98728276128744996</c:v>
                </c:pt>
                <c:pt idx="219">
                  <c:v>0.99843910380784895</c:v>
                </c:pt>
                <c:pt idx="220">
                  <c:v>0.99887607034173698</c:v>
                </c:pt>
                <c:pt idx="221">
                  <c:v>0.99885910901552399</c:v>
                </c:pt>
                <c:pt idx="222">
                  <c:v>0.99960994368004696</c:v>
                </c:pt>
                <c:pt idx="223">
                  <c:v>0.99885981007337399</c:v>
                </c:pt>
                <c:pt idx="224">
                  <c:v>0.99960994368004696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'HARPable Universe'!$D$2</c:f>
              <c:strCache>
                <c:ptCount val="1"/>
                <c:pt idx="0">
                  <c:v>Regular</c:v>
                </c:pt>
              </c:strCache>
            </c:strRef>
          </c:tx>
          <c:marker>
            <c:symbol val="none"/>
          </c:marker>
          <c:cat>
            <c:numRef>
              <c:f>'HARPable Universe'!$B$3:$B$227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'HARPable Universe'!$D$3:$D$227</c:f>
              <c:numCache>
                <c:formatCode>General</c:formatCode>
                <c:ptCount val="225"/>
                <c:pt idx="0">
                  <c:v>0.32204130779229101</c:v>
                </c:pt>
                <c:pt idx="1">
                  <c:v>0.33944259689377898</c:v>
                </c:pt>
                <c:pt idx="2">
                  <c:v>0.32792342987711598</c:v>
                </c:pt>
                <c:pt idx="3">
                  <c:v>0.32039053977925802</c:v>
                </c:pt>
                <c:pt idx="4">
                  <c:v>0.295596785601205</c:v>
                </c:pt>
                <c:pt idx="5">
                  <c:v>0.234840435700295</c:v>
                </c:pt>
                <c:pt idx="6">
                  <c:v>0.25513974378513499</c:v>
                </c:pt>
                <c:pt idx="7">
                  <c:v>0.27027204570239999</c:v>
                </c:pt>
                <c:pt idx="8">
                  <c:v>0.27618659696598702</c:v>
                </c:pt>
                <c:pt idx="9">
                  <c:v>0.27593598906514399</c:v>
                </c:pt>
                <c:pt idx="10">
                  <c:v>0.30794837748269599</c:v>
                </c:pt>
                <c:pt idx="11">
                  <c:v>0.29055412632630701</c:v>
                </c:pt>
                <c:pt idx="12">
                  <c:v>0.276215339287747</c:v>
                </c:pt>
                <c:pt idx="13">
                  <c:v>0.28032672938051101</c:v>
                </c:pt>
                <c:pt idx="14">
                  <c:v>0.27639565795825799</c:v>
                </c:pt>
                <c:pt idx="15">
                  <c:v>0.29489367773778902</c:v>
                </c:pt>
                <c:pt idx="16">
                  <c:v>0.30100380523127301</c:v>
                </c:pt>
                <c:pt idx="17">
                  <c:v>0.32414763510163902</c:v>
                </c:pt>
                <c:pt idx="18">
                  <c:v>0.35120080584396202</c:v>
                </c:pt>
                <c:pt idx="19">
                  <c:v>0.35171549347634701</c:v>
                </c:pt>
                <c:pt idx="20">
                  <c:v>0.35587573298129699</c:v>
                </c:pt>
                <c:pt idx="21">
                  <c:v>0.384751810944437</c:v>
                </c:pt>
                <c:pt idx="22">
                  <c:v>0.40107831488719298</c:v>
                </c:pt>
                <c:pt idx="23">
                  <c:v>0.401048271232536</c:v>
                </c:pt>
                <c:pt idx="24">
                  <c:v>0.384751810944437</c:v>
                </c:pt>
                <c:pt idx="25">
                  <c:v>0.40017737051204799</c:v>
                </c:pt>
                <c:pt idx="26">
                  <c:v>0.36468183111139002</c:v>
                </c:pt>
                <c:pt idx="27">
                  <c:v>0.40333930019983799</c:v>
                </c:pt>
                <c:pt idx="28">
                  <c:v>0.38775372661303198</c:v>
                </c:pt>
                <c:pt idx="29">
                  <c:v>0.38003243735001302</c:v>
                </c:pt>
                <c:pt idx="30">
                  <c:v>0.44778093064805002</c:v>
                </c:pt>
                <c:pt idx="31">
                  <c:v>0.52006535712284097</c:v>
                </c:pt>
                <c:pt idx="32">
                  <c:v>0.58768687513124296</c:v>
                </c:pt>
                <c:pt idx="33">
                  <c:v>0.55816631773039305</c:v>
                </c:pt>
                <c:pt idx="34">
                  <c:v>0.56195750140436296</c:v>
                </c:pt>
                <c:pt idx="35">
                  <c:v>0.60700793412000198</c:v>
                </c:pt>
                <c:pt idx="36">
                  <c:v>0.61032822604557502</c:v>
                </c:pt>
                <c:pt idx="37">
                  <c:v>0.61032822604557502</c:v>
                </c:pt>
                <c:pt idx="38">
                  <c:v>0.64853433410786498</c:v>
                </c:pt>
                <c:pt idx="39">
                  <c:v>0.645956259094282</c:v>
                </c:pt>
                <c:pt idx="40">
                  <c:v>0.58447873508666104</c:v>
                </c:pt>
                <c:pt idx="41">
                  <c:v>0.59657753136731795</c:v>
                </c:pt>
                <c:pt idx="42">
                  <c:v>0.59967366222938401</c:v>
                </c:pt>
                <c:pt idx="43">
                  <c:v>0.63426200382067699</c:v>
                </c:pt>
                <c:pt idx="44">
                  <c:v>0.63427711234699902</c:v>
                </c:pt>
                <c:pt idx="45">
                  <c:v>0.63426200382067699</c:v>
                </c:pt>
                <c:pt idx="46">
                  <c:v>0.635648130355292</c:v>
                </c:pt>
                <c:pt idx="47">
                  <c:v>0.62458539335419805</c:v>
                </c:pt>
                <c:pt idx="48">
                  <c:v>0.62459894340621602</c:v>
                </c:pt>
                <c:pt idx="49">
                  <c:v>0.62737303113999399</c:v>
                </c:pt>
                <c:pt idx="50">
                  <c:v>0.64767108993784595</c:v>
                </c:pt>
                <c:pt idx="51">
                  <c:v>0.63728428479421295</c:v>
                </c:pt>
                <c:pt idx="52">
                  <c:v>0.63473367433484096</c:v>
                </c:pt>
                <c:pt idx="53">
                  <c:v>0.64586810672947803</c:v>
                </c:pt>
                <c:pt idx="54">
                  <c:v>0.64423993013390601</c:v>
                </c:pt>
                <c:pt idx="55">
                  <c:v>0.62201051152227504</c:v>
                </c:pt>
                <c:pt idx="56">
                  <c:v>0.64005936276544695</c:v>
                </c:pt>
                <c:pt idx="57">
                  <c:v>0.64005936276544695</c:v>
                </c:pt>
                <c:pt idx="58">
                  <c:v>0.64005936276544695</c:v>
                </c:pt>
                <c:pt idx="59">
                  <c:v>0.61808643863248902</c:v>
                </c:pt>
                <c:pt idx="60">
                  <c:v>0.62796244692019199</c:v>
                </c:pt>
                <c:pt idx="61">
                  <c:v>0.63624058874854394</c:v>
                </c:pt>
                <c:pt idx="62">
                  <c:v>0.62572384062849695</c:v>
                </c:pt>
                <c:pt idx="63">
                  <c:v>0.57002458854182303</c:v>
                </c:pt>
                <c:pt idx="64">
                  <c:v>0.613026013245069</c:v>
                </c:pt>
                <c:pt idx="65">
                  <c:v>0.64462607137328098</c:v>
                </c:pt>
                <c:pt idx="66">
                  <c:v>0.67706909583525099</c:v>
                </c:pt>
                <c:pt idx="67">
                  <c:v>0.65838549683501602</c:v>
                </c:pt>
                <c:pt idx="68">
                  <c:v>0.67706909583525099</c:v>
                </c:pt>
                <c:pt idx="69">
                  <c:v>0.70759479979039797</c:v>
                </c:pt>
                <c:pt idx="70">
                  <c:v>0.71147773162473305</c:v>
                </c:pt>
                <c:pt idx="71">
                  <c:v>0.72048705417655701</c:v>
                </c:pt>
                <c:pt idx="72">
                  <c:v>0.71747083126455002</c:v>
                </c:pt>
                <c:pt idx="73">
                  <c:v>0.72251040855348803</c:v>
                </c:pt>
                <c:pt idx="74">
                  <c:v>0.76469548566159196</c:v>
                </c:pt>
                <c:pt idx="75">
                  <c:v>0.75970865346687</c:v>
                </c:pt>
                <c:pt idx="76">
                  <c:v>0.76601871584032599</c:v>
                </c:pt>
                <c:pt idx="77">
                  <c:v>0.76601871584032599</c:v>
                </c:pt>
                <c:pt idx="78">
                  <c:v>0.77656524470940902</c:v>
                </c:pt>
                <c:pt idx="79">
                  <c:v>0.78357818362172504</c:v>
                </c:pt>
                <c:pt idx="80">
                  <c:v>0.78680943760229805</c:v>
                </c:pt>
                <c:pt idx="81">
                  <c:v>0.78926724871332199</c:v>
                </c:pt>
                <c:pt idx="82">
                  <c:v>0.79167204155684201</c:v>
                </c:pt>
                <c:pt idx="83">
                  <c:v>0.79119157211259705</c:v>
                </c:pt>
                <c:pt idx="84">
                  <c:v>0.78981685075272301</c:v>
                </c:pt>
                <c:pt idx="85">
                  <c:v>0.78342241627971398</c:v>
                </c:pt>
                <c:pt idx="86">
                  <c:v>0.79119157211259705</c:v>
                </c:pt>
                <c:pt idx="87">
                  <c:v>0.79869244722997501</c:v>
                </c:pt>
                <c:pt idx="88">
                  <c:v>0.80125181967528103</c:v>
                </c:pt>
                <c:pt idx="89">
                  <c:v>0.80486189051620305</c:v>
                </c:pt>
                <c:pt idx="90">
                  <c:v>0.80926691142062801</c:v>
                </c:pt>
                <c:pt idx="91">
                  <c:v>0.81286201159837101</c:v>
                </c:pt>
                <c:pt idx="92">
                  <c:v>0.81023413562504598</c:v>
                </c:pt>
                <c:pt idx="93">
                  <c:v>0.81175268314445304</c:v>
                </c:pt>
                <c:pt idx="94">
                  <c:v>0.809839941502147</c:v>
                </c:pt>
                <c:pt idx="95">
                  <c:v>0.81305878798935505</c:v>
                </c:pt>
                <c:pt idx="96">
                  <c:v>0.812945122249775</c:v>
                </c:pt>
                <c:pt idx="97">
                  <c:v>0.81568730147186896</c:v>
                </c:pt>
                <c:pt idx="98">
                  <c:v>0.81619201070139402</c:v>
                </c:pt>
                <c:pt idx="99">
                  <c:v>0.81567965422119304</c:v>
                </c:pt>
                <c:pt idx="100">
                  <c:v>0.81785115811029996</c:v>
                </c:pt>
                <c:pt idx="101">
                  <c:v>0.81814457584000999</c:v>
                </c:pt>
                <c:pt idx="102">
                  <c:v>0.81674451148550797</c:v>
                </c:pt>
                <c:pt idx="103">
                  <c:v>0.81764309369800603</c:v>
                </c:pt>
                <c:pt idx="104">
                  <c:v>0.82341532975696197</c:v>
                </c:pt>
                <c:pt idx="105">
                  <c:v>0.82080020350731497</c:v>
                </c:pt>
                <c:pt idx="106">
                  <c:v>0.82149229359926401</c:v>
                </c:pt>
                <c:pt idx="107">
                  <c:v>0.81986111028491404</c:v>
                </c:pt>
                <c:pt idx="108">
                  <c:v>0.81478312271985798</c:v>
                </c:pt>
                <c:pt idx="109">
                  <c:v>0.81882809099579801</c:v>
                </c:pt>
                <c:pt idx="110">
                  <c:v>0.81882809099579801</c:v>
                </c:pt>
                <c:pt idx="111">
                  <c:v>0.81745206005968196</c:v>
                </c:pt>
                <c:pt idx="112">
                  <c:v>0.82073842590296597</c:v>
                </c:pt>
                <c:pt idx="113">
                  <c:v>0.82850307416378899</c:v>
                </c:pt>
                <c:pt idx="114">
                  <c:v>0.82003372097846405</c:v>
                </c:pt>
                <c:pt idx="115">
                  <c:v>0.82553780316113101</c:v>
                </c:pt>
                <c:pt idx="116">
                  <c:v>0.82472458395839399</c:v>
                </c:pt>
                <c:pt idx="117">
                  <c:v>0.84328555765855695</c:v>
                </c:pt>
                <c:pt idx="118">
                  <c:v>0.84878046306266597</c:v>
                </c:pt>
                <c:pt idx="119">
                  <c:v>0.85066430465365805</c:v>
                </c:pt>
                <c:pt idx="120">
                  <c:v>0.84953189700775</c:v>
                </c:pt>
                <c:pt idx="121">
                  <c:v>0.86809283690983496</c:v>
                </c:pt>
                <c:pt idx="122">
                  <c:v>0.86549923979029997</c:v>
                </c:pt>
                <c:pt idx="123">
                  <c:v>0.86263586497337696</c:v>
                </c:pt>
                <c:pt idx="124">
                  <c:v>0.85860250393135296</c:v>
                </c:pt>
                <c:pt idx="125">
                  <c:v>0.83247184789062301</c:v>
                </c:pt>
                <c:pt idx="126">
                  <c:v>0.83759474015632596</c:v>
                </c:pt>
                <c:pt idx="127">
                  <c:v>0.823700334554193</c:v>
                </c:pt>
                <c:pt idx="128">
                  <c:v>0.82432391546961303</c:v>
                </c:pt>
                <c:pt idx="129">
                  <c:v>0.58169167101166497</c:v>
                </c:pt>
                <c:pt idx="130">
                  <c:v>0.71619679638174105</c:v>
                </c:pt>
                <c:pt idx="131">
                  <c:v>0.56754957680996199</c:v>
                </c:pt>
                <c:pt idx="132">
                  <c:v>0.674456067653048</c:v>
                </c:pt>
                <c:pt idx="133">
                  <c:v>0.67655434294099503</c:v>
                </c:pt>
                <c:pt idx="134">
                  <c:v>0.64055597334900805</c:v>
                </c:pt>
                <c:pt idx="135">
                  <c:v>0.64029309309363502</c:v>
                </c:pt>
                <c:pt idx="136">
                  <c:v>0.64029309309363502</c:v>
                </c:pt>
                <c:pt idx="137">
                  <c:v>0.55236674392539098</c:v>
                </c:pt>
                <c:pt idx="138">
                  <c:v>0.59640056248304896</c:v>
                </c:pt>
                <c:pt idx="139">
                  <c:v>0.57522237437054402</c:v>
                </c:pt>
                <c:pt idx="140">
                  <c:v>0.55927995080584203</c:v>
                </c:pt>
                <c:pt idx="141">
                  <c:v>0.60260582931028095</c:v>
                </c:pt>
                <c:pt idx="142">
                  <c:v>0.72850837742778696</c:v>
                </c:pt>
                <c:pt idx="143">
                  <c:v>0.769426288466591</c:v>
                </c:pt>
                <c:pt idx="144">
                  <c:v>0.76833211087653297</c:v>
                </c:pt>
                <c:pt idx="145">
                  <c:v>0.732195057450439</c:v>
                </c:pt>
                <c:pt idx="146">
                  <c:v>0.79336710567798696</c:v>
                </c:pt>
                <c:pt idx="147">
                  <c:v>0.81149174558591197</c:v>
                </c:pt>
                <c:pt idx="148">
                  <c:v>0.79173406072518504</c:v>
                </c:pt>
                <c:pt idx="149">
                  <c:v>0.68857017211934701</c:v>
                </c:pt>
                <c:pt idx="150">
                  <c:v>0.76948544283018205</c:v>
                </c:pt>
                <c:pt idx="151">
                  <c:v>0.73153515943713499</c:v>
                </c:pt>
                <c:pt idx="152">
                  <c:v>0.64271311842684598</c:v>
                </c:pt>
                <c:pt idx="153">
                  <c:v>0.64127080834763694</c:v>
                </c:pt>
                <c:pt idx="154">
                  <c:v>0.58358220441457098</c:v>
                </c:pt>
                <c:pt idx="155">
                  <c:v>0.57997892806395601</c:v>
                </c:pt>
                <c:pt idx="156">
                  <c:v>0.555096534677191</c:v>
                </c:pt>
                <c:pt idx="157">
                  <c:v>0.59351739235175405</c:v>
                </c:pt>
                <c:pt idx="158">
                  <c:v>0.640010525508934</c:v>
                </c:pt>
                <c:pt idx="159">
                  <c:v>0.641007859456873</c:v>
                </c:pt>
                <c:pt idx="160">
                  <c:v>0.72590930220267003</c:v>
                </c:pt>
                <c:pt idx="161">
                  <c:v>0.76715832931317196</c:v>
                </c:pt>
                <c:pt idx="162">
                  <c:v>0.73079513071076196</c:v>
                </c:pt>
                <c:pt idx="163">
                  <c:v>0.68632933440003197</c:v>
                </c:pt>
                <c:pt idx="164">
                  <c:v>0.684442361485053</c:v>
                </c:pt>
                <c:pt idx="165">
                  <c:v>0.73198493777118001</c:v>
                </c:pt>
                <c:pt idx="166">
                  <c:v>0.68652732115680604</c:v>
                </c:pt>
                <c:pt idx="167">
                  <c:v>0.73018796633644001</c:v>
                </c:pt>
                <c:pt idx="168">
                  <c:v>0.68450438143886005</c:v>
                </c:pt>
                <c:pt idx="169">
                  <c:v>0.65157328022433403</c:v>
                </c:pt>
                <c:pt idx="170">
                  <c:v>0.69782122652957301</c:v>
                </c:pt>
                <c:pt idx="171">
                  <c:v>0.74322583937257003</c:v>
                </c:pt>
                <c:pt idx="172">
                  <c:v>0.741465269880487</c:v>
                </c:pt>
                <c:pt idx="173">
                  <c:v>0.75311294857435296</c:v>
                </c:pt>
                <c:pt idx="174">
                  <c:v>0.81447465128368302</c:v>
                </c:pt>
                <c:pt idx="175">
                  <c:v>0.81448915279691303</c:v>
                </c:pt>
                <c:pt idx="176">
                  <c:v>0.83369685729657195</c:v>
                </c:pt>
                <c:pt idx="177">
                  <c:v>0.83441070814585505</c:v>
                </c:pt>
                <c:pt idx="178">
                  <c:v>0.84407077334338998</c:v>
                </c:pt>
                <c:pt idx="179">
                  <c:v>0.824454253938531</c:v>
                </c:pt>
                <c:pt idx="180">
                  <c:v>0.82589246523279602</c:v>
                </c:pt>
                <c:pt idx="181">
                  <c:v>0.84407077334338998</c:v>
                </c:pt>
                <c:pt idx="182">
                  <c:v>0.86674293264243896</c:v>
                </c:pt>
                <c:pt idx="183">
                  <c:v>0.82890227253426596</c:v>
                </c:pt>
                <c:pt idx="184">
                  <c:v>0.84648587198714098</c:v>
                </c:pt>
                <c:pt idx="185">
                  <c:v>0.84648587198714098</c:v>
                </c:pt>
                <c:pt idx="186">
                  <c:v>0.84693805880599304</c:v>
                </c:pt>
                <c:pt idx="187">
                  <c:v>0.83214930029007805</c:v>
                </c:pt>
                <c:pt idx="188">
                  <c:v>0.84983360370315197</c:v>
                </c:pt>
                <c:pt idx="189">
                  <c:v>0.87098339925649604</c:v>
                </c:pt>
                <c:pt idx="190">
                  <c:v>0.87098339925649604</c:v>
                </c:pt>
                <c:pt idx="191">
                  <c:v>0.87380583264278999</c:v>
                </c:pt>
                <c:pt idx="192">
                  <c:v>0.87282316645630098</c:v>
                </c:pt>
                <c:pt idx="193">
                  <c:v>0.83339683915826901</c:v>
                </c:pt>
                <c:pt idx="194">
                  <c:v>0.83469677777951401</c:v>
                </c:pt>
                <c:pt idx="195">
                  <c:v>0.85275490992422898</c:v>
                </c:pt>
                <c:pt idx="196">
                  <c:v>0.87407306805923601</c:v>
                </c:pt>
                <c:pt idx="197">
                  <c:v>0.90427695834799704</c:v>
                </c:pt>
                <c:pt idx="198">
                  <c:v>0.91415871688142003</c:v>
                </c:pt>
                <c:pt idx="199">
                  <c:v>0.90425801000292305</c:v>
                </c:pt>
                <c:pt idx="200">
                  <c:v>0.89330807391308997</c:v>
                </c:pt>
                <c:pt idx="201">
                  <c:v>0.89333391711787102</c:v>
                </c:pt>
                <c:pt idx="202">
                  <c:v>0.905011241503064</c:v>
                </c:pt>
                <c:pt idx="203">
                  <c:v>0.90562471296629599</c:v>
                </c:pt>
                <c:pt idx="204">
                  <c:v>0.91738283856560698</c:v>
                </c:pt>
                <c:pt idx="205">
                  <c:v>0.91630211530110295</c:v>
                </c:pt>
                <c:pt idx="206">
                  <c:v>0.92646419287507198</c:v>
                </c:pt>
                <c:pt idx="207">
                  <c:v>0.92571360320613905</c:v>
                </c:pt>
                <c:pt idx="208">
                  <c:v>0.91736458306846103</c:v>
                </c:pt>
                <c:pt idx="209">
                  <c:v>0.93802679486435903</c:v>
                </c:pt>
                <c:pt idx="210">
                  <c:v>0.94118254536371704</c:v>
                </c:pt>
                <c:pt idx="211">
                  <c:v>0.94123508910533804</c:v>
                </c:pt>
                <c:pt idx="212">
                  <c:v>0.94118254536371704</c:v>
                </c:pt>
                <c:pt idx="213">
                  <c:v>0.94276245790638102</c:v>
                </c:pt>
                <c:pt idx="214">
                  <c:v>0.94029174019523298</c:v>
                </c:pt>
                <c:pt idx="215">
                  <c:v>0.93829546422584498</c:v>
                </c:pt>
                <c:pt idx="216">
                  <c:v>0.93258058102369301</c:v>
                </c:pt>
                <c:pt idx="217">
                  <c:v>0.93870362974987798</c:v>
                </c:pt>
                <c:pt idx="218">
                  <c:v>0.92338991003179305</c:v>
                </c:pt>
                <c:pt idx="219">
                  <c:v>0.93778619299504695</c:v>
                </c:pt>
                <c:pt idx="220">
                  <c:v>0.94062134279207998</c:v>
                </c:pt>
                <c:pt idx="221">
                  <c:v>0.94047446142896596</c:v>
                </c:pt>
                <c:pt idx="222">
                  <c:v>0.94241786802401695</c:v>
                </c:pt>
                <c:pt idx="223">
                  <c:v>0.94078919694529395</c:v>
                </c:pt>
                <c:pt idx="224">
                  <c:v>0.94300276803956395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641152"/>
        <c:axId val="392782208"/>
      </c:lineChart>
      <c:dateAx>
        <c:axId val="392641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2782208"/>
        <c:crosses val="autoZero"/>
        <c:auto val="1"/>
        <c:lblOffset val="100"/>
        <c:baseTimeUnit val="days"/>
      </c:dateAx>
      <c:valAx>
        <c:axId val="39278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641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'HARPable Universe'!$K$2</c:f>
              <c:strCache>
                <c:ptCount val="1"/>
                <c:pt idx="0">
                  <c:v>HARPable Balance</c:v>
                </c:pt>
              </c:strCache>
            </c:strRef>
          </c:tx>
          <c:marker>
            <c:symbol val="none"/>
          </c:marker>
          <c:cat>
            <c:numRef>
              <c:f>'HARPable Universe'!$I$3:$I$228</c:f>
              <c:numCache>
                <c:formatCode>m/d/yyyy</c:formatCode>
                <c:ptCount val="226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  <c:pt idx="225">
                  <c:v>42124</c:v>
                </c:pt>
              </c:numCache>
            </c:numRef>
          </c:cat>
          <c:val>
            <c:numRef>
              <c:f>'HARPable Universe'!$K$3:$K$228</c:f>
              <c:numCache>
                <c:formatCode>_(* #,##0_);_(* \(#,##0\);_(* "-"??_);_(@_)</c:formatCode>
                <c:ptCount val="226"/>
                <c:pt idx="0">
                  <c:v>511152631253.10303</c:v>
                </c:pt>
                <c:pt idx="1">
                  <c:v>511152631253.10303</c:v>
                </c:pt>
                <c:pt idx="2">
                  <c:v>511152631253.10303</c:v>
                </c:pt>
                <c:pt idx="3">
                  <c:v>511152631253.10303</c:v>
                </c:pt>
                <c:pt idx="4">
                  <c:v>498355321367.67102</c:v>
                </c:pt>
                <c:pt idx="5">
                  <c:v>498355321367.67102</c:v>
                </c:pt>
                <c:pt idx="6">
                  <c:v>498355321367.67102</c:v>
                </c:pt>
                <c:pt idx="7">
                  <c:v>498355321367.67102</c:v>
                </c:pt>
                <c:pt idx="8">
                  <c:v>487217270284.03302</c:v>
                </c:pt>
                <c:pt idx="9">
                  <c:v>487217270284.03302</c:v>
                </c:pt>
                <c:pt idx="10">
                  <c:v>487217270284.03302</c:v>
                </c:pt>
                <c:pt idx="11">
                  <c:v>487217270284.03302</c:v>
                </c:pt>
                <c:pt idx="12">
                  <c:v>487217270284.03302</c:v>
                </c:pt>
                <c:pt idx="13">
                  <c:v>478049332159.64398</c:v>
                </c:pt>
                <c:pt idx="14">
                  <c:v>478049332159.64398</c:v>
                </c:pt>
                <c:pt idx="15">
                  <c:v>478049332159.64398</c:v>
                </c:pt>
                <c:pt idx="16">
                  <c:v>478049332159.64398</c:v>
                </c:pt>
                <c:pt idx="17">
                  <c:v>470003496681.77802</c:v>
                </c:pt>
                <c:pt idx="18">
                  <c:v>470003496681.77802</c:v>
                </c:pt>
                <c:pt idx="19">
                  <c:v>470003496681.77802</c:v>
                </c:pt>
                <c:pt idx="20">
                  <c:v>470003496681.77802</c:v>
                </c:pt>
                <c:pt idx="21">
                  <c:v>462480304706.05603</c:v>
                </c:pt>
                <c:pt idx="22">
                  <c:v>462480304706.05603</c:v>
                </c:pt>
                <c:pt idx="23">
                  <c:v>462480304706.05603</c:v>
                </c:pt>
                <c:pt idx="24">
                  <c:v>462480304706.05603</c:v>
                </c:pt>
                <c:pt idx="25">
                  <c:v>462480304706.05603</c:v>
                </c:pt>
                <c:pt idx="26">
                  <c:v>454274419000.159</c:v>
                </c:pt>
                <c:pt idx="27">
                  <c:v>454274419000.159</c:v>
                </c:pt>
                <c:pt idx="28">
                  <c:v>454274419000.159</c:v>
                </c:pt>
                <c:pt idx="29">
                  <c:v>454274419000.159</c:v>
                </c:pt>
                <c:pt idx="30">
                  <c:v>446036314532.50897</c:v>
                </c:pt>
                <c:pt idx="31">
                  <c:v>446036314532.50897</c:v>
                </c:pt>
                <c:pt idx="32">
                  <c:v>446036314532.50897</c:v>
                </c:pt>
                <c:pt idx="33">
                  <c:v>446036314532.50897</c:v>
                </c:pt>
                <c:pt idx="34">
                  <c:v>436967852620.36298</c:v>
                </c:pt>
                <c:pt idx="35">
                  <c:v>436967852620.36298</c:v>
                </c:pt>
                <c:pt idx="36">
                  <c:v>436967852620.36298</c:v>
                </c:pt>
                <c:pt idx="37">
                  <c:v>436967852620.36298</c:v>
                </c:pt>
                <c:pt idx="38">
                  <c:v>436967852620.36298</c:v>
                </c:pt>
                <c:pt idx="39">
                  <c:v>426018974879.43103</c:v>
                </c:pt>
                <c:pt idx="40">
                  <c:v>426018974879.43103</c:v>
                </c:pt>
                <c:pt idx="41">
                  <c:v>426018974879.43103</c:v>
                </c:pt>
                <c:pt idx="42">
                  <c:v>426018974879.43103</c:v>
                </c:pt>
                <c:pt idx="43">
                  <c:v>412851613521.01099</c:v>
                </c:pt>
                <c:pt idx="44">
                  <c:v>412851613521.01099</c:v>
                </c:pt>
                <c:pt idx="45">
                  <c:v>412851613521.01099</c:v>
                </c:pt>
                <c:pt idx="46">
                  <c:v>412851613521.01099</c:v>
                </c:pt>
                <c:pt idx="47">
                  <c:v>399942599684.46997</c:v>
                </c:pt>
                <c:pt idx="48">
                  <c:v>399942599684.46997</c:v>
                </c:pt>
                <c:pt idx="49">
                  <c:v>399942599684.46997</c:v>
                </c:pt>
                <c:pt idx="50">
                  <c:v>399942599684.46997</c:v>
                </c:pt>
                <c:pt idx="51">
                  <c:v>399942599684.46997</c:v>
                </c:pt>
                <c:pt idx="52">
                  <c:v>388008884102.70697</c:v>
                </c:pt>
                <c:pt idx="53">
                  <c:v>388008884102.70697</c:v>
                </c:pt>
                <c:pt idx="54">
                  <c:v>388008884102.70697</c:v>
                </c:pt>
                <c:pt idx="55">
                  <c:v>388008884102.70697</c:v>
                </c:pt>
                <c:pt idx="56">
                  <c:v>377010024939.07202</c:v>
                </c:pt>
                <c:pt idx="57">
                  <c:v>377010024939.07202</c:v>
                </c:pt>
                <c:pt idx="58">
                  <c:v>377010024939.07202</c:v>
                </c:pt>
                <c:pt idx="59">
                  <c:v>377010024939.07202</c:v>
                </c:pt>
                <c:pt idx="60">
                  <c:v>364462334224.22998</c:v>
                </c:pt>
                <c:pt idx="61">
                  <c:v>364462334224.22998</c:v>
                </c:pt>
                <c:pt idx="62">
                  <c:v>364462334224.22998</c:v>
                </c:pt>
                <c:pt idx="63">
                  <c:v>364462334224.22998</c:v>
                </c:pt>
                <c:pt idx="64">
                  <c:v>364462334224.22998</c:v>
                </c:pt>
                <c:pt idx="65">
                  <c:v>350890768985.05603</c:v>
                </c:pt>
                <c:pt idx="66">
                  <c:v>350890768985.05603</c:v>
                </c:pt>
                <c:pt idx="67">
                  <c:v>350890768985.05603</c:v>
                </c:pt>
                <c:pt idx="68">
                  <c:v>350890768985.05603</c:v>
                </c:pt>
                <c:pt idx="69">
                  <c:v>338046228672.72302</c:v>
                </c:pt>
                <c:pt idx="70">
                  <c:v>338046228672.72302</c:v>
                </c:pt>
                <c:pt idx="71">
                  <c:v>338046228672.72302</c:v>
                </c:pt>
                <c:pt idx="72">
                  <c:v>338046228672.72302</c:v>
                </c:pt>
                <c:pt idx="73">
                  <c:v>338046228672.72302</c:v>
                </c:pt>
                <c:pt idx="74">
                  <c:v>324611094201.94598</c:v>
                </c:pt>
                <c:pt idx="75">
                  <c:v>324611094201.94598</c:v>
                </c:pt>
                <c:pt idx="76">
                  <c:v>324611094201.94598</c:v>
                </c:pt>
                <c:pt idx="77">
                  <c:v>324611094201.94598</c:v>
                </c:pt>
                <c:pt idx="78">
                  <c:v>311798813958.06299</c:v>
                </c:pt>
                <c:pt idx="79">
                  <c:v>311798813958.06299</c:v>
                </c:pt>
                <c:pt idx="80">
                  <c:v>311798813958.06299</c:v>
                </c:pt>
                <c:pt idx="81">
                  <c:v>311798813958.06299</c:v>
                </c:pt>
                <c:pt idx="82">
                  <c:v>299045132715.31299</c:v>
                </c:pt>
                <c:pt idx="83">
                  <c:v>299045132715.31299</c:v>
                </c:pt>
                <c:pt idx="84">
                  <c:v>299045132715.31299</c:v>
                </c:pt>
                <c:pt idx="85">
                  <c:v>299045132715.31299</c:v>
                </c:pt>
                <c:pt idx="86">
                  <c:v>299045132715.31299</c:v>
                </c:pt>
                <c:pt idx="87">
                  <c:v>285566306127.30701</c:v>
                </c:pt>
                <c:pt idx="88">
                  <c:v>285566306127.30701</c:v>
                </c:pt>
                <c:pt idx="89">
                  <c:v>285566306127.30701</c:v>
                </c:pt>
                <c:pt idx="90">
                  <c:v>285566306127.30701</c:v>
                </c:pt>
                <c:pt idx="91">
                  <c:v>273811402301.38901</c:v>
                </c:pt>
                <c:pt idx="92">
                  <c:v>273811402301.38901</c:v>
                </c:pt>
                <c:pt idx="93">
                  <c:v>273811402301.38901</c:v>
                </c:pt>
                <c:pt idx="94">
                  <c:v>273811402301.38901</c:v>
                </c:pt>
                <c:pt idx="95">
                  <c:v>261291167855.54599</c:v>
                </c:pt>
                <c:pt idx="96">
                  <c:v>261291167855.54599</c:v>
                </c:pt>
                <c:pt idx="97">
                  <c:v>261291167855.54599</c:v>
                </c:pt>
                <c:pt idx="98">
                  <c:v>261291167855.54599</c:v>
                </c:pt>
                <c:pt idx="99">
                  <c:v>261291167855.54599</c:v>
                </c:pt>
                <c:pt idx="100">
                  <c:v>249957281866.888</c:v>
                </c:pt>
                <c:pt idx="101">
                  <c:v>249957281866.888</c:v>
                </c:pt>
                <c:pt idx="102">
                  <c:v>249957281866.888</c:v>
                </c:pt>
                <c:pt idx="103">
                  <c:v>249957281866.888</c:v>
                </c:pt>
                <c:pt idx="104">
                  <c:v>238607531217.349</c:v>
                </c:pt>
                <c:pt idx="105">
                  <c:v>238607531217.349</c:v>
                </c:pt>
                <c:pt idx="106">
                  <c:v>238607531217.349</c:v>
                </c:pt>
                <c:pt idx="107">
                  <c:v>238607531217.349</c:v>
                </c:pt>
                <c:pt idx="108">
                  <c:v>238607531217.349</c:v>
                </c:pt>
                <c:pt idx="109">
                  <c:v>227504189704.84799</c:v>
                </c:pt>
                <c:pt idx="110">
                  <c:v>227504189704.84799</c:v>
                </c:pt>
                <c:pt idx="111">
                  <c:v>227504189704.84799</c:v>
                </c:pt>
                <c:pt idx="112">
                  <c:v>227504189704.84799</c:v>
                </c:pt>
                <c:pt idx="113">
                  <c:v>216694156147.63699</c:v>
                </c:pt>
                <c:pt idx="114">
                  <c:v>216694156147.63699</c:v>
                </c:pt>
                <c:pt idx="115">
                  <c:v>216694156147.63699</c:v>
                </c:pt>
                <c:pt idx="116">
                  <c:v>216694156147.63699</c:v>
                </c:pt>
                <c:pt idx="117">
                  <c:v>205810683336.68799</c:v>
                </c:pt>
                <c:pt idx="118">
                  <c:v>205810683336.68799</c:v>
                </c:pt>
                <c:pt idx="119">
                  <c:v>205810683336.68799</c:v>
                </c:pt>
                <c:pt idx="120">
                  <c:v>205810683336.68799</c:v>
                </c:pt>
                <c:pt idx="121">
                  <c:v>195225890723.888</c:v>
                </c:pt>
                <c:pt idx="122">
                  <c:v>195225890723.888</c:v>
                </c:pt>
                <c:pt idx="123">
                  <c:v>195225890723.888</c:v>
                </c:pt>
                <c:pt idx="124">
                  <c:v>195225890723.888</c:v>
                </c:pt>
                <c:pt idx="125">
                  <c:v>195225890723.888</c:v>
                </c:pt>
                <c:pt idx="126">
                  <c:v>185053119902.13599</c:v>
                </c:pt>
                <c:pt idx="127">
                  <c:v>185053119902.13599</c:v>
                </c:pt>
                <c:pt idx="128">
                  <c:v>185053119902.13599</c:v>
                </c:pt>
                <c:pt idx="129">
                  <c:v>185053119902.13599</c:v>
                </c:pt>
                <c:pt idx="130">
                  <c:v>176083452320.259</c:v>
                </c:pt>
                <c:pt idx="131">
                  <c:v>176083452320.259</c:v>
                </c:pt>
                <c:pt idx="132">
                  <c:v>176083452320.259</c:v>
                </c:pt>
                <c:pt idx="133">
                  <c:v>176083452320.259</c:v>
                </c:pt>
                <c:pt idx="134">
                  <c:v>167577702279.88699</c:v>
                </c:pt>
                <c:pt idx="135">
                  <c:v>167577702279.88699</c:v>
                </c:pt>
                <c:pt idx="136">
                  <c:v>167577702279.88699</c:v>
                </c:pt>
                <c:pt idx="137">
                  <c:v>167577702279.88699</c:v>
                </c:pt>
                <c:pt idx="138">
                  <c:v>167577702279.88699</c:v>
                </c:pt>
                <c:pt idx="139">
                  <c:v>160787339683.77899</c:v>
                </c:pt>
                <c:pt idx="140">
                  <c:v>160787339683.77899</c:v>
                </c:pt>
                <c:pt idx="141">
                  <c:v>160787339683.77899</c:v>
                </c:pt>
                <c:pt idx="142">
                  <c:v>160787339683.77899</c:v>
                </c:pt>
                <c:pt idx="143">
                  <c:v>155649461575.04901</c:v>
                </c:pt>
                <c:pt idx="144">
                  <c:v>155649461575.04901</c:v>
                </c:pt>
                <c:pt idx="145">
                  <c:v>155649461575.04901</c:v>
                </c:pt>
                <c:pt idx="146">
                  <c:v>155649461575.04901</c:v>
                </c:pt>
                <c:pt idx="147">
                  <c:v>155649461575.04901</c:v>
                </c:pt>
                <c:pt idx="148">
                  <c:v>151540990492.15701</c:v>
                </c:pt>
                <c:pt idx="149">
                  <c:v>151540990492.15701</c:v>
                </c:pt>
                <c:pt idx="150">
                  <c:v>151540990492.15701</c:v>
                </c:pt>
                <c:pt idx="151">
                  <c:v>151540990492.15701</c:v>
                </c:pt>
                <c:pt idx="152">
                  <c:v>147596217220.30301</c:v>
                </c:pt>
                <c:pt idx="153">
                  <c:v>147596217220.30301</c:v>
                </c:pt>
                <c:pt idx="154">
                  <c:v>147596217220.30301</c:v>
                </c:pt>
                <c:pt idx="155">
                  <c:v>147596217220.30301</c:v>
                </c:pt>
                <c:pt idx="156">
                  <c:v>143491329926.00299</c:v>
                </c:pt>
                <c:pt idx="157">
                  <c:v>143491329926.00299</c:v>
                </c:pt>
                <c:pt idx="158">
                  <c:v>143491329926.00299</c:v>
                </c:pt>
                <c:pt idx="159">
                  <c:v>143491329926.00299</c:v>
                </c:pt>
                <c:pt idx="160">
                  <c:v>143491329926.00299</c:v>
                </c:pt>
                <c:pt idx="161">
                  <c:v>140177207664.35901</c:v>
                </c:pt>
                <c:pt idx="162">
                  <c:v>140177207664.35901</c:v>
                </c:pt>
                <c:pt idx="163">
                  <c:v>140177207664.35901</c:v>
                </c:pt>
                <c:pt idx="164">
                  <c:v>140177207664.35901</c:v>
                </c:pt>
                <c:pt idx="165">
                  <c:v>137302780283.616</c:v>
                </c:pt>
                <c:pt idx="166">
                  <c:v>137302780283.616</c:v>
                </c:pt>
                <c:pt idx="167">
                  <c:v>137302780283.616</c:v>
                </c:pt>
                <c:pt idx="168">
                  <c:v>137302780283.616</c:v>
                </c:pt>
                <c:pt idx="169">
                  <c:v>134084311974.908</c:v>
                </c:pt>
                <c:pt idx="170">
                  <c:v>134084311974.908</c:v>
                </c:pt>
                <c:pt idx="171">
                  <c:v>134084311974.908</c:v>
                </c:pt>
                <c:pt idx="172">
                  <c:v>134084311974.908</c:v>
                </c:pt>
                <c:pt idx="173">
                  <c:v>131022110576.76801</c:v>
                </c:pt>
                <c:pt idx="174">
                  <c:v>131022110576.76801</c:v>
                </c:pt>
                <c:pt idx="175">
                  <c:v>131022110576.76801</c:v>
                </c:pt>
                <c:pt idx="176">
                  <c:v>131022110576.76801</c:v>
                </c:pt>
                <c:pt idx="177">
                  <c:v>131022110576.76801</c:v>
                </c:pt>
                <c:pt idx="178">
                  <c:v>127996673162.017</c:v>
                </c:pt>
                <c:pt idx="179">
                  <c:v>127996673162.017</c:v>
                </c:pt>
                <c:pt idx="180">
                  <c:v>127996673162.017</c:v>
                </c:pt>
                <c:pt idx="181">
                  <c:v>127996673162.017</c:v>
                </c:pt>
                <c:pt idx="182">
                  <c:v>124999566160.547</c:v>
                </c:pt>
                <c:pt idx="183">
                  <c:v>124999566160.547</c:v>
                </c:pt>
                <c:pt idx="184">
                  <c:v>124999566160.547</c:v>
                </c:pt>
                <c:pt idx="185">
                  <c:v>124999566160.547</c:v>
                </c:pt>
                <c:pt idx="186">
                  <c:v>124999566160.547</c:v>
                </c:pt>
                <c:pt idx="187">
                  <c:v>122034558755.91701</c:v>
                </c:pt>
                <c:pt idx="188">
                  <c:v>122034558755.91701</c:v>
                </c:pt>
                <c:pt idx="189">
                  <c:v>122034558755.91701</c:v>
                </c:pt>
                <c:pt idx="190">
                  <c:v>122034558755.91701</c:v>
                </c:pt>
                <c:pt idx="191">
                  <c:v>119186886371.356</c:v>
                </c:pt>
                <c:pt idx="192">
                  <c:v>119186886371.356</c:v>
                </c:pt>
                <c:pt idx="193">
                  <c:v>119186886371.356</c:v>
                </c:pt>
                <c:pt idx="194">
                  <c:v>119186886371.356</c:v>
                </c:pt>
                <c:pt idx="195">
                  <c:v>116367013129.366</c:v>
                </c:pt>
                <c:pt idx="196">
                  <c:v>116367013129.366</c:v>
                </c:pt>
                <c:pt idx="197">
                  <c:v>116367013129.366</c:v>
                </c:pt>
                <c:pt idx="198">
                  <c:v>116367013129.366</c:v>
                </c:pt>
                <c:pt idx="199">
                  <c:v>116367013129.366</c:v>
                </c:pt>
                <c:pt idx="200">
                  <c:v>113578619016.686</c:v>
                </c:pt>
                <c:pt idx="201">
                  <c:v>113578619016.686</c:v>
                </c:pt>
                <c:pt idx="202">
                  <c:v>113578619016.686</c:v>
                </c:pt>
                <c:pt idx="203">
                  <c:v>113578619016.686</c:v>
                </c:pt>
                <c:pt idx="204">
                  <c:v>111141034606.26401</c:v>
                </c:pt>
                <c:pt idx="205">
                  <c:v>111141034606.26401</c:v>
                </c:pt>
                <c:pt idx="206">
                  <c:v>111141034606.26401</c:v>
                </c:pt>
                <c:pt idx="207">
                  <c:v>111141034606.26401</c:v>
                </c:pt>
                <c:pt idx="208">
                  <c:v>111141034606.26401</c:v>
                </c:pt>
                <c:pt idx="209">
                  <c:v>108459729439.83501</c:v>
                </c:pt>
                <c:pt idx="210">
                  <c:v>108459729439.83501</c:v>
                </c:pt>
                <c:pt idx="211">
                  <c:v>108459729439.83501</c:v>
                </c:pt>
                <c:pt idx="212">
                  <c:v>108459729439.83501</c:v>
                </c:pt>
                <c:pt idx="213">
                  <c:v>106176807405.543</c:v>
                </c:pt>
                <c:pt idx="214">
                  <c:v>106176807405.543</c:v>
                </c:pt>
                <c:pt idx="215">
                  <c:v>106176807405.543</c:v>
                </c:pt>
                <c:pt idx="216">
                  <c:v>106176807405.543</c:v>
                </c:pt>
                <c:pt idx="217">
                  <c:v>103782963597.884</c:v>
                </c:pt>
                <c:pt idx="218">
                  <c:v>103782963597.884</c:v>
                </c:pt>
                <c:pt idx="219">
                  <c:v>103782963597.884</c:v>
                </c:pt>
                <c:pt idx="220">
                  <c:v>103782963597.884</c:v>
                </c:pt>
                <c:pt idx="221">
                  <c:v>100652792127.048</c:v>
                </c:pt>
                <c:pt idx="222">
                  <c:v>100652792127.048</c:v>
                </c:pt>
                <c:pt idx="223">
                  <c:v>100652792127.048</c:v>
                </c:pt>
                <c:pt idx="224">
                  <c:v>100652792127.048</c:v>
                </c:pt>
                <c:pt idx="225">
                  <c:v>100652792127.048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'HARPable Universe'!$L$2</c:f>
              <c:strCache>
                <c:ptCount val="1"/>
                <c:pt idx="0">
                  <c:v>Total Balance</c:v>
                </c:pt>
              </c:strCache>
            </c:strRef>
          </c:tx>
          <c:marker>
            <c:symbol val="none"/>
          </c:marker>
          <c:cat>
            <c:numRef>
              <c:f>'HARPable Universe'!$I$3:$I$228</c:f>
              <c:numCache>
                <c:formatCode>m/d/yyyy</c:formatCode>
                <c:ptCount val="226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  <c:pt idx="225">
                  <c:v>42124</c:v>
                </c:pt>
              </c:numCache>
            </c:numRef>
          </c:cat>
          <c:val>
            <c:numRef>
              <c:f>'HARPable Universe'!$L$3:$L$228</c:f>
              <c:numCache>
                <c:formatCode>_(* #,##0_);_(* \(#,##0\);_(* "-"??_);_(@_)</c:formatCode>
                <c:ptCount val="226"/>
                <c:pt idx="0">
                  <c:v>895480193330.53601</c:v>
                </c:pt>
                <c:pt idx="1">
                  <c:v>895480193330.53601</c:v>
                </c:pt>
                <c:pt idx="2">
                  <c:v>895480193330.53601</c:v>
                </c:pt>
                <c:pt idx="3">
                  <c:v>895480193330.53601</c:v>
                </c:pt>
                <c:pt idx="4">
                  <c:v>900632902369.08301</c:v>
                </c:pt>
                <c:pt idx="5">
                  <c:v>900632902369.08301</c:v>
                </c:pt>
                <c:pt idx="6">
                  <c:v>900632902369.08301</c:v>
                </c:pt>
                <c:pt idx="7">
                  <c:v>900632902369.08301</c:v>
                </c:pt>
                <c:pt idx="8">
                  <c:v>898485534285.64099</c:v>
                </c:pt>
                <c:pt idx="9">
                  <c:v>898485534285.64099</c:v>
                </c:pt>
                <c:pt idx="10">
                  <c:v>898485534285.64099</c:v>
                </c:pt>
                <c:pt idx="11">
                  <c:v>898485534285.64099</c:v>
                </c:pt>
                <c:pt idx="12">
                  <c:v>898485534285.64099</c:v>
                </c:pt>
                <c:pt idx="13">
                  <c:v>898010001419.72205</c:v>
                </c:pt>
                <c:pt idx="14">
                  <c:v>898010001419.72205</c:v>
                </c:pt>
                <c:pt idx="15">
                  <c:v>898010001419.72205</c:v>
                </c:pt>
                <c:pt idx="16">
                  <c:v>898010001419.72205</c:v>
                </c:pt>
                <c:pt idx="17">
                  <c:v>897679401564.875</c:v>
                </c:pt>
                <c:pt idx="18">
                  <c:v>897679401564.875</c:v>
                </c:pt>
                <c:pt idx="19">
                  <c:v>897679401564.875</c:v>
                </c:pt>
                <c:pt idx="20">
                  <c:v>897679401564.875</c:v>
                </c:pt>
                <c:pt idx="21">
                  <c:v>898925930940.14294</c:v>
                </c:pt>
                <c:pt idx="22">
                  <c:v>898925930940.14294</c:v>
                </c:pt>
                <c:pt idx="23">
                  <c:v>898925930940.14294</c:v>
                </c:pt>
                <c:pt idx="24">
                  <c:v>898925930940.14294</c:v>
                </c:pt>
                <c:pt idx="25">
                  <c:v>898925930940.14294</c:v>
                </c:pt>
                <c:pt idx="26">
                  <c:v>896187746439.72998</c:v>
                </c:pt>
                <c:pt idx="27">
                  <c:v>896187746439.72998</c:v>
                </c:pt>
                <c:pt idx="28">
                  <c:v>896187746439.72998</c:v>
                </c:pt>
                <c:pt idx="29">
                  <c:v>896187746439.72998</c:v>
                </c:pt>
                <c:pt idx="30">
                  <c:v>896440206380.84204</c:v>
                </c:pt>
                <c:pt idx="31">
                  <c:v>896440206380.84204</c:v>
                </c:pt>
                <c:pt idx="32">
                  <c:v>896440206380.84204</c:v>
                </c:pt>
                <c:pt idx="33">
                  <c:v>896440206380.84204</c:v>
                </c:pt>
                <c:pt idx="34">
                  <c:v>895897744776.50806</c:v>
                </c:pt>
                <c:pt idx="35">
                  <c:v>895897744776.50806</c:v>
                </c:pt>
                <c:pt idx="36">
                  <c:v>895897744776.50806</c:v>
                </c:pt>
                <c:pt idx="37">
                  <c:v>895897744776.50806</c:v>
                </c:pt>
                <c:pt idx="38">
                  <c:v>895897744776.50806</c:v>
                </c:pt>
                <c:pt idx="39">
                  <c:v>890903153887.02795</c:v>
                </c:pt>
                <c:pt idx="40">
                  <c:v>890903153887.02795</c:v>
                </c:pt>
                <c:pt idx="41">
                  <c:v>890903153887.02795</c:v>
                </c:pt>
                <c:pt idx="42">
                  <c:v>890903153887.02795</c:v>
                </c:pt>
                <c:pt idx="43">
                  <c:v>880795609040.20496</c:v>
                </c:pt>
                <c:pt idx="44">
                  <c:v>880795609040.20496</c:v>
                </c:pt>
                <c:pt idx="45">
                  <c:v>880795609040.20496</c:v>
                </c:pt>
                <c:pt idx="46">
                  <c:v>880795609040.20496</c:v>
                </c:pt>
                <c:pt idx="47">
                  <c:v>867951071508.93604</c:v>
                </c:pt>
                <c:pt idx="48">
                  <c:v>867951071508.93604</c:v>
                </c:pt>
                <c:pt idx="49">
                  <c:v>867951071508.93604</c:v>
                </c:pt>
                <c:pt idx="50">
                  <c:v>867951071508.93604</c:v>
                </c:pt>
                <c:pt idx="51">
                  <c:v>867951071508.93604</c:v>
                </c:pt>
                <c:pt idx="52">
                  <c:v>862642562832.45898</c:v>
                </c:pt>
                <c:pt idx="53">
                  <c:v>862642562832.45898</c:v>
                </c:pt>
                <c:pt idx="54">
                  <c:v>862642562832.45898</c:v>
                </c:pt>
                <c:pt idx="55">
                  <c:v>862642562832.45898</c:v>
                </c:pt>
                <c:pt idx="56">
                  <c:v>865283651280.50305</c:v>
                </c:pt>
                <c:pt idx="57">
                  <c:v>865283651280.50305</c:v>
                </c:pt>
                <c:pt idx="58">
                  <c:v>865283651280.50305</c:v>
                </c:pt>
                <c:pt idx="59">
                  <c:v>865283651280.50305</c:v>
                </c:pt>
                <c:pt idx="60">
                  <c:v>861190703554.85706</c:v>
                </c:pt>
                <c:pt idx="61">
                  <c:v>861190703554.85706</c:v>
                </c:pt>
                <c:pt idx="62">
                  <c:v>861190703554.85706</c:v>
                </c:pt>
                <c:pt idx="63">
                  <c:v>861190703554.85706</c:v>
                </c:pt>
                <c:pt idx="64">
                  <c:v>861190703554.85706</c:v>
                </c:pt>
                <c:pt idx="65">
                  <c:v>852751932022.53503</c:v>
                </c:pt>
                <c:pt idx="66">
                  <c:v>852751932022.53503</c:v>
                </c:pt>
                <c:pt idx="67">
                  <c:v>852751932022.53503</c:v>
                </c:pt>
                <c:pt idx="68">
                  <c:v>852751932022.53503</c:v>
                </c:pt>
                <c:pt idx="69">
                  <c:v>843407158052.96497</c:v>
                </c:pt>
                <c:pt idx="70">
                  <c:v>843407158052.96497</c:v>
                </c:pt>
                <c:pt idx="71">
                  <c:v>843407158052.96497</c:v>
                </c:pt>
                <c:pt idx="72">
                  <c:v>843407158052.96497</c:v>
                </c:pt>
                <c:pt idx="73">
                  <c:v>843407158052.96497</c:v>
                </c:pt>
                <c:pt idx="74">
                  <c:v>842987221871.99902</c:v>
                </c:pt>
                <c:pt idx="75">
                  <c:v>842987221871.99902</c:v>
                </c:pt>
                <c:pt idx="76">
                  <c:v>842987221871.99902</c:v>
                </c:pt>
                <c:pt idx="77">
                  <c:v>842987221871.99902</c:v>
                </c:pt>
                <c:pt idx="78">
                  <c:v>836042456950.479</c:v>
                </c:pt>
                <c:pt idx="79">
                  <c:v>836042456950.479</c:v>
                </c:pt>
                <c:pt idx="80">
                  <c:v>836042456950.479</c:v>
                </c:pt>
                <c:pt idx="81">
                  <c:v>836042456950.479</c:v>
                </c:pt>
                <c:pt idx="82">
                  <c:v>833663605862.28699</c:v>
                </c:pt>
                <c:pt idx="83">
                  <c:v>833663605862.28699</c:v>
                </c:pt>
                <c:pt idx="84">
                  <c:v>833663605862.28699</c:v>
                </c:pt>
                <c:pt idx="85">
                  <c:v>833663605862.28699</c:v>
                </c:pt>
                <c:pt idx="86">
                  <c:v>833663605862.28699</c:v>
                </c:pt>
                <c:pt idx="87">
                  <c:v>824158873560.92102</c:v>
                </c:pt>
                <c:pt idx="88">
                  <c:v>824158873560.92102</c:v>
                </c:pt>
                <c:pt idx="89">
                  <c:v>824158873560.92102</c:v>
                </c:pt>
                <c:pt idx="90">
                  <c:v>824158873560.92102</c:v>
                </c:pt>
                <c:pt idx="91">
                  <c:v>825116182205.41797</c:v>
                </c:pt>
                <c:pt idx="92">
                  <c:v>825116182205.41797</c:v>
                </c:pt>
                <c:pt idx="93">
                  <c:v>825116182205.41797</c:v>
                </c:pt>
                <c:pt idx="94">
                  <c:v>825116182205.41797</c:v>
                </c:pt>
                <c:pt idx="95">
                  <c:v>830648730002.45105</c:v>
                </c:pt>
                <c:pt idx="96">
                  <c:v>830648730002.45105</c:v>
                </c:pt>
                <c:pt idx="97">
                  <c:v>830648730002.45105</c:v>
                </c:pt>
                <c:pt idx="98">
                  <c:v>830648730002.45105</c:v>
                </c:pt>
                <c:pt idx="99">
                  <c:v>830648730002.45105</c:v>
                </c:pt>
                <c:pt idx="100">
                  <c:v>820270598245.922</c:v>
                </c:pt>
                <c:pt idx="101">
                  <c:v>820270598245.922</c:v>
                </c:pt>
                <c:pt idx="102">
                  <c:v>820270598245.922</c:v>
                </c:pt>
                <c:pt idx="103">
                  <c:v>820270598245.922</c:v>
                </c:pt>
                <c:pt idx="104">
                  <c:v>819156247294.42395</c:v>
                </c:pt>
                <c:pt idx="105">
                  <c:v>819156247294.42395</c:v>
                </c:pt>
                <c:pt idx="106">
                  <c:v>819156247294.42395</c:v>
                </c:pt>
                <c:pt idx="107">
                  <c:v>819156247294.42395</c:v>
                </c:pt>
                <c:pt idx="108">
                  <c:v>819156247294.42395</c:v>
                </c:pt>
                <c:pt idx="109">
                  <c:v>818129385045.38</c:v>
                </c:pt>
                <c:pt idx="110">
                  <c:v>818129385045.38</c:v>
                </c:pt>
                <c:pt idx="111">
                  <c:v>818129385045.38</c:v>
                </c:pt>
                <c:pt idx="112">
                  <c:v>818129385045.38</c:v>
                </c:pt>
                <c:pt idx="113">
                  <c:v>824157902540.86401</c:v>
                </c:pt>
                <c:pt idx="114">
                  <c:v>824157902540.86401</c:v>
                </c:pt>
                <c:pt idx="115">
                  <c:v>824157902540.86401</c:v>
                </c:pt>
                <c:pt idx="116">
                  <c:v>824157902540.86401</c:v>
                </c:pt>
                <c:pt idx="117">
                  <c:v>828249997663.94495</c:v>
                </c:pt>
                <c:pt idx="118">
                  <c:v>828249997663.94495</c:v>
                </c:pt>
                <c:pt idx="119">
                  <c:v>828249997663.94495</c:v>
                </c:pt>
                <c:pt idx="120">
                  <c:v>828249997663.94495</c:v>
                </c:pt>
                <c:pt idx="121">
                  <c:v>828002980341.57397</c:v>
                </c:pt>
                <c:pt idx="122">
                  <c:v>828002980341.57397</c:v>
                </c:pt>
                <c:pt idx="123">
                  <c:v>828002980341.57397</c:v>
                </c:pt>
                <c:pt idx="124">
                  <c:v>828002980341.57397</c:v>
                </c:pt>
                <c:pt idx="125">
                  <c:v>828002980341.57397</c:v>
                </c:pt>
                <c:pt idx="126">
                  <c:v>832667072231.375</c:v>
                </c:pt>
                <c:pt idx="127">
                  <c:v>832667072231.375</c:v>
                </c:pt>
                <c:pt idx="128">
                  <c:v>832667072231.375</c:v>
                </c:pt>
                <c:pt idx="129">
                  <c:v>832667072231.375</c:v>
                </c:pt>
                <c:pt idx="130">
                  <c:v>835315019877.84595</c:v>
                </c:pt>
                <c:pt idx="131">
                  <c:v>835315019877.84595</c:v>
                </c:pt>
                <c:pt idx="132">
                  <c:v>835315019877.84595</c:v>
                </c:pt>
                <c:pt idx="133">
                  <c:v>835315019877.84595</c:v>
                </c:pt>
                <c:pt idx="134">
                  <c:v>839371166981.099</c:v>
                </c:pt>
                <c:pt idx="135">
                  <c:v>839371166981.099</c:v>
                </c:pt>
                <c:pt idx="136">
                  <c:v>839371166981.099</c:v>
                </c:pt>
                <c:pt idx="137">
                  <c:v>839371166981.099</c:v>
                </c:pt>
                <c:pt idx="138">
                  <c:v>839371166981.099</c:v>
                </c:pt>
                <c:pt idx="139">
                  <c:v>840680455152.82996</c:v>
                </c:pt>
                <c:pt idx="140">
                  <c:v>840680455152.82996</c:v>
                </c:pt>
                <c:pt idx="141">
                  <c:v>840680455152.82996</c:v>
                </c:pt>
                <c:pt idx="142">
                  <c:v>840680455152.82996</c:v>
                </c:pt>
                <c:pt idx="143">
                  <c:v>842920617157.08203</c:v>
                </c:pt>
                <c:pt idx="144">
                  <c:v>842920617157.08203</c:v>
                </c:pt>
                <c:pt idx="145">
                  <c:v>842920617157.08203</c:v>
                </c:pt>
                <c:pt idx="146">
                  <c:v>842920617157.08203</c:v>
                </c:pt>
                <c:pt idx="147">
                  <c:v>842920617157.08203</c:v>
                </c:pt>
                <c:pt idx="148">
                  <c:v>847381000644.36804</c:v>
                </c:pt>
                <c:pt idx="149">
                  <c:v>847381000644.36804</c:v>
                </c:pt>
                <c:pt idx="150">
                  <c:v>847381000644.36804</c:v>
                </c:pt>
                <c:pt idx="151">
                  <c:v>847381000644.36804</c:v>
                </c:pt>
                <c:pt idx="152">
                  <c:v>852925884546.91199</c:v>
                </c:pt>
                <c:pt idx="153">
                  <c:v>852925884546.91199</c:v>
                </c:pt>
                <c:pt idx="154">
                  <c:v>852925884546.91199</c:v>
                </c:pt>
                <c:pt idx="155">
                  <c:v>852925884546.91199</c:v>
                </c:pt>
                <c:pt idx="156">
                  <c:v>856169152140.41296</c:v>
                </c:pt>
                <c:pt idx="157">
                  <c:v>856169152140.41296</c:v>
                </c:pt>
                <c:pt idx="158">
                  <c:v>856169152140.41296</c:v>
                </c:pt>
                <c:pt idx="159">
                  <c:v>856169152140.41296</c:v>
                </c:pt>
                <c:pt idx="160">
                  <c:v>856169152140.41296</c:v>
                </c:pt>
                <c:pt idx="161">
                  <c:v>860549250444.104</c:v>
                </c:pt>
                <c:pt idx="162">
                  <c:v>860549250444.104</c:v>
                </c:pt>
                <c:pt idx="163">
                  <c:v>860549250444.104</c:v>
                </c:pt>
                <c:pt idx="164">
                  <c:v>860549250444.104</c:v>
                </c:pt>
                <c:pt idx="165">
                  <c:v>862646925748.92102</c:v>
                </c:pt>
                <c:pt idx="166">
                  <c:v>862646925748.92102</c:v>
                </c:pt>
                <c:pt idx="167">
                  <c:v>862646925748.92102</c:v>
                </c:pt>
                <c:pt idx="168">
                  <c:v>862646925748.92102</c:v>
                </c:pt>
                <c:pt idx="169">
                  <c:v>865912452541.08801</c:v>
                </c:pt>
                <c:pt idx="170">
                  <c:v>865912452541.08801</c:v>
                </c:pt>
                <c:pt idx="171">
                  <c:v>865912452541.08801</c:v>
                </c:pt>
                <c:pt idx="172">
                  <c:v>865912452541.08801</c:v>
                </c:pt>
                <c:pt idx="173">
                  <c:v>869491021687.79004</c:v>
                </c:pt>
                <c:pt idx="174">
                  <c:v>869491021687.79004</c:v>
                </c:pt>
                <c:pt idx="175">
                  <c:v>869491021687.79004</c:v>
                </c:pt>
                <c:pt idx="176">
                  <c:v>869491021687.79004</c:v>
                </c:pt>
                <c:pt idx="177">
                  <c:v>869491021687.79004</c:v>
                </c:pt>
                <c:pt idx="178">
                  <c:v>874676225982.203</c:v>
                </c:pt>
                <c:pt idx="179">
                  <c:v>874676225982.203</c:v>
                </c:pt>
                <c:pt idx="180">
                  <c:v>874676225982.203</c:v>
                </c:pt>
                <c:pt idx="181">
                  <c:v>874676225982.203</c:v>
                </c:pt>
                <c:pt idx="182">
                  <c:v>879218074297.77698</c:v>
                </c:pt>
                <c:pt idx="183">
                  <c:v>879218074297.77698</c:v>
                </c:pt>
                <c:pt idx="184">
                  <c:v>879218074297.77698</c:v>
                </c:pt>
                <c:pt idx="185">
                  <c:v>879218074297.77698</c:v>
                </c:pt>
                <c:pt idx="186">
                  <c:v>879218074297.77698</c:v>
                </c:pt>
                <c:pt idx="187">
                  <c:v>889016211164.04895</c:v>
                </c:pt>
                <c:pt idx="188">
                  <c:v>889016211164.04895</c:v>
                </c:pt>
                <c:pt idx="189">
                  <c:v>889016211164.04895</c:v>
                </c:pt>
                <c:pt idx="190">
                  <c:v>889016211164.04895</c:v>
                </c:pt>
                <c:pt idx="191">
                  <c:v>896796715582.33606</c:v>
                </c:pt>
                <c:pt idx="192">
                  <c:v>896796715582.33606</c:v>
                </c:pt>
                <c:pt idx="193">
                  <c:v>896796715582.33606</c:v>
                </c:pt>
                <c:pt idx="194">
                  <c:v>896796715582.33606</c:v>
                </c:pt>
                <c:pt idx="195">
                  <c:v>904868755203.72498</c:v>
                </c:pt>
                <c:pt idx="196">
                  <c:v>904868755203.72498</c:v>
                </c:pt>
                <c:pt idx="197">
                  <c:v>904868755203.72498</c:v>
                </c:pt>
                <c:pt idx="198">
                  <c:v>904868755203.72498</c:v>
                </c:pt>
                <c:pt idx="199">
                  <c:v>904868755203.72498</c:v>
                </c:pt>
                <c:pt idx="200">
                  <c:v>911144707396.39795</c:v>
                </c:pt>
                <c:pt idx="201">
                  <c:v>911144707396.39795</c:v>
                </c:pt>
                <c:pt idx="202">
                  <c:v>911144707396.39795</c:v>
                </c:pt>
                <c:pt idx="203">
                  <c:v>911144707396.39795</c:v>
                </c:pt>
                <c:pt idx="204">
                  <c:v>915537820187.26404</c:v>
                </c:pt>
                <c:pt idx="205">
                  <c:v>915537820187.26404</c:v>
                </c:pt>
                <c:pt idx="206">
                  <c:v>915537820187.26404</c:v>
                </c:pt>
                <c:pt idx="207">
                  <c:v>915537820187.26404</c:v>
                </c:pt>
                <c:pt idx="208">
                  <c:v>915537820187.26404</c:v>
                </c:pt>
                <c:pt idx="209">
                  <c:v>919051298499.69104</c:v>
                </c:pt>
                <c:pt idx="210">
                  <c:v>919051298499.69104</c:v>
                </c:pt>
                <c:pt idx="211">
                  <c:v>919051298499.69104</c:v>
                </c:pt>
                <c:pt idx="212">
                  <c:v>919051298499.69104</c:v>
                </c:pt>
                <c:pt idx="213">
                  <c:v>929906802060.74402</c:v>
                </c:pt>
                <c:pt idx="214">
                  <c:v>929906802060.74402</c:v>
                </c:pt>
                <c:pt idx="215">
                  <c:v>929906802060.74402</c:v>
                </c:pt>
                <c:pt idx="216">
                  <c:v>929906802060.74402</c:v>
                </c:pt>
                <c:pt idx="217">
                  <c:v>931776684212.27002</c:v>
                </c:pt>
                <c:pt idx="218">
                  <c:v>931776684212.27002</c:v>
                </c:pt>
                <c:pt idx="219">
                  <c:v>931776684212.27002</c:v>
                </c:pt>
                <c:pt idx="220">
                  <c:v>931776684212.27002</c:v>
                </c:pt>
                <c:pt idx="221">
                  <c:v>936106192313.56702</c:v>
                </c:pt>
                <c:pt idx="222">
                  <c:v>936106192313.56702</c:v>
                </c:pt>
                <c:pt idx="223">
                  <c:v>936106192313.56702</c:v>
                </c:pt>
                <c:pt idx="224">
                  <c:v>936106192313.56702</c:v>
                </c:pt>
                <c:pt idx="225">
                  <c:v>936106192313.56702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5392"/>
        <c:axId val="397640832"/>
      </c:lineChart>
      <c:lineChart>
        <c:grouping val="standard"/>
        <c:varyColors val="0"/>
        <c:ser>
          <c:idx val="2"/>
          <c:order val="2"/>
          <c:tx>
            <c:strRef>
              <c:f>'HARPable Universe'!$M$2</c:f>
              <c:strCache>
                <c:ptCount val="1"/>
                <c:pt idx="0">
                  <c:v>Balance Percentage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'HARPable Universe'!$I$3:$I$228</c:f>
              <c:numCache>
                <c:formatCode>m/d/yyyy</c:formatCode>
                <c:ptCount val="226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  <c:pt idx="225">
                  <c:v>42124</c:v>
                </c:pt>
              </c:numCache>
            </c:numRef>
          </c:cat>
          <c:val>
            <c:numRef>
              <c:f>'HARPable Universe'!$M$3:$M$228</c:f>
              <c:numCache>
                <c:formatCode>0%</c:formatCode>
                <c:ptCount val="226"/>
                <c:pt idx="0">
                  <c:v>0.57081400019802386</c:v>
                </c:pt>
                <c:pt idx="1">
                  <c:v>0.57081400019802386</c:v>
                </c:pt>
                <c:pt idx="2">
                  <c:v>0.57081400019802386</c:v>
                </c:pt>
                <c:pt idx="3">
                  <c:v>0.57081400019802386</c:v>
                </c:pt>
                <c:pt idx="4">
                  <c:v>0.55333901310596689</c:v>
                </c:pt>
                <c:pt idx="5">
                  <c:v>0.55333901310596689</c:v>
                </c:pt>
                <c:pt idx="6">
                  <c:v>0.55333901310596689</c:v>
                </c:pt>
                <c:pt idx="7">
                  <c:v>0.55333901310596689</c:v>
                </c:pt>
                <c:pt idx="8">
                  <c:v>0.54226501339435018</c:v>
                </c:pt>
                <c:pt idx="9">
                  <c:v>0.54226501339435018</c:v>
                </c:pt>
                <c:pt idx="10">
                  <c:v>0.54226501339435018</c:v>
                </c:pt>
                <c:pt idx="11">
                  <c:v>0.54226501339435018</c:v>
                </c:pt>
                <c:pt idx="12">
                  <c:v>0.54226501339435018</c:v>
                </c:pt>
                <c:pt idx="13">
                  <c:v>0.53234299328945656</c:v>
                </c:pt>
                <c:pt idx="14">
                  <c:v>0.53234299328945656</c:v>
                </c:pt>
                <c:pt idx="15">
                  <c:v>0.53234299328945656</c:v>
                </c:pt>
                <c:pt idx="16">
                  <c:v>0.53234299328945656</c:v>
                </c:pt>
                <c:pt idx="17">
                  <c:v>0.52357611844768503</c:v>
                </c:pt>
                <c:pt idx="18">
                  <c:v>0.52357611844768503</c:v>
                </c:pt>
                <c:pt idx="19">
                  <c:v>0.52357611844768503</c:v>
                </c:pt>
                <c:pt idx="20">
                  <c:v>0.52357611844768503</c:v>
                </c:pt>
                <c:pt idx="21">
                  <c:v>0.51448099202385933</c:v>
                </c:pt>
                <c:pt idx="22">
                  <c:v>0.51448099202385933</c:v>
                </c:pt>
                <c:pt idx="23">
                  <c:v>0.51448099202385933</c:v>
                </c:pt>
                <c:pt idx="24">
                  <c:v>0.51448099202385933</c:v>
                </c:pt>
                <c:pt idx="25">
                  <c:v>0.51448099202385933</c:v>
                </c:pt>
                <c:pt idx="26">
                  <c:v>0.50689648547957433</c:v>
                </c:pt>
                <c:pt idx="27">
                  <c:v>0.50689648547957433</c:v>
                </c:pt>
                <c:pt idx="28">
                  <c:v>0.50689648547957433</c:v>
                </c:pt>
                <c:pt idx="29">
                  <c:v>0.50689648547957433</c:v>
                </c:pt>
                <c:pt idx="30">
                  <c:v>0.49756393271702015</c:v>
                </c:pt>
                <c:pt idx="31">
                  <c:v>0.49756393271702015</c:v>
                </c:pt>
                <c:pt idx="32">
                  <c:v>0.49756393271702015</c:v>
                </c:pt>
                <c:pt idx="33">
                  <c:v>0.49756393271702015</c:v>
                </c:pt>
                <c:pt idx="34">
                  <c:v>0.48774299876083471</c:v>
                </c:pt>
                <c:pt idx="35">
                  <c:v>0.48774299876083471</c:v>
                </c:pt>
                <c:pt idx="36">
                  <c:v>0.48774299876083471</c:v>
                </c:pt>
                <c:pt idx="37">
                  <c:v>0.48774299876083471</c:v>
                </c:pt>
                <c:pt idx="38">
                  <c:v>0.48774299876083471</c:v>
                </c:pt>
                <c:pt idx="39">
                  <c:v>0.47818775028542876</c:v>
                </c:pt>
                <c:pt idx="40">
                  <c:v>0.47818775028542876</c:v>
                </c:pt>
                <c:pt idx="41">
                  <c:v>0.47818775028542876</c:v>
                </c:pt>
                <c:pt idx="42">
                  <c:v>0.47818775028542876</c:v>
                </c:pt>
                <c:pt idx="43">
                  <c:v>0.46872578528279868</c:v>
                </c:pt>
                <c:pt idx="44">
                  <c:v>0.46872578528279868</c:v>
                </c:pt>
                <c:pt idx="45">
                  <c:v>0.46872578528279868</c:v>
                </c:pt>
                <c:pt idx="46">
                  <c:v>0.46872578528279868</c:v>
                </c:pt>
                <c:pt idx="47">
                  <c:v>0.46078933803165695</c:v>
                </c:pt>
                <c:pt idx="48">
                  <c:v>0.46078933803165695</c:v>
                </c:pt>
                <c:pt idx="49">
                  <c:v>0.46078933803165695</c:v>
                </c:pt>
                <c:pt idx="50">
                  <c:v>0.46078933803165695</c:v>
                </c:pt>
                <c:pt idx="51">
                  <c:v>0.46078933803165695</c:v>
                </c:pt>
                <c:pt idx="52">
                  <c:v>0.44979102680569383</c:v>
                </c:pt>
                <c:pt idx="53">
                  <c:v>0.44979102680569383</c:v>
                </c:pt>
                <c:pt idx="54">
                  <c:v>0.44979102680569383</c:v>
                </c:pt>
                <c:pt idx="55">
                  <c:v>0.44979102680569383</c:v>
                </c:pt>
                <c:pt idx="56">
                  <c:v>0.43570686257754676</c:v>
                </c:pt>
                <c:pt idx="57">
                  <c:v>0.43570686257754676</c:v>
                </c:pt>
                <c:pt idx="58">
                  <c:v>0.43570686257754676</c:v>
                </c:pt>
                <c:pt idx="59">
                  <c:v>0.43570686257754676</c:v>
                </c:pt>
                <c:pt idx="60">
                  <c:v>0.42320746464144116</c:v>
                </c:pt>
                <c:pt idx="61">
                  <c:v>0.42320746464144116</c:v>
                </c:pt>
                <c:pt idx="62">
                  <c:v>0.42320746464144116</c:v>
                </c:pt>
                <c:pt idx="63">
                  <c:v>0.42320746464144116</c:v>
                </c:pt>
                <c:pt idx="64">
                  <c:v>0.42320746464144116</c:v>
                </c:pt>
                <c:pt idx="65">
                  <c:v>0.41148047375609265</c:v>
                </c:pt>
                <c:pt idx="66">
                  <c:v>0.41148047375609265</c:v>
                </c:pt>
                <c:pt idx="67">
                  <c:v>0.41148047375609265</c:v>
                </c:pt>
                <c:pt idx="68">
                  <c:v>0.41148047375609265</c:v>
                </c:pt>
                <c:pt idx="69">
                  <c:v>0.40081024383657665</c:v>
                </c:pt>
                <c:pt idx="70">
                  <c:v>0.40081024383657665</c:v>
                </c:pt>
                <c:pt idx="71">
                  <c:v>0.40081024383657665</c:v>
                </c:pt>
                <c:pt idx="72">
                  <c:v>0.40081024383657665</c:v>
                </c:pt>
                <c:pt idx="73">
                  <c:v>0.40081024383657665</c:v>
                </c:pt>
                <c:pt idx="74">
                  <c:v>0.38507237806178235</c:v>
                </c:pt>
                <c:pt idx="75">
                  <c:v>0.38507237806178235</c:v>
                </c:pt>
                <c:pt idx="76">
                  <c:v>0.38507237806178235</c:v>
                </c:pt>
                <c:pt idx="77">
                  <c:v>0.38507237806178235</c:v>
                </c:pt>
                <c:pt idx="78">
                  <c:v>0.37294614808842375</c:v>
                </c:pt>
                <c:pt idx="79">
                  <c:v>0.37294614808842375</c:v>
                </c:pt>
                <c:pt idx="80">
                  <c:v>0.37294614808842375</c:v>
                </c:pt>
                <c:pt idx="81">
                  <c:v>0.37294614808842375</c:v>
                </c:pt>
                <c:pt idx="82">
                  <c:v>0.35871199199825965</c:v>
                </c:pt>
                <c:pt idx="83">
                  <c:v>0.35871199199825965</c:v>
                </c:pt>
                <c:pt idx="84">
                  <c:v>0.35871199199825965</c:v>
                </c:pt>
                <c:pt idx="85">
                  <c:v>0.35871199199825965</c:v>
                </c:pt>
                <c:pt idx="86">
                  <c:v>0.35871199199825965</c:v>
                </c:pt>
                <c:pt idx="87">
                  <c:v>0.34649424436027532</c:v>
                </c:pt>
                <c:pt idx="88">
                  <c:v>0.34649424436027532</c:v>
                </c:pt>
                <c:pt idx="89">
                  <c:v>0.34649424436027532</c:v>
                </c:pt>
                <c:pt idx="90">
                  <c:v>0.34649424436027532</c:v>
                </c:pt>
                <c:pt idx="91">
                  <c:v>0.33184587601897486</c:v>
                </c:pt>
                <c:pt idx="92">
                  <c:v>0.33184587601897486</c:v>
                </c:pt>
                <c:pt idx="93">
                  <c:v>0.33184587601897486</c:v>
                </c:pt>
                <c:pt idx="94">
                  <c:v>0.33184587601897486</c:v>
                </c:pt>
                <c:pt idx="95">
                  <c:v>0.31456277294828944</c:v>
                </c:pt>
                <c:pt idx="96">
                  <c:v>0.31456277294828944</c:v>
                </c:pt>
                <c:pt idx="97">
                  <c:v>0.31456277294828944</c:v>
                </c:pt>
                <c:pt idx="98">
                  <c:v>0.31456277294828944</c:v>
                </c:pt>
                <c:pt idx="99">
                  <c:v>0.31456277294828944</c:v>
                </c:pt>
                <c:pt idx="100">
                  <c:v>0.30472539476777555</c:v>
                </c:pt>
                <c:pt idx="101">
                  <c:v>0.30472539476777555</c:v>
                </c:pt>
                <c:pt idx="102">
                  <c:v>0.30472539476777555</c:v>
                </c:pt>
                <c:pt idx="103">
                  <c:v>0.30472539476777555</c:v>
                </c:pt>
                <c:pt idx="104">
                  <c:v>0.29128451623904644</c:v>
                </c:pt>
                <c:pt idx="105">
                  <c:v>0.29128451623904644</c:v>
                </c:pt>
                <c:pt idx="106">
                  <c:v>0.29128451623904644</c:v>
                </c:pt>
                <c:pt idx="107">
                  <c:v>0.29128451623904644</c:v>
                </c:pt>
                <c:pt idx="108">
                  <c:v>0.29128451623904644</c:v>
                </c:pt>
                <c:pt idx="109">
                  <c:v>0.27807849695097897</c:v>
                </c:pt>
                <c:pt idx="110">
                  <c:v>0.27807849695097897</c:v>
                </c:pt>
                <c:pt idx="111">
                  <c:v>0.27807849695097897</c:v>
                </c:pt>
                <c:pt idx="112">
                  <c:v>0.27807849695097897</c:v>
                </c:pt>
                <c:pt idx="113">
                  <c:v>0.26292796013915876</c:v>
                </c:pt>
                <c:pt idx="114">
                  <c:v>0.26292796013915876</c:v>
                </c:pt>
                <c:pt idx="115">
                  <c:v>0.26292796013915876</c:v>
                </c:pt>
                <c:pt idx="116">
                  <c:v>0.26292796013915876</c:v>
                </c:pt>
                <c:pt idx="117">
                  <c:v>0.24848860116772839</c:v>
                </c:pt>
                <c:pt idx="118">
                  <c:v>0.24848860116772839</c:v>
                </c:pt>
                <c:pt idx="119">
                  <c:v>0.24848860116772839</c:v>
                </c:pt>
                <c:pt idx="120">
                  <c:v>0.24848860116772839</c:v>
                </c:pt>
                <c:pt idx="121">
                  <c:v>0.23577921258610923</c:v>
                </c:pt>
                <c:pt idx="122">
                  <c:v>0.23577921258610923</c:v>
                </c:pt>
                <c:pt idx="123">
                  <c:v>0.23577921258610923</c:v>
                </c:pt>
                <c:pt idx="124">
                  <c:v>0.23577921258610923</c:v>
                </c:pt>
                <c:pt idx="125">
                  <c:v>0.23577921258610923</c:v>
                </c:pt>
                <c:pt idx="126">
                  <c:v>0.22224142886571943</c:v>
                </c:pt>
                <c:pt idx="127">
                  <c:v>0.22224142886571943</c:v>
                </c:pt>
                <c:pt idx="128">
                  <c:v>0.22224142886571943</c:v>
                </c:pt>
                <c:pt idx="129">
                  <c:v>0.22224142886571943</c:v>
                </c:pt>
                <c:pt idx="130">
                  <c:v>0.210798858071544</c:v>
                </c:pt>
                <c:pt idx="131">
                  <c:v>0.210798858071544</c:v>
                </c:pt>
                <c:pt idx="132">
                  <c:v>0.210798858071544</c:v>
                </c:pt>
                <c:pt idx="133">
                  <c:v>0.210798858071544</c:v>
                </c:pt>
                <c:pt idx="134">
                  <c:v>0.19964672229879027</c:v>
                </c:pt>
                <c:pt idx="135">
                  <c:v>0.19964672229879027</c:v>
                </c:pt>
                <c:pt idx="136">
                  <c:v>0.19964672229879027</c:v>
                </c:pt>
                <c:pt idx="137">
                  <c:v>0.19964672229879027</c:v>
                </c:pt>
                <c:pt idx="138">
                  <c:v>0.19964672229879027</c:v>
                </c:pt>
                <c:pt idx="139">
                  <c:v>0.19125856762608923</c:v>
                </c:pt>
                <c:pt idx="140">
                  <c:v>0.19125856762608923</c:v>
                </c:pt>
                <c:pt idx="141">
                  <c:v>0.19125856762608923</c:v>
                </c:pt>
                <c:pt idx="142">
                  <c:v>0.19125856762608923</c:v>
                </c:pt>
                <c:pt idx="143">
                  <c:v>0.18465494663068971</c:v>
                </c:pt>
                <c:pt idx="144">
                  <c:v>0.18465494663068971</c:v>
                </c:pt>
                <c:pt idx="145">
                  <c:v>0.18465494663068971</c:v>
                </c:pt>
                <c:pt idx="146">
                  <c:v>0.18465494663068971</c:v>
                </c:pt>
                <c:pt idx="147">
                  <c:v>0.18465494663068971</c:v>
                </c:pt>
                <c:pt idx="148">
                  <c:v>0.17883453886377174</c:v>
                </c:pt>
                <c:pt idx="149">
                  <c:v>0.17883453886377174</c:v>
                </c:pt>
                <c:pt idx="150">
                  <c:v>0.17883453886377174</c:v>
                </c:pt>
                <c:pt idx="151">
                  <c:v>0.17883453886377174</c:v>
                </c:pt>
                <c:pt idx="152">
                  <c:v>0.17304694334456563</c:v>
                </c:pt>
                <c:pt idx="153">
                  <c:v>0.17304694334456563</c:v>
                </c:pt>
                <c:pt idx="154">
                  <c:v>0.17304694334456563</c:v>
                </c:pt>
                <c:pt idx="155">
                  <c:v>0.17304694334456563</c:v>
                </c:pt>
                <c:pt idx="156">
                  <c:v>0.16759693988889501</c:v>
                </c:pt>
                <c:pt idx="157">
                  <c:v>0.16759693988889501</c:v>
                </c:pt>
                <c:pt idx="158">
                  <c:v>0.16759693988889501</c:v>
                </c:pt>
                <c:pt idx="159">
                  <c:v>0.16759693988889501</c:v>
                </c:pt>
                <c:pt idx="160">
                  <c:v>0.16759693988889501</c:v>
                </c:pt>
                <c:pt idx="161">
                  <c:v>0.16289271949515696</c:v>
                </c:pt>
                <c:pt idx="162">
                  <c:v>0.16289271949515696</c:v>
                </c:pt>
                <c:pt idx="163">
                  <c:v>0.16289271949515696</c:v>
                </c:pt>
                <c:pt idx="164">
                  <c:v>0.16289271949515696</c:v>
                </c:pt>
                <c:pt idx="165">
                  <c:v>0.15916451584686789</c:v>
                </c:pt>
                <c:pt idx="166">
                  <c:v>0.15916451584686789</c:v>
                </c:pt>
                <c:pt idx="167">
                  <c:v>0.15916451584686789</c:v>
                </c:pt>
                <c:pt idx="168">
                  <c:v>0.15916451584686789</c:v>
                </c:pt>
                <c:pt idx="169">
                  <c:v>0.15484742317936076</c:v>
                </c:pt>
                <c:pt idx="170">
                  <c:v>0.15484742317936076</c:v>
                </c:pt>
                <c:pt idx="171">
                  <c:v>0.15484742317936076</c:v>
                </c:pt>
                <c:pt idx="172">
                  <c:v>0.15484742317936076</c:v>
                </c:pt>
                <c:pt idx="173">
                  <c:v>0.15068828465006784</c:v>
                </c:pt>
                <c:pt idx="174">
                  <c:v>0.15068828465006784</c:v>
                </c:pt>
                <c:pt idx="175">
                  <c:v>0.15068828465006784</c:v>
                </c:pt>
                <c:pt idx="176">
                  <c:v>0.15068828465006784</c:v>
                </c:pt>
                <c:pt idx="177">
                  <c:v>0.15068828465006784</c:v>
                </c:pt>
                <c:pt idx="178">
                  <c:v>0.14633606054432916</c:v>
                </c:pt>
                <c:pt idx="179">
                  <c:v>0.14633606054432916</c:v>
                </c:pt>
                <c:pt idx="180">
                  <c:v>0.14633606054432916</c:v>
                </c:pt>
                <c:pt idx="181">
                  <c:v>0.14633606054432916</c:v>
                </c:pt>
                <c:pt idx="182">
                  <c:v>0.14217128811914262</c:v>
                </c:pt>
                <c:pt idx="183">
                  <c:v>0.14217128811914262</c:v>
                </c:pt>
                <c:pt idx="184">
                  <c:v>0.14217128811914262</c:v>
                </c:pt>
                <c:pt idx="185">
                  <c:v>0.14217128811914262</c:v>
                </c:pt>
                <c:pt idx="186">
                  <c:v>0.14217128811914262</c:v>
                </c:pt>
                <c:pt idx="187">
                  <c:v>0.13726921649283416</c:v>
                </c:pt>
                <c:pt idx="188">
                  <c:v>0.13726921649283416</c:v>
                </c:pt>
                <c:pt idx="189">
                  <c:v>0.13726921649283416</c:v>
                </c:pt>
                <c:pt idx="190">
                  <c:v>0.13726921649283416</c:v>
                </c:pt>
                <c:pt idx="191">
                  <c:v>0.13290290240855962</c:v>
                </c:pt>
                <c:pt idx="192">
                  <c:v>0.13290290240855962</c:v>
                </c:pt>
                <c:pt idx="193">
                  <c:v>0.13290290240855962</c:v>
                </c:pt>
                <c:pt idx="194">
                  <c:v>0.13290290240855962</c:v>
                </c:pt>
                <c:pt idx="195">
                  <c:v>0.12860098490544827</c:v>
                </c:pt>
                <c:pt idx="196">
                  <c:v>0.12860098490544827</c:v>
                </c:pt>
                <c:pt idx="197">
                  <c:v>0.12860098490544827</c:v>
                </c:pt>
                <c:pt idx="198">
                  <c:v>0.12860098490544827</c:v>
                </c:pt>
                <c:pt idx="199">
                  <c:v>0.12860098490544827</c:v>
                </c:pt>
                <c:pt idx="200">
                  <c:v>0.12465486337646373</c:v>
                </c:pt>
                <c:pt idx="201">
                  <c:v>0.12465486337646373</c:v>
                </c:pt>
                <c:pt idx="202">
                  <c:v>0.12465486337646373</c:v>
                </c:pt>
                <c:pt idx="203">
                  <c:v>0.12465486337646373</c:v>
                </c:pt>
                <c:pt idx="204">
                  <c:v>0.12139425827709796</c:v>
                </c:pt>
                <c:pt idx="205">
                  <c:v>0.12139425827709796</c:v>
                </c:pt>
                <c:pt idx="206">
                  <c:v>0.12139425827709796</c:v>
                </c:pt>
                <c:pt idx="207">
                  <c:v>0.12139425827709796</c:v>
                </c:pt>
                <c:pt idx="208">
                  <c:v>0.12139425827709796</c:v>
                </c:pt>
                <c:pt idx="209">
                  <c:v>0.11801270464106903</c:v>
                </c:pt>
                <c:pt idx="210">
                  <c:v>0.11801270464106903</c:v>
                </c:pt>
                <c:pt idx="211">
                  <c:v>0.11801270464106903</c:v>
                </c:pt>
                <c:pt idx="212">
                  <c:v>0.11801270464106903</c:v>
                </c:pt>
                <c:pt idx="213">
                  <c:v>0.11418005242057283</c:v>
                </c:pt>
                <c:pt idx="214">
                  <c:v>0.11418005242057283</c:v>
                </c:pt>
                <c:pt idx="215">
                  <c:v>0.11418005242057283</c:v>
                </c:pt>
                <c:pt idx="216">
                  <c:v>0.11418005242057283</c:v>
                </c:pt>
                <c:pt idx="217">
                  <c:v>0.11138179926193666</c:v>
                </c:pt>
                <c:pt idx="218">
                  <c:v>0.11138179926193666</c:v>
                </c:pt>
                <c:pt idx="219">
                  <c:v>0.11138179926193666</c:v>
                </c:pt>
                <c:pt idx="220">
                  <c:v>0.11138179926193666</c:v>
                </c:pt>
                <c:pt idx="221">
                  <c:v>0.10752283550041125</c:v>
                </c:pt>
                <c:pt idx="222">
                  <c:v>0.10752283550041125</c:v>
                </c:pt>
                <c:pt idx="223">
                  <c:v>0.10752283550041125</c:v>
                </c:pt>
                <c:pt idx="224">
                  <c:v>0.10752283550041125</c:v>
                </c:pt>
                <c:pt idx="225">
                  <c:v>0.10752283550041125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64736"/>
        <c:axId val="397642752"/>
      </c:lineChart>
      <c:dateAx>
        <c:axId val="392875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7640832"/>
        <c:crosses val="autoZero"/>
        <c:auto val="1"/>
        <c:lblOffset val="100"/>
        <c:baseTimeUnit val="days"/>
      </c:dateAx>
      <c:valAx>
        <c:axId val="3976408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92875392"/>
        <c:crosses val="autoZero"/>
        <c:crossBetween val="between"/>
        <c:dispUnits>
          <c:builtInUnit val="billions"/>
          <c:dispUnitsLbl>
            <c:layout/>
          </c:dispUnitsLbl>
        </c:dispUnits>
      </c:valAx>
      <c:valAx>
        <c:axId val="397642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398164736"/>
        <c:crosses val="max"/>
        <c:crossBetween val="between"/>
      </c:valAx>
      <c:dateAx>
        <c:axId val="398164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97642752"/>
        <c:crosses val="autoZero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266699</xdr:colOff>
      <xdr:row>3</xdr:row>
      <xdr:rowOff>47625</xdr:rowOff>
    </xdr:from>
    <xdr:to>
      <xdr:col>35</xdr:col>
      <xdr:colOff>552449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285749</xdr:colOff>
      <xdr:row>19</xdr:row>
      <xdr:rowOff>142875</xdr:rowOff>
    </xdr:from>
    <xdr:to>
      <xdr:col>35</xdr:col>
      <xdr:colOff>590549</xdr:colOff>
      <xdr:row>34</xdr:row>
      <xdr:rowOff>28575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.Refinanceable%20Percentage%20Master%202015-05-0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12.Primary%20Market%20Package/1.Daily%20Originator%20Mortgage%20Rate/Originator%20Mortgage%20Rate%20-%200318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oolRefinancible"/>
      <sheetName val="Bloomberg"/>
      <sheetName val="Sheet3"/>
      <sheetName val="HARP LLPA"/>
      <sheetName val="HARPable Universe"/>
    </sheetNames>
    <sheetDataSet>
      <sheetData sheetId="0">
        <row r="2">
          <cell r="U2">
            <v>42095</v>
          </cell>
        </row>
        <row r="3">
          <cell r="U3" t="str">
            <v>S:\IT\Production\Daily Reports\Primary Market\tmp\</v>
          </cell>
        </row>
      </sheetData>
      <sheetData sheetId="1"/>
      <sheetData sheetId="2"/>
      <sheetData sheetId="3"/>
      <sheetData sheetId="4"/>
      <sheetData sheetId="5">
        <row r="2">
          <cell r="C2" t="str">
            <v>Refi Plus</v>
          </cell>
          <cell r="D2" t="str">
            <v>Regular</v>
          </cell>
          <cell r="K2" t="str">
            <v>HARPable Balance</v>
          </cell>
          <cell r="L2" t="str">
            <v>Total Balance</v>
          </cell>
          <cell r="M2" t="str">
            <v>Percentage</v>
          </cell>
        </row>
        <row r="3">
          <cell r="B3">
            <v>40549</v>
          </cell>
          <cell r="C3">
            <v>0.68934342154794104</v>
          </cell>
          <cell r="D3">
            <v>0.32204130779229101</v>
          </cell>
          <cell r="I3">
            <v>40549</v>
          </cell>
          <cell r="K3">
            <v>511152631253.10303</v>
          </cell>
          <cell r="L3">
            <v>895480193330.53601</v>
          </cell>
          <cell r="M3">
            <v>0.57081400019802386</v>
          </cell>
        </row>
        <row r="4">
          <cell r="B4">
            <v>40556</v>
          </cell>
          <cell r="C4">
            <v>0.70307643177109502</v>
          </cell>
          <cell r="D4">
            <v>0.33944259689377898</v>
          </cell>
          <cell r="I4">
            <v>40556</v>
          </cell>
          <cell r="K4">
            <v>511152631253.10303</v>
          </cell>
          <cell r="L4">
            <v>895480193330.53601</v>
          </cell>
          <cell r="M4">
            <v>0.57081400019802386</v>
          </cell>
        </row>
        <row r="5">
          <cell r="B5">
            <v>40563</v>
          </cell>
          <cell r="C5">
            <v>0.68938813329756798</v>
          </cell>
          <cell r="D5">
            <v>0.32792342987711598</v>
          </cell>
          <cell r="I5">
            <v>40563</v>
          </cell>
          <cell r="K5">
            <v>511152631253.10303</v>
          </cell>
          <cell r="L5">
            <v>895480193330.53601</v>
          </cell>
          <cell r="M5">
            <v>0.57081400019802386</v>
          </cell>
        </row>
        <row r="6">
          <cell r="B6">
            <v>40570</v>
          </cell>
          <cell r="C6">
            <v>0.68933878258023296</v>
          </cell>
          <cell r="D6">
            <v>0.32039053977925802</v>
          </cell>
          <cell r="I6">
            <v>40570</v>
          </cell>
          <cell r="K6">
            <v>511152631253.10303</v>
          </cell>
          <cell r="L6">
            <v>895480193330.53601</v>
          </cell>
          <cell r="M6">
            <v>0.57081400019802386</v>
          </cell>
        </row>
        <row r="7">
          <cell r="B7">
            <v>40577</v>
          </cell>
          <cell r="C7">
            <v>0.67503887167036103</v>
          </cell>
          <cell r="D7">
            <v>0.295596785601205</v>
          </cell>
          <cell r="I7">
            <v>40577</v>
          </cell>
          <cell r="K7">
            <v>498355321367.67102</v>
          </cell>
          <cell r="L7">
            <v>900632902369.08301</v>
          </cell>
          <cell r="M7">
            <v>0.55333901310596689</v>
          </cell>
        </row>
        <row r="8">
          <cell r="B8">
            <v>40584</v>
          </cell>
          <cell r="C8">
            <v>0.62601198303170802</v>
          </cell>
          <cell r="D8">
            <v>0.234840435700295</v>
          </cell>
          <cell r="I8">
            <v>40584</v>
          </cell>
          <cell r="K8">
            <v>498355321367.67102</v>
          </cell>
          <cell r="L8">
            <v>900632902369.08301</v>
          </cell>
          <cell r="M8">
            <v>0.55333901310596689</v>
          </cell>
        </row>
        <row r="9">
          <cell r="B9">
            <v>40591</v>
          </cell>
          <cell r="C9">
            <v>0.64635810340061295</v>
          </cell>
          <cell r="D9">
            <v>0.25513974378513499</v>
          </cell>
          <cell r="I9">
            <v>40591</v>
          </cell>
          <cell r="K9">
            <v>498355321367.67102</v>
          </cell>
          <cell r="L9">
            <v>900632902369.08301</v>
          </cell>
          <cell r="M9">
            <v>0.55333901310596689</v>
          </cell>
        </row>
        <row r="10">
          <cell r="B10">
            <v>40598</v>
          </cell>
          <cell r="C10">
            <v>0.657316480570869</v>
          </cell>
          <cell r="D10">
            <v>0.27027204570239999</v>
          </cell>
          <cell r="I10">
            <v>40598</v>
          </cell>
          <cell r="K10">
            <v>498355321367.67102</v>
          </cell>
          <cell r="L10">
            <v>900632902369.08301</v>
          </cell>
          <cell r="M10">
            <v>0.55333901310596689</v>
          </cell>
        </row>
        <row r="11">
          <cell r="B11">
            <v>40605</v>
          </cell>
          <cell r="C11">
            <v>0.67062319372880397</v>
          </cell>
          <cell r="D11">
            <v>0.27618659696598702</v>
          </cell>
          <cell r="I11">
            <v>40605</v>
          </cell>
          <cell r="K11">
            <v>487217270284.03302</v>
          </cell>
          <cell r="L11">
            <v>898485534285.64099</v>
          </cell>
          <cell r="M11">
            <v>0.54226501339435018</v>
          </cell>
        </row>
        <row r="12">
          <cell r="B12">
            <v>40612</v>
          </cell>
          <cell r="C12">
            <v>0.67056643052686704</v>
          </cell>
          <cell r="D12">
            <v>0.27593598906514399</v>
          </cell>
          <cell r="I12">
            <v>40612</v>
          </cell>
          <cell r="K12">
            <v>487217270284.03302</v>
          </cell>
          <cell r="L12">
            <v>898485534285.64099</v>
          </cell>
          <cell r="M12">
            <v>0.54226501339435018</v>
          </cell>
        </row>
        <row r="13">
          <cell r="B13">
            <v>40619</v>
          </cell>
          <cell r="C13">
            <v>0.69499981858565096</v>
          </cell>
          <cell r="D13">
            <v>0.30794837748269599</v>
          </cell>
          <cell r="I13">
            <v>40619</v>
          </cell>
          <cell r="K13">
            <v>487217270284.03302</v>
          </cell>
          <cell r="L13">
            <v>898485534285.64099</v>
          </cell>
          <cell r="M13">
            <v>0.54226501339435018</v>
          </cell>
        </row>
        <row r="14">
          <cell r="B14">
            <v>40626</v>
          </cell>
          <cell r="C14">
            <v>0.68107814802781896</v>
          </cell>
          <cell r="D14">
            <v>0.29055412632630701</v>
          </cell>
          <cell r="I14">
            <v>40626</v>
          </cell>
          <cell r="K14">
            <v>487217270284.03302</v>
          </cell>
          <cell r="L14">
            <v>898485534285.64099</v>
          </cell>
          <cell r="M14">
            <v>0.54226501339435018</v>
          </cell>
        </row>
        <row r="15">
          <cell r="B15">
            <v>40633</v>
          </cell>
          <cell r="C15">
            <v>0.67063539524591398</v>
          </cell>
          <cell r="D15">
            <v>0.276215339287747</v>
          </cell>
          <cell r="I15">
            <v>40633</v>
          </cell>
          <cell r="K15">
            <v>487217270284.03302</v>
          </cell>
          <cell r="L15">
            <v>898485534285.64099</v>
          </cell>
          <cell r="M15">
            <v>0.54226501339435018</v>
          </cell>
        </row>
        <row r="16">
          <cell r="B16">
            <v>40640</v>
          </cell>
          <cell r="C16">
            <v>0.667098340408248</v>
          </cell>
          <cell r="D16">
            <v>0.28032672938051101</v>
          </cell>
          <cell r="I16">
            <v>40640</v>
          </cell>
          <cell r="K16">
            <v>478049332159.64398</v>
          </cell>
          <cell r="L16">
            <v>898010001419.72205</v>
          </cell>
          <cell r="M16">
            <v>0.53234299328945656</v>
          </cell>
        </row>
        <row r="17">
          <cell r="B17">
            <v>40647</v>
          </cell>
          <cell r="C17">
            <v>0.66704040155500299</v>
          </cell>
          <cell r="D17">
            <v>0.27639565795825799</v>
          </cell>
          <cell r="I17">
            <v>40647</v>
          </cell>
          <cell r="K17">
            <v>478049332159.64398</v>
          </cell>
          <cell r="L17">
            <v>898010001419.72205</v>
          </cell>
          <cell r="M17">
            <v>0.53234299328945656</v>
          </cell>
        </row>
        <row r="18">
          <cell r="B18">
            <v>40654</v>
          </cell>
          <cell r="C18">
            <v>0.67762590916364096</v>
          </cell>
          <cell r="D18">
            <v>0.29489367773778902</v>
          </cell>
          <cell r="I18">
            <v>40654</v>
          </cell>
          <cell r="K18">
            <v>478049332159.64398</v>
          </cell>
          <cell r="L18">
            <v>898010001419.72205</v>
          </cell>
          <cell r="M18">
            <v>0.53234299328945656</v>
          </cell>
        </row>
        <row r="19">
          <cell r="B19">
            <v>40661</v>
          </cell>
          <cell r="C19">
            <v>0.67764813539017299</v>
          </cell>
          <cell r="D19">
            <v>0.30100380523127301</v>
          </cell>
          <cell r="I19">
            <v>40661</v>
          </cell>
          <cell r="K19">
            <v>478049332159.64398</v>
          </cell>
          <cell r="L19">
            <v>898010001419.72205</v>
          </cell>
          <cell r="M19">
            <v>0.53234299328945656</v>
          </cell>
        </row>
        <row r="20">
          <cell r="B20">
            <v>40668</v>
          </cell>
          <cell r="C20">
            <v>0.68894669316518398</v>
          </cell>
          <cell r="D20">
            <v>0.32414763510163902</v>
          </cell>
          <cell r="I20">
            <v>40668</v>
          </cell>
          <cell r="K20">
            <v>470003496681.77802</v>
          </cell>
          <cell r="L20">
            <v>897679401564.875</v>
          </cell>
          <cell r="M20">
            <v>0.52357611844768503</v>
          </cell>
        </row>
        <row r="21">
          <cell r="B21">
            <v>40675</v>
          </cell>
          <cell r="C21">
            <v>0.71405065373301202</v>
          </cell>
          <cell r="D21">
            <v>0.35120080584396202</v>
          </cell>
          <cell r="I21">
            <v>40675</v>
          </cell>
          <cell r="K21">
            <v>470003496681.77802</v>
          </cell>
          <cell r="L21">
            <v>897679401564.875</v>
          </cell>
          <cell r="M21">
            <v>0.52357611844768503</v>
          </cell>
        </row>
        <row r="22">
          <cell r="B22">
            <v>40682</v>
          </cell>
          <cell r="C22">
            <v>0.71407362852576595</v>
          </cell>
          <cell r="D22">
            <v>0.35171549347634701</v>
          </cell>
          <cell r="I22">
            <v>40682</v>
          </cell>
          <cell r="K22">
            <v>470003496681.77802</v>
          </cell>
          <cell r="L22">
            <v>897679401564.875</v>
          </cell>
          <cell r="M22">
            <v>0.52357611844768503</v>
          </cell>
        </row>
        <row r="23">
          <cell r="B23">
            <v>40689</v>
          </cell>
          <cell r="C23">
            <v>0.71409882525790402</v>
          </cell>
          <cell r="D23">
            <v>0.35587573298129699</v>
          </cell>
          <cell r="I23">
            <v>40689</v>
          </cell>
          <cell r="K23">
            <v>470003496681.77802</v>
          </cell>
          <cell r="L23">
            <v>897679401564.875</v>
          </cell>
          <cell r="M23">
            <v>0.52357611844768503</v>
          </cell>
        </row>
        <row r="24">
          <cell r="B24">
            <v>40696</v>
          </cell>
          <cell r="C24">
            <v>0.72824875176082904</v>
          </cell>
          <cell r="D24">
            <v>0.384751810944437</v>
          </cell>
          <cell r="I24">
            <v>40696</v>
          </cell>
          <cell r="K24">
            <v>462480304706.05603</v>
          </cell>
          <cell r="L24">
            <v>898925930940.14294</v>
          </cell>
          <cell r="M24">
            <v>0.51448099202385933</v>
          </cell>
        </row>
        <row r="25">
          <cell r="B25">
            <v>40703</v>
          </cell>
          <cell r="C25">
            <v>0.74506714039606803</v>
          </cell>
          <cell r="D25">
            <v>0.40107831488719298</v>
          </cell>
          <cell r="I25">
            <v>40703</v>
          </cell>
          <cell r="K25">
            <v>462480304706.05603</v>
          </cell>
          <cell r="L25">
            <v>898925930940.14294</v>
          </cell>
          <cell r="M25">
            <v>0.51448099202385933</v>
          </cell>
        </row>
        <row r="26">
          <cell r="B26">
            <v>40710</v>
          </cell>
          <cell r="C26">
            <v>0.74505340929157504</v>
          </cell>
          <cell r="D26">
            <v>0.401048271232536</v>
          </cell>
          <cell r="I26">
            <v>40710</v>
          </cell>
          <cell r="K26">
            <v>462480304706.05603</v>
          </cell>
          <cell r="L26">
            <v>898925930940.14294</v>
          </cell>
          <cell r="M26">
            <v>0.51448099202385933</v>
          </cell>
        </row>
        <row r="27">
          <cell r="B27">
            <v>40717</v>
          </cell>
          <cell r="C27">
            <v>0.72824875176082904</v>
          </cell>
          <cell r="D27">
            <v>0.384751810944437</v>
          </cell>
          <cell r="I27">
            <v>40717</v>
          </cell>
          <cell r="K27">
            <v>462480304706.05603</v>
          </cell>
          <cell r="L27">
            <v>898925930940.14294</v>
          </cell>
          <cell r="M27">
            <v>0.51448099202385933</v>
          </cell>
        </row>
        <row r="28">
          <cell r="B28">
            <v>40724</v>
          </cell>
          <cell r="C28">
            <v>0.74479550295308605</v>
          </cell>
          <cell r="D28">
            <v>0.40017737051204799</v>
          </cell>
          <cell r="I28">
            <v>40724</v>
          </cell>
          <cell r="K28">
            <v>462480304706.05603</v>
          </cell>
          <cell r="L28">
            <v>898925930940.14294</v>
          </cell>
          <cell r="M28">
            <v>0.51448099202385933</v>
          </cell>
        </row>
        <row r="29">
          <cell r="B29">
            <v>40731</v>
          </cell>
          <cell r="C29">
            <v>0.70952144486954205</v>
          </cell>
          <cell r="D29">
            <v>0.36468183111139002</v>
          </cell>
          <cell r="I29">
            <v>40731</v>
          </cell>
          <cell r="K29">
            <v>454274419000.159</v>
          </cell>
          <cell r="L29">
            <v>896187746439.72998</v>
          </cell>
          <cell r="M29">
            <v>0.50689648547957433</v>
          </cell>
        </row>
        <row r="30">
          <cell r="B30">
            <v>40738</v>
          </cell>
          <cell r="C30">
            <v>0.74275012081458902</v>
          </cell>
          <cell r="D30">
            <v>0.40333930019983799</v>
          </cell>
          <cell r="I30">
            <v>40738</v>
          </cell>
          <cell r="K30">
            <v>454274419000.159</v>
          </cell>
          <cell r="L30">
            <v>896187746439.72998</v>
          </cell>
          <cell r="M30">
            <v>0.50689648547957433</v>
          </cell>
        </row>
        <row r="31">
          <cell r="B31">
            <v>40745</v>
          </cell>
          <cell r="C31">
            <v>0.72609841989856705</v>
          </cell>
          <cell r="D31">
            <v>0.38775372661303198</v>
          </cell>
          <cell r="I31">
            <v>40745</v>
          </cell>
          <cell r="K31">
            <v>454274419000.159</v>
          </cell>
          <cell r="L31">
            <v>896187746439.72998</v>
          </cell>
          <cell r="M31">
            <v>0.50689648547957433</v>
          </cell>
        </row>
        <row r="32">
          <cell r="B32">
            <v>40752</v>
          </cell>
          <cell r="C32">
            <v>0.72572799430629997</v>
          </cell>
          <cell r="D32">
            <v>0.38003243735001302</v>
          </cell>
          <cell r="I32">
            <v>40752</v>
          </cell>
          <cell r="K32">
            <v>454274419000.159</v>
          </cell>
          <cell r="L32">
            <v>896187746439.72998</v>
          </cell>
          <cell r="M32">
            <v>0.50689648547957433</v>
          </cell>
        </row>
        <row r="33">
          <cell r="B33">
            <v>40759</v>
          </cell>
          <cell r="C33">
            <v>0.77903375194828495</v>
          </cell>
          <cell r="D33">
            <v>0.44778093064805002</v>
          </cell>
          <cell r="I33">
            <v>40759</v>
          </cell>
          <cell r="K33">
            <v>446036314532.50897</v>
          </cell>
          <cell r="L33">
            <v>896440206380.84204</v>
          </cell>
          <cell r="M33">
            <v>0.49756393271702015</v>
          </cell>
        </row>
        <row r="34">
          <cell r="B34">
            <v>40766</v>
          </cell>
          <cell r="C34">
            <v>0.86382425683094299</v>
          </cell>
          <cell r="D34">
            <v>0.52006535712284097</v>
          </cell>
          <cell r="I34">
            <v>40766</v>
          </cell>
          <cell r="K34">
            <v>446036314532.50897</v>
          </cell>
          <cell r="L34">
            <v>896440206380.84204</v>
          </cell>
          <cell r="M34">
            <v>0.49756393271702015</v>
          </cell>
        </row>
        <row r="35">
          <cell r="B35">
            <v>40773</v>
          </cell>
          <cell r="C35">
            <v>0.93211944193435403</v>
          </cell>
          <cell r="D35">
            <v>0.58768687513124296</v>
          </cell>
          <cell r="I35">
            <v>40773</v>
          </cell>
          <cell r="K35">
            <v>446036314532.50897</v>
          </cell>
          <cell r="L35">
            <v>896440206380.84204</v>
          </cell>
          <cell r="M35">
            <v>0.49756393271702015</v>
          </cell>
        </row>
        <row r="36">
          <cell r="B36">
            <v>40780</v>
          </cell>
          <cell r="C36">
            <v>0.89991044673128795</v>
          </cell>
          <cell r="D36">
            <v>0.55816631773039305</v>
          </cell>
          <cell r="I36">
            <v>40780</v>
          </cell>
          <cell r="K36">
            <v>446036314532.50897</v>
          </cell>
          <cell r="L36">
            <v>896440206380.84204</v>
          </cell>
          <cell r="M36">
            <v>0.49756393271702015</v>
          </cell>
        </row>
        <row r="37">
          <cell r="B37">
            <v>40787</v>
          </cell>
          <cell r="C37">
            <v>0.89921029459495505</v>
          </cell>
          <cell r="D37">
            <v>0.56195750140436296</v>
          </cell>
          <cell r="I37">
            <v>40787</v>
          </cell>
          <cell r="K37">
            <v>436967852620.36298</v>
          </cell>
          <cell r="L37">
            <v>895897744776.50806</v>
          </cell>
          <cell r="M37">
            <v>0.48774299876083471</v>
          </cell>
        </row>
        <row r="38">
          <cell r="B38">
            <v>40794</v>
          </cell>
          <cell r="C38">
            <v>0.94885867876400498</v>
          </cell>
          <cell r="D38">
            <v>0.60700793412000198</v>
          </cell>
          <cell r="I38">
            <v>40794</v>
          </cell>
          <cell r="K38">
            <v>436967852620.36298</v>
          </cell>
          <cell r="L38">
            <v>895897744776.50806</v>
          </cell>
          <cell r="M38">
            <v>0.48774299876083471</v>
          </cell>
        </row>
        <row r="39">
          <cell r="B39">
            <v>40801</v>
          </cell>
          <cell r="C39">
            <v>0.948919698883541</v>
          </cell>
          <cell r="D39">
            <v>0.61032822604557502</v>
          </cell>
          <cell r="I39">
            <v>40801</v>
          </cell>
          <cell r="K39">
            <v>436967852620.36298</v>
          </cell>
          <cell r="L39">
            <v>895897744776.50806</v>
          </cell>
          <cell r="M39">
            <v>0.48774299876083471</v>
          </cell>
        </row>
        <row r="40">
          <cell r="B40">
            <v>40808</v>
          </cell>
          <cell r="C40">
            <v>0.948919698883541</v>
          </cell>
          <cell r="D40">
            <v>0.61032822604557502</v>
          </cell>
          <cell r="I40">
            <v>40808</v>
          </cell>
          <cell r="K40">
            <v>436967852620.36298</v>
          </cell>
          <cell r="L40">
            <v>895897744776.50806</v>
          </cell>
          <cell r="M40">
            <v>0.48774299876083471</v>
          </cell>
        </row>
        <row r="41">
          <cell r="B41">
            <v>40815</v>
          </cell>
          <cell r="C41">
            <v>0.974512005363524</v>
          </cell>
          <cell r="D41">
            <v>0.64853433410786498</v>
          </cell>
          <cell r="I41">
            <v>40815</v>
          </cell>
          <cell r="K41">
            <v>436967852620.36298</v>
          </cell>
          <cell r="L41">
            <v>895897744776.50806</v>
          </cell>
          <cell r="M41">
            <v>0.48774299876083471</v>
          </cell>
        </row>
        <row r="42">
          <cell r="B42">
            <v>40822</v>
          </cell>
          <cell r="C42">
            <v>0.97415183550259199</v>
          </cell>
          <cell r="D42">
            <v>0.645956259094282</v>
          </cell>
          <cell r="I42">
            <v>40822</v>
          </cell>
          <cell r="K42">
            <v>426018974879.43103</v>
          </cell>
          <cell r="L42">
            <v>890903153887.02795</v>
          </cell>
          <cell r="M42">
            <v>0.47818775028542876</v>
          </cell>
        </row>
        <row r="43">
          <cell r="B43">
            <v>40829</v>
          </cell>
          <cell r="C43">
            <v>0.930833872341434</v>
          </cell>
          <cell r="D43">
            <v>0.58447873508666104</v>
          </cell>
          <cell r="I43">
            <v>40829</v>
          </cell>
          <cell r="K43">
            <v>426018974879.43103</v>
          </cell>
          <cell r="L43">
            <v>890903153887.02795</v>
          </cell>
          <cell r="M43">
            <v>0.47818775028542876</v>
          </cell>
        </row>
        <row r="44">
          <cell r="B44">
            <v>40836</v>
          </cell>
          <cell r="C44">
            <v>0.948221735508743</v>
          </cell>
          <cell r="D44">
            <v>0.59657753136731795</v>
          </cell>
          <cell r="I44">
            <v>40836</v>
          </cell>
          <cell r="K44">
            <v>426018974879.43103</v>
          </cell>
          <cell r="L44">
            <v>890903153887.02795</v>
          </cell>
          <cell r="M44">
            <v>0.47818775028542876</v>
          </cell>
        </row>
        <row r="45">
          <cell r="B45">
            <v>40843</v>
          </cell>
          <cell r="C45">
            <v>0.94825133674425999</v>
          </cell>
          <cell r="D45">
            <v>0.59967366222938401</v>
          </cell>
          <cell r="I45">
            <v>40843</v>
          </cell>
          <cell r="K45">
            <v>426018974879.43103</v>
          </cell>
          <cell r="L45">
            <v>890903153887.02795</v>
          </cell>
          <cell r="M45">
            <v>0.47818775028542876</v>
          </cell>
        </row>
        <row r="46">
          <cell r="B46">
            <v>40850</v>
          </cell>
          <cell r="C46">
            <v>0.97363330958432404</v>
          </cell>
          <cell r="D46">
            <v>0.63426200382067699</v>
          </cell>
          <cell r="I46">
            <v>40850</v>
          </cell>
          <cell r="K46">
            <v>412851613521.01099</v>
          </cell>
          <cell r="L46">
            <v>880795609040.20496</v>
          </cell>
          <cell r="M46">
            <v>0.46872578528279868</v>
          </cell>
        </row>
        <row r="47">
          <cell r="B47">
            <v>40857</v>
          </cell>
          <cell r="C47">
            <v>0.97363631849321397</v>
          </cell>
          <cell r="D47">
            <v>0.63427711234699902</v>
          </cell>
          <cell r="I47">
            <v>40857</v>
          </cell>
          <cell r="K47">
            <v>412851613521.01099</v>
          </cell>
          <cell r="L47">
            <v>880795609040.20496</v>
          </cell>
          <cell r="M47">
            <v>0.46872578528279868</v>
          </cell>
        </row>
        <row r="48">
          <cell r="B48">
            <v>40864</v>
          </cell>
          <cell r="C48">
            <v>0.97363330958432404</v>
          </cell>
          <cell r="D48">
            <v>0.63426200382067699</v>
          </cell>
          <cell r="I48">
            <v>40864</v>
          </cell>
          <cell r="K48">
            <v>412851613521.01099</v>
          </cell>
          <cell r="L48">
            <v>880795609040.20496</v>
          </cell>
          <cell r="M48">
            <v>0.46872578528279868</v>
          </cell>
        </row>
        <row r="49">
          <cell r="B49">
            <v>40870</v>
          </cell>
          <cell r="C49">
            <v>0.97364489082606698</v>
          </cell>
          <cell r="D49">
            <v>0.635648130355292</v>
          </cell>
          <cell r="I49">
            <v>40870</v>
          </cell>
          <cell r="K49">
            <v>412851613521.01099</v>
          </cell>
          <cell r="L49">
            <v>880795609040.20496</v>
          </cell>
          <cell r="M49">
            <v>0.46872578528279868</v>
          </cell>
        </row>
        <row r="50">
          <cell r="B50">
            <v>40878</v>
          </cell>
          <cell r="C50">
            <v>0.97319978848678002</v>
          </cell>
          <cell r="D50">
            <v>0.62458539335419805</v>
          </cell>
          <cell r="I50">
            <v>40878</v>
          </cell>
          <cell r="K50">
            <v>399942599684.46997</v>
          </cell>
          <cell r="L50">
            <v>867951071508.93604</v>
          </cell>
          <cell r="M50">
            <v>0.46078933803165695</v>
          </cell>
        </row>
        <row r="51">
          <cell r="B51">
            <v>40885</v>
          </cell>
          <cell r="C51">
            <v>0.973202121427309</v>
          </cell>
          <cell r="D51">
            <v>0.62459894340621602</v>
          </cell>
          <cell r="I51">
            <v>40885</v>
          </cell>
          <cell r="K51">
            <v>399942599684.46997</v>
          </cell>
          <cell r="L51">
            <v>867951071508.93604</v>
          </cell>
          <cell r="M51">
            <v>0.46078933803165695</v>
          </cell>
        </row>
        <row r="52">
          <cell r="B52">
            <v>40892</v>
          </cell>
          <cell r="C52">
            <v>0.97322297014224102</v>
          </cell>
          <cell r="D52">
            <v>0.62737303113999399</v>
          </cell>
          <cell r="I52">
            <v>40892</v>
          </cell>
          <cell r="K52">
            <v>399942599684.46997</v>
          </cell>
          <cell r="L52">
            <v>867951071508.93604</v>
          </cell>
          <cell r="M52">
            <v>0.46078933803165695</v>
          </cell>
        </row>
        <row r="53">
          <cell r="B53">
            <v>40899</v>
          </cell>
          <cell r="C53">
            <v>0.98378393141539</v>
          </cell>
          <cell r="D53">
            <v>0.64767108993784595</v>
          </cell>
          <cell r="I53">
            <v>40899</v>
          </cell>
          <cell r="K53">
            <v>399942599684.46997</v>
          </cell>
          <cell r="L53">
            <v>867951071508.93604</v>
          </cell>
          <cell r="M53">
            <v>0.46078933803165695</v>
          </cell>
        </row>
        <row r="54">
          <cell r="B54">
            <v>40906</v>
          </cell>
          <cell r="C54">
            <v>0.98374645848449505</v>
          </cell>
          <cell r="D54">
            <v>0.63728428479421295</v>
          </cell>
          <cell r="I54">
            <v>40906</v>
          </cell>
          <cell r="K54">
            <v>399942599684.46997</v>
          </cell>
          <cell r="L54">
            <v>867951071508.93604</v>
          </cell>
          <cell r="M54">
            <v>0.46078933803165695</v>
          </cell>
        </row>
        <row r="55">
          <cell r="B55">
            <v>40913</v>
          </cell>
          <cell r="C55">
            <v>0.98350298040027295</v>
          </cell>
          <cell r="D55">
            <v>0.63473367433484096</v>
          </cell>
          <cell r="I55">
            <v>40913</v>
          </cell>
          <cell r="K55">
            <v>388008884102.70697</v>
          </cell>
          <cell r="L55">
            <v>862642562832.45898</v>
          </cell>
          <cell r="M55">
            <v>0.44979102680569383</v>
          </cell>
        </row>
        <row r="56">
          <cell r="B56">
            <v>40920</v>
          </cell>
          <cell r="C56">
            <v>0.983519920596025</v>
          </cell>
          <cell r="D56">
            <v>0.64586810672947803</v>
          </cell>
          <cell r="I56">
            <v>40920</v>
          </cell>
          <cell r="K56">
            <v>388008884102.70697</v>
          </cell>
          <cell r="L56">
            <v>862642562832.45898</v>
          </cell>
          <cell r="M56">
            <v>0.44979102680569383</v>
          </cell>
        </row>
        <row r="57">
          <cell r="B57">
            <v>40927</v>
          </cell>
          <cell r="C57">
            <v>0.98351461374668603</v>
          </cell>
          <cell r="D57">
            <v>0.64423993013390601</v>
          </cell>
          <cell r="I57">
            <v>40927</v>
          </cell>
          <cell r="K57">
            <v>388008884102.70697</v>
          </cell>
          <cell r="L57">
            <v>862642562832.45898</v>
          </cell>
          <cell r="M57">
            <v>0.44979102680569383</v>
          </cell>
        </row>
        <row r="58">
          <cell r="B58">
            <v>40934</v>
          </cell>
          <cell r="C58">
            <v>0.97286189980816695</v>
          </cell>
          <cell r="D58">
            <v>0.62201051152227504</v>
          </cell>
          <cell r="I58">
            <v>40934</v>
          </cell>
          <cell r="K58">
            <v>388008884102.70697</v>
          </cell>
          <cell r="L58">
            <v>862642562832.45898</v>
          </cell>
          <cell r="M58">
            <v>0.44979102680569383</v>
          </cell>
        </row>
        <row r="59">
          <cell r="B59">
            <v>40941</v>
          </cell>
          <cell r="C59">
            <v>0.98329981748947404</v>
          </cell>
          <cell r="D59">
            <v>0.64005936276544695</v>
          </cell>
          <cell r="I59">
            <v>40941</v>
          </cell>
          <cell r="K59">
            <v>377010024939.07202</v>
          </cell>
          <cell r="L59">
            <v>865283651280.50305</v>
          </cell>
          <cell r="M59">
            <v>0.43570686257754676</v>
          </cell>
        </row>
        <row r="60">
          <cell r="B60">
            <v>40948</v>
          </cell>
          <cell r="C60">
            <v>0.98329981748947404</v>
          </cell>
          <cell r="D60">
            <v>0.64005936276544695</v>
          </cell>
          <cell r="I60">
            <v>40948</v>
          </cell>
          <cell r="K60">
            <v>377010024939.07202</v>
          </cell>
          <cell r="L60">
            <v>865283651280.50305</v>
          </cell>
          <cell r="M60">
            <v>0.43570686257754676</v>
          </cell>
        </row>
        <row r="61">
          <cell r="B61">
            <v>40955</v>
          </cell>
          <cell r="C61">
            <v>0.98329981748947404</v>
          </cell>
          <cell r="D61">
            <v>0.64005936276544695</v>
          </cell>
          <cell r="I61">
            <v>40955</v>
          </cell>
          <cell r="K61">
            <v>377010024939.07202</v>
          </cell>
          <cell r="L61">
            <v>865283651280.50305</v>
          </cell>
          <cell r="M61">
            <v>0.43570686257754676</v>
          </cell>
        </row>
        <row r="62">
          <cell r="B62">
            <v>40962</v>
          </cell>
          <cell r="C62">
            <v>0.97253147097901604</v>
          </cell>
          <cell r="D62">
            <v>0.61808643863248902</v>
          </cell>
          <cell r="I62">
            <v>40962</v>
          </cell>
          <cell r="K62">
            <v>377010024939.07202</v>
          </cell>
          <cell r="L62">
            <v>865283651280.50305</v>
          </cell>
          <cell r="M62">
            <v>0.43570686257754676</v>
          </cell>
        </row>
        <row r="63">
          <cell r="B63">
            <v>40969</v>
          </cell>
          <cell r="C63">
            <v>0.98307098130391601</v>
          </cell>
          <cell r="D63">
            <v>0.62796244692019199</v>
          </cell>
          <cell r="I63">
            <v>40969</v>
          </cell>
          <cell r="K63">
            <v>364462334224.22998</v>
          </cell>
          <cell r="L63">
            <v>861190703554.85706</v>
          </cell>
          <cell r="M63">
            <v>0.42320746464144116</v>
          </cell>
        </row>
        <row r="64">
          <cell r="B64">
            <v>40976</v>
          </cell>
          <cell r="C64">
            <v>0.98308116533178702</v>
          </cell>
          <cell r="D64">
            <v>0.63624058874854394</v>
          </cell>
          <cell r="I64">
            <v>40976</v>
          </cell>
          <cell r="K64">
            <v>364462334224.22998</v>
          </cell>
          <cell r="L64">
            <v>861190703554.85706</v>
          </cell>
          <cell r="M64">
            <v>0.42320746464144116</v>
          </cell>
        </row>
        <row r="65">
          <cell r="B65">
            <v>40983</v>
          </cell>
          <cell r="C65">
            <v>0.98304412035651201</v>
          </cell>
          <cell r="D65">
            <v>0.62572384062849695</v>
          </cell>
          <cell r="I65">
            <v>40983</v>
          </cell>
          <cell r="K65">
            <v>364462334224.22998</v>
          </cell>
          <cell r="L65">
            <v>861190703554.85706</v>
          </cell>
          <cell r="M65">
            <v>0.42320746464144116</v>
          </cell>
        </row>
        <row r="66">
          <cell r="B66">
            <v>40990</v>
          </cell>
          <cell r="C66">
            <v>0.94621671624645198</v>
          </cell>
          <cell r="D66">
            <v>0.57002458854182303</v>
          </cell>
          <cell r="I66">
            <v>40990</v>
          </cell>
          <cell r="K66">
            <v>364462334224.22998</v>
          </cell>
          <cell r="L66">
            <v>861190703554.85706</v>
          </cell>
          <cell r="M66">
            <v>0.42320746464144116</v>
          </cell>
        </row>
        <row r="67">
          <cell r="B67">
            <v>40997</v>
          </cell>
          <cell r="C67">
            <v>0.97221317553099895</v>
          </cell>
          <cell r="D67">
            <v>0.613026013245069</v>
          </cell>
          <cell r="I67">
            <v>40997</v>
          </cell>
          <cell r="K67">
            <v>364462334224.22998</v>
          </cell>
          <cell r="L67">
            <v>861190703554.85706</v>
          </cell>
          <cell r="M67">
            <v>0.42320746464144116</v>
          </cell>
        </row>
        <row r="68">
          <cell r="B68">
            <v>41004</v>
          </cell>
          <cell r="C68">
            <v>0.972659113561122</v>
          </cell>
          <cell r="D68">
            <v>0.64462607137328098</v>
          </cell>
          <cell r="I68">
            <v>41004</v>
          </cell>
          <cell r="K68">
            <v>350890768985.05603</v>
          </cell>
          <cell r="L68">
            <v>852751932022.53503</v>
          </cell>
          <cell r="M68">
            <v>0.41148047375609265</v>
          </cell>
        </row>
        <row r="69">
          <cell r="B69">
            <v>41011</v>
          </cell>
          <cell r="C69">
            <v>0.98910284855503505</v>
          </cell>
          <cell r="D69">
            <v>0.67706909583525099</v>
          </cell>
          <cell r="I69">
            <v>41011</v>
          </cell>
          <cell r="K69">
            <v>350890768985.05603</v>
          </cell>
          <cell r="L69">
            <v>852751932022.53503</v>
          </cell>
          <cell r="M69">
            <v>0.41148047375609265</v>
          </cell>
        </row>
        <row r="70">
          <cell r="B70">
            <v>41018</v>
          </cell>
          <cell r="C70">
            <v>0.98328533943875196</v>
          </cell>
          <cell r="D70">
            <v>0.65838549683501602</v>
          </cell>
          <cell r="I70">
            <v>41018</v>
          </cell>
          <cell r="K70">
            <v>350890768985.05603</v>
          </cell>
          <cell r="L70">
            <v>852751932022.53503</v>
          </cell>
          <cell r="M70">
            <v>0.41148047375609265</v>
          </cell>
        </row>
        <row r="71">
          <cell r="B71">
            <v>41025</v>
          </cell>
          <cell r="C71">
            <v>0.98910284855503505</v>
          </cell>
          <cell r="D71">
            <v>0.67706909583525099</v>
          </cell>
          <cell r="I71">
            <v>41025</v>
          </cell>
          <cell r="K71">
            <v>350890768985.05603</v>
          </cell>
          <cell r="L71">
            <v>852751932022.53503</v>
          </cell>
          <cell r="M71">
            <v>0.41148047375609265</v>
          </cell>
        </row>
        <row r="72">
          <cell r="B72">
            <v>41032</v>
          </cell>
          <cell r="C72">
            <v>0.98918794291197698</v>
          </cell>
          <cell r="D72">
            <v>0.70759479979039797</v>
          </cell>
          <cell r="I72">
            <v>41032</v>
          </cell>
          <cell r="K72">
            <v>338046228672.72302</v>
          </cell>
          <cell r="L72">
            <v>843407158052.96497</v>
          </cell>
          <cell r="M72">
            <v>0.40081024383657665</v>
          </cell>
        </row>
        <row r="73">
          <cell r="B73">
            <v>41039</v>
          </cell>
          <cell r="C73">
            <v>0.98919709187808802</v>
          </cell>
          <cell r="D73">
            <v>0.71147773162473305</v>
          </cell>
          <cell r="I73">
            <v>41039</v>
          </cell>
          <cell r="K73">
            <v>338046228672.72302</v>
          </cell>
          <cell r="L73">
            <v>843407158052.96497</v>
          </cell>
          <cell r="M73">
            <v>0.40081024383657665</v>
          </cell>
        </row>
        <row r="74">
          <cell r="B74">
            <v>41046</v>
          </cell>
          <cell r="C74">
            <v>0.99452879876186695</v>
          </cell>
          <cell r="D74">
            <v>0.72048705417655701</v>
          </cell>
          <cell r="I74">
            <v>41046</v>
          </cell>
          <cell r="K74">
            <v>338046228672.72302</v>
          </cell>
          <cell r="L74">
            <v>843407158052.96497</v>
          </cell>
          <cell r="M74">
            <v>0.40081024383657665</v>
          </cell>
        </row>
        <row r="75">
          <cell r="B75">
            <v>41053</v>
          </cell>
          <cell r="C75">
            <v>0.994528175384642</v>
          </cell>
          <cell r="D75">
            <v>0.71747083126455002</v>
          </cell>
          <cell r="I75">
            <v>41053</v>
          </cell>
          <cell r="K75">
            <v>338046228672.72302</v>
          </cell>
          <cell r="L75">
            <v>843407158052.96497</v>
          </cell>
          <cell r="M75">
            <v>0.40081024383657665</v>
          </cell>
        </row>
        <row r="76">
          <cell r="B76">
            <v>41060</v>
          </cell>
          <cell r="C76">
            <v>0.99453076174602095</v>
          </cell>
          <cell r="D76">
            <v>0.72251040855348803</v>
          </cell>
          <cell r="I76">
            <v>41060</v>
          </cell>
          <cell r="K76">
            <v>338046228672.72302</v>
          </cell>
          <cell r="L76">
            <v>843407158052.96497</v>
          </cell>
          <cell r="M76">
            <v>0.40081024383657665</v>
          </cell>
        </row>
        <row r="77">
          <cell r="B77">
            <v>41067</v>
          </cell>
          <cell r="C77">
            <v>0.99920990822137301</v>
          </cell>
          <cell r="D77">
            <v>0.76469548566159196</v>
          </cell>
          <cell r="I77">
            <v>41067</v>
          </cell>
          <cell r="K77">
            <v>324611094201.94598</v>
          </cell>
          <cell r="L77">
            <v>842987221871.99902</v>
          </cell>
          <cell r="M77">
            <v>0.38507237806178235</v>
          </cell>
        </row>
        <row r="78">
          <cell r="B78">
            <v>41074</v>
          </cell>
          <cell r="C78">
            <v>0.99750984999361303</v>
          </cell>
          <cell r="D78">
            <v>0.75970865346687</v>
          </cell>
          <cell r="I78">
            <v>41074</v>
          </cell>
          <cell r="K78">
            <v>324611094201.94598</v>
          </cell>
          <cell r="L78">
            <v>842987221871.99902</v>
          </cell>
          <cell r="M78">
            <v>0.38507237806178235</v>
          </cell>
        </row>
        <row r="79">
          <cell r="B79">
            <v>41081</v>
          </cell>
          <cell r="C79">
            <v>0.99920990822137301</v>
          </cell>
          <cell r="D79">
            <v>0.76601871584032599</v>
          </cell>
          <cell r="I79">
            <v>41081</v>
          </cell>
          <cell r="K79">
            <v>324611094201.94598</v>
          </cell>
          <cell r="L79">
            <v>842987221871.99902</v>
          </cell>
          <cell r="M79">
            <v>0.38507237806178235</v>
          </cell>
        </row>
        <row r="80">
          <cell r="B80">
            <v>41088</v>
          </cell>
          <cell r="C80">
            <v>0.99920990822137301</v>
          </cell>
          <cell r="D80">
            <v>0.76601871584032599</v>
          </cell>
          <cell r="I80">
            <v>41088</v>
          </cell>
          <cell r="K80">
            <v>324611094201.94598</v>
          </cell>
          <cell r="L80">
            <v>842987221871.99902</v>
          </cell>
          <cell r="M80">
            <v>0.38507237806178235</v>
          </cell>
        </row>
        <row r="81">
          <cell r="B81">
            <v>41095</v>
          </cell>
          <cell r="C81">
            <v>0.99921052750741601</v>
          </cell>
          <cell r="D81">
            <v>0.77656524470940902</v>
          </cell>
          <cell r="I81">
            <v>41095</v>
          </cell>
          <cell r="K81">
            <v>311798813958.06299</v>
          </cell>
          <cell r="L81">
            <v>836042456950.479</v>
          </cell>
          <cell r="M81">
            <v>0.37294614808842375</v>
          </cell>
        </row>
        <row r="82">
          <cell r="B82">
            <v>41102</v>
          </cell>
          <cell r="C82">
            <v>0.99993082487965101</v>
          </cell>
          <cell r="D82">
            <v>0.78357818362172504</v>
          </cell>
          <cell r="I82">
            <v>41102</v>
          </cell>
          <cell r="K82">
            <v>311798813958.06299</v>
          </cell>
          <cell r="L82">
            <v>836042456950.479</v>
          </cell>
          <cell r="M82">
            <v>0.37294614808842375</v>
          </cell>
        </row>
        <row r="83">
          <cell r="B83">
            <v>41109</v>
          </cell>
          <cell r="C83">
            <v>0.99993082487965101</v>
          </cell>
          <cell r="D83">
            <v>0.78680943760229805</v>
          </cell>
          <cell r="I83">
            <v>41109</v>
          </cell>
          <cell r="K83">
            <v>311798813958.06299</v>
          </cell>
          <cell r="L83">
            <v>836042456950.479</v>
          </cell>
          <cell r="M83">
            <v>0.37294614808842375</v>
          </cell>
        </row>
        <row r="84">
          <cell r="B84">
            <v>41116</v>
          </cell>
          <cell r="C84">
            <v>0.99994356235953297</v>
          </cell>
          <cell r="D84">
            <v>0.78926724871332199</v>
          </cell>
          <cell r="I84">
            <v>41116</v>
          </cell>
          <cell r="K84">
            <v>311798813958.06299</v>
          </cell>
          <cell r="L84">
            <v>836042456950.479</v>
          </cell>
          <cell r="M84">
            <v>0.37294614808842375</v>
          </cell>
        </row>
        <row r="85">
          <cell r="B85">
            <v>41123</v>
          </cell>
          <cell r="C85">
            <v>0.99992850979514003</v>
          </cell>
          <cell r="D85">
            <v>0.79167204155684201</v>
          </cell>
          <cell r="I85">
            <v>41123</v>
          </cell>
          <cell r="K85">
            <v>299045132715.31299</v>
          </cell>
          <cell r="L85">
            <v>833663605862.28699</v>
          </cell>
          <cell r="M85">
            <v>0.35871199199825965</v>
          </cell>
        </row>
        <row r="86">
          <cell r="B86">
            <v>41130</v>
          </cell>
          <cell r="C86">
            <v>0.99992850979514003</v>
          </cell>
          <cell r="D86">
            <v>0.79119157211259705</v>
          </cell>
          <cell r="I86">
            <v>41130</v>
          </cell>
          <cell r="K86">
            <v>299045132715.31299</v>
          </cell>
          <cell r="L86">
            <v>833663605862.28699</v>
          </cell>
          <cell r="M86">
            <v>0.35871199199825965</v>
          </cell>
        </row>
        <row r="87">
          <cell r="B87">
            <v>41137</v>
          </cell>
          <cell r="C87">
            <v>0.99991808103115498</v>
          </cell>
          <cell r="D87">
            <v>0.78981685075272301</v>
          </cell>
          <cell r="I87">
            <v>41137</v>
          </cell>
          <cell r="K87">
            <v>299045132715.31299</v>
          </cell>
          <cell r="L87">
            <v>833663605862.28699</v>
          </cell>
          <cell r="M87">
            <v>0.35871199199825965</v>
          </cell>
        </row>
        <row r="88">
          <cell r="B88">
            <v>41144</v>
          </cell>
          <cell r="C88">
            <v>0.99920283129912302</v>
          </cell>
          <cell r="D88">
            <v>0.78342241627971398</v>
          </cell>
          <cell r="I88">
            <v>41144</v>
          </cell>
          <cell r="K88">
            <v>299045132715.31299</v>
          </cell>
          <cell r="L88">
            <v>833663605862.28699</v>
          </cell>
          <cell r="M88">
            <v>0.35871199199825965</v>
          </cell>
        </row>
        <row r="89">
          <cell r="B89">
            <v>41151</v>
          </cell>
          <cell r="C89">
            <v>0.99992850979514003</v>
          </cell>
          <cell r="D89">
            <v>0.79119157211259705</v>
          </cell>
          <cell r="I89">
            <v>41151</v>
          </cell>
          <cell r="K89">
            <v>299045132715.31299</v>
          </cell>
          <cell r="L89">
            <v>833663605862.28699</v>
          </cell>
          <cell r="M89">
            <v>0.35871199199825965</v>
          </cell>
        </row>
        <row r="90">
          <cell r="B90">
            <v>41158</v>
          </cell>
          <cell r="C90">
            <v>0.999925926572371</v>
          </cell>
          <cell r="D90">
            <v>0.79869244722997501</v>
          </cell>
          <cell r="I90">
            <v>41158</v>
          </cell>
          <cell r="K90">
            <v>285566306127.30701</v>
          </cell>
          <cell r="L90">
            <v>824158873560.92102</v>
          </cell>
          <cell r="M90">
            <v>0.34649424436027532</v>
          </cell>
        </row>
        <row r="91">
          <cell r="B91">
            <v>41165</v>
          </cell>
          <cell r="C91">
            <v>0.999925926572371</v>
          </cell>
          <cell r="D91">
            <v>0.80125181967528103</v>
          </cell>
          <cell r="I91">
            <v>41165</v>
          </cell>
          <cell r="K91">
            <v>285566306127.30701</v>
          </cell>
          <cell r="L91">
            <v>824158873560.92102</v>
          </cell>
          <cell r="M91">
            <v>0.34649424436027532</v>
          </cell>
        </row>
        <row r="92">
          <cell r="B92">
            <v>41172</v>
          </cell>
          <cell r="C92">
            <v>0.99993925458967703</v>
          </cell>
          <cell r="D92">
            <v>0.80486189051620305</v>
          </cell>
          <cell r="I92">
            <v>41172</v>
          </cell>
          <cell r="K92">
            <v>285566306127.30701</v>
          </cell>
          <cell r="L92">
            <v>824158873560.92102</v>
          </cell>
          <cell r="M92">
            <v>0.34649424436027532</v>
          </cell>
        </row>
        <row r="93">
          <cell r="B93">
            <v>41179</v>
          </cell>
          <cell r="C93">
            <v>0.999963330930556</v>
          </cell>
          <cell r="D93">
            <v>0.80926691142062801</v>
          </cell>
          <cell r="I93">
            <v>41179</v>
          </cell>
          <cell r="K93">
            <v>285566306127.30701</v>
          </cell>
          <cell r="L93">
            <v>824158873560.92102</v>
          </cell>
          <cell r="M93">
            <v>0.34649424436027532</v>
          </cell>
        </row>
        <row r="94">
          <cell r="B94">
            <v>41186</v>
          </cell>
          <cell r="C94">
            <v>0.99996184565451895</v>
          </cell>
          <cell r="D94">
            <v>0.81286201159837101</v>
          </cell>
          <cell r="I94">
            <v>41186</v>
          </cell>
          <cell r="K94">
            <v>273811402301.38901</v>
          </cell>
          <cell r="L94">
            <v>825116182205.41797</v>
          </cell>
          <cell r="M94">
            <v>0.33184587601897486</v>
          </cell>
        </row>
        <row r="95">
          <cell r="B95">
            <v>41193</v>
          </cell>
          <cell r="C95">
            <v>0.99994149110272401</v>
          </cell>
          <cell r="D95">
            <v>0.81023413562504598</v>
          </cell>
          <cell r="I95">
            <v>41193</v>
          </cell>
          <cell r="K95">
            <v>273811402301.38901</v>
          </cell>
          <cell r="L95">
            <v>825116182205.41797</v>
          </cell>
          <cell r="M95">
            <v>0.33184587601897486</v>
          </cell>
        </row>
        <row r="96">
          <cell r="B96">
            <v>41200</v>
          </cell>
          <cell r="C96">
            <v>0.99996184565451895</v>
          </cell>
          <cell r="D96">
            <v>0.81175268314445304</v>
          </cell>
          <cell r="I96">
            <v>41200</v>
          </cell>
          <cell r="K96">
            <v>273811402301.38901</v>
          </cell>
          <cell r="L96">
            <v>825116182205.41797</v>
          </cell>
          <cell r="M96">
            <v>0.33184587601897486</v>
          </cell>
        </row>
        <row r="97">
          <cell r="B97">
            <v>41207</v>
          </cell>
          <cell r="C97">
            <v>0.99994149110272401</v>
          </cell>
          <cell r="D97">
            <v>0.809839941502147</v>
          </cell>
          <cell r="I97">
            <v>41207</v>
          </cell>
          <cell r="K97">
            <v>273811402301.38901</v>
          </cell>
          <cell r="L97">
            <v>825116182205.41797</v>
          </cell>
          <cell r="M97">
            <v>0.33184587601897486</v>
          </cell>
        </row>
        <row r="98">
          <cell r="B98">
            <v>41214</v>
          </cell>
          <cell r="C98">
            <v>0.99993955387432398</v>
          </cell>
          <cell r="D98">
            <v>0.81305878798935505</v>
          </cell>
          <cell r="I98">
            <v>41214</v>
          </cell>
          <cell r="K98">
            <v>261291167855.54599</v>
          </cell>
          <cell r="L98">
            <v>830648730002.45105</v>
          </cell>
          <cell r="M98">
            <v>0.31456277294828944</v>
          </cell>
        </row>
        <row r="99">
          <cell r="B99">
            <v>41221</v>
          </cell>
          <cell r="C99">
            <v>0.99993955387432398</v>
          </cell>
          <cell r="D99">
            <v>0.812945122249775</v>
          </cell>
          <cell r="I99">
            <v>41221</v>
          </cell>
          <cell r="K99">
            <v>261291167855.54599</v>
          </cell>
          <cell r="L99">
            <v>830648730002.45105</v>
          </cell>
          <cell r="M99">
            <v>0.31456277294828944</v>
          </cell>
        </row>
        <row r="100">
          <cell r="B100">
            <v>41228</v>
          </cell>
          <cell r="C100">
            <v>0.999960116591327</v>
          </cell>
          <cell r="D100">
            <v>0.81568730147186896</v>
          </cell>
          <cell r="I100">
            <v>41228</v>
          </cell>
          <cell r="K100">
            <v>261291167855.54599</v>
          </cell>
          <cell r="L100">
            <v>830648730002.45105</v>
          </cell>
          <cell r="M100">
            <v>0.31456277294828944</v>
          </cell>
        </row>
        <row r="101">
          <cell r="B101">
            <v>41234</v>
          </cell>
          <cell r="C101">
            <v>0.99997526938915204</v>
          </cell>
          <cell r="D101">
            <v>0.81619201070139402</v>
          </cell>
          <cell r="I101">
            <v>41234</v>
          </cell>
          <cell r="K101">
            <v>261291167855.54599</v>
          </cell>
          <cell r="L101">
            <v>830648730002.45105</v>
          </cell>
          <cell r="M101">
            <v>0.31456277294828944</v>
          </cell>
        </row>
        <row r="102">
          <cell r="B102">
            <v>41242</v>
          </cell>
          <cell r="C102">
            <v>0.999960116591327</v>
          </cell>
          <cell r="D102">
            <v>0.81567965422119304</v>
          </cell>
          <cell r="I102">
            <v>41242</v>
          </cell>
          <cell r="K102">
            <v>261291167855.54599</v>
          </cell>
          <cell r="L102">
            <v>830648730002.45105</v>
          </cell>
          <cell r="M102">
            <v>0.31456277294828944</v>
          </cell>
        </row>
        <row r="103">
          <cell r="B103">
            <v>41249</v>
          </cell>
          <cell r="C103">
            <v>0.99995840571303796</v>
          </cell>
          <cell r="D103">
            <v>0.81785115811029996</v>
          </cell>
          <cell r="I103">
            <v>41249</v>
          </cell>
          <cell r="K103">
            <v>249957281866.888</v>
          </cell>
          <cell r="L103">
            <v>820270598245.922</v>
          </cell>
          <cell r="M103">
            <v>0.30472539476777555</v>
          </cell>
        </row>
        <row r="104">
          <cell r="B104">
            <v>41256</v>
          </cell>
          <cell r="C104">
            <v>0.99997421417518995</v>
          </cell>
          <cell r="D104">
            <v>0.81814457584000999</v>
          </cell>
          <cell r="I104">
            <v>41256</v>
          </cell>
          <cell r="K104">
            <v>249957281866.888</v>
          </cell>
          <cell r="L104">
            <v>820270598245.922</v>
          </cell>
          <cell r="M104">
            <v>0.30472539476777555</v>
          </cell>
        </row>
        <row r="105">
          <cell r="B105">
            <v>41263</v>
          </cell>
          <cell r="C105">
            <v>0.99995840571303796</v>
          </cell>
          <cell r="D105">
            <v>0.81674451148550797</v>
          </cell>
          <cell r="I105">
            <v>41263</v>
          </cell>
          <cell r="K105">
            <v>249957281866.888</v>
          </cell>
          <cell r="L105">
            <v>820270598245.922</v>
          </cell>
          <cell r="M105">
            <v>0.30472539476777555</v>
          </cell>
        </row>
        <row r="106">
          <cell r="B106">
            <v>41270</v>
          </cell>
          <cell r="C106">
            <v>0.99995840571303796</v>
          </cell>
          <cell r="D106">
            <v>0.81764309369800603</v>
          </cell>
          <cell r="I106">
            <v>41270</v>
          </cell>
          <cell r="K106">
            <v>249957281866.888</v>
          </cell>
          <cell r="L106">
            <v>820270598245.922</v>
          </cell>
          <cell r="M106">
            <v>0.30472539476777555</v>
          </cell>
        </row>
        <row r="107">
          <cell r="B107">
            <v>41277</v>
          </cell>
          <cell r="C107">
            <v>0.99995690344517796</v>
          </cell>
          <cell r="D107">
            <v>0.82341532975696197</v>
          </cell>
          <cell r="I107">
            <v>41277</v>
          </cell>
          <cell r="K107">
            <v>238607531217.349</v>
          </cell>
          <cell r="L107">
            <v>819156247294.42395</v>
          </cell>
          <cell r="M107">
            <v>0.29128451623904644</v>
          </cell>
        </row>
        <row r="108">
          <cell r="B108">
            <v>41284</v>
          </cell>
          <cell r="C108">
            <v>0.99993449558008296</v>
          </cell>
          <cell r="D108">
            <v>0.82080020350731497</v>
          </cell>
          <cell r="I108">
            <v>41284</v>
          </cell>
          <cell r="K108">
            <v>238607531217.349</v>
          </cell>
          <cell r="L108">
            <v>819156247294.42395</v>
          </cell>
          <cell r="M108">
            <v>0.29128451623904644</v>
          </cell>
        </row>
        <row r="109">
          <cell r="B109">
            <v>41291</v>
          </cell>
          <cell r="C109">
            <v>0.99995690344517796</v>
          </cell>
          <cell r="D109">
            <v>0.82149229359926401</v>
          </cell>
          <cell r="I109">
            <v>41291</v>
          </cell>
          <cell r="K109">
            <v>238607531217.349</v>
          </cell>
          <cell r="L109">
            <v>819156247294.42395</v>
          </cell>
          <cell r="M109">
            <v>0.29128451623904644</v>
          </cell>
        </row>
        <row r="110">
          <cell r="B110">
            <v>41298</v>
          </cell>
          <cell r="C110">
            <v>0.99993449558008296</v>
          </cell>
          <cell r="D110">
            <v>0.81986111028491404</v>
          </cell>
          <cell r="I110">
            <v>41298</v>
          </cell>
          <cell r="K110">
            <v>238607531217.349</v>
          </cell>
          <cell r="L110">
            <v>819156247294.42395</v>
          </cell>
          <cell r="M110">
            <v>0.29128451623904644</v>
          </cell>
        </row>
        <row r="111">
          <cell r="B111">
            <v>41305</v>
          </cell>
          <cell r="C111">
            <v>0.99991411771788796</v>
          </cell>
          <cell r="D111">
            <v>0.81478312271985798</v>
          </cell>
          <cell r="I111">
            <v>41305</v>
          </cell>
          <cell r="K111">
            <v>238607531217.349</v>
          </cell>
          <cell r="L111">
            <v>819156247294.42395</v>
          </cell>
          <cell r="M111">
            <v>0.29128451623904644</v>
          </cell>
        </row>
        <row r="112">
          <cell r="B112">
            <v>41312</v>
          </cell>
          <cell r="C112">
            <v>0.99991089237320696</v>
          </cell>
          <cell r="D112">
            <v>0.81882809099579801</v>
          </cell>
          <cell r="I112">
            <v>41312</v>
          </cell>
          <cell r="K112">
            <v>227504189704.84799</v>
          </cell>
          <cell r="L112">
            <v>818129385045.38</v>
          </cell>
          <cell r="M112">
            <v>0.27807849695097897</v>
          </cell>
        </row>
        <row r="113">
          <cell r="B113">
            <v>41319</v>
          </cell>
          <cell r="C113">
            <v>0.99991089237320696</v>
          </cell>
          <cell r="D113">
            <v>0.81882809099579801</v>
          </cell>
          <cell r="I113">
            <v>41319</v>
          </cell>
          <cell r="K113">
            <v>227504189704.84799</v>
          </cell>
          <cell r="L113">
            <v>818129385045.38</v>
          </cell>
          <cell r="M113">
            <v>0.27807849695097897</v>
          </cell>
        </row>
        <row r="114">
          <cell r="B114">
            <v>41326</v>
          </cell>
          <cell r="C114">
            <v>0.99989953187824898</v>
          </cell>
          <cell r="D114">
            <v>0.81745206005968196</v>
          </cell>
          <cell r="I114">
            <v>41326</v>
          </cell>
          <cell r="K114">
            <v>227504189704.84799</v>
          </cell>
          <cell r="L114">
            <v>818129385045.38</v>
          </cell>
          <cell r="M114">
            <v>0.27807849695097897</v>
          </cell>
        </row>
        <row r="115">
          <cell r="B115">
            <v>41333</v>
          </cell>
          <cell r="C115">
            <v>0.99991089237320696</v>
          </cell>
          <cell r="D115">
            <v>0.82073842590296597</v>
          </cell>
          <cell r="I115">
            <v>41333</v>
          </cell>
          <cell r="K115">
            <v>227504189704.84799</v>
          </cell>
          <cell r="L115">
            <v>818129385045.38</v>
          </cell>
          <cell r="M115">
            <v>0.27807849695097897</v>
          </cell>
        </row>
        <row r="116">
          <cell r="B116">
            <v>41340</v>
          </cell>
          <cell r="C116">
            <v>0.99990931344518297</v>
          </cell>
          <cell r="D116">
            <v>0.82850307416378899</v>
          </cell>
          <cell r="I116">
            <v>41340</v>
          </cell>
          <cell r="K116">
            <v>216694156147.63699</v>
          </cell>
          <cell r="L116">
            <v>824157902540.86401</v>
          </cell>
          <cell r="M116">
            <v>0.26292796013915876</v>
          </cell>
        </row>
        <row r="117">
          <cell r="B117">
            <v>41347</v>
          </cell>
          <cell r="C117">
            <v>0.99915802709531398</v>
          </cell>
          <cell r="D117">
            <v>0.82003372097846405</v>
          </cell>
          <cell r="I117">
            <v>41347</v>
          </cell>
          <cell r="K117">
            <v>216694156147.63699</v>
          </cell>
          <cell r="L117">
            <v>824157902540.86401</v>
          </cell>
          <cell r="M117">
            <v>0.26292796013915876</v>
          </cell>
        </row>
        <row r="118">
          <cell r="B118">
            <v>41354</v>
          </cell>
          <cell r="C118">
            <v>0.99990931344518297</v>
          </cell>
          <cell r="D118">
            <v>0.82553780316113101</v>
          </cell>
          <cell r="I118">
            <v>41354</v>
          </cell>
          <cell r="K118">
            <v>216694156147.63699</v>
          </cell>
          <cell r="L118">
            <v>824157902540.86401</v>
          </cell>
          <cell r="M118">
            <v>0.26292796013915876</v>
          </cell>
        </row>
        <row r="119">
          <cell r="B119">
            <v>41361</v>
          </cell>
          <cell r="C119">
            <v>0.999897251404256</v>
          </cell>
          <cell r="D119">
            <v>0.82472458395839399</v>
          </cell>
          <cell r="I119">
            <v>41361</v>
          </cell>
          <cell r="K119">
            <v>216694156147.63699</v>
          </cell>
          <cell r="L119">
            <v>824157902540.86401</v>
          </cell>
          <cell r="M119">
            <v>0.26292796013915876</v>
          </cell>
        </row>
        <row r="120">
          <cell r="B120">
            <v>41368</v>
          </cell>
          <cell r="C120">
            <v>0.99990366179078405</v>
          </cell>
          <cell r="D120">
            <v>0.84328555765855695</v>
          </cell>
          <cell r="I120">
            <v>41368</v>
          </cell>
          <cell r="K120">
            <v>205810683336.68799</v>
          </cell>
          <cell r="L120">
            <v>828249997663.94495</v>
          </cell>
          <cell r="M120">
            <v>0.24848860116772839</v>
          </cell>
        </row>
        <row r="121">
          <cell r="B121">
            <v>41375</v>
          </cell>
          <cell r="C121">
            <v>0.99991982126825196</v>
          </cell>
          <cell r="D121">
            <v>0.84878046306266597</v>
          </cell>
          <cell r="I121">
            <v>41375</v>
          </cell>
          <cell r="K121">
            <v>205810683336.68799</v>
          </cell>
          <cell r="L121">
            <v>828249997663.94495</v>
          </cell>
          <cell r="M121">
            <v>0.24848860116772839</v>
          </cell>
        </row>
        <row r="122">
          <cell r="B122">
            <v>41382</v>
          </cell>
          <cell r="C122">
            <v>0.99992797902387898</v>
          </cell>
          <cell r="D122">
            <v>0.85066430465365805</v>
          </cell>
          <cell r="I122">
            <v>41382</v>
          </cell>
          <cell r="K122">
            <v>205810683336.68799</v>
          </cell>
          <cell r="L122">
            <v>828249997663.94495</v>
          </cell>
          <cell r="M122">
            <v>0.24848860116772839</v>
          </cell>
        </row>
        <row r="123">
          <cell r="B123">
            <v>41389</v>
          </cell>
          <cell r="C123">
            <v>0.99992797902387898</v>
          </cell>
          <cell r="D123">
            <v>0.84953189700775</v>
          </cell>
          <cell r="I123">
            <v>41389</v>
          </cell>
          <cell r="K123">
            <v>205810683336.68799</v>
          </cell>
          <cell r="L123">
            <v>828249997663.94495</v>
          </cell>
          <cell r="M123">
            <v>0.24848860116772839</v>
          </cell>
        </row>
        <row r="124">
          <cell r="B124">
            <v>41396</v>
          </cell>
          <cell r="C124">
            <v>0.9999571303068</v>
          </cell>
          <cell r="D124">
            <v>0.86809283690983496</v>
          </cell>
          <cell r="I124">
            <v>41396</v>
          </cell>
          <cell r="K124">
            <v>195225890723.888</v>
          </cell>
          <cell r="L124">
            <v>828002980341.57397</v>
          </cell>
          <cell r="M124">
            <v>0.23577921258610923</v>
          </cell>
        </row>
        <row r="125">
          <cell r="B125">
            <v>41403</v>
          </cell>
          <cell r="C125">
            <v>0.999926355664575</v>
          </cell>
          <cell r="D125">
            <v>0.86549923979029997</v>
          </cell>
          <cell r="I125">
            <v>41403</v>
          </cell>
          <cell r="K125">
            <v>195225890723.888</v>
          </cell>
          <cell r="L125">
            <v>828002980341.57397</v>
          </cell>
          <cell r="M125">
            <v>0.23577921258610923</v>
          </cell>
        </row>
        <row r="126">
          <cell r="B126">
            <v>41410</v>
          </cell>
          <cell r="C126">
            <v>0.99991596688144602</v>
          </cell>
          <cell r="D126">
            <v>0.86263586497337696</v>
          </cell>
          <cell r="I126">
            <v>41410</v>
          </cell>
          <cell r="K126">
            <v>195225890723.888</v>
          </cell>
          <cell r="L126">
            <v>828002980341.57397</v>
          </cell>
          <cell r="M126">
            <v>0.23577921258610923</v>
          </cell>
        </row>
        <row r="127">
          <cell r="B127">
            <v>41417</v>
          </cell>
          <cell r="C127">
            <v>0.999891003765222</v>
          </cell>
          <cell r="D127">
            <v>0.85860250393135296</v>
          </cell>
          <cell r="I127">
            <v>41417</v>
          </cell>
          <cell r="K127">
            <v>195225890723.888</v>
          </cell>
          <cell r="L127">
            <v>828002980341.57397</v>
          </cell>
          <cell r="M127">
            <v>0.23577921258610923</v>
          </cell>
        </row>
        <row r="128">
          <cell r="B128">
            <v>41424</v>
          </cell>
          <cell r="C128">
            <v>0.98959937329126002</v>
          </cell>
          <cell r="D128">
            <v>0.83247184789062301</v>
          </cell>
          <cell r="I128">
            <v>41424</v>
          </cell>
          <cell r="K128">
            <v>195225890723.888</v>
          </cell>
          <cell r="L128">
            <v>828002980341.57397</v>
          </cell>
          <cell r="M128">
            <v>0.23577921258610923</v>
          </cell>
        </row>
        <row r="129">
          <cell r="B129">
            <v>41431</v>
          </cell>
          <cell r="C129">
            <v>0.98319620204482405</v>
          </cell>
          <cell r="D129">
            <v>0.83759474015632596</v>
          </cell>
          <cell r="I129">
            <v>41431</v>
          </cell>
          <cell r="K129">
            <v>185053119902.13599</v>
          </cell>
          <cell r="L129">
            <v>832667072231.375</v>
          </cell>
          <cell r="M129">
            <v>0.22224142886571943</v>
          </cell>
        </row>
        <row r="130">
          <cell r="B130">
            <v>41438</v>
          </cell>
          <cell r="C130">
            <v>0.97483509520421197</v>
          </cell>
          <cell r="D130">
            <v>0.823700334554193</v>
          </cell>
          <cell r="I130">
            <v>41438</v>
          </cell>
          <cell r="K130">
            <v>185053119902.13599</v>
          </cell>
          <cell r="L130">
            <v>832667072231.375</v>
          </cell>
          <cell r="M130">
            <v>0.22224142886571943</v>
          </cell>
        </row>
        <row r="131">
          <cell r="B131">
            <v>41445</v>
          </cell>
          <cell r="C131">
            <v>0.974845105001512</v>
          </cell>
          <cell r="D131">
            <v>0.82432391546961303</v>
          </cell>
          <cell r="I131">
            <v>41445</v>
          </cell>
          <cell r="K131">
            <v>185053119902.13599</v>
          </cell>
          <cell r="L131">
            <v>832667072231.375</v>
          </cell>
          <cell r="M131">
            <v>0.22224142886571943</v>
          </cell>
        </row>
        <row r="132">
          <cell r="B132">
            <v>41452</v>
          </cell>
          <cell r="C132">
            <v>0.75861637191260001</v>
          </cell>
          <cell r="D132">
            <v>0.58169167101166497</v>
          </cell>
          <cell r="I132">
            <v>41452</v>
          </cell>
          <cell r="K132">
            <v>185053119902.13599</v>
          </cell>
          <cell r="L132">
            <v>832667072231.375</v>
          </cell>
          <cell r="M132">
            <v>0.22224142886571943</v>
          </cell>
        </row>
        <row r="133">
          <cell r="B133">
            <v>41458</v>
          </cell>
          <cell r="C133">
            <v>0.87464281994842097</v>
          </cell>
          <cell r="D133">
            <v>0.71619679638174105</v>
          </cell>
          <cell r="I133">
            <v>41458</v>
          </cell>
          <cell r="K133">
            <v>176083452320.259</v>
          </cell>
          <cell r="L133">
            <v>835315019877.84595</v>
          </cell>
          <cell r="M133">
            <v>0.210798858071544</v>
          </cell>
        </row>
        <row r="134">
          <cell r="B134">
            <v>41466</v>
          </cell>
          <cell r="C134">
            <v>0.73939644380791003</v>
          </cell>
          <cell r="D134">
            <v>0.56754957680996199</v>
          </cell>
          <cell r="I134">
            <v>41466</v>
          </cell>
          <cell r="K134">
            <v>176083452320.259</v>
          </cell>
          <cell r="L134">
            <v>835315019877.84595</v>
          </cell>
          <cell r="M134">
            <v>0.210798858071544</v>
          </cell>
        </row>
        <row r="135">
          <cell r="B135">
            <v>41473</v>
          </cell>
          <cell r="C135">
            <v>0.83595927197837805</v>
          </cell>
          <cell r="D135">
            <v>0.674456067653048</v>
          </cell>
          <cell r="I135">
            <v>41473</v>
          </cell>
          <cell r="K135">
            <v>176083452320.259</v>
          </cell>
          <cell r="L135">
            <v>835315019877.84595</v>
          </cell>
          <cell r="M135">
            <v>0.210798858071544</v>
          </cell>
        </row>
        <row r="136">
          <cell r="B136">
            <v>41480</v>
          </cell>
          <cell r="C136">
            <v>0.83620473842721499</v>
          </cell>
          <cell r="D136">
            <v>0.67655434294099503</v>
          </cell>
          <cell r="I136">
            <v>41480</v>
          </cell>
          <cell r="K136">
            <v>176083452320.259</v>
          </cell>
          <cell r="L136">
            <v>835315019877.84595</v>
          </cell>
          <cell r="M136">
            <v>0.210798858071544</v>
          </cell>
        </row>
        <row r="137">
          <cell r="B137">
            <v>41487</v>
          </cell>
          <cell r="C137">
            <v>0.79246254673167404</v>
          </cell>
          <cell r="D137">
            <v>0.64055597334900805</v>
          </cell>
          <cell r="I137">
            <v>41487</v>
          </cell>
          <cell r="K137">
            <v>167577702279.88699</v>
          </cell>
          <cell r="L137">
            <v>839371166981.099</v>
          </cell>
          <cell r="M137">
            <v>0.19964672229879027</v>
          </cell>
        </row>
        <row r="138">
          <cell r="B138">
            <v>41494</v>
          </cell>
          <cell r="C138">
            <v>0.792438207756055</v>
          </cell>
          <cell r="D138">
            <v>0.64029309309363502</v>
          </cell>
          <cell r="I138">
            <v>41494</v>
          </cell>
          <cell r="K138">
            <v>167577702279.88699</v>
          </cell>
          <cell r="L138">
            <v>839371166981.099</v>
          </cell>
          <cell r="M138">
            <v>0.19964672229879027</v>
          </cell>
        </row>
        <row r="139">
          <cell r="B139">
            <v>41501</v>
          </cell>
          <cell r="C139">
            <v>0.792438207756055</v>
          </cell>
          <cell r="D139">
            <v>0.64029309309363502</v>
          </cell>
          <cell r="I139">
            <v>41501</v>
          </cell>
          <cell r="K139">
            <v>167577702279.88699</v>
          </cell>
          <cell r="L139">
            <v>839371166981.099</v>
          </cell>
          <cell r="M139">
            <v>0.19964672229879027</v>
          </cell>
        </row>
        <row r="140">
          <cell r="B140">
            <v>41508</v>
          </cell>
          <cell r="C140">
            <v>0.72293605511047399</v>
          </cell>
          <cell r="D140">
            <v>0.55236674392539098</v>
          </cell>
          <cell r="I140">
            <v>41508</v>
          </cell>
          <cell r="K140">
            <v>167577702279.88699</v>
          </cell>
          <cell r="L140">
            <v>839371166981.099</v>
          </cell>
          <cell r="M140">
            <v>0.19964672229879027</v>
          </cell>
        </row>
        <row r="141">
          <cell r="B141">
            <v>41515</v>
          </cell>
          <cell r="C141">
            <v>0.75618136859207497</v>
          </cell>
          <cell r="D141">
            <v>0.59640056248304896</v>
          </cell>
          <cell r="I141">
            <v>41515</v>
          </cell>
          <cell r="K141">
            <v>167577702279.88699</v>
          </cell>
          <cell r="L141">
            <v>839371166981.099</v>
          </cell>
          <cell r="M141">
            <v>0.19964672229879027</v>
          </cell>
        </row>
        <row r="142">
          <cell r="B142">
            <v>41522</v>
          </cell>
          <cell r="C142">
            <v>0.73241928482112195</v>
          </cell>
          <cell r="D142">
            <v>0.57522237437054402</v>
          </cell>
          <cell r="I142">
            <v>41522</v>
          </cell>
          <cell r="K142">
            <v>160787339683.77899</v>
          </cell>
          <cell r="L142">
            <v>840680455152.82996</v>
          </cell>
          <cell r="M142">
            <v>0.19125856762608923</v>
          </cell>
        </row>
        <row r="143">
          <cell r="B143">
            <v>41529</v>
          </cell>
          <cell r="C143">
            <v>0.71851650648965204</v>
          </cell>
          <cell r="D143">
            <v>0.55927995080584203</v>
          </cell>
          <cell r="I143">
            <v>41529</v>
          </cell>
          <cell r="K143">
            <v>160787339683.77899</v>
          </cell>
          <cell r="L143">
            <v>840680455152.82996</v>
          </cell>
          <cell r="M143">
            <v>0.19125856762608923</v>
          </cell>
        </row>
        <row r="144">
          <cell r="B144">
            <v>41536</v>
          </cell>
          <cell r="C144">
            <v>0.75283799652968897</v>
          </cell>
          <cell r="D144">
            <v>0.60260582931028095</v>
          </cell>
          <cell r="I144">
            <v>41536</v>
          </cell>
          <cell r="K144">
            <v>160787339683.77899</v>
          </cell>
          <cell r="L144">
            <v>840680455152.82996</v>
          </cell>
          <cell r="M144">
            <v>0.19125856762608923</v>
          </cell>
        </row>
        <row r="145">
          <cell r="B145">
            <v>41543</v>
          </cell>
          <cell r="C145">
            <v>0.87216740152542305</v>
          </cell>
          <cell r="D145">
            <v>0.72850837742778696</v>
          </cell>
          <cell r="I145">
            <v>41543</v>
          </cell>
          <cell r="K145">
            <v>160787339683.77899</v>
          </cell>
          <cell r="L145">
            <v>840680455152.82996</v>
          </cell>
          <cell r="M145">
            <v>0.19125856762608923</v>
          </cell>
        </row>
        <row r="146">
          <cell r="B146">
            <v>41550</v>
          </cell>
          <cell r="C146">
            <v>0.91006704896642798</v>
          </cell>
          <cell r="D146">
            <v>0.769426288466591</v>
          </cell>
          <cell r="I146">
            <v>41550</v>
          </cell>
          <cell r="K146">
            <v>155649461575.04901</v>
          </cell>
          <cell r="L146">
            <v>842920617157.08203</v>
          </cell>
          <cell r="M146">
            <v>0.18465494663068971</v>
          </cell>
        </row>
        <row r="147">
          <cell r="B147">
            <v>41557</v>
          </cell>
          <cell r="C147">
            <v>0.91000379323017</v>
          </cell>
          <cell r="D147">
            <v>0.76833211087653297</v>
          </cell>
          <cell r="I147">
            <v>41557</v>
          </cell>
          <cell r="K147">
            <v>155649461575.04901</v>
          </cell>
          <cell r="L147">
            <v>842920617157.08203</v>
          </cell>
          <cell r="M147">
            <v>0.18465494663068971</v>
          </cell>
        </row>
        <row r="148">
          <cell r="B148">
            <v>41564</v>
          </cell>
          <cell r="C148">
            <v>0.87030379941598801</v>
          </cell>
          <cell r="D148">
            <v>0.732195057450439</v>
          </cell>
          <cell r="I148">
            <v>41564</v>
          </cell>
          <cell r="K148">
            <v>155649461575.04901</v>
          </cell>
          <cell r="L148">
            <v>842920617157.08203</v>
          </cell>
          <cell r="M148">
            <v>0.18465494663068971</v>
          </cell>
        </row>
        <row r="149">
          <cell r="B149">
            <v>41571</v>
          </cell>
          <cell r="C149">
            <v>0.92948151561270798</v>
          </cell>
          <cell r="D149">
            <v>0.79336710567798696</v>
          </cell>
          <cell r="I149">
            <v>41571</v>
          </cell>
          <cell r="K149">
            <v>155649461575.04901</v>
          </cell>
          <cell r="L149">
            <v>842920617157.08203</v>
          </cell>
          <cell r="M149">
            <v>0.18465494663068971</v>
          </cell>
        </row>
        <row r="150">
          <cell r="B150">
            <v>41578</v>
          </cell>
          <cell r="C150">
            <v>0.946371224192602</v>
          </cell>
          <cell r="D150">
            <v>0.81149174558591197</v>
          </cell>
          <cell r="I150">
            <v>41578</v>
          </cell>
          <cell r="K150">
            <v>155649461575.04901</v>
          </cell>
          <cell r="L150">
            <v>842920617157.08203</v>
          </cell>
          <cell r="M150">
            <v>0.18465494663068971</v>
          </cell>
        </row>
        <row r="151">
          <cell r="B151">
            <v>41585</v>
          </cell>
          <cell r="C151">
            <v>0.92862600348226998</v>
          </cell>
          <cell r="D151">
            <v>0.79173406072518504</v>
          </cell>
          <cell r="I151">
            <v>41585</v>
          </cell>
          <cell r="K151">
            <v>151540990492.15701</v>
          </cell>
          <cell r="L151">
            <v>847381000644.36804</v>
          </cell>
          <cell r="M151">
            <v>0.17883453886377174</v>
          </cell>
        </row>
        <row r="152">
          <cell r="B152">
            <v>41592</v>
          </cell>
          <cell r="C152">
            <v>0.82764760393529802</v>
          </cell>
          <cell r="D152">
            <v>0.68857017211934701</v>
          </cell>
          <cell r="I152">
            <v>41592</v>
          </cell>
          <cell r="K152">
            <v>151540990492.15701</v>
          </cell>
          <cell r="L152">
            <v>847381000644.36804</v>
          </cell>
          <cell r="M152">
            <v>0.17883453886377174</v>
          </cell>
        </row>
        <row r="153">
          <cell r="B153">
            <v>41599</v>
          </cell>
          <cell r="C153">
            <v>0.90867076242729805</v>
          </cell>
          <cell r="D153">
            <v>0.76948544283018205</v>
          </cell>
          <cell r="I153">
            <v>41599</v>
          </cell>
          <cell r="K153">
            <v>151540990492.15701</v>
          </cell>
          <cell r="L153">
            <v>847381000644.36804</v>
          </cell>
          <cell r="M153">
            <v>0.17883453886377174</v>
          </cell>
        </row>
        <row r="154">
          <cell r="B154">
            <v>41605</v>
          </cell>
          <cell r="C154">
            <v>0.868879336155854</v>
          </cell>
          <cell r="D154">
            <v>0.73153515943713499</v>
          </cell>
          <cell r="I154">
            <v>41605</v>
          </cell>
          <cell r="K154">
            <v>151540990492.15701</v>
          </cell>
          <cell r="L154">
            <v>847381000644.36804</v>
          </cell>
          <cell r="M154">
            <v>0.17883453886377174</v>
          </cell>
        </row>
        <row r="155">
          <cell r="B155">
            <v>41613</v>
          </cell>
          <cell r="C155">
            <v>0.78150994044042599</v>
          </cell>
          <cell r="D155">
            <v>0.64271311842684598</v>
          </cell>
          <cell r="I155">
            <v>41613</v>
          </cell>
          <cell r="K155">
            <v>147596217220.30301</v>
          </cell>
          <cell r="L155">
            <v>852925884546.91199</v>
          </cell>
          <cell r="M155">
            <v>0.17304694334456563</v>
          </cell>
        </row>
        <row r="156">
          <cell r="B156">
            <v>41620</v>
          </cell>
          <cell r="C156">
            <v>0.78142626283674099</v>
          </cell>
          <cell r="D156">
            <v>0.64127080834763694</v>
          </cell>
          <cell r="I156">
            <v>41620</v>
          </cell>
          <cell r="K156">
            <v>147596217220.30301</v>
          </cell>
          <cell r="L156">
            <v>852925884546.91199</v>
          </cell>
          <cell r="M156">
            <v>0.17304694334456563</v>
          </cell>
        </row>
        <row r="157">
          <cell r="B157">
            <v>41627</v>
          </cell>
          <cell r="C157">
            <v>0.74080880570196705</v>
          </cell>
          <cell r="D157">
            <v>0.58358220441457098</v>
          </cell>
          <cell r="I157">
            <v>41627</v>
          </cell>
          <cell r="K157">
            <v>147596217220.30301</v>
          </cell>
          <cell r="L157">
            <v>852925884546.91199</v>
          </cell>
          <cell r="M157">
            <v>0.17304694334456563</v>
          </cell>
        </row>
        <row r="158">
          <cell r="B158">
            <v>41634</v>
          </cell>
          <cell r="C158">
            <v>0.74072304288786295</v>
          </cell>
          <cell r="D158">
            <v>0.57997892806395601</v>
          </cell>
          <cell r="I158">
            <v>41634</v>
          </cell>
          <cell r="K158">
            <v>147596217220.30301</v>
          </cell>
          <cell r="L158">
            <v>852925884546.91199</v>
          </cell>
          <cell r="M158">
            <v>0.17304694334456563</v>
          </cell>
        </row>
        <row r="159">
          <cell r="B159">
            <v>41641</v>
          </cell>
          <cell r="C159">
            <v>0.71573440369395702</v>
          </cell>
          <cell r="D159">
            <v>0.555096534677191</v>
          </cell>
          <cell r="I159">
            <v>41641</v>
          </cell>
          <cell r="K159">
            <v>143491329926.00299</v>
          </cell>
          <cell r="L159">
            <v>856169152140.41296</v>
          </cell>
          <cell r="M159">
            <v>0.16759693988889501</v>
          </cell>
        </row>
        <row r="160">
          <cell r="B160">
            <v>41648</v>
          </cell>
          <cell r="C160">
            <v>0.737862180577046</v>
          </cell>
          <cell r="D160">
            <v>0.59351739235175405</v>
          </cell>
          <cell r="I160">
            <v>41648</v>
          </cell>
          <cell r="K160">
            <v>143491329926.00299</v>
          </cell>
          <cell r="L160">
            <v>856169152140.41296</v>
          </cell>
          <cell r="M160">
            <v>0.16759693988889501</v>
          </cell>
        </row>
        <row r="161">
          <cell r="B161">
            <v>41655</v>
          </cell>
          <cell r="C161">
            <v>0.77881660913151596</v>
          </cell>
          <cell r="D161">
            <v>0.640010525508934</v>
          </cell>
          <cell r="I161">
            <v>41655</v>
          </cell>
          <cell r="K161">
            <v>143491329926.00299</v>
          </cell>
          <cell r="L161">
            <v>856169152140.41296</v>
          </cell>
          <cell r="M161">
            <v>0.16759693988889501</v>
          </cell>
        </row>
        <row r="162">
          <cell r="B162">
            <v>41662</v>
          </cell>
          <cell r="C162">
            <v>0.77893724315267199</v>
          </cell>
          <cell r="D162">
            <v>0.641007859456873</v>
          </cell>
          <cell r="I162">
            <v>41662</v>
          </cell>
          <cell r="K162">
            <v>143491329926.00299</v>
          </cell>
          <cell r="L162">
            <v>856169152140.41296</v>
          </cell>
          <cell r="M162">
            <v>0.16759693988889501</v>
          </cell>
        </row>
        <row r="163">
          <cell r="B163">
            <v>41669</v>
          </cell>
          <cell r="C163">
            <v>0.86531452225895999</v>
          </cell>
          <cell r="D163">
            <v>0.72590930220267003</v>
          </cell>
          <cell r="I163">
            <v>41669</v>
          </cell>
          <cell r="K163">
            <v>143491329926.00299</v>
          </cell>
          <cell r="L163">
            <v>856169152140.41296</v>
          </cell>
          <cell r="M163">
            <v>0.16759693988889501</v>
          </cell>
        </row>
        <row r="164">
          <cell r="B164">
            <v>41676</v>
          </cell>
          <cell r="C164">
            <v>0.904840601248314</v>
          </cell>
          <cell r="D164">
            <v>0.76715832931317196</v>
          </cell>
          <cell r="I164">
            <v>41676</v>
          </cell>
          <cell r="K164">
            <v>140177207664.35901</v>
          </cell>
          <cell r="L164">
            <v>860549250444.104</v>
          </cell>
          <cell r="M164">
            <v>0.16289271949515696</v>
          </cell>
        </row>
        <row r="165">
          <cell r="B165">
            <v>41683</v>
          </cell>
          <cell r="C165">
            <v>0.86420449138465305</v>
          </cell>
          <cell r="D165">
            <v>0.73079513071076196</v>
          </cell>
          <cell r="I165">
            <v>41683</v>
          </cell>
          <cell r="K165">
            <v>140177207664.35901</v>
          </cell>
          <cell r="L165">
            <v>860549250444.104</v>
          </cell>
          <cell r="M165">
            <v>0.16289271949515696</v>
          </cell>
        </row>
        <row r="166">
          <cell r="B166">
            <v>41690</v>
          </cell>
          <cell r="C166">
            <v>0.82103225324176798</v>
          </cell>
          <cell r="D166">
            <v>0.68632933440003197</v>
          </cell>
          <cell r="I166">
            <v>41690</v>
          </cell>
          <cell r="K166">
            <v>140177207664.35901</v>
          </cell>
          <cell r="L166">
            <v>860549250444.104</v>
          </cell>
          <cell r="M166">
            <v>0.16289271949515696</v>
          </cell>
        </row>
        <row r="167">
          <cell r="B167">
            <v>41697</v>
          </cell>
          <cell r="C167">
            <v>0.82077124571501203</v>
          </cell>
          <cell r="D167">
            <v>0.684442361485053</v>
          </cell>
          <cell r="I167">
            <v>41697</v>
          </cell>
          <cell r="K167">
            <v>140177207664.35901</v>
          </cell>
          <cell r="L167">
            <v>860549250444.104</v>
          </cell>
          <cell r="M167">
            <v>0.16289271949515696</v>
          </cell>
        </row>
        <row r="168">
          <cell r="B168">
            <v>41704</v>
          </cell>
          <cell r="C168">
            <v>0.86296973588403203</v>
          </cell>
          <cell r="D168">
            <v>0.73198493777118001</v>
          </cell>
          <cell r="I168">
            <v>41704</v>
          </cell>
          <cell r="K168">
            <v>137302780283.616</v>
          </cell>
          <cell r="L168">
            <v>862646925748.92102</v>
          </cell>
          <cell r="M168">
            <v>0.15916451584686789</v>
          </cell>
        </row>
        <row r="169">
          <cell r="B169">
            <v>41711</v>
          </cell>
          <cell r="C169">
            <v>0.81906765211778298</v>
          </cell>
          <cell r="D169">
            <v>0.68652732115680604</v>
          </cell>
          <cell r="I169">
            <v>41711</v>
          </cell>
          <cell r="K169">
            <v>137302780283.616</v>
          </cell>
          <cell r="L169">
            <v>862646925748.92102</v>
          </cell>
          <cell r="M169">
            <v>0.15916451584686789</v>
          </cell>
        </row>
        <row r="170">
          <cell r="B170">
            <v>41718</v>
          </cell>
          <cell r="C170">
            <v>0.86286183686691498</v>
          </cell>
          <cell r="D170">
            <v>0.73018796633644001</v>
          </cell>
          <cell r="I170">
            <v>41718</v>
          </cell>
          <cell r="K170">
            <v>137302780283.616</v>
          </cell>
          <cell r="L170">
            <v>862646925748.92102</v>
          </cell>
          <cell r="M170">
            <v>0.15916451584686789</v>
          </cell>
        </row>
        <row r="171">
          <cell r="B171">
            <v>41725</v>
          </cell>
          <cell r="C171">
            <v>0.81889916283087805</v>
          </cell>
          <cell r="D171">
            <v>0.68450438143886005</v>
          </cell>
          <cell r="I171">
            <v>41725</v>
          </cell>
          <cell r="K171">
            <v>137302780283.616</v>
          </cell>
          <cell r="L171">
            <v>862646925748.92102</v>
          </cell>
          <cell r="M171">
            <v>0.15916451584686789</v>
          </cell>
        </row>
        <row r="172">
          <cell r="B172">
            <v>41732</v>
          </cell>
          <cell r="C172">
            <v>0.77382163087992895</v>
          </cell>
          <cell r="D172">
            <v>0.65157328022433403</v>
          </cell>
          <cell r="I172">
            <v>41732</v>
          </cell>
          <cell r="K172">
            <v>134084311974.908</v>
          </cell>
          <cell r="L172">
            <v>865912452541.08801</v>
          </cell>
          <cell r="M172">
            <v>0.15484742317936076</v>
          </cell>
        </row>
        <row r="173">
          <cell r="B173">
            <v>41739</v>
          </cell>
          <cell r="C173">
            <v>0.81929535733400805</v>
          </cell>
          <cell r="D173">
            <v>0.69782122652957301</v>
          </cell>
          <cell r="I173">
            <v>41739</v>
          </cell>
          <cell r="K173">
            <v>134084311974.908</v>
          </cell>
          <cell r="L173">
            <v>865912452541.08801</v>
          </cell>
          <cell r="M173">
            <v>0.15484742317936076</v>
          </cell>
        </row>
        <row r="174">
          <cell r="B174">
            <v>41746</v>
          </cell>
          <cell r="C174">
            <v>0.86307390731589495</v>
          </cell>
          <cell r="D174">
            <v>0.74322583937257003</v>
          </cell>
          <cell r="I174">
            <v>41746</v>
          </cell>
          <cell r="K174">
            <v>134084311974.908</v>
          </cell>
          <cell r="L174">
            <v>865912452541.08801</v>
          </cell>
          <cell r="M174">
            <v>0.15484742317936076</v>
          </cell>
        </row>
        <row r="175">
          <cell r="B175">
            <v>41753</v>
          </cell>
          <cell r="C175">
            <v>0.862883144079441</v>
          </cell>
          <cell r="D175">
            <v>0.741465269880487</v>
          </cell>
          <cell r="I175">
            <v>41753</v>
          </cell>
          <cell r="K175">
            <v>134084311974.908</v>
          </cell>
          <cell r="L175">
            <v>865912452541.08801</v>
          </cell>
          <cell r="M175">
            <v>0.15484742317936076</v>
          </cell>
        </row>
        <row r="176">
          <cell r="B176">
            <v>41760</v>
          </cell>
          <cell r="C176">
            <v>0.86338218182302096</v>
          </cell>
          <cell r="D176">
            <v>0.75311294857435296</v>
          </cell>
          <cell r="I176">
            <v>41760</v>
          </cell>
          <cell r="K176">
            <v>131022110576.76801</v>
          </cell>
          <cell r="L176">
            <v>869491021687.79004</v>
          </cell>
          <cell r="M176">
            <v>0.15068828465006784</v>
          </cell>
        </row>
        <row r="177">
          <cell r="B177">
            <v>41767</v>
          </cell>
          <cell r="C177">
            <v>0.92469964057410103</v>
          </cell>
          <cell r="D177">
            <v>0.81447465128368302</v>
          </cell>
          <cell r="I177">
            <v>41767</v>
          </cell>
          <cell r="K177">
            <v>131022110576.76801</v>
          </cell>
          <cell r="L177">
            <v>869491021687.79004</v>
          </cell>
          <cell r="M177">
            <v>0.15068828465006784</v>
          </cell>
        </row>
        <row r="178">
          <cell r="B178">
            <v>41774</v>
          </cell>
          <cell r="C178">
            <v>0.92471213874485103</v>
          </cell>
          <cell r="D178">
            <v>0.81448915279691303</v>
          </cell>
          <cell r="I178">
            <v>41774</v>
          </cell>
          <cell r="K178">
            <v>131022110576.76801</v>
          </cell>
          <cell r="L178">
            <v>869491021687.79004</v>
          </cell>
          <cell r="M178">
            <v>0.15068828465006784</v>
          </cell>
        </row>
        <row r="179">
          <cell r="B179">
            <v>41781</v>
          </cell>
          <cell r="C179">
            <v>0.942170788335981</v>
          </cell>
          <cell r="D179">
            <v>0.83369685729657195</v>
          </cell>
          <cell r="I179">
            <v>41781</v>
          </cell>
          <cell r="K179">
            <v>131022110576.76801</v>
          </cell>
          <cell r="L179">
            <v>869491021687.79004</v>
          </cell>
          <cell r="M179">
            <v>0.15068828465006784</v>
          </cell>
        </row>
        <row r="180">
          <cell r="B180">
            <v>41788</v>
          </cell>
          <cell r="C180">
            <v>0.94220364207853702</v>
          </cell>
          <cell r="D180">
            <v>0.83441070814585505</v>
          </cell>
          <cell r="I180">
            <v>41788</v>
          </cell>
          <cell r="K180">
            <v>131022110576.76801</v>
          </cell>
          <cell r="L180">
            <v>869491021687.79004</v>
          </cell>
          <cell r="M180">
            <v>0.15068828465006784</v>
          </cell>
        </row>
        <row r="181">
          <cell r="B181">
            <v>41795</v>
          </cell>
          <cell r="C181">
            <v>0.94191255638832705</v>
          </cell>
          <cell r="D181">
            <v>0.84407077334338998</v>
          </cell>
          <cell r="I181">
            <v>41795</v>
          </cell>
          <cell r="K181">
            <v>127996673162.017</v>
          </cell>
          <cell r="L181">
            <v>874676225982.203</v>
          </cell>
          <cell r="M181">
            <v>0.14633606054432916</v>
          </cell>
        </row>
        <row r="182">
          <cell r="B182">
            <v>41802</v>
          </cell>
          <cell r="C182">
            <v>0.924708662683428</v>
          </cell>
          <cell r="D182">
            <v>0.824454253938531</v>
          </cell>
          <cell r="I182">
            <v>41802</v>
          </cell>
          <cell r="K182">
            <v>127996673162.017</v>
          </cell>
          <cell r="L182">
            <v>874676225982.203</v>
          </cell>
          <cell r="M182">
            <v>0.14633606054432916</v>
          </cell>
        </row>
        <row r="183">
          <cell r="B183">
            <v>41809</v>
          </cell>
          <cell r="C183">
            <v>0.92478797041361505</v>
          </cell>
          <cell r="D183">
            <v>0.82589246523279602</v>
          </cell>
          <cell r="I183">
            <v>41809</v>
          </cell>
          <cell r="K183">
            <v>127996673162.017</v>
          </cell>
          <cell r="L183">
            <v>874676225982.203</v>
          </cell>
          <cell r="M183">
            <v>0.14633606054432916</v>
          </cell>
        </row>
        <row r="184">
          <cell r="B184">
            <v>41816</v>
          </cell>
          <cell r="C184">
            <v>0.94191255638832705</v>
          </cell>
          <cell r="D184">
            <v>0.84407077334338998</v>
          </cell>
          <cell r="I184">
            <v>41816</v>
          </cell>
          <cell r="K184">
            <v>127996673162.017</v>
          </cell>
          <cell r="L184">
            <v>874676225982.203</v>
          </cell>
          <cell r="M184">
            <v>0.14633606054432916</v>
          </cell>
        </row>
        <row r="185">
          <cell r="B185">
            <v>41823</v>
          </cell>
          <cell r="C185">
            <v>0.95933486163638704</v>
          </cell>
          <cell r="D185">
            <v>0.86674293264243896</v>
          </cell>
          <cell r="I185">
            <v>41823</v>
          </cell>
          <cell r="K185">
            <v>124999566160.547</v>
          </cell>
          <cell r="L185">
            <v>879218074297.77698</v>
          </cell>
          <cell r="M185">
            <v>0.14217128811914262</v>
          </cell>
        </row>
        <row r="186">
          <cell r="B186">
            <v>41830</v>
          </cell>
          <cell r="C186">
            <v>0.92435732512698199</v>
          </cell>
          <cell r="D186">
            <v>0.82890227253426596</v>
          </cell>
          <cell r="I186">
            <v>41830</v>
          </cell>
          <cell r="K186">
            <v>124999566160.547</v>
          </cell>
          <cell r="L186">
            <v>879218074297.77698</v>
          </cell>
          <cell r="M186">
            <v>0.14217128811914262</v>
          </cell>
        </row>
        <row r="187">
          <cell r="B187">
            <v>41837</v>
          </cell>
          <cell r="C187">
            <v>0.94140193159732499</v>
          </cell>
          <cell r="D187">
            <v>0.84648587198714098</v>
          </cell>
          <cell r="I187">
            <v>41837</v>
          </cell>
          <cell r="K187">
            <v>124999566160.547</v>
          </cell>
          <cell r="L187">
            <v>879218074297.77698</v>
          </cell>
          <cell r="M187">
            <v>0.14217128811914262</v>
          </cell>
        </row>
        <row r="188">
          <cell r="B188">
            <v>41844</v>
          </cell>
          <cell r="C188">
            <v>0.94140193159732499</v>
          </cell>
          <cell r="D188">
            <v>0.84648587198714098</v>
          </cell>
          <cell r="I188">
            <v>41844</v>
          </cell>
          <cell r="K188">
            <v>124999566160.547</v>
          </cell>
          <cell r="L188">
            <v>879218074297.77698</v>
          </cell>
          <cell r="M188">
            <v>0.14217128811914262</v>
          </cell>
        </row>
        <row r="189">
          <cell r="B189">
            <v>41851</v>
          </cell>
          <cell r="C189">
            <v>0.94141649683931705</v>
          </cell>
          <cell r="D189">
            <v>0.84693805880599304</v>
          </cell>
          <cell r="I189">
            <v>41851</v>
          </cell>
          <cell r="K189">
            <v>124999566160.547</v>
          </cell>
          <cell r="L189">
            <v>879218074297.77698</v>
          </cell>
          <cell r="M189">
            <v>0.14217128811914262</v>
          </cell>
        </row>
        <row r="190">
          <cell r="B190">
            <v>41858</v>
          </cell>
          <cell r="C190">
            <v>0.92406873351741203</v>
          </cell>
          <cell r="D190">
            <v>0.83214930029007805</v>
          </cell>
          <cell r="I190">
            <v>41858</v>
          </cell>
          <cell r="K190">
            <v>122034558755.91701</v>
          </cell>
          <cell r="L190">
            <v>889016211164.04895</v>
          </cell>
          <cell r="M190">
            <v>0.13726921649283416</v>
          </cell>
        </row>
        <row r="191">
          <cell r="B191">
            <v>41865</v>
          </cell>
          <cell r="C191">
            <v>0.94091871934431903</v>
          </cell>
          <cell r="D191">
            <v>0.84983360370315197</v>
          </cell>
          <cell r="I191">
            <v>41865</v>
          </cell>
          <cell r="K191">
            <v>122034558755.91701</v>
          </cell>
          <cell r="L191">
            <v>889016211164.04895</v>
          </cell>
          <cell r="M191">
            <v>0.13726921649283416</v>
          </cell>
        </row>
        <row r="192">
          <cell r="B192">
            <v>41872</v>
          </cell>
          <cell r="C192">
            <v>0.95930523734958395</v>
          </cell>
          <cell r="D192">
            <v>0.87098339925649604</v>
          </cell>
          <cell r="I192">
            <v>41872</v>
          </cell>
          <cell r="K192">
            <v>122034558755.91701</v>
          </cell>
          <cell r="L192">
            <v>889016211164.04895</v>
          </cell>
          <cell r="M192">
            <v>0.13726921649283416</v>
          </cell>
        </row>
        <row r="193">
          <cell r="B193">
            <v>41879</v>
          </cell>
          <cell r="C193">
            <v>0.95930523734958395</v>
          </cell>
          <cell r="D193">
            <v>0.87098339925649604</v>
          </cell>
          <cell r="I193">
            <v>41879</v>
          </cell>
          <cell r="K193">
            <v>122034558755.91701</v>
          </cell>
          <cell r="L193">
            <v>889016211164.04895</v>
          </cell>
          <cell r="M193">
            <v>0.13726921649283416</v>
          </cell>
        </row>
        <row r="194">
          <cell r="B194">
            <v>41886</v>
          </cell>
          <cell r="C194">
            <v>0.959184322523427</v>
          </cell>
          <cell r="D194">
            <v>0.87380583264278999</v>
          </cell>
          <cell r="I194">
            <v>41886</v>
          </cell>
          <cell r="K194">
            <v>119186886371.356</v>
          </cell>
          <cell r="L194">
            <v>896796715582.33606</v>
          </cell>
          <cell r="M194">
            <v>0.13290290240855962</v>
          </cell>
        </row>
        <row r="195">
          <cell r="B195">
            <v>41893</v>
          </cell>
          <cell r="C195">
            <v>0.95904395158926303</v>
          </cell>
          <cell r="D195">
            <v>0.87282316645630098</v>
          </cell>
          <cell r="I195">
            <v>41893</v>
          </cell>
          <cell r="K195">
            <v>119186886371.356</v>
          </cell>
          <cell r="L195">
            <v>896796715582.33606</v>
          </cell>
          <cell r="M195">
            <v>0.13290290240855962</v>
          </cell>
        </row>
        <row r="196">
          <cell r="B196">
            <v>41900</v>
          </cell>
          <cell r="C196">
            <v>0.92367592231458095</v>
          </cell>
          <cell r="D196">
            <v>0.83339683915826901</v>
          </cell>
          <cell r="I196">
            <v>41900</v>
          </cell>
          <cell r="K196">
            <v>119186886371.356</v>
          </cell>
          <cell r="L196">
            <v>896796715582.33606</v>
          </cell>
          <cell r="M196">
            <v>0.13290290240855962</v>
          </cell>
        </row>
        <row r="197">
          <cell r="B197">
            <v>41907</v>
          </cell>
          <cell r="C197">
            <v>0.92375754000891097</v>
          </cell>
          <cell r="D197">
            <v>0.83469677777951401</v>
          </cell>
          <cell r="I197">
            <v>41907</v>
          </cell>
          <cell r="K197">
            <v>119186886371.356</v>
          </cell>
          <cell r="L197">
            <v>896796715582.33606</v>
          </cell>
          <cell r="M197">
            <v>0.13290290240855962</v>
          </cell>
        </row>
        <row r="198">
          <cell r="B198">
            <v>41914</v>
          </cell>
          <cell r="C198">
            <v>0.939877910552257</v>
          </cell>
          <cell r="D198">
            <v>0.85275490992422898</v>
          </cell>
          <cell r="I198">
            <v>41914</v>
          </cell>
          <cell r="K198">
            <v>116367013129.366</v>
          </cell>
          <cell r="L198">
            <v>904868755203.72498</v>
          </cell>
          <cell r="M198">
            <v>0.12860098490544827</v>
          </cell>
        </row>
        <row r="199">
          <cell r="B199">
            <v>41921</v>
          </cell>
          <cell r="C199">
            <v>0.95870597013426595</v>
          </cell>
          <cell r="D199">
            <v>0.87407306805923601</v>
          </cell>
          <cell r="I199">
            <v>41921</v>
          </cell>
          <cell r="K199">
            <v>116367013129.366</v>
          </cell>
          <cell r="L199">
            <v>904868755203.72498</v>
          </cell>
          <cell r="M199">
            <v>0.12860098490544827</v>
          </cell>
        </row>
        <row r="200">
          <cell r="B200">
            <v>41928</v>
          </cell>
          <cell r="C200">
            <v>0.98146689029705902</v>
          </cell>
          <cell r="D200">
            <v>0.90427695834799704</v>
          </cell>
          <cell r="I200">
            <v>41928</v>
          </cell>
          <cell r="K200">
            <v>116367013129.366</v>
          </cell>
          <cell r="L200">
            <v>904868755203.72498</v>
          </cell>
          <cell r="M200">
            <v>0.12860098490544827</v>
          </cell>
        </row>
        <row r="201">
          <cell r="B201">
            <v>41935</v>
          </cell>
          <cell r="C201">
            <v>0.98818151288594802</v>
          </cell>
          <cell r="D201">
            <v>0.91415871688142003</v>
          </cell>
          <cell r="I201">
            <v>41935</v>
          </cell>
          <cell r="K201">
            <v>116367013129.366</v>
          </cell>
          <cell r="L201">
            <v>904868755203.72498</v>
          </cell>
          <cell r="M201">
            <v>0.12860098490544827</v>
          </cell>
        </row>
        <row r="202">
          <cell r="B202">
            <v>41942</v>
          </cell>
          <cell r="C202">
            <v>0.98146296312210002</v>
          </cell>
          <cell r="D202">
            <v>0.90425801000292305</v>
          </cell>
          <cell r="I202">
            <v>41942</v>
          </cell>
          <cell r="K202">
            <v>116367013129.366</v>
          </cell>
          <cell r="L202">
            <v>904868755203.72498</v>
          </cell>
          <cell r="M202">
            <v>0.12860098490544827</v>
          </cell>
        </row>
        <row r="203">
          <cell r="B203">
            <v>41949</v>
          </cell>
          <cell r="C203">
            <v>0.97081970689119501</v>
          </cell>
          <cell r="D203">
            <v>0.89330807391308997</v>
          </cell>
          <cell r="I203">
            <v>41949</v>
          </cell>
          <cell r="K203">
            <v>113578619016.686</v>
          </cell>
          <cell r="L203">
            <v>911144707396.39795</v>
          </cell>
          <cell r="M203">
            <v>0.12465486337646373</v>
          </cell>
        </row>
        <row r="204">
          <cell r="B204">
            <v>41956</v>
          </cell>
          <cell r="C204">
            <v>0.97082427955975303</v>
          </cell>
          <cell r="D204">
            <v>0.89333391711787102</v>
          </cell>
          <cell r="I204">
            <v>41956</v>
          </cell>
          <cell r="K204">
            <v>113578619016.686</v>
          </cell>
          <cell r="L204">
            <v>911144707396.39795</v>
          </cell>
          <cell r="M204">
            <v>0.12465486337646373</v>
          </cell>
        </row>
        <row r="205">
          <cell r="B205">
            <v>41963</v>
          </cell>
          <cell r="C205">
            <v>0.98114317383489702</v>
          </cell>
          <cell r="D205">
            <v>0.905011241503064</v>
          </cell>
          <cell r="I205">
            <v>41963</v>
          </cell>
          <cell r="K205">
            <v>113578619016.686</v>
          </cell>
          <cell r="L205">
            <v>911144707396.39795</v>
          </cell>
          <cell r="M205">
            <v>0.12465486337646373</v>
          </cell>
        </row>
        <row r="206">
          <cell r="B206">
            <v>41969</v>
          </cell>
          <cell r="C206">
            <v>0.98115309471965295</v>
          </cell>
          <cell r="D206">
            <v>0.90562471296629599</v>
          </cell>
          <cell r="I206">
            <v>41969</v>
          </cell>
          <cell r="K206">
            <v>113578619016.686</v>
          </cell>
          <cell r="L206">
            <v>911144707396.39795</v>
          </cell>
          <cell r="M206">
            <v>0.12465486337646373</v>
          </cell>
        </row>
        <row r="207">
          <cell r="B207">
            <v>41977</v>
          </cell>
          <cell r="C207">
            <v>0.98784281177175604</v>
          </cell>
          <cell r="D207">
            <v>0.91738283856560698</v>
          </cell>
          <cell r="I207">
            <v>41977</v>
          </cell>
          <cell r="K207">
            <v>111141034606.26401</v>
          </cell>
          <cell r="L207">
            <v>915537820187.26404</v>
          </cell>
          <cell r="M207">
            <v>0.12139425827709796</v>
          </cell>
        </row>
        <row r="208">
          <cell r="B208">
            <v>41984</v>
          </cell>
          <cell r="C208">
            <v>0.98783408332259803</v>
          </cell>
          <cell r="D208">
            <v>0.91630211530110295</v>
          </cell>
          <cell r="I208">
            <v>41984</v>
          </cell>
          <cell r="K208">
            <v>111141034606.26401</v>
          </cell>
          <cell r="L208">
            <v>915537820187.26404</v>
          </cell>
          <cell r="M208">
            <v>0.12139425827709796</v>
          </cell>
        </row>
        <row r="209">
          <cell r="B209">
            <v>41991</v>
          </cell>
          <cell r="C209">
            <v>0.99479182701672098</v>
          </cell>
          <cell r="D209">
            <v>0.92646419287507198</v>
          </cell>
          <cell r="I209">
            <v>41991</v>
          </cell>
          <cell r="K209">
            <v>111141034606.26401</v>
          </cell>
          <cell r="L209">
            <v>915537820187.26404</v>
          </cell>
          <cell r="M209">
            <v>0.12139425827709796</v>
          </cell>
        </row>
        <row r="210">
          <cell r="B210">
            <v>41997</v>
          </cell>
          <cell r="C210">
            <v>0.99479023677626099</v>
          </cell>
          <cell r="D210">
            <v>0.92571360320613905</v>
          </cell>
          <cell r="I210">
            <v>41997</v>
          </cell>
          <cell r="K210">
            <v>111141034606.26401</v>
          </cell>
          <cell r="L210">
            <v>915537820187.26404</v>
          </cell>
          <cell r="M210">
            <v>0.12139425827709796</v>
          </cell>
        </row>
        <row r="211">
          <cell r="B211">
            <v>42004</v>
          </cell>
          <cell r="C211">
            <v>0.98784159692108897</v>
          </cell>
          <cell r="D211">
            <v>0.91736458306846103</v>
          </cell>
          <cell r="I211">
            <v>42004</v>
          </cell>
          <cell r="K211">
            <v>111141034606.26401</v>
          </cell>
          <cell r="L211">
            <v>915537820187.26404</v>
          </cell>
          <cell r="M211">
            <v>0.12139425827709796</v>
          </cell>
        </row>
        <row r="212">
          <cell r="B212">
            <v>42012</v>
          </cell>
          <cell r="C212">
            <v>0.99863696366528298</v>
          </cell>
          <cell r="D212">
            <v>0.93802679486435903</v>
          </cell>
          <cell r="I212">
            <v>42012</v>
          </cell>
          <cell r="K212">
            <v>108459729439.83501</v>
          </cell>
          <cell r="L212">
            <v>919051298499.69104</v>
          </cell>
          <cell r="M212">
            <v>0.11801270464106903</v>
          </cell>
        </row>
        <row r="213">
          <cell r="B213">
            <v>42019</v>
          </cell>
          <cell r="C213">
            <v>0.99972875942488504</v>
          </cell>
          <cell r="D213">
            <v>0.94118254536371704</v>
          </cell>
          <cell r="I213">
            <v>42019</v>
          </cell>
          <cell r="K213">
            <v>108459729439.83501</v>
          </cell>
          <cell r="L213">
            <v>919051298499.69104</v>
          </cell>
          <cell r="M213">
            <v>0.11801270464106903</v>
          </cell>
        </row>
        <row r="214">
          <cell r="B214">
            <v>42026</v>
          </cell>
          <cell r="C214">
            <v>0.99972875942488504</v>
          </cell>
          <cell r="D214">
            <v>0.94123508910533804</v>
          </cell>
          <cell r="I214">
            <v>42026</v>
          </cell>
          <cell r="K214">
            <v>108459729439.83501</v>
          </cell>
          <cell r="L214">
            <v>919051298499.69104</v>
          </cell>
          <cell r="M214">
            <v>0.11801270464106903</v>
          </cell>
        </row>
        <row r="215">
          <cell r="B215">
            <v>42033</v>
          </cell>
          <cell r="C215">
            <v>0.99972875942488504</v>
          </cell>
          <cell r="D215">
            <v>0.94118254536371704</v>
          </cell>
          <cell r="I215">
            <v>42033</v>
          </cell>
          <cell r="K215">
            <v>108459729439.83501</v>
          </cell>
          <cell r="L215">
            <v>919051298499.69104</v>
          </cell>
          <cell r="M215">
            <v>0.11801270464106903</v>
          </cell>
        </row>
        <row r="216">
          <cell r="B216">
            <v>42040</v>
          </cell>
          <cell r="C216">
            <v>0.99972493862629996</v>
          </cell>
          <cell r="D216">
            <v>0.94276245790638102</v>
          </cell>
          <cell r="I216">
            <v>42040</v>
          </cell>
          <cell r="K216">
            <v>106176807405.543</v>
          </cell>
          <cell r="L216">
            <v>929906802060.74402</v>
          </cell>
          <cell r="M216">
            <v>0.11418005242057283</v>
          </cell>
        </row>
        <row r="217">
          <cell r="B217">
            <v>42047</v>
          </cell>
          <cell r="C217">
            <v>0.99902094218210002</v>
          </cell>
          <cell r="D217">
            <v>0.94029174019523298</v>
          </cell>
          <cell r="I217">
            <v>42047</v>
          </cell>
          <cell r="K217">
            <v>106176807405.543</v>
          </cell>
          <cell r="L217">
            <v>929906802060.74402</v>
          </cell>
          <cell r="M217">
            <v>0.11418005242057283</v>
          </cell>
        </row>
        <row r="218">
          <cell r="B218">
            <v>42054</v>
          </cell>
          <cell r="C218">
            <v>0.99863084569716998</v>
          </cell>
          <cell r="D218">
            <v>0.93829546422584498</v>
          </cell>
          <cell r="I218">
            <v>42054</v>
          </cell>
          <cell r="K218">
            <v>106176807405.543</v>
          </cell>
          <cell r="L218">
            <v>929906802060.74402</v>
          </cell>
          <cell r="M218">
            <v>0.11418005242057283</v>
          </cell>
        </row>
        <row r="219">
          <cell r="B219">
            <v>42061</v>
          </cell>
          <cell r="C219">
            <v>0.99472881095047105</v>
          </cell>
          <cell r="D219">
            <v>0.93258058102369301</v>
          </cell>
          <cell r="I219">
            <v>42061</v>
          </cell>
          <cell r="K219">
            <v>106176807405.543</v>
          </cell>
          <cell r="L219">
            <v>929906802060.74402</v>
          </cell>
          <cell r="M219">
            <v>0.11418005242057283</v>
          </cell>
        </row>
        <row r="220">
          <cell r="B220">
            <v>42068</v>
          </cell>
          <cell r="C220">
            <v>0.99843910380784895</v>
          </cell>
          <cell r="D220">
            <v>0.93870362974987798</v>
          </cell>
          <cell r="I220">
            <v>42068</v>
          </cell>
          <cell r="K220">
            <v>103782963597.884</v>
          </cell>
          <cell r="L220">
            <v>931776684212.27002</v>
          </cell>
          <cell r="M220">
            <v>0.11138179926193666</v>
          </cell>
        </row>
        <row r="221">
          <cell r="B221">
            <v>42075</v>
          </cell>
          <cell r="C221">
            <v>0.98728276128744996</v>
          </cell>
          <cell r="D221">
            <v>0.92338991003179305</v>
          </cell>
          <cell r="I221">
            <v>42075</v>
          </cell>
          <cell r="K221">
            <v>103782963597.884</v>
          </cell>
          <cell r="L221">
            <v>931776684212.27002</v>
          </cell>
          <cell r="M221">
            <v>0.11138179926193666</v>
          </cell>
        </row>
        <row r="222">
          <cell r="B222">
            <v>42082</v>
          </cell>
          <cell r="C222">
            <v>0.99843910380784895</v>
          </cell>
          <cell r="D222">
            <v>0.93778619299504695</v>
          </cell>
          <cell r="I222">
            <v>42082</v>
          </cell>
          <cell r="K222">
            <v>103782963597.884</v>
          </cell>
          <cell r="L222">
            <v>931776684212.27002</v>
          </cell>
          <cell r="M222">
            <v>0.11138179926193666</v>
          </cell>
        </row>
        <row r="223">
          <cell r="B223">
            <v>42089</v>
          </cell>
          <cell r="C223">
            <v>0.99887607034173698</v>
          </cell>
          <cell r="D223">
            <v>0.94062134279207998</v>
          </cell>
          <cell r="I223">
            <v>42089</v>
          </cell>
          <cell r="K223">
            <v>103782963597.884</v>
          </cell>
          <cell r="L223">
            <v>931776684212.27002</v>
          </cell>
          <cell r="M223">
            <v>0.11138179926193666</v>
          </cell>
        </row>
        <row r="224">
          <cell r="B224">
            <v>42096</v>
          </cell>
          <cell r="C224">
            <v>0.99885910901552399</v>
          </cell>
          <cell r="D224">
            <v>0.94047446142896596</v>
          </cell>
          <cell r="I224">
            <v>42096</v>
          </cell>
          <cell r="K224">
            <v>100652792127.048</v>
          </cell>
          <cell r="L224">
            <v>936106192313.56702</v>
          </cell>
          <cell r="M224">
            <v>0.10752283550041125</v>
          </cell>
        </row>
        <row r="225">
          <cell r="B225">
            <v>42103</v>
          </cell>
          <cell r="C225">
            <v>0.99960994368004696</v>
          </cell>
          <cell r="D225">
            <v>0.94241786802401695</v>
          </cell>
          <cell r="I225">
            <v>42103</v>
          </cell>
          <cell r="K225">
            <v>100652792127.048</v>
          </cell>
          <cell r="L225">
            <v>936106192313.56702</v>
          </cell>
          <cell r="M225">
            <v>0.10752283550041125</v>
          </cell>
        </row>
        <row r="226">
          <cell r="B226">
            <v>42110</v>
          </cell>
          <cell r="C226">
            <v>0.99885981007337399</v>
          </cell>
          <cell r="D226">
            <v>0.94078919694529395</v>
          </cell>
          <cell r="I226">
            <v>42110</v>
          </cell>
          <cell r="K226">
            <v>100652792127.048</v>
          </cell>
          <cell r="L226">
            <v>936106192313.56702</v>
          </cell>
          <cell r="M226">
            <v>0.10752283550041125</v>
          </cell>
        </row>
        <row r="227">
          <cell r="B227">
            <v>42117</v>
          </cell>
          <cell r="C227">
            <v>0.99960994368004696</v>
          </cell>
          <cell r="D227">
            <v>0.94300276803956395</v>
          </cell>
          <cell r="I227">
            <v>42117</v>
          </cell>
          <cell r="K227">
            <v>100652792127.048</v>
          </cell>
          <cell r="L227">
            <v>936106192313.56702</v>
          </cell>
          <cell r="M227">
            <v>0.10752283550041125</v>
          </cell>
        </row>
        <row r="228">
          <cell r="I228">
            <v>42124</v>
          </cell>
          <cell r="K228">
            <v>100652792127.048</v>
          </cell>
          <cell r="L228">
            <v>936106192313.56702</v>
          </cell>
          <cell r="M228">
            <v>0.10752283550041125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  <sheetName val="Originator Mortgage Rate - 0318"/>
    </sheetNames>
    <sheetDataSet>
      <sheetData sheetId="0">
        <row r="2">
          <cell r="V2">
            <v>42083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C4">
            <v>0.04</v>
          </cell>
        </row>
        <row r="5">
          <cell r="C5">
            <v>4.0369999999999996E-2</v>
          </cell>
        </row>
        <row r="6">
          <cell r="C6">
            <v>200000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temp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1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1_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228"/>
  <sheetViews>
    <sheetView tabSelected="1" zoomScaleNormal="100" workbookViewId="0">
      <selection activeCell="M6" sqref="M6"/>
    </sheetView>
  </sheetViews>
  <sheetFormatPr defaultRowHeight="15"/>
  <cols>
    <col min="6" max="6" width="10.7109375" bestFit="1" customWidth="1"/>
    <col min="7" max="7" width="12.85546875" bestFit="1" customWidth="1"/>
    <col min="9" max="9" width="10.7109375" bestFit="1" customWidth="1"/>
    <col min="10" max="10" width="12.85546875" bestFit="1" customWidth="1"/>
    <col min="11" max="11" width="19" bestFit="1" customWidth="1"/>
    <col min="12" max="13" width="19" customWidth="1"/>
    <col min="15" max="15" width="10.7109375" bestFit="1" customWidth="1"/>
    <col min="16" max="16" width="12.85546875" bestFit="1" customWidth="1"/>
    <col min="17" max="17" width="12" bestFit="1" customWidth="1"/>
  </cols>
  <sheetData>
    <row r="1" spans="2:17">
      <c r="B1" t="s">
        <v>9</v>
      </c>
      <c r="F1" t="s">
        <v>0</v>
      </c>
      <c r="I1" t="s">
        <v>1</v>
      </c>
      <c r="O1" t="s">
        <v>2</v>
      </c>
    </row>
    <row r="2" spans="2:17">
      <c r="B2" s="1" t="s">
        <v>3</v>
      </c>
      <c r="C2" t="s">
        <v>0</v>
      </c>
      <c r="D2" t="s">
        <v>4</v>
      </c>
      <c r="F2" t="s">
        <v>3</v>
      </c>
      <c r="G2" t="s">
        <v>5</v>
      </c>
      <c r="I2" t="s">
        <v>3</v>
      </c>
      <c r="J2" t="s">
        <v>5</v>
      </c>
      <c r="K2" t="s">
        <v>6</v>
      </c>
      <c r="L2" t="s">
        <v>7</v>
      </c>
      <c r="M2" t="s">
        <v>10</v>
      </c>
      <c r="O2" t="s">
        <v>3</v>
      </c>
      <c r="P2" t="s">
        <v>5</v>
      </c>
      <c r="Q2" t="s">
        <v>8</v>
      </c>
    </row>
    <row r="3" spans="2:17">
      <c r="B3" s="2">
        <v>40549</v>
      </c>
      <c r="C3">
        <f>VLOOKUP(B3,F:G,2,0)</f>
        <v>0.68934342154794104</v>
      </c>
      <c r="D3">
        <f>VLOOKUP(B3,I:J,2,0)</f>
        <v>0.32204130779229101</v>
      </c>
      <c r="F3" s="3">
        <v>40549</v>
      </c>
      <c r="G3">
        <v>0.68934342154794104</v>
      </c>
      <c r="I3" s="3">
        <v>40549</v>
      </c>
      <c r="J3">
        <v>0.32204130779229101</v>
      </c>
      <c r="K3" s="4">
        <v>511152631253.10303</v>
      </c>
      <c r="L3" s="4">
        <f>VLOOKUP(I3,O:Q,3,0)</f>
        <v>895480193330.53601</v>
      </c>
      <c r="M3" s="5">
        <f>K3/L3*100%</f>
        <v>0.57081400019802386</v>
      </c>
      <c r="O3" s="3">
        <v>40549</v>
      </c>
      <c r="P3">
        <v>0.209513267626425</v>
      </c>
      <c r="Q3">
        <v>895480193330.53601</v>
      </c>
    </row>
    <row r="4" spans="2:17">
      <c r="B4" s="2">
        <v>40556</v>
      </c>
      <c r="C4">
        <f t="shared" ref="C4:C67" si="0">VLOOKUP(B4,F:G,2,0)</f>
        <v>0.70307643177109502</v>
      </c>
      <c r="D4">
        <f t="shared" ref="D4:D67" si="1">VLOOKUP(B4,I:J,2,0)</f>
        <v>0.33944259689377898</v>
      </c>
      <c r="F4" s="3">
        <v>40556</v>
      </c>
      <c r="G4">
        <v>0.70307643177109502</v>
      </c>
      <c r="I4" s="3">
        <v>40556</v>
      </c>
      <c r="J4">
        <v>0.33944259689377898</v>
      </c>
      <c r="K4" s="4">
        <v>511152631253.10303</v>
      </c>
      <c r="L4" s="4">
        <f t="shared" ref="L4:L67" si="2">VLOOKUP(I4,O:Q,3,0)</f>
        <v>895480193330.53601</v>
      </c>
      <c r="M4" s="5">
        <f t="shared" ref="M4:M67" si="3">K4/L4*100%</f>
        <v>0.57081400019802386</v>
      </c>
      <c r="O4" s="3">
        <v>40556</v>
      </c>
      <c r="P4">
        <v>0.228652572402892</v>
      </c>
      <c r="Q4">
        <v>895480193330.53601</v>
      </c>
    </row>
    <row r="5" spans="2:17">
      <c r="B5" s="2">
        <v>40563</v>
      </c>
      <c r="C5">
        <f t="shared" si="0"/>
        <v>0.68938813329756798</v>
      </c>
      <c r="D5">
        <f t="shared" si="1"/>
        <v>0.32792342987711598</v>
      </c>
      <c r="F5" s="3">
        <v>40563</v>
      </c>
      <c r="G5">
        <v>0.68938813329756798</v>
      </c>
      <c r="I5" s="3">
        <v>40563</v>
      </c>
      <c r="J5">
        <v>0.32792342987711598</v>
      </c>
      <c r="K5" s="4">
        <v>511152631253.10303</v>
      </c>
      <c r="L5" s="4">
        <f t="shared" si="2"/>
        <v>895480193330.53601</v>
      </c>
      <c r="M5" s="5">
        <f t="shared" si="3"/>
        <v>0.57081400019802386</v>
      </c>
      <c r="O5" s="3">
        <v>40563</v>
      </c>
      <c r="P5">
        <v>0.21311797232714499</v>
      </c>
      <c r="Q5">
        <v>895480193330.53601</v>
      </c>
    </row>
    <row r="6" spans="2:17">
      <c r="B6" s="2">
        <v>40570</v>
      </c>
      <c r="C6">
        <f t="shared" si="0"/>
        <v>0.68933878258023296</v>
      </c>
      <c r="D6">
        <f t="shared" si="1"/>
        <v>0.32039053977925802</v>
      </c>
      <c r="F6" s="3">
        <v>40570</v>
      </c>
      <c r="G6">
        <v>0.68933878258023296</v>
      </c>
      <c r="I6" s="3">
        <v>40570</v>
      </c>
      <c r="J6">
        <v>0.32039053977925802</v>
      </c>
      <c r="K6" s="4">
        <v>511152631253.10303</v>
      </c>
      <c r="L6" s="4">
        <f t="shared" si="2"/>
        <v>895480193330.53601</v>
      </c>
      <c r="M6" s="5">
        <f t="shared" si="3"/>
        <v>0.57081400019802386</v>
      </c>
      <c r="O6" s="3">
        <v>40570</v>
      </c>
      <c r="P6">
        <v>0.208109326084263</v>
      </c>
      <c r="Q6">
        <v>895480193330.53601</v>
      </c>
    </row>
    <row r="7" spans="2:17">
      <c r="B7" s="2">
        <v>40577</v>
      </c>
      <c r="C7">
        <f t="shared" si="0"/>
        <v>0.67503887167036103</v>
      </c>
      <c r="D7">
        <f t="shared" si="1"/>
        <v>0.295596785601205</v>
      </c>
      <c r="F7" s="3">
        <v>40577</v>
      </c>
      <c r="G7">
        <v>0.67503887167036103</v>
      </c>
      <c r="I7" s="3">
        <v>40577</v>
      </c>
      <c r="J7">
        <v>0.295596785601205</v>
      </c>
      <c r="K7" s="4">
        <v>498355321367.67102</v>
      </c>
      <c r="L7" s="4">
        <f t="shared" si="2"/>
        <v>900632902369.08301</v>
      </c>
      <c r="M7" s="5">
        <f t="shared" si="3"/>
        <v>0.55333901310596689</v>
      </c>
      <c r="O7" s="3">
        <v>40577</v>
      </c>
      <c r="P7">
        <v>0.17891549814152399</v>
      </c>
      <c r="Q7">
        <v>900632902369.08301</v>
      </c>
    </row>
    <row r="8" spans="2:17">
      <c r="B8" s="2">
        <v>40584</v>
      </c>
      <c r="C8">
        <f t="shared" si="0"/>
        <v>0.62601198303170802</v>
      </c>
      <c r="D8">
        <f t="shared" si="1"/>
        <v>0.234840435700295</v>
      </c>
      <c r="F8" s="3">
        <v>40584</v>
      </c>
      <c r="G8">
        <v>0.62601198303170802</v>
      </c>
      <c r="I8" s="3">
        <v>40584</v>
      </c>
      <c r="J8">
        <v>0.234840435700295</v>
      </c>
      <c r="K8" s="4">
        <v>498355321367.67102</v>
      </c>
      <c r="L8" s="4">
        <f t="shared" si="2"/>
        <v>900632902369.08301</v>
      </c>
      <c r="M8" s="5">
        <f t="shared" si="3"/>
        <v>0.55333901310596689</v>
      </c>
      <c r="O8" s="3">
        <v>40584</v>
      </c>
      <c r="P8">
        <v>0.134560222484256</v>
      </c>
      <c r="Q8">
        <v>900632902369.08301</v>
      </c>
    </row>
    <row r="9" spans="2:17">
      <c r="B9" s="2">
        <v>40591</v>
      </c>
      <c r="C9">
        <f t="shared" si="0"/>
        <v>0.64635810340061295</v>
      </c>
      <c r="D9">
        <f t="shared" si="1"/>
        <v>0.25513974378513499</v>
      </c>
      <c r="F9" s="3">
        <v>40591</v>
      </c>
      <c r="G9">
        <v>0.64635810340061295</v>
      </c>
      <c r="I9" s="3">
        <v>40591</v>
      </c>
      <c r="J9">
        <v>0.25513974378513499</v>
      </c>
      <c r="K9" s="4">
        <v>498355321367.67102</v>
      </c>
      <c r="L9" s="4">
        <f t="shared" si="2"/>
        <v>900632902369.08301</v>
      </c>
      <c r="M9" s="5">
        <f t="shared" si="3"/>
        <v>0.55333901310596689</v>
      </c>
      <c r="O9" s="3">
        <v>40591</v>
      </c>
      <c r="P9">
        <v>0.14775234916291499</v>
      </c>
      <c r="Q9">
        <v>900632902369.08301</v>
      </c>
    </row>
    <row r="10" spans="2:17">
      <c r="B10" s="2">
        <v>40598</v>
      </c>
      <c r="C10">
        <f t="shared" si="0"/>
        <v>0.657316480570869</v>
      </c>
      <c r="D10">
        <f t="shared" si="1"/>
        <v>0.27027204570239999</v>
      </c>
      <c r="F10" s="3">
        <v>40598</v>
      </c>
      <c r="G10">
        <v>0.657316480570869</v>
      </c>
      <c r="I10" s="3">
        <v>40598</v>
      </c>
      <c r="J10">
        <v>0.27027204570239999</v>
      </c>
      <c r="K10" s="4">
        <v>498355321367.67102</v>
      </c>
      <c r="L10" s="4">
        <f t="shared" si="2"/>
        <v>900632902369.08301</v>
      </c>
      <c r="M10" s="5">
        <f t="shared" si="3"/>
        <v>0.55333901310596689</v>
      </c>
      <c r="O10" s="3">
        <v>40598</v>
      </c>
      <c r="P10">
        <v>0.160094781437121</v>
      </c>
      <c r="Q10">
        <v>900632902369.08301</v>
      </c>
    </row>
    <row r="11" spans="2:17">
      <c r="B11" s="2">
        <v>40605</v>
      </c>
      <c r="C11">
        <f t="shared" si="0"/>
        <v>0.67062319372880397</v>
      </c>
      <c r="D11">
        <f t="shared" si="1"/>
        <v>0.27618659696598702</v>
      </c>
      <c r="F11" s="3">
        <v>40605</v>
      </c>
      <c r="G11">
        <v>0.67062319372880397</v>
      </c>
      <c r="I11" s="3">
        <v>40605</v>
      </c>
      <c r="J11">
        <v>0.27618659696598702</v>
      </c>
      <c r="K11" s="4">
        <v>487217270284.03302</v>
      </c>
      <c r="L11" s="4">
        <f t="shared" si="2"/>
        <v>898485534285.64099</v>
      </c>
      <c r="M11" s="5">
        <f t="shared" si="3"/>
        <v>0.54226501339435018</v>
      </c>
      <c r="O11" s="3">
        <v>40605</v>
      </c>
      <c r="P11">
        <v>0.16418790753930701</v>
      </c>
      <c r="Q11">
        <v>898485534285.64099</v>
      </c>
    </row>
    <row r="12" spans="2:17">
      <c r="B12" s="2">
        <v>40612</v>
      </c>
      <c r="C12">
        <f t="shared" si="0"/>
        <v>0.67056643052686704</v>
      </c>
      <c r="D12">
        <f t="shared" si="1"/>
        <v>0.27593598906514399</v>
      </c>
      <c r="F12" s="3">
        <v>40612</v>
      </c>
      <c r="G12">
        <v>0.67056643052686704</v>
      </c>
      <c r="I12" s="3">
        <v>40612</v>
      </c>
      <c r="J12">
        <v>0.27593598906514399</v>
      </c>
      <c r="K12" s="4">
        <v>487217270284.03302</v>
      </c>
      <c r="L12" s="4">
        <f t="shared" si="2"/>
        <v>898485534285.64099</v>
      </c>
      <c r="M12" s="5">
        <f t="shared" si="3"/>
        <v>0.54226501339435018</v>
      </c>
      <c r="O12" s="3">
        <v>40612</v>
      </c>
      <c r="P12">
        <v>0.16404066322029201</v>
      </c>
      <c r="Q12">
        <v>898485534285.64099</v>
      </c>
    </row>
    <row r="13" spans="2:17">
      <c r="B13" s="2">
        <v>40619</v>
      </c>
      <c r="C13">
        <f t="shared" si="0"/>
        <v>0.69499981858565096</v>
      </c>
      <c r="D13">
        <f t="shared" si="1"/>
        <v>0.30794837748269599</v>
      </c>
      <c r="F13" s="3">
        <v>40619</v>
      </c>
      <c r="G13">
        <v>0.69499981858565096</v>
      </c>
      <c r="I13" s="3">
        <v>40619</v>
      </c>
      <c r="J13">
        <v>0.30794837748269599</v>
      </c>
      <c r="K13" s="4">
        <v>487217270284.03302</v>
      </c>
      <c r="L13" s="4">
        <f t="shared" si="2"/>
        <v>898485534285.64099</v>
      </c>
      <c r="M13" s="5">
        <f t="shared" si="3"/>
        <v>0.54226501339435018</v>
      </c>
      <c r="O13" s="3">
        <v>40619</v>
      </c>
      <c r="P13">
        <v>0.19779470766972801</v>
      </c>
      <c r="Q13">
        <v>898485534285.64099</v>
      </c>
    </row>
    <row r="14" spans="2:17">
      <c r="B14" s="2">
        <v>40626</v>
      </c>
      <c r="C14">
        <f t="shared" si="0"/>
        <v>0.68107814802781896</v>
      </c>
      <c r="D14">
        <f t="shared" si="1"/>
        <v>0.29055412632630701</v>
      </c>
      <c r="F14" s="3">
        <v>40626</v>
      </c>
      <c r="G14">
        <v>0.68107814802781896</v>
      </c>
      <c r="I14" s="3">
        <v>40626</v>
      </c>
      <c r="J14">
        <v>0.29055412632630701</v>
      </c>
      <c r="K14" s="4">
        <v>487217270284.03302</v>
      </c>
      <c r="L14" s="4">
        <f t="shared" si="2"/>
        <v>898485534285.64099</v>
      </c>
      <c r="M14" s="5">
        <f t="shared" si="3"/>
        <v>0.54226501339435018</v>
      </c>
      <c r="O14" s="3">
        <v>40626</v>
      </c>
      <c r="P14">
        <v>0.17977939874028501</v>
      </c>
      <c r="Q14">
        <v>898485534285.64099</v>
      </c>
    </row>
    <row r="15" spans="2:17">
      <c r="B15" s="2">
        <v>40633</v>
      </c>
      <c r="C15">
        <f t="shared" si="0"/>
        <v>0.67063539524591398</v>
      </c>
      <c r="D15">
        <f t="shared" si="1"/>
        <v>0.276215339287747</v>
      </c>
      <c r="F15" s="3">
        <v>40633</v>
      </c>
      <c r="G15">
        <v>0.67063539524591398</v>
      </c>
      <c r="I15" s="3">
        <v>40633</v>
      </c>
      <c r="J15">
        <v>0.276215339287747</v>
      </c>
      <c r="K15" s="4">
        <v>487217270284.03302</v>
      </c>
      <c r="L15" s="4">
        <f t="shared" si="2"/>
        <v>898485534285.64099</v>
      </c>
      <c r="M15" s="5">
        <f t="shared" si="3"/>
        <v>0.54226501339435018</v>
      </c>
      <c r="O15" s="3">
        <v>40633</v>
      </c>
      <c r="P15">
        <v>0.164213722676429</v>
      </c>
      <c r="Q15">
        <v>898485534285.64099</v>
      </c>
    </row>
    <row r="16" spans="2:17">
      <c r="B16" s="2">
        <v>40640</v>
      </c>
      <c r="C16">
        <f t="shared" si="0"/>
        <v>0.667098340408248</v>
      </c>
      <c r="D16">
        <f t="shared" si="1"/>
        <v>0.28032672938051101</v>
      </c>
      <c r="F16" s="3">
        <v>40640</v>
      </c>
      <c r="G16">
        <v>0.667098340408248</v>
      </c>
      <c r="I16" s="3">
        <v>40640</v>
      </c>
      <c r="J16">
        <v>0.28032672938051101</v>
      </c>
      <c r="K16" s="4">
        <v>478049332159.64398</v>
      </c>
      <c r="L16" s="4">
        <f t="shared" si="2"/>
        <v>898010001419.72205</v>
      </c>
      <c r="M16" s="5">
        <f t="shared" si="3"/>
        <v>0.53234299328945656</v>
      </c>
      <c r="O16" s="3">
        <v>40640</v>
      </c>
      <c r="P16">
        <v>0.164069567843764</v>
      </c>
      <c r="Q16">
        <v>898010001419.72205</v>
      </c>
    </row>
    <row r="17" spans="2:17">
      <c r="B17" s="2">
        <v>40647</v>
      </c>
      <c r="C17">
        <f t="shared" si="0"/>
        <v>0.66704040155500299</v>
      </c>
      <c r="D17">
        <f t="shared" si="1"/>
        <v>0.27639565795825799</v>
      </c>
      <c r="F17" s="3">
        <v>40647</v>
      </c>
      <c r="G17">
        <v>0.66704040155500299</v>
      </c>
      <c r="I17" s="3">
        <v>40647</v>
      </c>
      <c r="J17">
        <v>0.27639565795825799</v>
      </c>
      <c r="K17" s="4">
        <v>478049332159.64398</v>
      </c>
      <c r="L17" s="4">
        <f t="shared" si="2"/>
        <v>898010001419.72205</v>
      </c>
      <c r="M17" s="5">
        <f t="shared" si="3"/>
        <v>0.53234299328945656</v>
      </c>
      <c r="O17" s="3">
        <v>40647</v>
      </c>
      <c r="P17">
        <v>0.16188317261266799</v>
      </c>
      <c r="Q17">
        <v>898010001419.72205</v>
      </c>
    </row>
    <row r="18" spans="2:17">
      <c r="B18" s="2">
        <v>40654</v>
      </c>
      <c r="C18">
        <f t="shared" si="0"/>
        <v>0.67762590916364096</v>
      </c>
      <c r="D18">
        <f t="shared" si="1"/>
        <v>0.29489367773778902</v>
      </c>
      <c r="F18" s="3">
        <v>40654</v>
      </c>
      <c r="G18">
        <v>0.67762590916364096</v>
      </c>
      <c r="I18" s="3">
        <v>40654</v>
      </c>
      <c r="J18">
        <v>0.29489367773778902</v>
      </c>
      <c r="K18" s="4">
        <v>478049332159.64398</v>
      </c>
      <c r="L18" s="4">
        <f t="shared" si="2"/>
        <v>898010001419.72205</v>
      </c>
      <c r="M18" s="5">
        <f t="shared" si="3"/>
        <v>0.53234299328945656</v>
      </c>
      <c r="O18" s="3">
        <v>40654</v>
      </c>
      <c r="P18">
        <v>0.18010388926248599</v>
      </c>
      <c r="Q18">
        <v>898010001419.72205</v>
      </c>
    </row>
    <row r="19" spans="2:17">
      <c r="B19" s="2">
        <v>40661</v>
      </c>
      <c r="C19">
        <f t="shared" si="0"/>
        <v>0.67764813539017299</v>
      </c>
      <c r="D19">
        <f t="shared" si="1"/>
        <v>0.30100380523127301</v>
      </c>
      <c r="F19" s="3">
        <v>40661</v>
      </c>
      <c r="G19">
        <v>0.67764813539017299</v>
      </c>
      <c r="I19" s="3">
        <v>40661</v>
      </c>
      <c r="J19">
        <v>0.30100380523127301</v>
      </c>
      <c r="K19" s="4">
        <v>478049332159.64398</v>
      </c>
      <c r="L19" s="4">
        <f t="shared" si="2"/>
        <v>898010001419.72205</v>
      </c>
      <c r="M19" s="5">
        <f t="shared" si="3"/>
        <v>0.53234299328945656</v>
      </c>
      <c r="O19" s="3">
        <v>40661</v>
      </c>
      <c r="P19">
        <v>0.18382677970033701</v>
      </c>
      <c r="Q19">
        <v>898010001419.72205</v>
      </c>
    </row>
    <row r="20" spans="2:17">
      <c r="B20" s="2">
        <v>40668</v>
      </c>
      <c r="C20">
        <f t="shared" si="0"/>
        <v>0.68894669316518398</v>
      </c>
      <c r="D20">
        <f t="shared" si="1"/>
        <v>0.32414763510163902</v>
      </c>
      <c r="F20" s="3">
        <v>40668</v>
      </c>
      <c r="G20">
        <v>0.68894669316518398</v>
      </c>
      <c r="I20" s="3">
        <v>40668</v>
      </c>
      <c r="J20">
        <v>0.32414763510163902</v>
      </c>
      <c r="K20" s="4">
        <v>470003496681.77802</v>
      </c>
      <c r="L20" s="4">
        <f t="shared" si="2"/>
        <v>897679401564.875</v>
      </c>
      <c r="M20" s="5">
        <f t="shared" si="3"/>
        <v>0.52357611844768503</v>
      </c>
      <c r="O20" s="3">
        <v>40668</v>
      </c>
      <c r="P20">
        <v>0.203871330776419</v>
      </c>
      <c r="Q20">
        <v>897679401564.875</v>
      </c>
    </row>
    <row r="21" spans="2:17">
      <c r="B21" s="2">
        <v>40675</v>
      </c>
      <c r="C21">
        <f t="shared" si="0"/>
        <v>0.71405065373301202</v>
      </c>
      <c r="D21">
        <f t="shared" si="1"/>
        <v>0.35120080584396202</v>
      </c>
      <c r="F21" s="3">
        <v>40675</v>
      </c>
      <c r="G21">
        <v>0.71405065373301202</v>
      </c>
      <c r="I21" s="3">
        <v>40675</v>
      </c>
      <c r="J21">
        <v>0.35120080584396202</v>
      </c>
      <c r="K21" s="4">
        <v>470003496681.77802</v>
      </c>
      <c r="L21" s="4">
        <f t="shared" si="2"/>
        <v>897679401564.875</v>
      </c>
      <c r="M21" s="5">
        <f t="shared" si="3"/>
        <v>0.52357611844768503</v>
      </c>
      <c r="O21" s="3">
        <v>40675</v>
      </c>
      <c r="P21">
        <v>0.24081352175868001</v>
      </c>
      <c r="Q21">
        <v>897679401564.875</v>
      </c>
    </row>
    <row r="22" spans="2:17">
      <c r="B22" s="2">
        <v>40682</v>
      </c>
      <c r="C22">
        <f t="shared" si="0"/>
        <v>0.71407362852576595</v>
      </c>
      <c r="D22">
        <f t="shared" si="1"/>
        <v>0.35171549347634701</v>
      </c>
      <c r="F22" s="3">
        <v>40682</v>
      </c>
      <c r="G22">
        <v>0.71407362852576595</v>
      </c>
      <c r="I22" s="3">
        <v>40682</v>
      </c>
      <c r="J22">
        <v>0.35171549347634701</v>
      </c>
      <c r="K22" s="4">
        <v>470003496681.77802</v>
      </c>
      <c r="L22" s="4">
        <f t="shared" si="2"/>
        <v>897679401564.875</v>
      </c>
      <c r="M22" s="5">
        <f t="shared" si="3"/>
        <v>0.52357611844768503</v>
      </c>
      <c r="O22" s="3">
        <v>40682</v>
      </c>
      <c r="P22">
        <v>0.24117986251785001</v>
      </c>
      <c r="Q22">
        <v>897679401564.875</v>
      </c>
    </row>
    <row r="23" spans="2:17">
      <c r="B23" s="2">
        <v>40689</v>
      </c>
      <c r="C23">
        <f t="shared" si="0"/>
        <v>0.71409882525790402</v>
      </c>
      <c r="D23">
        <f t="shared" si="1"/>
        <v>0.35587573298129699</v>
      </c>
      <c r="F23" s="3">
        <v>40689</v>
      </c>
      <c r="G23">
        <v>0.71409882525790402</v>
      </c>
      <c r="I23" s="3">
        <v>40689</v>
      </c>
      <c r="J23">
        <v>0.35587573298129699</v>
      </c>
      <c r="K23" s="4">
        <v>470003496681.77802</v>
      </c>
      <c r="L23" s="4">
        <f t="shared" si="2"/>
        <v>897679401564.875</v>
      </c>
      <c r="M23" s="5">
        <f t="shared" si="3"/>
        <v>0.52357611844768503</v>
      </c>
      <c r="O23" s="3">
        <v>40689</v>
      </c>
      <c r="P23">
        <v>0.243553615533253</v>
      </c>
      <c r="Q23">
        <v>897679401564.875</v>
      </c>
    </row>
    <row r="24" spans="2:17">
      <c r="B24" s="2">
        <v>40696</v>
      </c>
      <c r="C24">
        <f t="shared" si="0"/>
        <v>0.72824875176082904</v>
      </c>
      <c r="D24">
        <f t="shared" si="1"/>
        <v>0.384751810944437</v>
      </c>
      <c r="F24" s="3">
        <v>40696</v>
      </c>
      <c r="G24">
        <v>0.72824875176082904</v>
      </c>
      <c r="I24" s="3">
        <v>40696</v>
      </c>
      <c r="J24">
        <v>0.384751810944437</v>
      </c>
      <c r="K24" s="4">
        <v>462480304706.05603</v>
      </c>
      <c r="L24" s="4">
        <f t="shared" si="2"/>
        <v>898925930940.14294</v>
      </c>
      <c r="M24" s="5">
        <f t="shared" si="3"/>
        <v>0.51448099202385933</v>
      </c>
      <c r="O24" s="3">
        <v>40696</v>
      </c>
      <c r="P24">
        <v>0.27670038879120401</v>
      </c>
      <c r="Q24">
        <v>898925930940.14294</v>
      </c>
    </row>
    <row r="25" spans="2:17">
      <c r="B25" s="2">
        <v>40703</v>
      </c>
      <c r="C25">
        <f t="shared" si="0"/>
        <v>0.74506714039606803</v>
      </c>
      <c r="D25">
        <f t="shared" si="1"/>
        <v>0.40107831488719298</v>
      </c>
      <c r="F25" s="3">
        <v>40703</v>
      </c>
      <c r="G25">
        <v>0.74506714039606803</v>
      </c>
      <c r="I25" s="3">
        <v>40703</v>
      </c>
      <c r="J25">
        <v>0.40107831488719298</v>
      </c>
      <c r="K25" s="4">
        <v>462480304706.05603</v>
      </c>
      <c r="L25" s="4">
        <f t="shared" si="2"/>
        <v>898925930940.14294</v>
      </c>
      <c r="M25" s="5">
        <f t="shared" si="3"/>
        <v>0.51448099202385933</v>
      </c>
      <c r="O25" s="3">
        <v>40703</v>
      </c>
      <c r="P25">
        <v>0.29931986389681697</v>
      </c>
      <c r="Q25">
        <v>898925930940.14294</v>
      </c>
    </row>
    <row r="26" spans="2:17">
      <c r="B26" s="2">
        <v>40710</v>
      </c>
      <c r="C26">
        <f t="shared" si="0"/>
        <v>0.74505340929157504</v>
      </c>
      <c r="D26">
        <f t="shared" si="1"/>
        <v>0.401048271232536</v>
      </c>
      <c r="F26" s="3">
        <v>40710</v>
      </c>
      <c r="G26">
        <v>0.74505340929157504</v>
      </c>
      <c r="I26" s="3">
        <v>40710</v>
      </c>
      <c r="J26">
        <v>0.401048271232536</v>
      </c>
      <c r="K26" s="4">
        <v>462480304706.05603</v>
      </c>
      <c r="L26" s="4">
        <f t="shared" si="2"/>
        <v>898925930940.14294</v>
      </c>
      <c r="M26" s="5">
        <f t="shared" si="3"/>
        <v>0.51448099202385933</v>
      </c>
      <c r="O26" s="3">
        <v>40710</v>
      </c>
      <c r="P26">
        <v>0.29927890586033901</v>
      </c>
      <c r="Q26">
        <v>898925930940.14294</v>
      </c>
    </row>
    <row r="27" spans="2:17">
      <c r="B27" s="2">
        <v>40717</v>
      </c>
      <c r="C27">
        <f t="shared" si="0"/>
        <v>0.72824875176082904</v>
      </c>
      <c r="D27">
        <f t="shared" si="1"/>
        <v>0.384751810944437</v>
      </c>
      <c r="F27" s="3">
        <v>40717</v>
      </c>
      <c r="G27">
        <v>0.72824875176082904</v>
      </c>
      <c r="I27" s="3">
        <v>40717</v>
      </c>
      <c r="J27">
        <v>0.384751810944437</v>
      </c>
      <c r="K27" s="4">
        <v>462480304706.05603</v>
      </c>
      <c r="L27" s="4">
        <f t="shared" si="2"/>
        <v>898925930940.14294</v>
      </c>
      <c r="M27" s="5">
        <f t="shared" si="3"/>
        <v>0.51448099202385933</v>
      </c>
      <c r="O27" s="3">
        <v>40717</v>
      </c>
      <c r="P27">
        <v>0.27670038879120401</v>
      </c>
      <c r="Q27">
        <v>898925930940.14294</v>
      </c>
    </row>
    <row r="28" spans="2:17">
      <c r="B28" s="2">
        <v>40724</v>
      </c>
      <c r="C28">
        <f t="shared" si="0"/>
        <v>0.74479550295308605</v>
      </c>
      <c r="D28">
        <f t="shared" si="1"/>
        <v>0.40017737051204799</v>
      </c>
      <c r="F28" s="3">
        <v>40724</v>
      </c>
      <c r="G28">
        <v>0.74479550295308605</v>
      </c>
      <c r="I28" s="3">
        <v>40724</v>
      </c>
      <c r="J28">
        <v>0.40017737051204799</v>
      </c>
      <c r="K28" s="4">
        <v>462480304706.05603</v>
      </c>
      <c r="L28" s="4">
        <f t="shared" si="2"/>
        <v>898925930940.14294</v>
      </c>
      <c r="M28" s="5">
        <f t="shared" si="3"/>
        <v>0.51448099202385933</v>
      </c>
      <c r="O28" s="3">
        <v>40724</v>
      </c>
      <c r="P28">
        <v>0.29803164102095803</v>
      </c>
      <c r="Q28">
        <v>898925930940.14294</v>
      </c>
    </row>
    <row r="29" spans="2:17">
      <c r="B29" s="2">
        <v>40731</v>
      </c>
      <c r="C29">
        <f t="shared" si="0"/>
        <v>0.70952144486954205</v>
      </c>
      <c r="D29">
        <f t="shared" si="1"/>
        <v>0.36468183111139002</v>
      </c>
      <c r="F29" s="3">
        <v>40731</v>
      </c>
      <c r="G29">
        <v>0.70952144486954205</v>
      </c>
      <c r="I29" s="3">
        <v>40731</v>
      </c>
      <c r="J29">
        <v>0.36468183111139002</v>
      </c>
      <c r="K29" s="4">
        <v>454274419000.159</v>
      </c>
      <c r="L29" s="4">
        <f t="shared" si="2"/>
        <v>896187746439.72998</v>
      </c>
      <c r="M29" s="5">
        <f t="shared" si="3"/>
        <v>0.50689648547957433</v>
      </c>
      <c r="O29" s="3">
        <v>40731</v>
      </c>
      <c r="P29">
        <v>0.246359751409859</v>
      </c>
      <c r="Q29">
        <v>896187746439.72998</v>
      </c>
    </row>
    <row r="30" spans="2:17">
      <c r="B30" s="2">
        <v>40738</v>
      </c>
      <c r="C30">
        <f t="shared" si="0"/>
        <v>0.74275012081458902</v>
      </c>
      <c r="D30">
        <f t="shared" si="1"/>
        <v>0.40333930019983799</v>
      </c>
      <c r="F30" s="3">
        <v>40738</v>
      </c>
      <c r="G30">
        <v>0.74275012081458902</v>
      </c>
      <c r="I30" s="3">
        <v>40738</v>
      </c>
      <c r="J30">
        <v>0.40333930019983799</v>
      </c>
      <c r="K30" s="4">
        <v>454274419000.159</v>
      </c>
      <c r="L30" s="4">
        <f t="shared" si="2"/>
        <v>896187746439.72998</v>
      </c>
      <c r="M30" s="5">
        <f t="shared" si="3"/>
        <v>0.50689648547957433</v>
      </c>
      <c r="O30" s="3">
        <v>40738</v>
      </c>
      <c r="P30">
        <v>0.29801285071746703</v>
      </c>
      <c r="Q30">
        <v>896187746439.72998</v>
      </c>
    </row>
    <row r="31" spans="2:17">
      <c r="B31" s="2">
        <v>40745</v>
      </c>
      <c r="C31">
        <f t="shared" si="0"/>
        <v>0.72609841989856705</v>
      </c>
      <c r="D31">
        <f t="shared" si="1"/>
        <v>0.38775372661303198</v>
      </c>
      <c r="F31" s="3">
        <v>40745</v>
      </c>
      <c r="G31">
        <v>0.72609841989856705</v>
      </c>
      <c r="I31" s="3">
        <v>40745</v>
      </c>
      <c r="J31">
        <v>0.38775372661303198</v>
      </c>
      <c r="K31" s="4">
        <v>454274419000.159</v>
      </c>
      <c r="L31" s="4">
        <f t="shared" si="2"/>
        <v>896187746439.72998</v>
      </c>
      <c r="M31" s="5">
        <f t="shared" si="3"/>
        <v>0.50689648547957433</v>
      </c>
      <c r="O31" s="3">
        <v>40745</v>
      </c>
      <c r="P31">
        <v>0.27647176144055702</v>
      </c>
      <c r="Q31">
        <v>896187746439.72998</v>
      </c>
    </row>
    <row r="32" spans="2:17">
      <c r="B32" s="2">
        <v>40752</v>
      </c>
      <c r="C32">
        <f t="shared" si="0"/>
        <v>0.72572799430629997</v>
      </c>
      <c r="D32">
        <f t="shared" si="1"/>
        <v>0.38003243735001302</v>
      </c>
      <c r="F32" s="3">
        <v>40752</v>
      </c>
      <c r="G32">
        <v>0.72572799430629997</v>
      </c>
      <c r="I32" s="3">
        <v>40752</v>
      </c>
      <c r="J32">
        <v>0.38003243735001302</v>
      </c>
      <c r="K32" s="4">
        <v>454274419000.159</v>
      </c>
      <c r="L32" s="4">
        <f t="shared" si="2"/>
        <v>896187746439.72998</v>
      </c>
      <c r="M32" s="5">
        <f t="shared" si="3"/>
        <v>0.50689648547957433</v>
      </c>
      <c r="O32" s="3">
        <v>40752</v>
      </c>
      <c r="P32">
        <v>0.26886674922653497</v>
      </c>
      <c r="Q32">
        <v>896187746439.72998</v>
      </c>
    </row>
    <row r="33" spans="2:17">
      <c r="B33" s="2">
        <v>40759</v>
      </c>
      <c r="C33">
        <f t="shared" si="0"/>
        <v>0.77903375194828495</v>
      </c>
      <c r="D33">
        <f t="shared" si="1"/>
        <v>0.44778093064805002</v>
      </c>
      <c r="F33" s="3">
        <v>40759</v>
      </c>
      <c r="G33">
        <v>0.77903375194828495</v>
      </c>
      <c r="I33" s="3">
        <v>40759</v>
      </c>
      <c r="J33">
        <v>0.44778093064805002</v>
      </c>
      <c r="K33" s="4">
        <v>446036314532.50897</v>
      </c>
      <c r="L33" s="4">
        <f t="shared" si="2"/>
        <v>896440206380.84204</v>
      </c>
      <c r="M33" s="5">
        <f t="shared" si="3"/>
        <v>0.49756393271702015</v>
      </c>
      <c r="O33" s="3">
        <v>40759</v>
      </c>
      <c r="P33">
        <v>0.35055994389214301</v>
      </c>
      <c r="Q33">
        <v>896440206380.84204</v>
      </c>
    </row>
    <row r="34" spans="2:17">
      <c r="B34" s="2">
        <v>40766</v>
      </c>
      <c r="C34">
        <f t="shared" si="0"/>
        <v>0.86382425683094299</v>
      </c>
      <c r="D34">
        <f t="shared" si="1"/>
        <v>0.52006535712284097</v>
      </c>
      <c r="F34" s="3">
        <v>40766</v>
      </c>
      <c r="G34">
        <v>0.86382425683094299</v>
      </c>
      <c r="I34" s="3">
        <v>40766</v>
      </c>
      <c r="J34">
        <v>0.52006535712284097</v>
      </c>
      <c r="K34" s="4">
        <v>446036314532.50897</v>
      </c>
      <c r="L34" s="4">
        <f t="shared" si="2"/>
        <v>896440206380.84204</v>
      </c>
      <c r="M34" s="5">
        <f t="shared" si="3"/>
        <v>0.49756393271702015</v>
      </c>
      <c r="O34" s="3">
        <v>40766</v>
      </c>
      <c r="P34">
        <v>0.44640823318837303</v>
      </c>
      <c r="Q34">
        <v>896440206380.84204</v>
      </c>
    </row>
    <row r="35" spans="2:17">
      <c r="B35" s="2">
        <v>40773</v>
      </c>
      <c r="C35">
        <f t="shared" si="0"/>
        <v>0.93211944193435403</v>
      </c>
      <c r="D35">
        <f t="shared" si="1"/>
        <v>0.58768687513124296</v>
      </c>
      <c r="F35" s="3">
        <v>40773</v>
      </c>
      <c r="G35">
        <v>0.93211944193435403</v>
      </c>
      <c r="I35" s="3">
        <v>40773</v>
      </c>
      <c r="J35">
        <v>0.58768687513124296</v>
      </c>
      <c r="K35" s="4">
        <v>446036314532.50897</v>
      </c>
      <c r="L35" s="4">
        <f t="shared" si="2"/>
        <v>896440206380.84204</v>
      </c>
      <c r="M35" s="5">
        <f t="shared" si="3"/>
        <v>0.49756393271702015</v>
      </c>
      <c r="O35" s="3">
        <v>40773</v>
      </c>
      <c r="P35">
        <v>0.53965388848865703</v>
      </c>
      <c r="Q35">
        <v>896440206380.84204</v>
      </c>
    </row>
    <row r="36" spans="2:17">
      <c r="B36" s="2">
        <v>40780</v>
      </c>
      <c r="C36">
        <f t="shared" si="0"/>
        <v>0.89991044673128795</v>
      </c>
      <c r="D36">
        <f t="shared" si="1"/>
        <v>0.55816631773039305</v>
      </c>
      <c r="F36" s="3">
        <v>40780</v>
      </c>
      <c r="G36">
        <v>0.89991044673128795</v>
      </c>
      <c r="I36" s="3">
        <v>40780</v>
      </c>
      <c r="J36">
        <v>0.55816631773039305</v>
      </c>
      <c r="K36" s="4">
        <v>446036314532.50897</v>
      </c>
      <c r="L36" s="4">
        <f t="shared" si="2"/>
        <v>896440206380.84204</v>
      </c>
      <c r="M36" s="5">
        <f t="shared" si="3"/>
        <v>0.49756393271702015</v>
      </c>
      <c r="O36" s="3">
        <v>40780</v>
      </c>
      <c r="P36">
        <v>0.49732012063845799</v>
      </c>
      <c r="Q36">
        <v>896440206380.84204</v>
      </c>
    </row>
    <row r="37" spans="2:17">
      <c r="B37" s="2">
        <v>40787</v>
      </c>
      <c r="C37">
        <f t="shared" si="0"/>
        <v>0.89921029459495505</v>
      </c>
      <c r="D37">
        <f t="shared" si="1"/>
        <v>0.56195750140436296</v>
      </c>
      <c r="F37" s="3">
        <v>40787</v>
      </c>
      <c r="G37">
        <v>0.89921029459495505</v>
      </c>
      <c r="I37" s="3">
        <v>40787</v>
      </c>
      <c r="J37">
        <v>0.56195750140436296</v>
      </c>
      <c r="K37" s="4">
        <v>436967852620.36298</v>
      </c>
      <c r="L37" s="4">
        <f t="shared" si="2"/>
        <v>895897744776.50806</v>
      </c>
      <c r="M37" s="5">
        <f t="shared" si="3"/>
        <v>0.48774299876083471</v>
      </c>
      <c r="O37" s="3">
        <v>40787</v>
      </c>
      <c r="P37">
        <v>0.49621049424249603</v>
      </c>
      <c r="Q37">
        <v>895897744776.50806</v>
      </c>
    </row>
    <row r="38" spans="2:17">
      <c r="B38" s="2">
        <v>40794</v>
      </c>
      <c r="C38">
        <f t="shared" si="0"/>
        <v>0.94885867876400498</v>
      </c>
      <c r="D38">
        <f t="shared" si="1"/>
        <v>0.60700793412000198</v>
      </c>
      <c r="F38" s="3">
        <v>40794</v>
      </c>
      <c r="G38">
        <v>0.94885867876400498</v>
      </c>
      <c r="I38" s="3">
        <v>40794</v>
      </c>
      <c r="J38">
        <v>0.60700793412000198</v>
      </c>
      <c r="K38" s="4">
        <v>436967852620.36298</v>
      </c>
      <c r="L38" s="4">
        <f t="shared" si="2"/>
        <v>895897744776.50806</v>
      </c>
      <c r="M38" s="5">
        <f t="shared" si="3"/>
        <v>0.48774299876083471</v>
      </c>
      <c r="O38" s="3">
        <v>40794</v>
      </c>
      <c r="P38">
        <v>0.56188763696413602</v>
      </c>
      <c r="Q38">
        <v>895897744776.50806</v>
      </c>
    </row>
    <row r="39" spans="2:17">
      <c r="B39" s="2">
        <v>40801</v>
      </c>
      <c r="C39">
        <f t="shared" si="0"/>
        <v>0.948919698883541</v>
      </c>
      <c r="D39">
        <f t="shared" si="1"/>
        <v>0.61032822604557502</v>
      </c>
      <c r="F39" s="3">
        <v>40801</v>
      </c>
      <c r="G39">
        <v>0.948919698883541</v>
      </c>
      <c r="I39" s="3">
        <v>40801</v>
      </c>
      <c r="J39">
        <v>0.61032822604557502</v>
      </c>
      <c r="K39" s="4">
        <v>436967852620.36298</v>
      </c>
      <c r="L39" s="4">
        <f t="shared" si="2"/>
        <v>895897744776.50806</v>
      </c>
      <c r="M39" s="5">
        <f t="shared" si="3"/>
        <v>0.48774299876083471</v>
      </c>
      <c r="O39" s="3">
        <v>40801</v>
      </c>
      <c r="P39">
        <v>0.56666393386789504</v>
      </c>
      <c r="Q39">
        <v>895897744776.50806</v>
      </c>
    </row>
    <row r="40" spans="2:17">
      <c r="B40" s="2">
        <v>40808</v>
      </c>
      <c r="C40">
        <f t="shared" si="0"/>
        <v>0.948919698883541</v>
      </c>
      <c r="D40">
        <f t="shared" si="1"/>
        <v>0.61032822604557502</v>
      </c>
      <c r="F40" s="3">
        <v>40808</v>
      </c>
      <c r="G40">
        <v>0.948919698883541</v>
      </c>
      <c r="I40" s="3">
        <v>40808</v>
      </c>
      <c r="J40">
        <v>0.61032822604557502</v>
      </c>
      <c r="K40" s="4">
        <v>436967852620.36298</v>
      </c>
      <c r="L40" s="4">
        <f t="shared" si="2"/>
        <v>895897744776.50806</v>
      </c>
      <c r="M40" s="5">
        <f t="shared" si="3"/>
        <v>0.48774299876083471</v>
      </c>
      <c r="O40" s="3">
        <v>40808</v>
      </c>
      <c r="P40">
        <v>0.56666393386789504</v>
      </c>
      <c r="Q40">
        <v>895897744776.50806</v>
      </c>
    </row>
    <row r="41" spans="2:17">
      <c r="B41" s="2">
        <v>40815</v>
      </c>
      <c r="C41">
        <f t="shared" si="0"/>
        <v>0.974512005363524</v>
      </c>
      <c r="D41">
        <f t="shared" si="1"/>
        <v>0.64853433410786498</v>
      </c>
      <c r="F41" s="3">
        <v>40815</v>
      </c>
      <c r="G41">
        <v>0.974512005363524</v>
      </c>
      <c r="I41" s="3">
        <v>40815</v>
      </c>
      <c r="J41">
        <v>0.64853433410786498</v>
      </c>
      <c r="K41" s="4">
        <v>436967852620.36298</v>
      </c>
      <c r="L41" s="4">
        <f t="shared" si="2"/>
        <v>895897744776.50806</v>
      </c>
      <c r="M41" s="5">
        <f t="shared" si="3"/>
        <v>0.48774299876083471</v>
      </c>
      <c r="O41" s="3">
        <v>40815</v>
      </c>
      <c r="P41">
        <v>0.62638177310671095</v>
      </c>
      <c r="Q41">
        <v>895897744776.50806</v>
      </c>
    </row>
    <row r="42" spans="2:17">
      <c r="B42" s="2">
        <v>40822</v>
      </c>
      <c r="C42">
        <f t="shared" si="0"/>
        <v>0.97415183550259199</v>
      </c>
      <c r="D42">
        <f t="shared" si="1"/>
        <v>0.645956259094282</v>
      </c>
      <c r="F42" s="3">
        <v>40822</v>
      </c>
      <c r="G42">
        <v>0.97415183550259199</v>
      </c>
      <c r="I42" s="3">
        <v>40822</v>
      </c>
      <c r="J42">
        <v>0.645956259094282</v>
      </c>
      <c r="K42" s="4">
        <v>426018974879.43103</v>
      </c>
      <c r="L42" s="4">
        <f t="shared" si="2"/>
        <v>890903153887.02795</v>
      </c>
      <c r="M42" s="5">
        <f t="shared" si="3"/>
        <v>0.47818775028542876</v>
      </c>
      <c r="O42" s="3">
        <v>40822</v>
      </c>
      <c r="P42">
        <v>0.61506978972280701</v>
      </c>
      <c r="Q42">
        <v>890903153887.02795</v>
      </c>
    </row>
    <row r="43" spans="2:17">
      <c r="B43" s="2">
        <v>40829</v>
      </c>
      <c r="C43">
        <f t="shared" si="0"/>
        <v>0.930833872341434</v>
      </c>
      <c r="D43">
        <f t="shared" si="1"/>
        <v>0.58447873508666104</v>
      </c>
      <c r="F43" s="3">
        <v>40829</v>
      </c>
      <c r="G43">
        <v>0.930833872341434</v>
      </c>
      <c r="I43" s="3">
        <v>40829</v>
      </c>
      <c r="J43">
        <v>0.58447873508666104</v>
      </c>
      <c r="K43" s="4">
        <v>426018974879.43103</v>
      </c>
      <c r="L43" s="4">
        <f t="shared" si="2"/>
        <v>890903153887.02795</v>
      </c>
      <c r="M43" s="5">
        <f t="shared" si="3"/>
        <v>0.47818775028542876</v>
      </c>
      <c r="O43" s="3">
        <v>40829</v>
      </c>
      <c r="P43">
        <v>0.52200302676770705</v>
      </c>
      <c r="Q43">
        <v>890903153887.02795</v>
      </c>
    </row>
    <row r="44" spans="2:17">
      <c r="B44" s="2">
        <v>40836</v>
      </c>
      <c r="C44">
        <f t="shared" si="0"/>
        <v>0.948221735508743</v>
      </c>
      <c r="D44">
        <f t="shared" si="1"/>
        <v>0.59657753136731795</v>
      </c>
      <c r="F44" s="3">
        <v>40836</v>
      </c>
      <c r="G44">
        <v>0.948221735508743</v>
      </c>
      <c r="I44" s="3">
        <v>40836</v>
      </c>
      <c r="J44">
        <v>0.59657753136731795</v>
      </c>
      <c r="K44" s="4">
        <v>426018974879.43103</v>
      </c>
      <c r="L44" s="4">
        <f t="shared" si="2"/>
        <v>890903153887.02795</v>
      </c>
      <c r="M44" s="5">
        <f t="shared" si="3"/>
        <v>0.47818775028542876</v>
      </c>
      <c r="O44" s="3">
        <v>40836</v>
      </c>
      <c r="P44">
        <v>0.54092116244187705</v>
      </c>
      <c r="Q44">
        <v>890903153887.02795</v>
      </c>
    </row>
    <row r="45" spans="2:17">
      <c r="B45" s="2">
        <v>40843</v>
      </c>
      <c r="C45">
        <f t="shared" si="0"/>
        <v>0.94825133674425999</v>
      </c>
      <c r="D45">
        <f t="shared" si="1"/>
        <v>0.59967366222938401</v>
      </c>
      <c r="F45" s="3">
        <v>40843</v>
      </c>
      <c r="G45">
        <v>0.94825133674425999</v>
      </c>
      <c r="I45" s="3">
        <v>40843</v>
      </c>
      <c r="J45">
        <v>0.59967366222938401</v>
      </c>
      <c r="K45" s="4">
        <v>426018974879.43103</v>
      </c>
      <c r="L45" s="4">
        <f t="shared" si="2"/>
        <v>890903153887.02795</v>
      </c>
      <c r="M45" s="5">
        <f t="shared" si="3"/>
        <v>0.47818775028542876</v>
      </c>
      <c r="O45" s="3">
        <v>40843</v>
      </c>
      <c r="P45">
        <v>0.54427813909906098</v>
      </c>
      <c r="Q45">
        <v>890903153887.02795</v>
      </c>
    </row>
    <row r="46" spans="2:17">
      <c r="B46" s="2">
        <v>40850</v>
      </c>
      <c r="C46">
        <f t="shared" si="0"/>
        <v>0.97363330958432404</v>
      </c>
      <c r="D46">
        <f t="shared" si="1"/>
        <v>0.63426200382067699</v>
      </c>
      <c r="F46" s="3">
        <v>40850</v>
      </c>
      <c r="G46">
        <v>0.97363330958432404</v>
      </c>
      <c r="I46" s="3">
        <v>40850</v>
      </c>
      <c r="J46">
        <v>0.63426200382067699</v>
      </c>
      <c r="K46" s="4">
        <v>412851613521.01099</v>
      </c>
      <c r="L46" s="4">
        <f t="shared" si="2"/>
        <v>880795609040.20496</v>
      </c>
      <c r="M46" s="5">
        <f t="shared" si="3"/>
        <v>0.46872578528279868</v>
      </c>
      <c r="O46" s="3">
        <v>40850</v>
      </c>
      <c r="P46">
        <v>0.59305856788240296</v>
      </c>
      <c r="Q46">
        <v>880795609040.20496</v>
      </c>
    </row>
    <row r="47" spans="2:17">
      <c r="B47" s="2">
        <v>40857</v>
      </c>
      <c r="C47">
        <f t="shared" si="0"/>
        <v>0.97363631849321397</v>
      </c>
      <c r="D47">
        <f t="shared" si="1"/>
        <v>0.63427711234699902</v>
      </c>
      <c r="F47" s="3">
        <v>40857</v>
      </c>
      <c r="G47">
        <v>0.97363631849321397</v>
      </c>
      <c r="I47" s="3">
        <v>40857</v>
      </c>
      <c r="J47">
        <v>0.63427711234699902</v>
      </c>
      <c r="K47" s="4">
        <v>412851613521.01099</v>
      </c>
      <c r="L47" s="4">
        <f t="shared" si="2"/>
        <v>880795609040.20496</v>
      </c>
      <c r="M47" s="5">
        <f t="shared" si="3"/>
        <v>0.46872578528279868</v>
      </c>
      <c r="O47" s="3">
        <v>40857</v>
      </c>
      <c r="P47">
        <v>0.59308702713551797</v>
      </c>
      <c r="Q47">
        <v>880795609040.20496</v>
      </c>
    </row>
    <row r="48" spans="2:17">
      <c r="B48" s="2">
        <v>40864</v>
      </c>
      <c r="C48">
        <f t="shared" si="0"/>
        <v>0.97363330958432404</v>
      </c>
      <c r="D48">
        <f t="shared" si="1"/>
        <v>0.63426200382067699</v>
      </c>
      <c r="F48" s="3">
        <v>40864</v>
      </c>
      <c r="G48">
        <v>0.97363330958432404</v>
      </c>
      <c r="I48" s="3">
        <v>40864</v>
      </c>
      <c r="J48">
        <v>0.63426200382067699</v>
      </c>
      <c r="K48" s="4">
        <v>412851613521.01099</v>
      </c>
      <c r="L48" s="4">
        <f t="shared" si="2"/>
        <v>880795609040.20496</v>
      </c>
      <c r="M48" s="5">
        <f t="shared" si="3"/>
        <v>0.46872578528279868</v>
      </c>
      <c r="O48" s="3">
        <v>40864</v>
      </c>
      <c r="P48">
        <v>0.59305856788240296</v>
      </c>
      <c r="Q48">
        <v>880795609040.20496</v>
      </c>
    </row>
    <row r="49" spans="2:17">
      <c r="B49" s="2">
        <v>40870</v>
      </c>
      <c r="C49">
        <f t="shared" si="0"/>
        <v>0.97364489082606698</v>
      </c>
      <c r="D49">
        <f t="shared" si="1"/>
        <v>0.635648130355292</v>
      </c>
      <c r="F49" s="3">
        <v>40870</v>
      </c>
      <c r="G49">
        <v>0.97364489082606698</v>
      </c>
      <c r="I49" s="3">
        <v>40870</v>
      </c>
      <c r="J49">
        <v>0.635648130355292</v>
      </c>
      <c r="K49" s="4">
        <v>412851613521.01099</v>
      </c>
      <c r="L49" s="4">
        <f t="shared" si="2"/>
        <v>880795609040.20496</v>
      </c>
      <c r="M49" s="5">
        <f t="shared" si="3"/>
        <v>0.46872578528279868</v>
      </c>
      <c r="O49" s="3">
        <v>40870</v>
      </c>
      <c r="P49">
        <v>0.59609102497578104</v>
      </c>
      <c r="Q49">
        <v>880795609040.20496</v>
      </c>
    </row>
    <row r="50" spans="2:17">
      <c r="B50" s="2">
        <v>40878</v>
      </c>
      <c r="C50">
        <f t="shared" si="0"/>
        <v>0.97319978848678002</v>
      </c>
      <c r="D50">
        <f t="shared" si="1"/>
        <v>0.62458539335419805</v>
      </c>
      <c r="F50" s="3">
        <v>40878</v>
      </c>
      <c r="G50">
        <v>0.97319978848678002</v>
      </c>
      <c r="I50" s="3">
        <v>40878</v>
      </c>
      <c r="J50">
        <v>0.62458539335419805</v>
      </c>
      <c r="K50" s="4">
        <v>399942599684.46997</v>
      </c>
      <c r="L50" s="4">
        <f t="shared" si="2"/>
        <v>867951071508.93604</v>
      </c>
      <c r="M50" s="5">
        <f t="shared" si="3"/>
        <v>0.46078933803165695</v>
      </c>
      <c r="O50" s="3">
        <v>40878</v>
      </c>
      <c r="P50">
        <v>0.57637470870076801</v>
      </c>
      <c r="Q50">
        <v>867951071508.93604</v>
      </c>
    </row>
    <row r="51" spans="2:17">
      <c r="B51" s="2">
        <v>40885</v>
      </c>
      <c r="C51">
        <f t="shared" si="0"/>
        <v>0.973202121427309</v>
      </c>
      <c r="D51">
        <f t="shared" si="1"/>
        <v>0.62459894340621602</v>
      </c>
      <c r="F51" s="3">
        <v>40885</v>
      </c>
      <c r="G51">
        <v>0.973202121427309</v>
      </c>
      <c r="I51" s="3">
        <v>40885</v>
      </c>
      <c r="J51">
        <v>0.62459894340621602</v>
      </c>
      <c r="K51" s="4">
        <v>399942599684.46997</v>
      </c>
      <c r="L51" s="4">
        <f t="shared" si="2"/>
        <v>867951071508.93604</v>
      </c>
      <c r="M51" s="5">
        <f t="shared" si="3"/>
        <v>0.46078933803165695</v>
      </c>
      <c r="O51" s="3">
        <v>40885</v>
      </c>
      <c r="P51">
        <v>0.576401990986944</v>
      </c>
      <c r="Q51">
        <v>867951071508.93604</v>
      </c>
    </row>
    <row r="52" spans="2:17">
      <c r="B52" s="2">
        <v>40892</v>
      </c>
      <c r="C52">
        <f t="shared" si="0"/>
        <v>0.97322297014224102</v>
      </c>
      <c r="D52">
        <f t="shared" si="1"/>
        <v>0.62737303113999399</v>
      </c>
      <c r="F52" s="3">
        <v>40892</v>
      </c>
      <c r="G52">
        <v>0.97322297014224102</v>
      </c>
      <c r="I52" s="3">
        <v>40892</v>
      </c>
      <c r="J52">
        <v>0.62737303113999399</v>
      </c>
      <c r="K52" s="4">
        <v>399942599684.46997</v>
      </c>
      <c r="L52" s="4">
        <f t="shared" si="2"/>
        <v>867951071508.93604</v>
      </c>
      <c r="M52" s="5">
        <f t="shared" si="3"/>
        <v>0.46078933803165695</v>
      </c>
      <c r="O52" s="3">
        <v>40892</v>
      </c>
      <c r="P52">
        <v>0.58069452065626503</v>
      </c>
      <c r="Q52">
        <v>867951071508.93604</v>
      </c>
    </row>
    <row r="53" spans="2:17">
      <c r="B53" s="2">
        <v>40899</v>
      </c>
      <c r="C53">
        <f t="shared" si="0"/>
        <v>0.98378393141539</v>
      </c>
      <c r="D53">
        <f t="shared" si="1"/>
        <v>0.64767108993784595</v>
      </c>
      <c r="F53" s="3">
        <v>40899</v>
      </c>
      <c r="G53">
        <v>0.98378393141539</v>
      </c>
      <c r="I53" s="3">
        <v>40899</v>
      </c>
      <c r="J53">
        <v>0.64767108993784595</v>
      </c>
      <c r="K53" s="4">
        <v>399942599684.46997</v>
      </c>
      <c r="L53" s="4">
        <f t="shared" si="2"/>
        <v>867951071508.93604</v>
      </c>
      <c r="M53" s="5">
        <f t="shared" si="3"/>
        <v>0.46078933803165695</v>
      </c>
      <c r="O53" s="3">
        <v>40899</v>
      </c>
      <c r="P53">
        <v>0.61774760876460899</v>
      </c>
      <c r="Q53">
        <v>867951071508.93604</v>
      </c>
    </row>
    <row r="54" spans="2:17">
      <c r="B54" s="2">
        <v>40906</v>
      </c>
      <c r="C54">
        <f t="shared" si="0"/>
        <v>0.98374645848449505</v>
      </c>
      <c r="D54">
        <f t="shared" si="1"/>
        <v>0.63728428479421295</v>
      </c>
      <c r="F54" s="3">
        <v>40906</v>
      </c>
      <c r="G54">
        <v>0.98374645848449505</v>
      </c>
      <c r="I54" s="3">
        <v>40906</v>
      </c>
      <c r="J54">
        <v>0.63728428479421295</v>
      </c>
      <c r="K54" s="4">
        <v>399942599684.46997</v>
      </c>
      <c r="L54" s="4">
        <f t="shared" si="2"/>
        <v>867951071508.93604</v>
      </c>
      <c r="M54" s="5">
        <f t="shared" si="3"/>
        <v>0.46078933803165695</v>
      </c>
      <c r="O54" s="3">
        <v>40906</v>
      </c>
      <c r="P54">
        <v>0.60388415088067304</v>
      </c>
      <c r="Q54">
        <v>867951071508.93604</v>
      </c>
    </row>
    <row r="55" spans="2:17">
      <c r="B55" s="2">
        <v>40913</v>
      </c>
      <c r="C55">
        <f t="shared" si="0"/>
        <v>0.98350298040027295</v>
      </c>
      <c r="D55">
        <f t="shared" si="1"/>
        <v>0.63473367433484096</v>
      </c>
      <c r="F55" s="3">
        <v>40913</v>
      </c>
      <c r="G55">
        <v>0.98350298040027295</v>
      </c>
      <c r="I55" s="3">
        <v>40913</v>
      </c>
      <c r="J55">
        <v>0.63473367433484096</v>
      </c>
      <c r="K55" s="4">
        <v>388008884102.70697</v>
      </c>
      <c r="L55" s="4">
        <f t="shared" si="2"/>
        <v>862642562832.45898</v>
      </c>
      <c r="M55" s="5">
        <f t="shared" si="3"/>
        <v>0.44979102680569383</v>
      </c>
      <c r="O55" s="3">
        <v>40913</v>
      </c>
      <c r="P55">
        <v>0.593301159685788</v>
      </c>
      <c r="Q55">
        <v>862642562832.45898</v>
      </c>
    </row>
    <row r="56" spans="2:17">
      <c r="B56" s="2">
        <v>40920</v>
      </c>
      <c r="C56">
        <f t="shared" si="0"/>
        <v>0.983519920596025</v>
      </c>
      <c r="D56">
        <f t="shared" si="1"/>
        <v>0.64586810672947803</v>
      </c>
      <c r="F56" s="3">
        <v>40920</v>
      </c>
      <c r="G56">
        <v>0.983519920596025</v>
      </c>
      <c r="I56" s="3">
        <v>40920</v>
      </c>
      <c r="J56">
        <v>0.64586810672947803</v>
      </c>
      <c r="K56" s="4">
        <v>388008884102.70697</v>
      </c>
      <c r="L56" s="4">
        <f t="shared" si="2"/>
        <v>862642562832.45898</v>
      </c>
      <c r="M56" s="5">
        <f t="shared" si="3"/>
        <v>0.44979102680569383</v>
      </c>
      <c r="O56" s="3">
        <v>40920</v>
      </c>
      <c r="P56">
        <v>0.61007610137748602</v>
      </c>
      <c r="Q56">
        <v>862642562832.45898</v>
      </c>
    </row>
    <row r="57" spans="2:17">
      <c r="B57" s="2">
        <v>40927</v>
      </c>
      <c r="C57">
        <f t="shared" si="0"/>
        <v>0.98351461374668603</v>
      </c>
      <c r="D57">
        <f t="shared" si="1"/>
        <v>0.64423993013390601</v>
      </c>
      <c r="F57" s="3">
        <v>40927</v>
      </c>
      <c r="G57">
        <v>0.98351461374668603</v>
      </c>
      <c r="I57" s="3">
        <v>40927</v>
      </c>
      <c r="J57">
        <v>0.64423993013390601</v>
      </c>
      <c r="K57" s="4">
        <v>388008884102.70697</v>
      </c>
      <c r="L57" s="4">
        <f t="shared" si="2"/>
        <v>862642562832.45898</v>
      </c>
      <c r="M57" s="5">
        <f t="shared" si="3"/>
        <v>0.44979102680569383</v>
      </c>
      <c r="O57" s="3">
        <v>40927</v>
      </c>
      <c r="P57">
        <v>0.60754881711583097</v>
      </c>
      <c r="Q57">
        <v>862642562832.45898</v>
      </c>
    </row>
    <row r="58" spans="2:17">
      <c r="B58" s="2">
        <v>40934</v>
      </c>
      <c r="C58">
        <f t="shared" si="0"/>
        <v>0.97286189980816695</v>
      </c>
      <c r="D58">
        <f t="shared" si="1"/>
        <v>0.62201051152227504</v>
      </c>
      <c r="F58" s="3">
        <v>40934</v>
      </c>
      <c r="G58">
        <v>0.97286189980816695</v>
      </c>
      <c r="I58" s="3">
        <v>40934</v>
      </c>
      <c r="J58">
        <v>0.62201051152227504</v>
      </c>
      <c r="K58" s="4">
        <v>388008884102.70697</v>
      </c>
      <c r="L58" s="4">
        <f t="shared" si="2"/>
        <v>862642562832.45898</v>
      </c>
      <c r="M58" s="5">
        <f t="shared" si="3"/>
        <v>0.44979102680569383</v>
      </c>
      <c r="O58" s="3">
        <v>40934</v>
      </c>
      <c r="P58">
        <v>0.56757815274844003</v>
      </c>
      <c r="Q58">
        <v>862642562832.45898</v>
      </c>
    </row>
    <row r="59" spans="2:17">
      <c r="B59" s="2">
        <v>40941</v>
      </c>
      <c r="C59">
        <f t="shared" si="0"/>
        <v>0.98329981748947404</v>
      </c>
      <c r="D59">
        <f t="shared" si="1"/>
        <v>0.64005936276544695</v>
      </c>
      <c r="F59" s="3">
        <v>40941</v>
      </c>
      <c r="G59">
        <v>0.98329981748947404</v>
      </c>
      <c r="I59" s="3">
        <v>40941</v>
      </c>
      <c r="J59">
        <v>0.64005936276544695</v>
      </c>
      <c r="K59" s="4">
        <v>377010024939.07202</v>
      </c>
      <c r="L59" s="4">
        <f t="shared" si="2"/>
        <v>865283651280.50305</v>
      </c>
      <c r="M59" s="5">
        <f t="shared" si="3"/>
        <v>0.43570686257754676</v>
      </c>
      <c r="O59" s="3">
        <v>40941</v>
      </c>
      <c r="P59">
        <v>0.59021628278930105</v>
      </c>
      <c r="Q59">
        <v>865283651280.50305</v>
      </c>
    </row>
    <row r="60" spans="2:17">
      <c r="B60" s="2">
        <v>40948</v>
      </c>
      <c r="C60">
        <f t="shared" si="0"/>
        <v>0.98329981748947404</v>
      </c>
      <c r="D60">
        <f t="shared" si="1"/>
        <v>0.64005936276544695</v>
      </c>
      <c r="F60" s="3">
        <v>40948</v>
      </c>
      <c r="G60">
        <v>0.98329981748947404</v>
      </c>
      <c r="I60" s="3">
        <v>40948</v>
      </c>
      <c r="J60">
        <v>0.64005936276544695</v>
      </c>
      <c r="K60" s="4">
        <v>377010024939.07202</v>
      </c>
      <c r="L60" s="4">
        <f t="shared" si="2"/>
        <v>865283651280.50305</v>
      </c>
      <c r="M60" s="5">
        <f t="shared" si="3"/>
        <v>0.43570686257754676</v>
      </c>
      <c r="O60" s="3">
        <v>40948</v>
      </c>
      <c r="P60">
        <v>0.59021628278930105</v>
      </c>
      <c r="Q60">
        <v>865283651280.50305</v>
      </c>
    </row>
    <row r="61" spans="2:17">
      <c r="B61" s="2">
        <v>40955</v>
      </c>
      <c r="C61">
        <f t="shared" si="0"/>
        <v>0.98329981748947404</v>
      </c>
      <c r="D61">
        <f t="shared" si="1"/>
        <v>0.64005936276544695</v>
      </c>
      <c r="F61" s="3">
        <v>40955</v>
      </c>
      <c r="G61">
        <v>0.98329981748947404</v>
      </c>
      <c r="I61" s="3">
        <v>40955</v>
      </c>
      <c r="J61">
        <v>0.64005936276544695</v>
      </c>
      <c r="K61" s="4">
        <v>377010024939.07202</v>
      </c>
      <c r="L61" s="4">
        <f t="shared" si="2"/>
        <v>865283651280.50305</v>
      </c>
      <c r="M61" s="5">
        <f t="shared" si="3"/>
        <v>0.43570686257754676</v>
      </c>
      <c r="O61" s="3">
        <v>40955</v>
      </c>
      <c r="P61">
        <v>0.59021628278930105</v>
      </c>
      <c r="Q61">
        <v>865283651280.50305</v>
      </c>
    </row>
    <row r="62" spans="2:17">
      <c r="B62" s="2">
        <v>40962</v>
      </c>
      <c r="C62">
        <f t="shared" si="0"/>
        <v>0.97253147097901604</v>
      </c>
      <c r="D62">
        <f t="shared" si="1"/>
        <v>0.61808643863248902</v>
      </c>
      <c r="F62" s="3">
        <v>40962</v>
      </c>
      <c r="G62">
        <v>0.97253147097901604</v>
      </c>
      <c r="I62" s="3">
        <v>40962</v>
      </c>
      <c r="J62">
        <v>0.61808643863248902</v>
      </c>
      <c r="K62" s="4">
        <v>377010024939.07202</v>
      </c>
      <c r="L62" s="4">
        <f t="shared" si="2"/>
        <v>865283651280.50305</v>
      </c>
      <c r="M62" s="5">
        <f t="shared" si="3"/>
        <v>0.43570686257754676</v>
      </c>
      <c r="O62" s="3">
        <v>40962</v>
      </c>
      <c r="P62">
        <v>0.55038966954359303</v>
      </c>
      <c r="Q62">
        <v>865283651280.50305</v>
      </c>
    </row>
    <row r="63" spans="2:17">
      <c r="B63" s="2">
        <v>40969</v>
      </c>
      <c r="C63">
        <f t="shared" si="0"/>
        <v>0.98307098130391601</v>
      </c>
      <c r="D63">
        <f t="shared" si="1"/>
        <v>0.62796244692019199</v>
      </c>
      <c r="F63" s="3">
        <v>40969</v>
      </c>
      <c r="G63">
        <v>0.98307098130391601</v>
      </c>
      <c r="I63" s="3">
        <v>40969</v>
      </c>
      <c r="J63">
        <v>0.62796244692019199</v>
      </c>
      <c r="K63" s="4">
        <v>364462334224.22998</v>
      </c>
      <c r="L63" s="4">
        <f t="shared" si="2"/>
        <v>861190703554.85706</v>
      </c>
      <c r="M63" s="5">
        <f t="shared" si="3"/>
        <v>0.42320746464144116</v>
      </c>
      <c r="O63" s="3">
        <v>40969</v>
      </c>
      <c r="P63">
        <v>0.56168586846910595</v>
      </c>
      <c r="Q63">
        <v>861190703554.85706</v>
      </c>
    </row>
    <row r="64" spans="2:17">
      <c r="B64" s="2">
        <v>40976</v>
      </c>
      <c r="C64">
        <f t="shared" si="0"/>
        <v>0.98308116533178702</v>
      </c>
      <c r="D64">
        <f t="shared" si="1"/>
        <v>0.63624058874854394</v>
      </c>
      <c r="F64" s="3">
        <v>40976</v>
      </c>
      <c r="G64">
        <v>0.98308116533178702</v>
      </c>
      <c r="I64" s="3">
        <v>40976</v>
      </c>
      <c r="J64">
        <v>0.63624058874854394</v>
      </c>
      <c r="K64" s="4">
        <v>364462334224.22998</v>
      </c>
      <c r="L64" s="4">
        <f t="shared" si="2"/>
        <v>861190703554.85706</v>
      </c>
      <c r="M64" s="5">
        <f t="shared" si="3"/>
        <v>0.42320746464144116</v>
      </c>
      <c r="O64" s="3">
        <v>40976</v>
      </c>
      <c r="P64">
        <v>0.57507010563023897</v>
      </c>
      <c r="Q64">
        <v>861190703554.85706</v>
      </c>
    </row>
    <row r="65" spans="2:17">
      <c r="B65" s="2">
        <v>40983</v>
      </c>
      <c r="C65">
        <f t="shared" si="0"/>
        <v>0.98304412035651201</v>
      </c>
      <c r="D65">
        <f t="shared" si="1"/>
        <v>0.62572384062849695</v>
      </c>
      <c r="F65" s="3">
        <v>40983</v>
      </c>
      <c r="G65">
        <v>0.98304412035651201</v>
      </c>
      <c r="I65" s="3">
        <v>40983</v>
      </c>
      <c r="J65">
        <v>0.62572384062849695</v>
      </c>
      <c r="K65" s="4">
        <v>364462334224.22998</v>
      </c>
      <c r="L65" s="4">
        <f t="shared" si="2"/>
        <v>861190703554.85706</v>
      </c>
      <c r="M65" s="5">
        <f t="shared" si="3"/>
        <v>0.42320746464144116</v>
      </c>
      <c r="O65" s="3">
        <v>40983</v>
      </c>
      <c r="P65">
        <v>0.56062904678556602</v>
      </c>
      <c r="Q65">
        <v>861190703554.85706</v>
      </c>
    </row>
    <row r="66" spans="2:17">
      <c r="B66" s="2">
        <v>40990</v>
      </c>
      <c r="C66">
        <f t="shared" si="0"/>
        <v>0.94621671624645198</v>
      </c>
      <c r="D66">
        <f t="shared" si="1"/>
        <v>0.57002458854182303</v>
      </c>
      <c r="F66" s="3">
        <v>40990</v>
      </c>
      <c r="G66">
        <v>0.94621671624645198</v>
      </c>
      <c r="I66" s="3">
        <v>40990</v>
      </c>
      <c r="J66">
        <v>0.57002458854182303</v>
      </c>
      <c r="K66" s="4">
        <v>364462334224.22998</v>
      </c>
      <c r="L66" s="4">
        <f t="shared" si="2"/>
        <v>861190703554.85706</v>
      </c>
      <c r="M66" s="5">
        <f t="shared" si="3"/>
        <v>0.42320746464144116</v>
      </c>
      <c r="O66" s="3">
        <v>40990</v>
      </c>
      <c r="P66">
        <v>0.47083078789486099</v>
      </c>
      <c r="Q66">
        <v>861190703554.85706</v>
      </c>
    </row>
    <row r="67" spans="2:17">
      <c r="B67" s="2">
        <v>40997</v>
      </c>
      <c r="C67">
        <f t="shared" si="0"/>
        <v>0.97221317553099895</v>
      </c>
      <c r="D67">
        <f t="shared" si="1"/>
        <v>0.613026013245069</v>
      </c>
      <c r="F67" s="3">
        <v>40997</v>
      </c>
      <c r="G67">
        <v>0.97221317553099895</v>
      </c>
      <c r="I67" s="3">
        <v>40997</v>
      </c>
      <c r="J67">
        <v>0.613026013245069</v>
      </c>
      <c r="K67" s="4">
        <v>364462334224.22998</v>
      </c>
      <c r="L67" s="4">
        <f t="shared" si="2"/>
        <v>861190703554.85706</v>
      </c>
      <c r="M67" s="5">
        <f t="shared" si="3"/>
        <v>0.42320746464144116</v>
      </c>
      <c r="O67" s="3">
        <v>40997</v>
      </c>
      <c r="P67">
        <v>0.53275480546964904</v>
      </c>
      <c r="Q67">
        <v>861190703554.85706</v>
      </c>
    </row>
    <row r="68" spans="2:17">
      <c r="B68" s="2">
        <v>41004</v>
      </c>
      <c r="C68">
        <f t="shared" ref="C68:C131" si="4">VLOOKUP(B68,F:G,2,0)</f>
        <v>0.972659113561122</v>
      </c>
      <c r="D68">
        <f t="shared" ref="D68:D131" si="5">VLOOKUP(B68,I:J,2,0)</f>
        <v>0.64462607137328098</v>
      </c>
      <c r="F68" s="3">
        <v>41004</v>
      </c>
      <c r="G68">
        <v>0.972659113561122</v>
      </c>
      <c r="I68" s="3">
        <v>41004</v>
      </c>
      <c r="J68">
        <v>0.64462607137328098</v>
      </c>
      <c r="K68" s="4">
        <v>350890768985.05603</v>
      </c>
      <c r="L68" s="4">
        <f t="shared" ref="L68:L131" si="6">VLOOKUP(I68,O:Q,3,0)</f>
        <v>852751932022.53503</v>
      </c>
      <c r="M68" s="5">
        <f t="shared" ref="M68:M131" si="7">K68/L68*100%</f>
        <v>0.41148047375609265</v>
      </c>
      <c r="O68" s="3">
        <v>41004</v>
      </c>
      <c r="P68">
        <v>0.55204144089130602</v>
      </c>
      <c r="Q68">
        <v>852751932022.53503</v>
      </c>
    </row>
    <row r="69" spans="2:17">
      <c r="B69" s="2">
        <v>41011</v>
      </c>
      <c r="C69">
        <f t="shared" si="4"/>
        <v>0.98910284855503505</v>
      </c>
      <c r="D69">
        <f t="shared" si="5"/>
        <v>0.67706909583525099</v>
      </c>
      <c r="F69" s="3">
        <v>41011</v>
      </c>
      <c r="G69">
        <v>0.98910284855503505</v>
      </c>
      <c r="I69" s="3">
        <v>41011</v>
      </c>
      <c r="J69">
        <v>0.67706909583525099</v>
      </c>
      <c r="K69" s="4">
        <v>350890768985.05603</v>
      </c>
      <c r="L69" s="4">
        <f t="shared" si="6"/>
        <v>852751932022.53503</v>
      </c>
      <c r="M69" s="5">
        <f t="shared" si="7"/>
        <v>0.41148047375609265</v>
      </c>
      <c r="O69" s="3">
        <v>41011</v>
      </c>
      <c r="P69">
        <v>0.61520517788323903</v>
      </c>
      <c r="Q69">
        <v>852751932022.53503</v>
      </c>
    </row>
    <row r="70" spans="2:17">
      <c r="B70" s="2">
        <v>41018</v>
      </c>
      <c r="C70">
        <f t="shared" si="4"/>
        <v>0.98328533943875196</v>
      </c>
      <c r="D70">
        <f t="shared" si="5"/>
        <v>0.65838549683501602</v>
      </c>
      <c r="F70" s="3">
        <v>41018</v>
      </c>
      <c r="G70">
        <v>0.98328533943875196</v>
      </c>
      <c r="I70" s="3">
        <v>41018</v>
      </c>
      <c r="J70">
        <v>0.65838549683501602</v>
      </c>
      <c r="K70" s="4">
        <v>350890768985.05603</v>
      </c>
      <c r="L70" s="4">
        <f t="shared" si="6"/>
        <v>852751932022.53503</v>
      </c>
      <c r="M70" s="5">
        <f t="shared" si="7"/>
        <v>0.41148047375609265</v>
      </c>
      <c r="O70" s="3">
        <v>41018</v>
      </c>
      <c r="P70">
        <v>0.57950169097067294</v>
      </c>
      <c r="Q70">
        <v>852751932022.53503</v>
      </c>
    </row>
    <row r="71" spans="2:17">
      <c r="B71" s="2">
        <v>41025</v>
      </c>
      <c r="C71">
        <f t="shared" si="4"/>
        <v>0.98910284855503505</v>
      </c>
      <c r="D71">
        <f t="shared" si="5"/>
        <v>0.67706909583525099</v>
      </c>
      <c r="F71" s="3">
        <v>41025</v>
      </c>
      <c r="G71">
        <v>0.98910284855503505</v>
      </c>
      <c r="I71" s="3">
        <v>41025</v>
      </c>
      <c r="J71">
        <v>0.67706909583525099</v>
      </c>
      <c r="K71" s="4">
        <v>350890768985.05603</v>
      </c>
      <c r="L71" s="4">
        <f t="shared" si="6"/>
        <v>852751932022.53503</v>
      </c>
      <c r="M71" s="5">
        <f t="shared" si="7"/>
        <v>0.41148047375609265</v>
      </c>
      <c r="O71" s="3">
        <v>41025</v>
      </c>
      <c r="P71">
        <v>0.61520517788323903</v>
      </c>
      <c r="Q71">
        <v>852751932022.53503</v>
      </c>
    </row>
    <row r="72" spans="2:17">
      <c r="B72" s="2">
        <v>41032</v>
      </c>
      <c r="C72">
        <f t="shared" si="4"/>
        <v>0.98918794291197698</v>
      </c>
      <c r="D72">
        <f t="shared" si="5"/>
        <v>0.70759479979039797</v>
      </c>
      <c r="F72" s="3">
        <v>41032</v>
      </c>
      <c r="G72">
        <v>0.98918794291197698</v>
      </c>
      <c r="I72" s="3">
        <v>41032</v>
      </c>
      <c r="J72">
        <v>0.70759479979039797</v>
      </c>
      <c r="K72" s="4">
        <v>338046228672.72302</v>
      </c>
      <c r="L72" s="4">
        <f t="shared" si="6"/>
        <v>843407158052.96497</v>
      </c>
      <c r="M72" s="5">
        <f t="shared" si="7"/>
        <v>0.40081024383657665</v>
      </c>
      <c r="O72" s="3">
        <v>41032</v>
      </c>
      <c r="P72">
        <v>0.63172398565884802</v>
      </c>
      <c r="Q72">
        <v>843407158052.96497</v>
      </c>
    </row>
    <row r="73" spans="2:17">
      <c r="B73" s="2">
        <v>41039</v>
      </c>
      <c r="C73">
        <f t="shared" si="4"/>
        <v>0.98919709187808802</v>
      </c>
      <c r="D73">
        <f t="shared" si="5"/>
        <v>0.71147773162473305</v>
      </c>
      <c r="F73" s="3">
        <v>41039</v>
      </c>
      <c r="G73">
        <v>0.98919709187808802</v>
      </c>
      <c r="I73" s="3">
        <v>41039</v>
      </c>
      <c r="J73">
        <v>0.71147773162473305</v>
      </c>
      <c r="K73" s="4">
        <v>338046228672.72302</v>
      </c>
      <c r="L73" s="4">
        <f t="shared" si="6"/>
        <v>843407158052.96497</v>
      </c>
      <c r="M73" s="5">
        <f t="shared" si="7"/>
        <v>0.40081024383657665</v>
      </c>
      <c r="O73" s="3">
        <v>41039</v>
      </c>
      <c r="P73">
        <v>0.63749716402095902</v>
      </c>
      <c r="Q73">
        <v>843407158052.96497</v>
      </c>
    </row>
    <row r="74" spans="2:17">
      <c r="B74" s="2">
        <v>41046</v>
      </c>
      <c r="C74">
        <f t="shared" si="4"/>
        <v>0.99452879876186695</v>
      </c>
      <c r="D74">
        <f t="shared" si="5"/>
        <v>0.72048705417655701</v>
      </c>
      <c r="F74" s="3">
        <v>41046</v>
      </c>
      <c r="G74">
        <v>0.99452879876186695</v>
      </c>
      <c r="I74" s="3">
        <v>41046</v>
      </c>
      <c r="J74">
        <v>0.72048705417655701</v>
      </c>
      <c r="K74" s="4">
        <v>338046228672.72302</v>
      </c>
      <c r="L74" s="4">
        <f t="shared" si="6"/>
        <v>843407158052.96497</v>
      </c>
      <c r="M74" s="5">
        <f t="shared" si="7"/>
        <v>0.40081024383657665</v>
      </c>
      <c r="O74" s="3">
        <v>41046</v>
      </c>
      <c r="P74">
        <v>0.66549419163978096</v>
      </c>
      <c r="Q74">
        <v>843407158052.96497</v>
      </c>
    </row>
    <row r="75" spans="2:17">
      <c r="B75" s="2">
        <v>41053</v>
      </c>
      <c r="C75">
        <f t="shared" si="4"/>
        <v>0.994528175384642</v>
      </c>
      <c r="D75">
        <f t="shared" si="5"/>
        <v>0.71747083126455002</v>
      </c>
      <c r="F75" s="3">
        <v>41053</v>
      </c>
      <c r="G75">
        <v>0.994528175384642</v>
      </c>
      <c r="I75" s="3">
        <v>41053</v>
      </c>
      <c r="J75">
        <v>0.71747083126455002</v>
      </c>
      <c r="K75" s="4">
        <v>338046228672.72302</v>
      </c>
      <c r="L75" s="4">
        <f t="shared" si="6"/>
        <v>843407158052.96497</v>
      </c>
      <c r="M75" s="5">
        <f t="shared" si="7"/>
        <v>0.40081024383657665</v>
      </c>
      <c r="O75" s="3">
        <v>41053</v>
      </c>
      <c r="P75">
        <v>0.66148107330138095</v>
      </c>
      <c r="Q75">
        <v>843407158052.96497</v>
      </c>
    </row>
    <row r="76" spans="2:17">
      <c r="B76" s="2">
        <v>41060</v>
      </c>
      <c r="C76">
        <f t="shared" si="4"/>
        <v>0.99453076174602095</v>
      </c>
      <c r="D76">
        <f t="shared" si="5"/>
        <v>0.72251040855348803</v>
      </c>
      <c r="F76" s="3">
        <v>41060</v>
      </c>
      <c r="G76">
        <v>0.99453076174602095</v>
      </c>
      <c r="I76" s="3">
        <v>41060</v>
      </c>
      <c r="J76">
        <v>0.72251040855348803</v>
      </c>
      <c r="K76" s="4">
        <v>338046228672.72302</v>
      </c>
      <c r="L76" s="4">
        <f t="shared" si="6"/>
        <v>843407158052.96497</v>
      </c>
      <c r="M76" s="5">
        <f t="shared" si="7"/>
        <v>0.40081024383657665</v>
      </c>
      <c r="O76" s="3">
        <v>41060</v>
      </c>
      <c r="P76">
        <v>0.66816368917970903</v>
      </c>
      <c r="Q76">
        <v>843407158052.96497</v>
      </c>
    </row>
    <row r="77" spans="2:17">
      <c r="B77" s="2">
        <v>41067</v>
      </c>
      <c r="C77">
        <f t="shared" si="4"/>
        <v>0.99920990822137301</v>
      </c>
      <c r="D77">
        <f t="shared" si="5"/>
        <v>0.76469548566159196</v>
      </c>
      <c r="F77" s="3">
        <v>41067</v>
      </c>
      <c r="G77">
        <v>0.99920990822137301</v>
      </c>
      <c r="I77" s="3">
        <v>41067</v>
      </c>
      <c r="J77">
        <v>0.76469548566159196</v>
      </c>
      <c r="K77" s="4">
        <v>324611094201.94598</v>
      </c>
      <c r="L77" s="4">
        <f t="shared" si="6"/>
        <v>842987221871.99902</v>
      </c>
      <c r="M77" s="5">
        <f t="shared" si="7"/>
        <v>0.38507237806178235</v>
      </c>
      <c r="O77" s="3">
        <v>41067</v>
      </c>
      <c r="P77">
        <v>0.72131165820460796</v>
      </c>
      <c r="Q77">
        <v>842987221871.99902</v>
      </c>
    </row>
    <row r="78" spans="2:17">
      <c r="B78" s="2">
        <v>41074</v>
      </c>
      <c r="C78">
        <f t="shared" si="4"/>
        <v>0.99750984999361303</v>
      </c>
      <c r="D78">
        <f t="shared" si="5"/>
        <v>0.75970865346687</v>
      </c>
      <c r="F78" s="3">
        <v>41074</v>
      </c>
      <c r="G78">
        <v>0.99750984999361303</v>
      </c>
      <c r="I78" s="3">
        <v>41074</v>
      </c>
      <c r="J78">
        <v>0.75970865346687</v>
      </c>
      <c r="K78" s="4">
        <v>324611094201.94598</v>
      </c>
      <c r="L78" s="4">
        <f t="shared" si="6"/>
        <v>842987221871.99902</v>
      </c>
      <c r="M78" s="5">
        <f t="shared" si="7"/>
        <v>0.38507237806178235</v>
      </c>
      <c r="O78" s="3">
        <v>41074</v>
      </c>
      <c r="P78">
        <v>0.70163931577382499</v>
      </c>
      <c r="Q78">
        <v>842987221871.99902</v>
      </c>
    </row>
    <row r="79" spans="2:17">
      <c r="B79" s="2">
        <v>41081</v>
      </c>
      <c r="C79">
        <f t="shared" si="4"/>
        <v>0.99920990822137301</v>
      </c>
      <c r="D79">
        <f t="shared" si="5"/>
        <v>0.76601871584032599</v>
      </c>
      <c r="F79" s="3">
        <v>41081</v>
      </c>
      <c r="G79">
        <v>0.99920990822137301</v>
      </c>
      <c r="I79" s="3">
        <v>41081</v>
      </c>
      <c r="J79">
        <v>0.76601871584032599</v>
      </c>
      <c r="K79" s="4">
        <v>324611094201.94598</v>
      </c>
      <c r="L79" s="4">
        <f t="shared" si="6"/>
        <v>842987221871.99902</v>
      </c>
      <c r="M79" s="5">
        <f t="shared" si="7"/>
        <v>0.38507237806178235</v>
      </c>
      <c r="O79" s="3">
        <v>41081</v>
      </c>
      <c r="P79">
        <v>0.72329670850826999</v>
      </c>
      <c r="Q79">
        <v>842987221871.99902</v>
      </c>
    </row>
    <row r="80" spans="2:17">
      <c r="B80" s="2">
        <v>41088</v>
      </c>
      <c r="C80">
        <f t="shared" si="4"/>
        <v>0.99920990822137301</v>
      </c>
      <c r="D80">
        <f t="shared" si="5"/>
        <v>0.76601871584032599</v>
      </c>
      <c r="F80" s="3">
        <v>41088</v>
      </c>
      <c r="G80">
        <v>0.99920990822137301</v>
      </c>
      <c r="I80" s="3">
        <v>41088</v>
      </c>
      <c r="J80">
        <v>0.76601871584032599</v>
      </c>
      <c r="K80" s="4">
        <v>324611094201.94598</v>
      </c>
      <c r="L80" s="4">
        <f t="shared" si="6"/>
        <v>842987221871.99902</v>
      </c>
      <c r="M80" s="5">
        <f t="shared" si="7"/>
        <v>0.38507237806178235</v>
      </c>
      <c r="O80" s="3">
        <v>41088</v>
      </c>
      <c r="P80">
        <v>0.72329670850826999</v>
      </c>
      <c r="Q80">
        <v>842987221871.99902</v>
      </c>
    </row>
    <row r="81" spans="2:17">
      <c r="B81" s="2">
        <v>41095</v>
      </c>
      <c r="C81">
        <f t="shared" si="4"/>
        <v>0.99921052750741601</v>
      </c>
      <c r="D81">
        <f t="shared" si="5"/>
        <v>0.77656524470940902</v>
      </c>
      <c r="F81" s="3">
        <v>41095</v>
      </c>
      <c r="G81">
        <v>0.99921052750741601</v>
      </c>
      <c r="I81" s="3">
        <v>41095</v>
      </c>
      <c r="J81">
        <v>0.77656524470940902</v>
      </c>
      <c r="K81" s="4">
        <v>311798813958.06299</v>
      </c>
      <c r="L81" s="4">
        <f t="shared" si="6"/>
        <v>836042456950.479</v>
      </c>
      <c r="M81" s="5">
        <f t="shared" si="7"/>
        <v>0.37294614808842375</v>
      </c>
      <c r="O81" s="3">
        <v>41095</v>
      </c>
      <c r="P81">
        <v>0.72001119292013904</v>
      </c>
      <c r="Q81">
        <v>836042456950.479</v>
      </c>
    </row>
    <row r="82" spans="2:17">
      <c r="B82" s="2">
        <v>41102</v>
      </c>
      <c r="C82">
        <f t="shared" si="4"/>
        <v>0.99993082487965101</v>
      </c>
      <c r="D82">
        <f t="shared" si="5"/>
        <v>0.78357818362172504</v>
      </c>
      <c r="F82" s="3">
        <v>41102</v>
      </c>
      <c r="G82">
        <v>0.99993082487965101</v>
      </c>
      <c r="I82" s="3">
        <v>41102</v>
      </c>
      <c r="J82">
        <v>0.78357818362172504</v>
      </c>
      <c r="K82" s="4">
        <v>311798813958.06299</v>
      </c>
      <c r="L82" s="4">
        <f t="shared" si="6"/>
        <v>836042456950.479</v>
      </c>
      <c r="M82" s="5">
        <f t="shared" si="7"/>
        <v>0.37294614808842375</v>
      </c>
      <c r="O82" s="3">
        <v>41102</v>
      </c>
      <c r="P82">
        <v>0.75407044900012998</v>
      </c>
      <c r="Q82">
        <v>836042456950.479</v>
      </c>
    </row>
    <row r="83" spans="2:17">
      <c r="B83" s="2">
        <v>41109</v>
      </c>
      <c r="C83">
        <f t="shared" si="4"/>
        <v>0.99993082487965101</v>
      </c>
      <c r="D83">
        <f t="shared" si="5"/>
        <v>0.78680943760229805</v>
      </c>
      <c r="F83" s="3">
        <v>41109</v>
      </c>
      <c r="G83">
        <v>0.99993082487965101</v>
      </c>
      <c r="I83" s="3">
        <v>41109</v>
      </c>
      <c r="J83">
        <v>0.78680943760229805</v>
      </c>
      <c r="K83" s="4">
        <v>311798813958.06299</v>
      </c>
      <c r="L83" s="4">
        <f t="shared" si="6"/>
        <v>836042456950.479</v>
      </c>
      <c r="M83" s="5">
        <f t="shared" si="7"/>
        <v>0.37294614808842375</v>
      </c>
      <c r="O83" s="3">
        <v>41109</v>
      </c>
      <c r="P83">
        <v>0.75979626670465406</v>
      </c>
      <c r="Q83">
        <v>836042456950.479</v>
      </c>
    </row>
    <row r="84" spans="2:17">
      <c r="B84" s="2">
        <v>41116</v>
      </c>
      <c r="C84">
        <f t="shared" si="4"/>
        <v>0.99994356235953297</v>
      </c>
      <c r="D84">
        <f t="shared" si="5"/>
        <v>0.78926724871332199</v>
      </c>
      <c r="F84" s="3">
        <v>41116</v>
      </c>
      <c r="G84">
        <v>0.99994356235953297</v>
      </c>
      <c r="I84" s="3">
        <v>41116</v>
      </c>
      <c r="J84">
        <v>0.78926724871332199</v>
      </c>
      <c r="K84" s="4">
        <v>311798813958.06299</v>
      </c>
      <c r="L84" s="4">
        <f t="shared" si="6"/>
        <v>836042456950.479</v>
      </c>
      <c r="M84" s="5">
        <f t="shared" si="7"/>
        <v>0.37294614808842375</v>
      </c>
      <c r="O84" s="3">
        <v>41116</v>
      </c>
      <c r="P84">
        <v>0.77726594215798495</v>
      </c>
      <c r="Q84">
        <v>836042456950.479</v>
      </c>
    </row>
    <row r="85" spans="2:17">
      <c r="B85" s="2">
        <v>41123</v>
      </c>
      <c r="C85">
        <f t="shared" si="4"/>
        <v>0.99992850979514003</v>
      </c>
      <c r="D85">
        <f t="shared" si="5"/>
        <v>0.79167204155684201</v>
      </c>
      <c r="F85" s="3">
        <v>41123</v>
      </c>
      <c r="G85">
        <v>0.99992850979514003</v>
      </c>
      <c r="I85" s="3">
        <v>41123</v>
      </c>
      <c r="J85">
        <v>0.79167204155684201</v>
      </c>
      <c r="K85" s="4">
        <v>299045132715.31299</v>
      </c>
      <c r="L85" s="4">
        <f t="shared" si="6"/>
        <v>833663605862.28699</v>
      </c>
      <c r="M85" s="5">
        <f t="shared" si="7"/>
        <v>0.35871199199825965</v>
      </c>
      <c r="O85" s="3">
        <v>41123</v>
      </c>
      <c r="P85">
        <v>0.74202188782112199</v>
      </c>
      <c r="Q85">
        <v>833663605862.28699</v>
      </c>
    </row>
    <row r="86" spans="2:17">
      <c r="B86" s="2">
        <v>41130</v>
      </c>
      <c r="C86">
        <f t="shared" si="4"/>
        <v>0.99992850979514003</v>
      </c>
      <c r="D86">
        <f t="shared" si="5"/>
        <v>0.79119157211259705</v>
      </c>
      <c r="F86" s="3">
        <v>41130</v>
      </c>
      <c r="G86">
        <v>0.99992850979514003</v>
      </c>
      <c r="I86" s="3">
        <v>41130</v>
      </c>
      <c r="J86">
        <v>0.79119157211259705</v>
      </c>
      <c r="K86" s="4">
        <v>299045132715.31299</v>
      </c>
      <c r="L86" s="4">
        <f t="shared" si="6"/>
        <v>833663605862.28699</v>
      </c>
      <c r="M86" s="5">
        <f t="shared" si="7"/>
        <v>0.35871199199825965</v>
      </c>
      <c r="O86" s="3">
        <v>41130</v>
      </c>
      <c r="P86">
        <v>0.74172452642125197</v>
      </c>
      <c r="Q86">
        <v>833663605862.28699</v>
      </c>
    </row>
    <row r="87" spans="2:17">
      <c r="B87" s="2">
        <v>41137</v>
      </c>
      <c r="C87">
        <f t="shared" si="4"/>
        <v>0.99991808103115498</v>
      </c>
      <c r="D87">
        <f t="shared" si="5"/>
        <v>0.78981685075272301</v>
      </c>
      <c r="F87" s="3">
        <v>41137</v>
      </c>
      <c r="G87">
        <v>0.99991808103115498</v>
      </c>
      <c r="I87" s="3">
        <v>41137</v>
      </c>
      <c r="J87">
        <v>0.78981685075272301</v>
      </c>
      <c r="K87" s="4">
        <v>299045132715.31299</v>
      </c>
      <c r="L87" s="4">
        <f t="shared" si="6"/>
        <v>833663605862.28699</v>
      </c>
      <c r="M87" s="5">
        <f t="shared" si="7"/>
        <v>0.35871199199825965</v>
      </c>
      <c r="O87" s="3">
        <v>41137</v>
      </c>
      <c r="P87">
        <v>0.72502948633550401</v>
      </c>
      <c r="Q87">
        <v>833663605862.28699</v>
      </c>
    </row>
    <row r="88" spans="2:17">
      <c r="B88" s="2">
        <v>41144</v>
      </c>
      <c r="C88">
        <f t="shared" si="4"/>
        <v>0.99920283129912302</v>
      </c>
      <c r="D88">
        <f t="shared" si="5"/>
        <v>0.78342241627971398</v>
      </c>
      <c r="F88" s="3">
        <v>41144</v>
      </c>
      <c r="G88">
        <v>0.99920283129912302</v>
      </c>
      <c r="I88" s="3">
        <v>41144</v>
      </c>
      <c r="J88">
        <v>0.78342241627971398</v>
      </c>
      <c r="K88" s="4">
        <v>299045132715.31299</v>
      </c>
      <c r="L88" s="4">
        <f t="shared" si="6"/>
        <v>833663605862.28699</v>
      </c>
      <c r="M88" s="5">
        <f t="shared" si="7"/>
        <v>0.35871199199825965</v>
      </c>
      <c r="O88" s="3">
        <v>41144</v>
      </c>
      <c r="P88">
        <v>0.70545980617085702</v>
      </c>
      <c r="Q88">
        <v>833663605862.28699</v>
      </c>
    </row>
    <row r="89" spans="2:17">
      <c r="B89" s="2">
        <v>41151</v>
      </c>
      <c r="C89">
        <f t="shared" si="4"/>
        <v>0.99992850979514003</v>
      </c>
      <c r="D89">
        <f t="shared" si="5"/>
        <v>0.79119157211259705</v>
      </c>
      <c r="F89" s="3">
        <v>41151</v>
      </c>
      <c r="G89">
        <v>0.99992850979514003</v>
      </c>
      <c r="I89" s="3">
        <v>41151</v>
      </c>
      <c r="J89">
        <v>0.79119157211259705</v>
      </c>
      <c r="K89" s="4">
        <v>299045132715.31299</v>
      </c>
      <c r="L89" s="4">
        <f t="shared" si="6"/>
        <v>833663605862.28699</v>
      </c>
      <c r="M89" s="5">
        <f t="shared" si="7"/>
        <v>0.35871199199825965</v>
      </c>
      <c r="O89" s="3">
        <v>41151</v>
      </c>
      <c r="P89">
        <v>0.74172452642125197</v>
      </c>
      <c r="Q89">
        <v>833663605862.28699</v>
      </c>
    </row>
    <row r="90" spans="2:17">
      <c r="B90" s="2">
        <v>41158</v>
      </c>
      <c r="C90">
        <f t="shared" si="4"/>
        <v>0.999925926572371</v>
      </c>
      <c r="D90">
        <f t="shared" si="5"/>
        <v>0.79869244722997501</v>
      </c>
      <c r="F90" s="3">
        <v>41158</v>
      </c>
      <c r="G90">
        <v>0.999925926572371</v>
      </c>
      <c r="I90" s="3">
        <v>41158</v>
      </c>
      <c r="J90">
        <v>0.79869244722997501</v>
      </c>
      <c r="K90" s="4">
        <v>285566306127.30701</v>
      </c>
      <c r="L90" s="4">
        <f t="shared" si="6"/>
        <v>824158873560.92102</v>
      </c>
      <c r="M90" s="5">
        <f t="shared" si="7"/>
        <v>0.34649424436027532</v>
      </c>
      <c r="O90" s="3">
        <v>41158</v>
      </c>
      <c r="P90">
        <v>0.73031006659475095</v>
      </c>
      <c r="Q90">
        <v>824158873560.92102</v>
      </c>
    </row>
    <row r="91" spans="2:17">
      <c r="B91" s="2">
        <v>41165</v>
      </c>
      <c r="C91">
        <f t="shared" si="4"/>
        <v>0.999925926572371</v>
      </c>
      <c r="D91">
        <f t="shared" si="5"/>
        <v>0.80125181967528103</v>
      </c>
      <c r="F91" s="3">
        <v>41165</v>
      </c>
      <c r="G91">
        <v>0.999925926572371</v>
      </c>
      <c r="I91" s="3">
        <v>41165</v>
      </c>
      <c r="J91">
        <v>0.80125181967528103</v>
      </c>
      <c r="K91" s="4">
        <v>285566306127.30701</v>
      </c>
      <c r="L91" s="4">
        <f t="shared" si="6"/>
        <v>824158873560.92102</v>
      </c>
      <c r="M91" s="5">
        <f t="shared" si="7"/>
        <v>0.34649424436027532</v>
      </c>
      <c r="O91" s="3">
        <v>41165</v>
      </c>
      <c r="P91">
        <v>0.73633520756526005</v>
      </c>
      <c r="Q91">
        <v>824158873560.92102</v>
      </c>
    </row>
    <row r="92" spans="2:17">
      <c r="B92" s="2">
        <v>41172</v>
      </c>
      <c r="C92">
        <f t="shared" si="4"/>
        <v>0.99993925458967703</v>
      </c>
      <c r="D92">
        <f t="shared" si="5"/>
        <v>0.80486189051620305</v>
      </c>
      <c r="F92" s="3">
        <v>41172</v>
      </c>
      <c r="G92">
        <v>0.99993925458967703</v>
      </c>
      <c r="I92" s="3">
        <v>41172</v>
      </c>
      <c r="J92">
        <v>0.80486189051620305</v>
      </c>
      <c r="K92" s="4">
        <v>285566306127.30701</v>
      </c>
      <c r="L92" s="4">
        <f t="shared" si="6"/>
        <v>824158873560.92102</v>
      </c>
      <c r="M92" s="5">
        <f t="shared" si="7"/>
        <v>0.34649424436027532</v>
      </c>
      <c r="O92" s="3">
        <v>41172</v>
      </c>
      <c r="P92">
        <v>0.75820018205964501</v>
      </c>
      <c r="Q92">
        <v>824158873560.92102</v>
      </c>
    </row>
    <row r="93" spans="2:17">
      <c r="B93" s="2">
        <v>41179</v>
      </c>
      <c r="C93">
        <f t="shared" si="4"/>
        <v>0.999963330930556</v>
      </c>
      <c r="D93">
        <f t="shared" si="5"/>
        <v>0.80926691142062801</v>
      </c>
      <c r="F93" s="3">
        <v>41179</v>
      </c>
      <c r="G93">
        <v>0.999963330930556</v>
      </c>
      <c r="I93" s="3">
        <v>41179</v>
      </c>
      <c r="J93">
        <v>0.80926691142062801</v>
      </c>
      <c r="K93" s="4">
        <v>285566306127.30701</v>
      </c>
      <c r="L93" s="4">
        <f t="shared" si="6"/>
        <v>824158873560.92102</v>
      </c>
      <c r="M93" s="5">
        <f t="shared" si="7"/>
        <v>0.34649424436027532</v>
      </c>
      <c r="O93" s="3">
        <v>41179</v>
      </c>
      <c r="P93">
        <v>0.80745235876438504</v>
      </c>
      <c r="Q93">
        <v>824158873560.92102</v>
      </c>
    </row>
    <row r="94" spans="2:17">
      <c r="B94" s="2">
        <v>41186</v>
      </c>
      <c r="C94">
        <f t="shared" si="4"/>
        <v>0.99996184565451895</v>
      </c>
      <c r="D94">
        <f t="shared" si="5"/>
        <v>0.81286201159837101</v>
      </c>
      <c r="F94" s="3">
        <v>41186</v>
      </c>
      <c r="G94">
        <v>0.99996184565451895</v>
      </c>
      <c r="I94" s="3">
        <v>41186</v>
      </c>
      <c r="J94">
        <v>0.81286201159837101</v>
      </c>
      <c r="K94" s="4">
        <v>273811402301.38901</v>
      </c>
      <c r="L94" s="4">
        <f t="shared" si="6"/>
        <v>825116182205.41797</v>
      </c>
      <c r="M94" s="5">
        <f t="shared" si="7"/>
        <v>0.33184587601897486</v>
      </c>
      <c r="O94" s="3">
        <v>41186</v>
      </c>
      <c r="P94">
        <v>0.79075164893065797</v>
      </c>
      <c r="Q94">
        <v>825116182205.41797</v>
      </c>
    </row>
    <row r="95" spans="2:17">
      <c r="B95" s="2">
        <v>41193</v>
      </c>
      <c r="C95">
        <f t="shared" si="4"/>
        <v>0.99994149110272401</v>
      </c>
      <c r="D95">
        <f t="shared" si="5"/>
        <v>0.81023413562504598</v>
      </c>
      <c r="F95" s="3">
        <v>41193</v>
      </c>
      <c r="G95">
        <v>0.99994149110272401</v>
      </c>
      <c r="I95" s="3">
        <v>41193</v>
      </c>
      <c r="J95">
        <v>0.81023413562504598</v>
      </c>
      <c r="K95" s="4">
        <v>273811402301.38901</v>
      </c>
      <c r="L95" s="4">
        <f t="shared" si="6"/>
        <v>825116182205.41797</v>
      </c>
      <c r="M95" s="5">
        <f t="shared" si="7"/>
        <v>0.33184587601897486</v>
      </c>
      <c r="O95" s="3">
        <v>41193</v>
      </c>
      <c r="P95">
        <v>0.76684892805557403</v>
      </c>
      <c r="Q95">
        <v>825116182205.41797</v>
      </c>
    </row>
    <row r="96" spans="2:17">
      <c r="B96" s="2">
        <v>41200</v>
      </c>
      <c r="C96">
        <f t="shared" si="4"/>
        <v>0.99996184565451895</v>
      </c>
      <c r="D96">
        <f t="shared" si="5"/>
        <v>0.81175268314445304</v>
      </c>
      <c r="F96" s="3">
        <v>41200</v>
      </c>
      <c r="G96">
        <v>0.99996184565451895</v>
      </c>
      <c r="I96" s="3">
        <v>41200</v>
      </c>
      <c r="J96">
        <v>0.81175268314445304</v>
      </c>
      <c r="K96" s="4">
        <v>273811402301.38901</v>
      </c>
      <c r="L96" s="4">
        <f t="shared" si="6"/>
        <v>825116182205.41797</v>
      </c>
      <c r="M96" s="5">
        <f t="shared" si="7"/>
        <v>0.33184587601897486</v>
      </c>
      <c r="O96" s="3">
        <v>41200</v>
      </c>
      <c r="P96">
        <v>0.78750763693586801</v>
      </c>
      <c r="Q96">
        <v>825116182205.41797</v>
      </c>
    </row>
    <row r="97" spans="2:17">
      <c r="B97" s="2">
        <v>41207</v>
      </c>
      <c r="C97">
        <f t="shared" si="4"/>
        <v>0.99994149110272401</v>
      </c>
      <c r="D97">
        <f t="shared" si="5"/>
        <v>0.809839941502147</v>
      </c>
      <c r="F97" s="3">
        <v>41207</v>
      </c>
      <c r="G97">
        <v>0.99994149110272401</v>
      </c>
      <c r="I97" s="3">
        <v>41207</v>
      </c>
      <c r="J97">
        <v>0.809839941502147</v>
      </c>
      <c r="K97" s="4">
        <v>273811402301.38901</v>
      </c>
      <c r="L97" s="4">
        <f t="shared" si="6"/>
        <v>825116182205.41797</v>
      </c>
      <c r="M97" s="5">
        <f t="shared" si="7"/>
        <v>0.33184587601897486</v>
      </c>
      <c r="O97" s="3">
        <v>41207</v>
      </c>
      <c r="P97">
        <v>0.76516434563272695</v>
      </c>
      <c r="Q97">
        <v>825116182205.41797</v>
      </c>
    </row>
    <row r="98" spans="2:17">
      <c r="B98" s="2">
        <v>41214</v>
      </c>
      <c r="C98">
        <f t="shared" si="4"/>
        <v>0.99993955387432398</v>
      </c>
      <c r="D98">
        <f t="shared" si="5"/>
        <v>0.81305878798935505</v>
      </c>
      <c r="F98" s="3">
        <v>41214</v>
      </c>
      <c r="G98">
        <v>0.99993955387432398</v>
      </c>
      <c r="I98" s="3">
        <v>41214</v>
      </c>
      <c r="J98">
        <v>0.81305878798935505</v>
      </c>
      <c r="K98" s="4">
        <v>261291167855.54599</v>
      </c>
      <c r="L98" s="4">
        <f t="shared" si="6"/>
        <v>830648730002.45105</v>
      </c>
      <c r="M98" s="5">
        <f t="shared" si="7"/>
        <v>0.31456277294828944</v>
      </c>
      <c r="O98" s="3">
        <v>41214</v>
      </c>
      <c r="P98">
        <v>0.74037235734233797</v>
      </c>
      <c r="Q98">
        <v>830648730002.45105</v>
      </c>
    </row>
    <row r="99" spans="2:17">
      <c r="B99" s="2">
        <v>41221</v>
      </c>
      <c r="C99">
        <f t="shared" si="4"/>
        <v>0.99993955387432398</v>
      </c>
      <c r="D99">
        <f t="shared" si="5"/>
        <v>0.812945122249775</v>
      </c>
      <c r="F99" s="3">
        <v>41221</v>
      </c>
      <c r="G99">
        <v>0.99993955387432398</v>
      </c>
      <c r="I99" s="3">
        <v>41221</v>
      </c>
      <c r="J99">
        <v>0.812945122249775</v>
      </c>
      <c r="K99" s="4">
        <v>261291167855.54599</v>
      </c>
      <c r="L99" s="4">
        <f t="shared" si="6"/>
        <v>830648730002.45105</v>
      </c>
      <c r="M99" s="5">
        <f t="shared" si="7"/>
        <v>0.31456277294828944</v>
      </c>
      <c r="O99" s="3">
        <v>41221</v>
      </c>
      <c r="P99">
        <v>0.73991276487142799</v>
      </c>
      <c r="Q99">
        <v>830648730002.45105</v>
      </c>
    </row>
    <row r="100" spans="2:17">
      <c r="B100" s="2">
        <v>41228</v>
      </c>
      <c r="C100">
        <f t="shared" si="4"/>
        <v>0.999960116591327</v>
      </c>
      <c r="D100">
        <f t="shared" si="5"/>
        <v>0.81568730147186896</v>
      </c>
      <c r="F100" s="3">
        <v>41228</v>
      </c>
      <c r="G100">
        <v>0.999960116591327</v>
      </c>
      <c r="I100" s="3">
        <v>41228</v>
      </c>
      <c r="J100">
        <v>0.81568730147186896</v>
      </c>
      <c r="K100" s="4">
        <v>261291167855.54599</v>
      </c>
      <c r="L100" s="4">
        <f t="shared" si="6"/>
        <v>830648730002.45105</v>
      </c>
      <c r="M100" s="5">
        <f t="shared" si="7"/>
        <v>0.31456277294828944</v>
      </c>
      <c r="O100" s="3">
        <v>41228</v>
      </c>
      <c r="P100">
        <v>0.76480419869010197</v>
      </c>
      <c r="Q100">
        <v>830648730002.45105</v>
      </c>
    </row>
    <row r="101" spans="2:17">
      <c r="B101" s="2">
        <v>41234</v>
      </c>
      <c r="C101">
        <f t="shared" si="4"/>
        <v>0.99997526938915204</v>
      </c>
      <c r="D101">
        <f t="shared" si="5"/>
        <v>0.81619201070139402</v>
      </c>
      <c r="F101" s="3">
        <v>41234</v>
      </c>
      <c r="G101">
        <v>0.99997526938915204</v>
      </c>
      <c r="I101" s="3">
        <v>41234</v>
      </c>
      <c r="J101">
        <v>0.81619201070139402</v>
      </c>
      <c r="K101" s="4">
        <v>261291167855.54599</v>
      </c>
      <c r="L101" s="4">
        <f t="shared" si="6"/>
        <v>830648730002.45105</v>
      </c>
      <c r="M101" s="5">
        <f t="shared" si="7"/>
        <v>0.31456277294828944</v>
      </c>
      <c r="O101" s="3">
        <v>41234</v>
      </c>
      <c r="P101">
        <v>0.78285539257517101</v>
      </c>
      <c r="Q101">
        <v>830648730002.45105</v>
      </c>
    </row>
    <row r="102" spans="2:17">
      <c r="B102" s="2">
        <v>41242</v>
      </c>
      <c r="C102">
        <f t="shared" si="4"/>
        <v>0.999960116591327</v>
      </c>
      <c r="D102">
        <f t="shared" si="5"/>
        <v>0.81567965422119304</v>
      </c>
      <c r="F102" s="3">
        <v>41242</v>
      </c>
      <c r="G102">
        <v>0.999960116591327</v>
      </c>
      <c r="I102" s="3">
        <v>41242</v>
      </c>
      <c r="J102">
        <v>0.81567965422119304</v>
      </c>
      <c r="K102" s="4">
        <v>261291167855.54599</v>
      </c>
      <c r="L102" s="4">
        <f t="shared" si="6"/>
        <v>830648730002.45105</v>
      </c>
      <c r="M102" s="5">
        <f t="shared" si="7"/>
        <v>0.31456277294828944</v>
      </c>
      <c r="O102" s="3">
        <v>41242</v>
      </c>
      <c r="P102">
        <v>0.76478774162966601</v>
      </c>
      <c r="Q102">
        <v>830648730002.45105</v>
      </c>
    </row>
    <row r="103" spans="2:17">
      <c r="B103" s="2">
        <v>41249</v>
      </c>
      <c r="C103">
        <f t="shared" si="4"/>
        <v>0.99995840571303796</v>
      </c>
      <c r="D103">
        <f t="shared" si="5"/>
        <v>0.81785115811029996</v>
      </c>
      <c r="F103" s="3">
        <v>41249</v>
      </c>
      <c r="G103">
        <v>0.99995840571303796</v>
      </c>
      <c r="I103" s="3">
        <v>41249</v>
      </c>
      <c r="J103">
        <v>0.81785115811029996</v>
      </c>
      <c r="K103" s="4">
        <v>249957281866.888</v>
      </c>
      <c r="L103" s="4">
        <f t="shared" si="6"/>
        <v>820270598245.922</v>
      </c>
      <c r="M103" s="5">
        <f t="shared" si="7"/>
        <v>0.30472539476777555</v>
      </c>
      <c r="O103" s="3">
        <v>41249</v>
      </c>
      <c r="P103">
        <v>0.75100707648100695</v>
      </c>
      <c r="Q103">
        <v>820270598245.922</v>
      </c>
    </row>
    <row r="104" spans="2:17">
      <c r="B104" s="2">
        <v>41256</v>
      </c>
      <c r="C104">
        <f t="shared" si="4"/>
        <v>0.99997421417518995</v>
      </c>
      <c r="D104">
        <f t="shared" si="5"/>
        <v>0.81814457584000999</v>
      </c>
      <c r="F104" s="3">
        <v>41256</v>
      </c>
      <c r="G104">
        <v>0.99997421417518995</v>
      </c>
      <c r="I104" s="3">
        <v>41256</v>
      </c>
      <c r="J104">
        <v>0.81814457584000999</v>
      </c>
      <c r="K104" s="4">
        <v>249957281866.888</v>
      </c>
      <c r="L104" s="4">
        <f t="shared" si="6"/>
        <v>820270598245.922</v>
      </c>
      <c r="M104" s="5">
        <f t="shared" si="7"/>
        <v>0.30472539476777555</v>
      </c>
      <c r="O104" s="3">
        <v>41256</v>
      </c>
      <c r="P104">
        <v>0.76878180463249601</v>
      </c>
      <c r="Q104">
        <v>820270598245.922</v>
      </c>
    </row>
    <row r="105" spans="2:17">
      <c r="B105" s="2">
        <v>41263</v>
      </c>
      <c r="C105">
        <f t="shared" si="4"/>
        <v>0.99995840571303796</v>
      </c>
      <c r="D105">
        <f t="shared" si="5"/>
        <v>0.81674451148550797</v>
      </c>
      <c r="F105" s="3">
        <v>41263</v>
      </c>
      <c r="G105">
        <v>0.99995840571303796</v>
      </c>
      <c r="I105" s="3">
        <v>41263</v>
      </c>
      <c r="J105">
        <v>0.81674451148550797</v>
      </c>
      <c r="K105" s="4">
        <v>249957281866.888</v>
      </c>
      <c r="L105" s="4">
        <f t="shared" si="6"/>
        <v>820270598245.922</v>
      </c>
      <c r="M105" s="5">
        <f t="shared" si="7"/>
        <v>0.30472539476777555</v>
      </c>
      <c r="O105" s="3">
        <v>41263</v>
      </c>
      <c r="P105">
        <v>0.74807230422736604</v>
      </c>
      <c r="Q105">
        <v>820270598245.922</v>
      </c>
    </row>
    <row r="106" spans="2:17">
      <c r="B106" s="2">
        <v>41270</v>
      </c>
      <c r="C106">
        <f t="shared" si="4"/>
        <v>0.99995840571303796</v>
      </c>
      <c r="D106">
        <f t="shared" si="5"/>
        <v>0.81764309369800603</v>
      </c>
      <c r="F106" s="3">
        <v>41270</v>
      </c>
      <c r="G106">
        <v>0.99995840571303796</v>
      </c>
      <c r="I106" s="3">
        <v>41270</v>
      </c>
      <c r="J106">
        <v>0.81764309369800603</v>
      </c>
      <c r="K106" s="4">
        <v>249957281866.888</v>
      </c>
      <c r="L106" s="4">
        <f t="shared" si="6"/>
        <v>820270598245.922</v>
      </c>
      <c r="M106" s="5">
        <f t="shared" si="7"/>
        <v>0.30472539476777555</v>
      </c>
      <c r="O106" s="3">
        <v>41270</v>
      </c>
      <c r="P106">
        <v>0.75035821746947096</v>
      </c>
      <c r="Q106">
        <v>820270598245.922</v>
      </c>
    </row>
    <row r="107" spans="2:17">
      <c r="B107" s="2">
        <v>41277</v>
      </c>
      <c r="C107">
        <f t="shared" si="4"/>
        <v>0.99995690344517796</v>
      </c>
      <c r="D107">
        <f t="shared" si="5"/>
        <v>0.82341532975696197</v>
      </c>
      <c r="F107" s="3">
        <v>41277</v>
      </c>
      <c r="G107">
        <v>0.99995690344517796</v>
      </c>
      <c r="I107" s="3">
        <v>41277</v>
      </c>
      <c r="J107">
        <v>0.82341532975696197</v>
      </c>
      <c r="K107" s="4">
        <v>238607531217.349</v>
      </c>
      <c r="L107" s="4">
        <f t="shared" si="6"/>
        <v>819156247294.42395</v>
      </c>
      <c r="M107" s="5">
        <f t="shared" si="7"/>
        <v>0.29128451623904644</v>
      </c>
      <c r="O107" s="3">
        <v>41277</v>
      </c>
      <c r="P107">
        <v>0.73297781488807101</v>
      </c>
      <c r="Q107">
        <v>819156247294.42395</v>
      </c>
    </row>
    <row r="108" spans="2:17">
      <c r="B108" s="2">
        <v>41284</v>
      </c>
      <c r="C108">
        <f t="shared" si="4"/>
        <v>0.99993449558008296</v>
      </c>
      <c r="D108">
        <f t="shared" si="5"/>
        <v>0.82080020350731497</v>
      </c>
      <c r="F108" s="3">
        <v>41284</v>
      </c>
      <c r="G108">
        <v>0.99993449558008296</v>
      </c>
      <c r="I108" s="3">
        <v>41284</v>
      </c>
      <c r="J108">
        <v>0.82080020350731497</v>
      </c>
      <c r="K108" s="4">
        <v>238607531217.349</v>
      </c>
      <c r="L108" s="4">
        <f t="shared" si="6"/>
        <v>819156247294.42395</v>
      </c>
      <c r="M108" s="5">
        <f t="shared" si="7"/>
        <v>0.29128451623904644</v>
      </c>
      <c r="O108" s="3">
        <v>41284</v>
      </c>
      <c r="P108">
        <v>0.70742761689353795</v>
      </c>
      <c r="Q108">
        <v>819156247294.42395</v>
      </c>
    </row>
    <row r="109" spans="2:17">
      <c r="B109" s="2">
        <v>41291</v>
      </c>
      <c r="C109">
        <f t="shared" si="4"/>
        <v>0.99995690344517796</v>
      </c>
      <c r="D109">
        <f t="shared" si="5"/>
        <v>0.82149229359926401</v>
      </c>
      <c r="F109" s="3">
        <v>41291</v>
      </c>
      <c r="G109">
        <v>0.99995690344517796</v>
      </c>
      <c r="I109" s="3">
        <v>41291</v>
      </c>
      <c r="J109">
        <v>0.82149229359926401</v>
      </c>
      <c r="K109" s="4">
        <v>238607531217.349</v>
      </c>
      <c r="L109" s="4">
        <f t="shared" si="6"/>
        <v>819156247294.42395</v>
      </c>
      <c r="M109" s="5">
        <f t="shared" si="7"/>
        <v>0.29128451623904644</v>
      </c>
      <c r="O109" s="3">
        <v>41291</v>
      </c>
      <c r="P109">
        <v>0.72944046146990305</v>
      </c>
      <c r="Q109">
        <v>819156247294.42395</v>
      </c>
    </row>
    <row r="110" spans="2:17">
      <c r="B110" s="2">
        <v>41298</v>
      </c>
      <c r="C110">
        <f t="shared" si="4"/>
        <v>0.99993449558008296</v>
      </c>
      <c r="D110">
        <f t="shared" si="5"/>
        <v>0.81986111028491404</v>
      </c>
      <c r="F110" s="3">
        <v>41298</v>
      </c>
      <c r="G110">
        <v>0.99993449558008296</v>
      </c>
      <c r="I110" s="3">
        <v>41298</v>
      </c>
      <c r="J110">
        <v>0.81986111028491404</v>
      </c>
      <c r="K110" s="4">
        <v>238607531217.349</v>
      </c>
      <c r="L110" s="4">
        <f t="shared" si="6"/>
        <v>819156247294.42395</v>
      </c>
      <c r="M110" s="5">
        <f t="shared" si="7"/>
        <v>0.29128451623904644</v>
      </c>
      <c r="O110" s="3">
        <v>41298</v>
      </c>
      <c r="P110">
        <v>0.70454946765433302</v>
      </c>
      <c r="Q110">
        <v>819156247294.42395</v>
      </c>
    </row>
    <row r="111" spans="2:17">
      <c r="B111" s="2">
        <v>41305</v>
      </c>
      <c r="C111">
        <f t="shared" si="4"/>
        <v>0.99991411771788796</v>
      </c>
      <c r="D111">
        <f t="shared" si="5"/>
        <v>0.81478312271985798</v>
      </c>
      <c r="F111" s="3">
        <v>41305</v>
      </c>
      <c r="G111">
        <v>0.99991411771788796</v>
      </c>
      <c r="I111" s="3">
        <v>41305</v>
      </c>
      <c r="J111">
        <v>0.81478312271985798</v>
      </c>
      <c r="K111" s="4">
        <v>238607531217.349</v>
      </c>
      <c r="L111" s="4">
        <f t="shared" si="6"/>
        <v>819156247294.42395</v>
      </c>
      <c r="M111" s="5">
        <f t="shared" si="7"/>
        <v>0.29128451623904644</v>
      </c>
      <c r="O111" s="3">
        <v>41305</v>
      </c>
      <c r="P111">
        <v>0.65383764183083704</v>
      </c>
      <c r="Q111">
        <v>819156247294.42395</v>
      </c>
    </row>
    <row r="112" spans="2:17">
      <c r="B112" s="2">
        <v>41312</v>
      </c>
      <c r="C112">
        <f t="shared" si="4"/>
        <v>0.99991089237320696</v>
      </c>
      <c r="D112">
        <f t="shared" si="5"/>
        <v>0.81882809099579801</v>
      </c>
      <c r="F112" s="3">
        <v>41312</v>
      </c>
      <c r="G112">
        <v>0.99991089237320696</v>
      </c>
      <c r="I112" s="3">
        <v>41312</v>
      </c>
      <c r="J112">
        <v>0.81882809099579801</v>
      </c>
      <c r="K112" s="4">
        <v>227504189704.84799</v>
      </c>
      <c r="L112" s="4">
        <f t="shared" si="6"/>
        <v>818129385045.38</v>
      </c>
      <c r="M112" s="5">
        <f t="shared" si="7"/>
        <v>0.27807849695097897</v>
      </c>
      <c r="O112" s="3">
        <v>41312</v>
      </c>
      <c r="P112">
        <v>0.63114301374580195</v>
      </c>
      <c r="Q112">
        <v>818129385045.38</v>
      </c>
    </row>
    <row r="113" spans="2:17">
      <c r="B113" s="2">
        <v>41319</v>
      </c>
      <c r="C113">
        <f t="shared" si="4"/>
        <v>0.99991089237320696</v>
      </c>
      <c r="D113">
        <f t="shared" si="5"/>
        <v>0.81882809099579801</v>
      </c>
      <c r="F113" s="3">
        <v>41319</v>
      </c>
      <c r="G113">
        <v>0.99991089237320696</v>
      </c>
      <c r="I113" s="3">
        <v>41319</v>
      </c>
      <c r="J113">
        <v>0.81882809099579801</v>
      </c>
      <c r="K113" s="4">
        <v>227504189704.84799</v>
      </c>
      <c r="L113" s="4">
        <f t="shared" si="6"/>
        <v>818129385045.38</v>
      </c>
      <c r="M113" s="5">
        <f t="shared" si="7"/>
        <v>0.27807849695097897</v>
      </c>
      <c r="O113" s="3">
        <v>41319</v>
      </c>
      <c r="P113">
        <v>0.63114301374580195</v>
      </c>
      <c r="Q113">
        <v>818129385045.38</v>
      </c>
    </row>
    <row r="114" spans="2:17">
      <c r="B114" s="2">
        <v>41326</v>
      </c>
      <c r="C114">
        <f t="shared" si="4"/>
        <v>0.99989953187824898</v>
      </c>
      <c r="D114">
        <f t="shared" si="5"/>
        <v>0.81745206005968196</v>
      </c>
      <c r="F114" s="3">
        <v>41326</v>
      </c>
      <c r="G114">
        <v>0.99989953187824898</v>
      </c>
      <c r="I114" s="3">
        <v>41326</v>
      </c>
      <c r="J114">
        <v>0.81745206005968196</v>
      </c>
      <c r="K114" s="4">
        <v>227504189704.84799</v>
      </c>
      <c r="L114" s="4">
        <f t="shared" si="6"/>
        <v>818129385045.38</v>
      </c>
      <c r="M114" s="5">
        <f t="shared" si="7"/>
        <v>0.27807849695097897</v>
      </c>
      <c r="O114" s="3">
        <v>41326</v>
      </c>
      <c r="P114">
        <v>0.61369684310791495</v>
      </c>
      <c r="Q114">
        <v>818129385045.38</v>
      </c>
    </row>
    <row r="115" spans="2:17">
      <c r="B115" s="2">
        <v>41333</v>
      </c>
      <c r="C115">
        <f t="shared" si="4"/>
        <v>0.99991089237320696</v>
      </c>
      <c r="D115">
        <f t="shared" si="5"/>
        <v>0.82073842590296597</v>
      </c>
      <c r="F115" s="3">
        <v>41333</v>
      </c>
      <c r="G115">
        <v>0.99991089237320696</v>
      </c>
      <c r="I115" s="3">
        <v>41333</v>
      </c>
      <c r="J115">
        <v>0.82073842590296597</v>
      </c>
      <c r="K115" s="4">
        <v>227504189704.84799</v>
      </c>
      <c r="L115" s="4">
        <f t="shared" si="6"/>
        <v>818129385045.38</v>
      </c>
      <c r="M115" s="5">
        <f t="shared" si="7"/>
        <v>0.27807849695097897</v>
      </c>
      <c r="O115" s="3">
        <v>41333</v>
      </c>
      <c r="P115">
        <v>0.63491676312975598</v>
      </c>
      <c r="Q115">
        <v>818129385045.38</v>
      </c>
    </row>
    <row r="116" spans="2:17">
      <c r="B116" s="2">
        <v>41340</v>
      </c>
      <c r="C116">
        <f t="shared" si="4"/>
        <v>0.99990931344518297</v>
      </c>
      <c r="D116">
        <f t="shared" si="5"/>
        <v>0.82850307416378899</v>
      </c>
      <c r="F116" s="3">
        <v>41340</v>
      </c>
      <c r="G116">
        <v>0.99990931344518297</v>
      </c>
      <c r="I116" s="3">
        <v>41340</v>
      </c>
      <c r="J116">
        <v>0.82850307416378899</v>
      </c>
      <c r="K116" s="4">
        <v>216694156147.63699</v>
      </c>
      <c r="L116" s="4">
        <f t="shared" si="6"/>
        <v>824157902540.86401</v>
      </c>
      <c r="M116" s="5">
        <f t="shared" si="7"/>
        <v>0.26292796013915876</v>
      </c>
      <c r="O116" s="3">
        <v>41340</v>
      </c>
      <c r="P116">
        <v>0.614585918181075</v>
      </c>
      <c r="Q116">
        <v>824157902540.86401</v>
      </c>
    </row>
    <row r="117" spans="2:17">
      <c r="B117" s="2">
        <v>41347</v>
      </c>
      <c r="C117">
        <f t="shared" si="4"/>
        <v>0.99915802709531398</v>
      </c>
      <c r="D117">
        <f t="shared" si="5"/>
        <v>0.82003372097846405</v>
      </c>
      <c r="F117" s="3">
        <v>41347</v>
      </c>
      <c r="G117">
        <v>0.99915802709531398</v>
      </c>
      <c r="I117" s="3">
        <v>41347</v>
      </c>
      <c r="J117">
        <v>0.82003372097846405</v>
      </c>
      <c r="K117" s="4">
        <v>216694156147.63699</v>
      </c>
      <c r="L117" s="4">
        <f t="shared" si="6"/>
        <v>824157902540.86401</v>
      </c>
      <c r="M117" s="5">
        <f t="shared" si="7"/>
        <v>0.26292796013915876</v>
      </c>
      <c r="O117" s="3">
        <v>41347</v>
      </c>
      <c r="P117">
        <v>0.57544552260540704</v>
      </c>
      <c r="Q117">
        <v>824157902540.86401</v>
      </c>
    </row>
    <row r="118" spans="2:17">
      <c r="B118" s="2">
        <v>41354</v>
      </c>
      <c r="C118">
        <f t="shared" si="4"/>
        <v>0.99990931344518297</v>
      </c>
      <c r="D118">
        <f t="shared" si="5"/>
        <v>0.82553780316113101</v>
      </c>
      <c r="F118" s="3">
        <v>41354</v>
      </c>
      <c r="G118">
        <v>0.99990931344518297</v>
      </c>
      <c r="I118" s="3">
        <v>41354</v>
      </c>
      <c r="J118">
        <v>0.82553780316113101</v>
      </c>
      <c r="K118" s="4">
        <v>216694156147.63699</v>
      </c>
      <c r="L118" s="4">
        <f t="shared" si="6"/>
        <v>824157902540.86401</v>
      </c>
      <c r="M118" s="5">
        <f t="shared" si="7"/>
        <v>0.26292796013915876</v>
      </c>
      <c r="O118" s="3">
        <v>41354</v>
      </c>
      <c r="P118">
        <v>0.60905555004469203</v>
      </c>
      <c r="Q118">
        <v>824157902540.86401</v>
      </c>
    </row>
    <row r="119" spans="2:17">
      <c r="B119" s="2">
        <v>41361</v>
      </c>
      <c r="C119">
        <f t="shared" si="4"/>
        <v>0.999897251404256</v>
      </c>
      <c r="D119">
        <f t="shared" si="5"/>
        <v>0.82472458395839399</v>
      </c>
      <c r="F119" s="3">
        <v>41361</v>
      </c>
      <c r="G119">
        <v>0.999897251404256</v>
      </c>
      <c r="I119" s="3">
        <v>41361</v>
      </c>
      <c r="J119">
        <v>0.82472458395839399</v>
      </c>
      <c r="K119" s="4">
        <v>216694156147.63699</v>
      </c>
      <c r="L119" s="4">
        <f t="shared" si="6"/>
        <v>824157902540.86401</v>
      </c>
      <c r="M119" s="5">
        <f t="shared" si="7"/>
        <v>0.26292796013915876</v>
      </c>
      <c r="O119" s="3">
        <v>41361</v>
      </c>
      <c r="P119">
        <v>0.59208663893880398</v>
      </c>
      <c r="Q119">
        <v>824157902540.86401</v>
      </c>
    </row>
    <row r="120" spans="2:17">
      <c r="B120" s="2">
        <v>41368</v>
      </c>
      <c r="C120">
        <f t="shared" si="4"/>
        <v>0.99990366179078405</v>
      </c>
      <c r="D120">
        <f t="shared" si="5"/>
        <v>0.84328555765855695</v>
      </c>
      <c r="F120" s="3">
        <v>41368</v>
      </c>
      <c r="G120">
        <v>0.99990366179078405</v>
      </c>
      <c r="I120" s="3">
        <v>41368</v>
      </c>
      <c r="J120">
        <v>0.84328555765855695</v>
      </c>
      <c r="K120" s="4">
        <v>205810683336.68799</v>
      </c>
      <c r="L120" s="4">
        <f t="shared" si="6"/>
        <v>828249997663.94495</v>
      </c>
      <c r="M120" s="5">
        <f t="shared" si="7"/>
        <v>0.24848860116772839</v>
      </c>
      <c r="O120" s="3">
        <v>41368</v>
      </c>
      <c r="P120">
        <v>0.59809945210751803</v>
      </c>
      <c r="Q120">
        <v>828249997663.94495</v>
      </c>
    </row>
    <row r="121" spans="2:17">
      <c r="B121" s="2">
        <v>41375</v>
      </c>
      <c r="C121">
        <f t="shared" si="4"/>
        <v>0.99991982126825196</v>
      </c>
      <c r="D121">
        <f t="shared" si="5"/>
        <v>0.84878046306266597</v>
      </c>
      <c r="F121" s="3">
        <v>41375</v>
      </c>
      <c r="G121">
        <v>0.99991982126825196</v>
      </c>
      <c r="I121" s="3">
        <v>41375</v>
      </c>
      <c r="J121">
        <v>0.84878046306266597</v>
      </c>
      <c r="K121" s="4">
        <v>205810683336.68799</v>
      </c>
      <c r="L121" s="4">
        <f t="shared" si="6"/>
        <v>828249997663.94495</v>
      </c>
      <c r="M121" s="5">
        <f t="shared" si="7"/>
        <v>0.24848860116772839</v>
      </c>
      <c r="O121" s="3">
        <v>41375</v>
      </c>
      <c r="P121">
        <v>0.627166081933069</v>
      </c>
      <c r="Q121">
        <v>828249997663.94495</v>
      </c>
    </row>
    <row r="122" spans="2:17">
      <c r="B122" s="2">
        <v>41382</v>
      </c>
      <c r="C122">
        <f t="shared" si="4"/>
        <v>0.99992797902387898</v>
      </c>
      <c r="D122">
        <f t="shared" si="5"/>
        <v>0.85066430465365805</v>
      </c>
      <c r="F122" s="3">
        <v>41382</v>
      </c>
      <c r="G122">
        <v>0.99992797902387898</v>
      </c>
      <c r="I122" s="3">
        <v>41382</v>
      </c>
      <c r="J122">
        <v>0.85066430465365805</v>
      </c>
      <c r="K122" s="4">
        <v>205810683336.68799</v>
      </c>
      <c r="L122" s="4">
        <f t="shared" si="6"/>
        <v>828249997663.94495</v>
      </c>
      <c r="M122" s="5">
        <f t="shared" si="7"/>
        <v>0.24848860116772839</v>
      </c>
      <c r="O122" s="3">
        <v>41382</v>
      </c>
      <c r="P122">
        <v>0.65452696598777105</v>
      </c>
      <c r="Q122">
        <v>828249997663.94495</v>
      </c>
    </row>
    <row r="123" spans="2:17">
      <c r="B123" s="2">
        <v>41389</v>
      </c>
      <c r="C123">
        <f t="shared" si="4"/>
        <v>0.99992797902387898</v>
      </c>
      <c r="D123">
        <f t="shared" si="5"/>
        <v>0.84953189700775</v>
      </c>
      <c r="F123" s="3">
        <v>41389</v>
      </c>
      <c r="G123">
        <v>0.99992797902387898</v>
      </c>
      <c r="I123" s="3">
        <v>41389</v>
      </c>
      <c r="J123">
        <v>0.84953189700775</v>
      </c>
      <c r="K123" s="4">
        <v>205810683336.68799</v>
      </c>
      <c r="L123" s="4">
        <f t="shared" si="6"/>
        <v>828249997663.94495</v>
      </c>
      <c r="M123" s="5">
        <f t="shared" si="7"/>
        <v>0.24848860116772839</v>
      </c>
      <c r="O123" s="3">
        <v>41389</v>
      </c>
      <c r="P123">
        <v>0.65157246412580705</v>
      </c>
      <c r="Q123">
        <v>828249997663.94495</v>
      </c>
    </row>
    <row r="124" spans="2:17">
      <c r="B124" s="2">
        <v>41396</v>
      </c>
      <c r="C124">
        <f t="shared" si="4"/>
        <v>0.9999571303068</v>
      </c>
      <c r="D124">
        <f t="shared" si="5"/>
        <v>0.86809283690983496</v>
      </c>
      <c r="F124" s="3">
        <v>41396</v>
      </c>
      <c r="G124">
        <v>0.9999571303068</v>
      </c>
      <c r="I124" s="3">
        <v>41396</v>
      </c>
      <c r="J124">
        <v>0.86809283690983496</v>
      </c>
      <c r="K124" s="4">
        <v>195225890723.888</v>
      </c>
      <c r="L124" s="4">
        <f t="shared" si="6"/>
        <v>828002980341.57397</v>
      </c>
      <c r="M124" s="5">
        <f t="shared" si="7"/>
        <v>0.23577921258610923</v>
      </c>
      <c r="O124" s="3">
        <v>41396</v>
      </c>
      <c r="P124">
        <v>0.67537337584507495</v>
      </c>
      <c r="Q124">
        <v>828002980341.57397</v>
      </c>
    </row>
    <row r="125" spans="2:17">
      <c r="B125" s="2">
        <v>41403</v>
      </c>
      <c r="C125">
        <f t="shared" si="4"/>
        <v>0.999926355664575</v>
      </c>
      <c r="D125">
        <f t="shared" si="5"/>
        <v>0.86549923979029997</v>
      </c>
      <c r="F125" s="3">
        <v>41403</v>
      </c>
      <c r="G125">
        <v>0.999926355664575</v>
      </c>
      <c r="I125" s="3">
        <v>41403</v>
      </c>
      <c r="J125">
        <v>0.86549923979029997</v>
      </c>
      <c r="K125" s="4">
        <v>195225890723.888</v>
      </c>
      <c r="L125" s="4">
        <f t="shared" si="6"/>
        <v>828002980341.57397</v>
      </c>
      <c r="M125" s="5">
        <f t="shared" si="7"/>
        <v>0.23577921258610923</v>
      </c>
      <c r="O125" s="3">
        <v>41403</v>
      </c>
      <c r="P125">
        <v>0.64540614198338597</v>
      </c>
      <c r="Q125">
        <v>828002980341.57397</v>
      </c>
    </row>
    <row r="126" spans="2:17">
      <c r="B126" s="2">
        <v>41410</v>
      </c>
      <c r="C126">
        <f t="shared" si="4"/>
        <v>0.99991596688144602</v>
      </c>
      <c r="D126">
        <f t="shared" si="5"/>
        <v>0.86263586497337696</v>
      </c>
      <c r="F126" s="3">
        <v>41410</v>
      </c>
      <c r="G126">
        <v>0.99991596688144602</v>
      </c>
      <c r="I126" s="3">
        <v>41410</v>
      </c>
      <c r="J126">
        <v>0.86263586497337696</v>
      </c>
      <c r="K126" s="4">
        <v>195225890723.888</v>
      </c>
      <c r="L126" s="4">
        <f t="shared" si="6"/>
        <v>828002980341.57397</v>
      </c>
      <c r="M126" s="5">
        <f t="shared" si="7"/>
        <v>0.23577921258610923</v>
      </c>
      <c r="O126" s="3">
        <v>41410</v>
      </c>
      <c r="P126">
        <v>0.613716446261377</v>
      </c>
      <c r="Q126">
        <v>828002980341.57397</v>
      </c>
    </row>
    <row r="127" spans="2:17">
      <c r="B127" s="2">
        <v>41417</v>
      </c>
      <c r="C127">
        <f t="shared" si="4"/>
        <v>0.999891003765222</v>
      </c>
      <c r="D127">
        <f t="shared" si="5"/>
        <v>0.85860250393135296</v>
      </c>
      <c r="F127" s="3">
        <v>41417</v>
      </c>
      <c r="G127">
        <v>0.999891003765222</v>
      </c>
      <c r="I127" s="3">
        <v>41417</v>
      </c>
      <c r="J127">
        <v>0.85860250393135296</v>
      </c>
      <c r="K127" s="4">
        <v>195225890723.888</v>
      </c>
      <c r="L127" s="4">
        <f t="shared" si="6"/>
        <v>828002980341.57397</v>
      </c>
      <c r="M127" s="5">
        <f t="shared" si="7"/>
        <v>0.23577921258610923</v>
      </c>
      <c r="O127" s="3">
        <v>41417</v>
      </c>
      <c r="P127">
        <v>0.57161053072002299</v>
      </c>
      <c r="Q127">
        <v>828002980341.57397</v>
      </c>
    </row>
    <row r="128" spans="2:17">
      <c r="B128" s="2">
        <v>41424</v>
      </c>
      <c r="C128">
        <f t="shared" si="4"/>
        <v>0.98959937329126002</v>
      </c>
      <c r="D128">
        <f t="shared" si="5"/>
        <v>0.83247184789062301</v>
      </c>
      <c r="F128" s="3">
        <v>41424</v>
      </c>
      <c r="G128">
        <v>0.98959937329126002</v>
      </c>
      <c r="I128" s="3">
        <v>41424</v>
      </c>
      <c r="J128">
        <v>0.83247184789062301</v>
      </c>
      <c r="K128" s="4">
        <v>195225890723.888</v>
      </c>
      <c r="L128" s="4">
        <f t="shared" si="6"/>
        <v>828002980341.57397</v>
      </c>
      <c r="M128" s="5">
        <f t="shared" si="7"/>
        <v>0.23577921258610923</v>
      </c>
      <c r="O128" s="3">
        <v>41424</v>
      </c>
      <c r="P128">
        <v>0.49281389771726503</v>
      </c>
      <c r="Q128">
        <v>828002980341.57397</v>
      </c>
    </row>
    <row r="129" spans="2:17">
      <c r="B129" s="2">
        <v>41431</v>
      </c>
      <c r="C129">
        <f t="shared" si="4"/>
        <v>0.98319620204482405</v>
      </c>
      <c r="D129">
        <f t="shared" si="5"/>
        <v>0.83759474015632596</v>
      </c>
      <c r="F129" s="3">
        <v>41431</v>
      </c>
      <c r="G129">
        <v>0.98319620204482405</v>
      </c>
      <c r="I129" s="3">
        <v>41431</v>
      </c>
      <c r="J129">
        <v>0.83759474015632596</v>
      </c>
      <c r="K129" s="4">
        <v>185053119902.13599</v>
      </c>
      <c r="L129" s="4">
        <f t="shared" si="6"/>
        <v>832667072231.375</v>
      </c>
      <c r="M129" s="5">
        <f t="shared" si="7"/>
        <v>0.22224142886571943</v>
      </c>
      <c r="O129" s="3">
        <v>41431</v>
      </c>
      <c r="P129">
        <v>0.45700453068812003</v>
      </c>
      <c r="Q129">
        <v>832667072231.375</v>
      </c>
    </row>
    <row r="130" spans="2:17">
      <c r="B130" s="2">
        <v>41438</v>
      </c>
      <c r="C130">
        <f t="shared" si="4"/>
        <v>0.97483509520421197</v>
      </c>
      <c r="D130">
        <f t="shared" si="5"/>
        <v>0.823700334554193</v>
      </c>
      <c r="F130" s="3">
        <v>41438</v>
      </c>
      <c r="G130">
        <v>0.97483509520421197</v>
      </c>
      <c r="I130" s="3">
        <v>41438</v>
      </c>
      <c r="J130">
        <v>0.823700334554193</v>
      </c>
      <c r="K130" s="4">
        <v>185053119902.13599</v>
      </c>
      <c r="L130" s="4">
        <f t="shared" si="6"/>
        <v>832667072231.375</v>
      </c>
      <c r="M130" s="5">
        <f t="shared" si="7"/>
        <v>0.22224142886571943</v>
      </c>
      <c r="O130" s="3">
        <v>41438</v>
      </c>
      <c r="P130">
        <v>0.43444871521773998</v>
      </c>
      <c r="Q130">
        <v>832667072231.375</v>
      </c>
    </row>
    <row r="131" spans="2:17">
      <c r="B131" s="2">
        <v>41445</v>
      </c>
      <c r="C131">
        <f t="shared" si="4"/>
        <v>0.974845105001512</v>
      </c>
      <c r="D131">
        <f t="shared" si="5"/>
        <v>0.82432391546961303</v>
      </c>
      <c r="F131" s="3">
        <v>41445</v>
      </c>
      <c r="G131">
        <v>0.974845105001512</v>
      </c>
      <c r="I131" s="3">
        <v>41445</v>
      </c>
      <c r="J131">
        <v>0.82432391546961303</v>
      </c>
      <c r="K131" s="4">
        <v>185053119902.13599</v>
      </c>
      <c r="L131" s="4">
        <f t="shared" si="6"/>
        <v>832667072231.375</v>
      </c>
      <c r="M131" s="5">
        <f t="shared" si="7"/>
        <v>0.22224142886571943</v>
      </c>
      <c r="O131" s="3">
        <v>41445</v>
      </c>
      <c r="P131">
        <v>0.43496628993259601</v>
      </c>
      <c r="Q131">
        <v>832667072231.375</v>
      </c>
    </row>
    <row r="132" spans="2:17">
      <c r="B132" s="2">
        <v>41452</v>
      </c>
      <c r="C132">
        <f t="shared" ref="C132:C195" si="8">VLOOKUP(B132,F:G,2,0)</f>
        <v>0.75861637191260001</v>
      </c>
      <c r="D132">
        <f t="shared" ref="D132:D195" si="9">VLOOKUP(B132,I:J,2,0)</f>
        <v>0.58169167101166497</v>
      </c>
      <c r="F132" s="3">
        <v>41452</v>
      </c>
      <c r="G132">
        <v>0.75861637191260001</v>
      </c>
      <c r="I132" s="3">
        <v>41452</v>
      </c>
      <c r="J132">
        <v>0.58169167101166497</v>
      </c>
      <c r="K132" s="4">
        <v>185053119902.13599</v>
      </c>
      <c r="L132" s="4">
        <f t="shared" ref="L132:L195" si="10">VLOOKUP(I132,O:Q,3,0)</f>
        <v>832667072231.375</v>
      </c>
      <c r="M132" s="5">
        <f t="shared" ref="M132:M195" si="11">K132/L132*100%</f>
        <v>0.22224142886571943</v>
      </c>
      <c r="O132" s="3">
        <v>41452</v>
      </c>
      <c r="P132">
        <v>0.219987264889585</v>
      </c>
      <c r="Q132">
        <v>832667072231.375</v>
      </c>
    </row>
    <row r="133" spans="2:17">
      <c r="B133" s="2">
        <v>41458</v>
      </c>
      <c r="C133">
        <f t="shared" si="8"/>
        <v>0.87464281994842097</v>
      </c>
      <c r="D133">
        <f t="shared" si="9"/>
        <v>0.71619679638174105</v>
      </c>
      <c r="F133" s="3">
        <v>41458</v>
      </c>
      <c r="G133">
        <v>0.87464281994842097</v>
      </c>
      <c r="I133" s="3">
        <v>41458</v>
      </c>
      <c r="J133">
        <v>0.71619679638174105</v>
      </c>
      <c r="K133" s="4">
        <v>176083452320.259</v>
      </c>
      <c r="L133" s="4">
        <f t="shared" si="10"/>
        <v>835315019877.84595</v>
      </c>
      <c r="M133" s="5">
        <f t="shared" si="11"/>
        <v>0.210798858071544</v>
      </c>
      <c r="O133" s="3">
        <v>41458</v>
      </c>
      <c r="P133">
        <v>0.31059723114058102</v>
      </c>
      <c r="Q133">
        <v>835315019877.84595</v>
      </c>
    </row>
    <row r="134" spans="2:17">
      <c r="B134" s="2">
        <v>41466</v>
      </c>
      <c r="C134">
        <f t="shared" si="8"/>
        <v>0.73939644380791003</v>
      </c>
      <c r="D134">
        <f t="shared" si="9"/>
        <v>0.56754957680996199</v>
      </c>
      <c r="F134" s="3">
        <v>41466</v>
      </c>
      <c r="G134">
        <v>0.73939644380791003</v>
      </c>
      <c r="I134" s="3">
        <v>41466</v>
      </c>
      <c r="J134">
        <v>0.56754957680996199</v>
      </c>
      <c r="K134" s="4">
        <v>176083452320.259</v>
      </c>
      <c r="L134" s="4">
        <f t="shared" si="10"/>
        <v>835315019877.84595</v>
      </c>
      <c r="M134" s="5">
        <f t="shared" si="11"/>
        <v>0.210798858071544</v>
      </c>
      <c r="O134" s="3">
        <v>41466</v>
      </c>
      <c r="P134">
        <v>0.19429609707083301</v>
      </c>
      <c r="Q134">
        <v>835315019877.84595</v>
      </c>
    </row>
    <row r="135" spans="2:17">
      <c r="B135" s="2">
        <v>41473</v>
      </c>
      <c r="C135">
        <f t="shared" si="8"/>
        <v>0.83595927197837805</v>
      </c>
      <c r="D135">
        <f t="shared" si="9"/>
        <v>0.674456067653048</v>
      </c>
      <c r="F135" s="3">
        <v>41473</v>
      </c>
      <c r="G135">
        <v>0.83595927197837805</v>
      </c>
      <c r="I135" s="3">
        <v>41473</v>
      </c>
      <c r="J135">
        <v>0.674456067653048</v>
      </c>
      <c r="K135" s="4">
        <v>176083452320.259</v>
      </c>
      <c r="L135" s="4">
        <f t="shared" si="10"/>
        <v>835315019877.84595</v>
      </c>
      <c r="M135" s="5">
        <f t="shared" si="11"/>
        <v>0.210798858071544</v>
      </c>
      <c r="O135" s="3">
        <v>41473</v>
      </c>
      <c r="P135">
        <v>0.27948424706025699</v>
      </c>
      <c r="Q135">
        <v>835315019877.84595</v>
      </c>
    </row>
    <row r="136" spans="2:17">
      <c r="B136" s="2">
        <v>41480</v>
      </c>
      <c r="C136">
        <f t="shared" si="8"/>
        <v>0.83620473842721499</v>
      </c>
      <c r="D136">
        <f t="shared" si="9"/>
        <v>0.67655434294099503</v>
      </c>
      <c r="F136" s="3">
        <v>41480</v>
      </c>
      <c r="G136">
        <v>0.83620473842721499</v>
      </c>
      <c r="I136" s="3">
        <v>41480</v>
      </c>
      <c r="J136">
        <v>0.67655434294099503</v>
      </c>
      <c r="K136" s="4">
        <v>176083452320.259</v>
      </c>
      <c r="L136" s="4">
        <f t="shared" si="10"/>
        <v>835315019877.84595</v>
      </c>
      <c r="M136" s="5">
        <f t="shared" si="11"/>
        <v>0.210798858071544</v>
      </c>
      <c r="O136" s="3">
        <v>41480</v>
      </c>
      <c r="P136">
        <v>0.280451442557901</v>
      </c>
      <c r="Q136">
        <v>835315019877.84595</v>
      </c>
    </row>
    <row r="137" spans="2:17">
      <c r="B137" s="2">
        <v>41487</v>
      </c>
      <c r="C137">
        <f t="shared" si="8"/>
        <v>0.79246254673167404</v>
      </c>
      <c r="D137">
        <f t="shared" si="9"/>
        <v>0.64055597334900805</v>
      </c>
      <c r="F137" s="3">
        <v>41487</v>
      </c>
      <c r="G137">
        <v>0.79246254673167404</v>
      </c>
      <c r="I137" s="3">
        <v>41487</v>
      </c>
      <c r="J137">
        <v>0.64055597334900805</v>
      </c>
      <c r="K137" s="4">
        <v>167577702279.88699</v>
      </c>
      <c r="L137" s="4">
        <f t="shared" si="10"/>
        <v>839371166981.099</v>
      </c>
      <c r="M137" s="5">
        <f t="shared" si="11"/>
        <v>0.19964672229879027</v>
      </c>
      <c r="O137" s="3">
        <v>41487</v>
      </c>
      <c r="P137">
        <v>0.238389456742365</v>
      </c>
      <c r="Q137">
        <v>839371166981.099</v>
      </c>
    </row>
    <row r="138" spans="2:17">
      <c r="B138" s="2">
        <v>41494</v>
      </c>
      <c r="C138">
        <f t="shared" si="8"/>
        <v>0.792438207756055</v>
      </c>
      <c r="D138">
        <f t="shared" si="9"/>
        <v>0.64029309309363502</v>
      </c>
      <c r="F138" s="3">
        <v>41494</v>
      </c>
      <c r="G138">
        <v>0.792438207756055</v>
      </c>
      <c r="I138" s="3">
        <v>41494</v>
      </c>
      <c r="J138">
        <v>0.64029309309363502</v>
      </c>
      <c r="K138" s="4">
        <v>167577702279.88699</v>
      </c>
      <c r="L138" s="4">
        <f t="shared" si="10"/>
        <v>839371166981.099</v>
      </c>
      <c r="M138" s="5">
        <f t="shared" si="11"/>
        <v>0.19964672229879027</v>
      </c>
      <c r="O138" s="3">
        <v>41494</v>
      </c>
      <c r="P138">
        <v>0.23805160399751801</v>
      </c>
      <c r="Q138">
        <v>839371166981.099</v>
      </c>
    </row>
    <row r="139" spans="2:17">
      <c r="B139" s="2">
        <v>41501</v>
      </c>
      <c r="C139">
        <f t="shared" si="8"/>
        <v>0.792438207756055</v>
      </c>
      <c r="D139">
        <f t="shared" si="9"/>
        <v>0.64029309309363502</v>
      </c>
      <c r="F139" s="3">
        <v>41501</v>
      </c>
      <c r="G139">
        <v>0.792438207756055</v>
      </c>
      <c r="I139" s="3">
        <v>41501</v>
      </c>
      <c r="J139">
        <v>0.64029309309363502</v>
      </c>
      <c r="K139" s="4">
        <v>167577702279.88699</v>
      </c>
      <c r="L139" s="4">
        <f t="shared" si="10"/>
        <v>839371166981.099</v>
      </c>
      <c r="M139" s="5">
        <f t="shared" si="11"/>
        <v>0.19964672229879027</v>
      </c>
      <c r="O139" s="3">
        <v>41501</v>
      </c>
      <c r="P139">
        <v>0.23805160399751801</v>
      </c>
      <c r="Q139">
        <v>839371166981.099</v>
      </c>
    </row>
    <row r="140" spans="2:17">
      <c r="B140" s="2">
        <v>41508</v>
      </c>
      <c r="C140">
        <f t="shared" si="8"/>
        <v>0.72293605511047399</v>
      </c>
      <c r="D140">
        <f t="shared" si="9"/>
        <v>0.55236674392539098</v>
      </c>
      <c r="F140" s="3">
        <v>41508</v>
      </c>
      <c r="G140">
        <v>0.72293605511047399</v>
      </c>
      <c r="I140" s="3">
        <v>41508</v>
      </c>
      <c r="J140">
        <v>0.55236674392539098</v>
      </c>
      <c r="K140" s="4">
        <v>167577702279.88699</v>
      </c>
      <c r="L140" s="4">
        <f t="shared" si="10"/>
        <v>839371166981.099</v>
      </c>
      <c r="M140" s="5">
        <f t="shared" si="11"/>
        <v>0.19964672229879027</v>
      </c>
      <c r="O140" s="3">
        <v>41508</v>
      </c>
      <c r="P140">
        <v>0.171398372783203</v>
      </c>
      <c r="Q140">
        <v>839371166981.099</v>
      </c>
    </row>
    <row r="141" spans="2:17">
      <c r="B141" s="2">
        <v>41515</v>
      </c>
      <c r="C141">
        <f t="shared" si="8"/>
        <v>0.75618136859207497</v>
      </c>
      <c r="D141">
        <f t="shared" si="9"/>
        <v>0.59640056248304896</v>
      </c>
      <c r="F141" s="3">
        <v>41515</v>
      </c>
      <c r="G141">
        <v>0.75618136859207497</v>
      </c>
      <c r="I141" s="3">
        <v>41515</v>
      </c>
      <c r="J141">
        <v>0.59640056248304896</v>
      </c>
      <c r="K141" s="4">
        <v>167577702279.88699</v>
      </c>
      <c r="L141" s="4">
        <f t="shared" si="10"/>
        <v>839371166981.099</v>
      </c>
      <c r="M141" s="5">
        <f t="shared" si="11"/>
        <v>0.19964672229879027</v>
      </c>
      <c r="O141" s="3">
        <v>41515</v>
      </c>
      <c r="P141">
        <v>0.205737732240382</v>
      </c>
      <c r="Q141">
        <v>839371166981.099</v>
      </c>
    </row>
    <row r="142" spans="2:17">
      <c r="B142" s="2">
        <v>41522</v>
      </c>
      <c r="C142">
        <f t="shared" si="8"/>
        <v>0.73241928482112195</v>
      </c>
      <c r="D142">
        <f t="shared" si="9"/>
        <v>0.57522237437054402</v>
      </c>
      <c r="F142" s="3">
        <v>41522</v>
      </c>
      <c r="G142">
        <v>0.73241928482112195</v>
      </c>
      <c r="I142" s="3">
        <v>41522</v>
      </c>
      <c r="J142">
        <v>0.57522237437054402</v>
      </c>
      <c r="K142" s="4">
        <v>160787339683.77899</v>
      </c>
      <c r="L142" s="4">
        <f t="shared" si="10"/>
        <v>840680455152.82996</v>
      </c>
      <c r="M142" s="5">
        <f t="shared" si="11"/>
        <v>0.19125856762608923</v>
      </c>
      <c r="O142" s="3">
        <v>41522</v>
      </c>
      <c r="P142">
        <v>0.18142824317266501</v>
      </c>
      <c r="Q142">
        <v>840680455152.82996</v>
      </c>
    </row>
    <row r="143" spans="2:17">
      <c r="B143" s="2">
        <v>41529</v>
      </c>
      <c r="C143">
        <f t="shared" si="8"/>
        <v>0.71851650648965204</v>
      </c>
      <c r="D143">
        <f t="shared" si="9"/>
        <v>0.55927995080584203</v>
      </c>
      <c r="F143" s="3">
        <v>41529</v>
      </c>
      <c r="G143">
        <v>0.71851650648965204</v>
      </c>
      <c r="I143" s="3">
        <v>41529</v>
      </c>
      <c r="J143">
        <v>0.55927995080584203</v>
      </c>
      <c r="K143" s="4">
        <v>160787339683.77899</v>
      </c>
      <c r="L143" s="4">
        <f t="shared" si="10"/>
        <v>840680455152.82996</v>
      </c>
      <c r="M143" s="5">
        <f t="shared" si="11"/>
        <v>0.19125856762608923</v>
      </c>
      <c r="O143" s="3">
        <v>41529</v>
      </c>
      <c r="P143">
        <v>0.16781950534512599</v>
      </c>
      <c r="Q143">
        <v>840680455152.82996</v>
      </c>
    </row>
    <row r="144" spans="2:17">
      <c r="B144" s="2">
        <v>41536</v>
      </c>
      <c r="C144">
        <f t="shared" si="8"/>
        <v>0.75283799652968897</v>
      </c>
      <c r="D144">
        <f t="shared" si="9"/>
        <v>0.60260582931028095</v>
      </c>
      <c r="F144" s="3">
        <v>41536</v>
      </c>
      <c r="G144">
        <v>0.75283799652968897</v>
      </c>
      <c r="I144" s="3">
        <v>41536</v>
      </c>
      <c r="J144">
        <v>0.60260582931028095</v>
      </c>
      <c r="K144" s="4">
        <v>160787339683.77899</v>
      </c>
      <c r="L144" s="4">
        <f t="shared" si="10"/>
        <v>840680455152.82996</v>
      </c>
      <c r="M144" s="5">
        <f t="shared" si="11"/>
        <v>0.19125856762608923</v>
      </c>
      <c r="O144" s="3">
        <v>41536</v>
      </c>
      <c r="P144">
        <v>0.202248860839815</v>
      </c>
      <c r="Q144">
        <v>840680455152.82996</v>
      </c>
    </row>
    <row r="145" spans="2:17">
      <c r="B145" s="2">
        <v>41543</v>
      </c>
      <c r="C145">
        <f t="shared" si="8"/>
        <v>0.87216740152542305</v>
      </c>
      <c r="D145">
        <f t="shared" si="9"/>
        <v>0.72850837742778696</v>
      </c>
      <c r="F145" s="3">
        <v>41543</v>
      </c>
      <c r="G145">
        <v>0.87216740152542305</v>
      </c>
      <c r="I145" s="3">
        <v>41543</v>
      </c>
      <c r="J145">
        <v>0.72850837742778696</v>
      </c>
      <c r="K145" s="4">
        <v>160787339683.77899</v>
      </c>
      <c r="L145" s="4">
        <f t="shared" si="10"/>
        <v>840680455152.82996</v>
      </c>
      <c r="M145" s="5">
        <f t="shared" si="11"/>
        <v>0.19125856762608923</v>
      </c>
      <c r="O145" s="3">
        <v>41543</v>
      </c>
      <c r="P145">
        <v>0.29383325353474399</v>
      </c>
      <c r="Q145">
        <v>840680455152.82996</v>
      </c>
    </row>
    <row r="146" spans="2:17">
      <c r="B146" s="2">
        <v>41550</v>
      </c>
      <c r="C146">
        <f t="shared" si="8"/>
        <v>0.91006704896642798</v>
      </c>
      <c r="D146">
        <f t="shared" si="9"/>
        <v>0.769426288466591</v>
      </c>
      <c r="F146" s="3">
        <v>41550</v>
      </c>
      <c r="G146">
        <v>0.91006704896642798</v>
      </c>
      <c r="I146" s="3">
        <v>41550</v>
      </c>
      <c r="J146">
        <v>0.769426288466591</v>
      </c>
      <c r="K146" s="4">
        <v>155649461575.04901</v>
      </c>
      <c r="L146" s="4">
        <f t="shared" si="10"/>
        <v>842920617157.08203</v>
      </c>
      <c r="M146" s="5">
        <f t="shared" si="11"/>
        <v>0.18465494663068971</v>
      </c>
      <c r="O146" s="3">
        <v>41550</v>
      </c>
      <c r="P146">
        <v>0.31777500213957699</v>
      </c>
      <c r="Q146">
        <v>842920617157.08203</v>
      </c>
    </row>
    <row r="147" spans="2:17">
      <c r="B147" s="2">
        <v>41557</v>
      </c>
      <c r="C147">
        <f t="shared" si="8"/>
        <v>0.91000379323017</v>
      </c>
      <c r="D147">
        <f t="shared" si="9"/>
        <v>0.76833211087653297</v>
      </c>
      <c r="F147" s="3">
        <v>41557</v>
      </c>
      <c r="G147">
        <v>0.91000379323017</v>
      </c>
      <c r="I147" s="3">
        <v>41557</v>
      </c>
      <c r="J147">
        <v>0.76833211087653297</v>
      </c>
      <c r="K147" s="4">
        <v>155649461575.04901</v>
      </c>
      <c r="L147" s="4">
        <f t="shared" si="10"/>
        <v>842920617157.08203</v>
      </c>
      <c r="M147" s="5">
        <f t="shared" si="11"/>
        <v>0.18465494663068971</v>
      </c>
      <c r="O147" s="3">
        <v>41557</v>
      </c>
      <c r="P147">
        <v>0.31720208476376399</v>
      </c>
      <c r="Q147">
        <v>842920617157.08203</v>
      </c>
    </row>
    <row r="148" spans="2:17">
      <c r="B148" s="2">
        <v>41564</v>
      </c>
      <c r="C148">
        <f t="shared" si="8"/>
        <v>0.87030379941598801</v>
      </c>
      <c r="D148">
        <f t="shared" si="9"/>
        <v>0.732195057450439</v>
      </c>
      <c r="F148" s="3">
        <v>41564</v>
      </c>
      <c r="G148">
        <v>0.87030379941598801</v>
      </c>
      <c r="I148" s="3">
        <v>41564</v>
      </c>
      <c r="J148">
        <v>0.732195057450439</v>
      </c>
      <c r="K148" s="4">
        <v>155649461575.04901</v>
      </c>
      <c r="L148" s="4">
        <f t="shared" si="10"/>
        <v>842920617157.08203</v>
      </c>
      <c r="M148" s="5">
        <f t="shared" si="11"/>
        <v>0.18465494663068971</v>
      </c>
      <c r="O148" s="3">
        <v>41564</v>
      </c>
      <c r="P148">
        <v>0.28885302300705201</v>
      </c>
      <c r="Q148">
        <v>842920617157.08203</v>
      </c>
    </row>
    <row r="149" spans="2:17">
      <c r="B149" s="2">
        <v>41571</v>
      </c>
      <c r="C149">
        <f t="shared" si="8"/>
        <v>0.92948151561270798</v>
      </c>
      <c r="D149">
        <f t="shared" si="9"/>
        <v>0.79336710567798696</v>
      </c>
      <c r="F149" s="3">
        <v>41571</v>
      </c>
      <c r="G149">
        <v>0.92948151561270798</v>
      </c>
      <c r="I149" s="3">
        <v>41571</v>
      </c>
      <c r="J149">
        <v>0.79336710567798696</v>
      </c>
      <c r="K149" s="4">
        <v>155649461575.04901</v>
      </c>
      <c r="L149" s="4">
        <f t="shared" si="10"/>
        <v>842920617157.08203</v>
      </c>
      <c r="M149" s="5">
        <f t="shared" si="11"/>
        <v>0.18465494663068971</v>
      </c>
      <c r="O149" s="3">
        <v>41571</v>
      </c>
      <c r="P149">
        <v>0.33766312973364498</v>
      </c>
      <c r="Q149">
        <v>842920617157.08203</v>
      </c>
    </row>
    <row r="150" spans="2:17">
      <c r="B150" s="2">
        <v>41578</v>
      </c>
      <c r="C150">
        <f t="shared" si="8"/>
        <v>0.946371224192602</v>
      </c>
      <c r="D150">
        <f t="shared" si="9"/>
        <v>0.81149174558591197</v>
      </c>
      <c r="F150" s="3">
        <v>41578</v>
      </c>
      <c r="G150">
        <v>0.946371224192602</v>
      </c>
      <c r="I150" s="3">
        <v>41578</v>
      </c>
      <c r="J150">
        <v>0.81149174558591197</v>
      </c>
      <c r="K150" s="4">
        <v>155649461575.04901</v>
      </c>
      <c r="L150" s="4">
        <f t="shared" si="10"/>
        <v>842920617157.08203</v>
      </c>
      <c r="M150" s="5">
        <f t="shared" si="11"/>
        <v>0.18465494663068971</v>
      </c>
      <c r="O150" s="3">
        <v>41578</v>
      </c>
      <c r="P150">
        <v>0.35586088249893599</v>
      </c>
      <c r="Q150">
        <v>842920617157.08203</v>
      </c>
    </row>
    <row r="151" spans="2:17">
      <c r="B151" s="2">
        <v>41585</v>
      </c>
      <c r="C151">
        <f t="shared" si="8"/>
        <v>0.92862600348226998</v>
      </c>
      <c r="D151">
        <f t="shared" si="9"/>
        <v>0.79173406072518504</v>
      </c>
      <c r="F151" s="3">
        <v>41585</v>
      </c>
      <c r="G151">
        <v>0.92862600348226998</v>
      </c>
      <c r="I151" s="3">
        <v>41585</v>
      </c>
      <c r="J151">
        <v>0.79173406072518504</v>
      </c>
      <c r="K151" s="4">
        <v>151540990492.15701</v>
      </c>
      <c r="L151" s="4">
        <f t="shared" si="10"/>
        <v>847381000644.36804</v>
      </c>
      <c r="M151" s="5">
        <f t="shared" si="11"/>
        <v>0.17883453886377174</v>
      </c>
      <c r="O151" s="3">
        <v>41585</v>
      </c>
      <c r="P151">
        <v>0.32955790309451799</v>
      </c>
      <c r="Q151">
        <v>847381000644.36804</v>
      </c>
    </row>
    <row r="152" spans="2:17">
      <c r="B152" s="2">
        <v>41592</v>
      </c>
      <c r="C152">
        <f t="shared" si="8"/>
        <v>0.82764760393529802</v>
      </c>
      <c r="D152">
        <f t="shared" si="9"/>
        <v>0.68857017211934701</v>
      </c>
      <c r="F152" s="3">
        <v>41592</v>
      </c>
      <c r="G152">
        <v>0.82764760393529802</v>
      </c>
      <c r="I152" s="3">
        <v>41592</v>
      </c>
      <c r="J152">
        <v>0.68857017211934701</v>
      </c>
      <c r="K152" s="4">
        <v>151540990492.15701</v>
      </c>
      <c r="L152" s="4">
        <f t="shared" si="10"/>
        <v>847381000644.36804</v>
      </c>
      <c r="M152" s="5">
        <f t="shared" si="11"/>
        <v>0.17883453886377174</v>
      </c>
      <c r="O152" s="3">
        <v>41592</v>
      </c>
      <c r="P152">
        <v>0.252778485912803</v>
      </c>
      <c r="Q152">
        <v>847381000644.36804</v>
      </c>
    </row>
    <row r="153" spans="2:17">
      <c r="B153" s="2">
        <v>41599</v>
      </c>
      <c r="C153">
        <f t="shared" si="8"/>
        <v>0.90867076242729805</v>
      </c>
      <c r="D153">
        <f t="shared" si="9"/>
        <v>0.76948544283018205</v>
      </c>
      <c r="F153" s="3">
        <v>41599</v>
      </c>
      <c r="G153">
        <v>0.90867076242729805</v>
      </c>
      <c r="I153" s="3">
        <v>41599</v>
      </c>
      <c r="J153">
        <v>0.76948544283018205</v>
      </c>
      <c r="K153" s="4">
        <v>151540990492.15701</v>
      </c>
      <c r="L153" s="4">
        <f t="shared" si="10"/>
        <v>847381000644.36804</v>
      </c>
      <c r="M153" s="5">
        <f t="shared" si="11"/>
        <v>0.17883453886377174</v>
      </c>
      <c r="O153" s="3">
        <v>41599</v>
      </c>
      <c r="P153">
        <v>0.31131333173074599</v>
      </c>
      <c r="Q153">
        <v>847381000644.36804</v>
      </c>
    </row>
    <row r="154" spans="2:17">
      <c r="B154" s="2">
        <v>41605</v>
      </c>
      <c r="C154">
        <f t="shared" si="8"/>
        <v>0.868879336155854</v>
      </c>
      <c r="D154">
        <f t="shared" si="9"/>
        <v>0.73153515943713499</v>
      </c>
      <c r="F154" s="3">
        <v>41605</v>
      </c>
      <c r="G154">
        <v>0.868879336155854</v>
      </c>
      <c r="I154" s="3">
        <v>41605</v>
      </c>
      <c r="J154">
        <v>0.73153515943713499</v>
      </c>
      <c r="K154" s="4">
        <v>151540990492.15701</v>
      </c>
      <c r="L154" s="4">
        <f t="shared" si="10"/>
        <v>847381000644.36804</v>
      </c>
      <c r="M154" s="5">
        <f t="shared" si="11"/>
        <v>0.17883453886377174</v>
      </c>
      <c r="O154" s="3">
        <v>41605</v>
      </c>
      <c r="P154">
        <v>0.28206150012278902</v>
      </c>
      <c r="Q154">
        <v>847381000644.36804</v>
      </c>
    </row>
    <row r="155" spans="2:17">
      <c r="B155" s="2">
        <v>41613</v>
      </c>
      <c r="C155">
        <f t="shared" si="8"/>
        <v>0.78150994044042599</v>
      </c>
      <c r="D155">
        <f t="shared" si="9"/>
        <v>0.64271311842684598</v>
      </c>
      <c r="F155" s="3">
        <v>41613</v>
      </c>
      <c r="G155">
        <v>0.78150994044042599</v>
      </c>
      <c r="I155" s="3">
        <v>41613</v>
      </c>
      <c r="J155">
        <v>0.64271311842684598</v>
      </c>
      <c r="K155" s="4">
        <v>147596217220.30301</v>
      </c>
      <c r="L155" s="4">
        <f t="shared" si="10"/>
        <v>852925884546.91199</v>
      </c>
      <c r="M155" s="5">
        <f t="shared" si="11"/>
        <v>0.17304694334456563</v>
      </c>
      <c r="O155" s="3">
        <v>41613</v>
      </c>
      <c r="P155">
        <v>0.21485389589079101</v>
      </c>
      <c r="Q155">
        <v>852925884546.91199</v>
      </c>
    </row>
    <row r="156" spans="2:17">
      <c r="B156" s="2">
        <v>41620</v>
      </c>
      <c r="C156">
        <f t="shared" si="8"/>
        <v>0.78142626283674099</v>
      </c>
      <c r="D156">
        <f t="shared" si="9"/>
        <v>0.64127080834763694</v>
      </c>
      <c r="F156" s="3">
        <v>41620</v>
      </c>
      <c r="G156">
        <v>0.78142626283674099</v>
      </c>
      <c r="I156" s="3">
        <v>41620</v>
      </c>
      <c r="J156">
        <v>0.64127080834763694</v>
      </c>
      <c r="K156" s="4">
        <v>147596217220.30301</v>
      </c>
      <c r="L156" s="4">
        <f t="shared" si="10"/>
        <v>852925884546.91199</v>
      </c>
      <c r="M156" s="5">
        <f t="shared" si="11"/>
        <v>0.17304694334456563</v>
      </c>
      <c r="O156" s="3">
        <v>41620</v>
      </c>
      <c r="P156">
        <v>0.21443883052881299</v>
      </c>
      <c r="Q156">
        <v>852925884546.91199</v>
      </c>
    </row>
    <row r="157" spans="2:17">
      <c r="B157" s="2">
        <v>41627</v>
      </c>
      <c r="C157">
        <f t="shared" si="8"/>
        <v>0.74080880570196705</v>
      </c>
      <c r="D157">
        <f t="shared" si="9"/>
        <v>0.58358220441457098</v>
      </c>
      <c r="F157" s="3">
        <v>41627</v>
      </c>
      <c r="G157">
        <v>0.74080880570196705</v>
      </c>
      <c r="I157" s="3">
        <v>41627</v>
      </c>
      <c r="J157">
        <v>0.58358220441457098</v>
      </c>
      <c r="K157" s="4">
        <v>147596217220.30301</v>
      </c>
      <c r="L157" s="4">
        <f t="shared" si="10"/>
        <v>852925884546.91199</v>
      </c>
      <c r="M157" s="5">
        <f t="shared" si="11"/>
        <v>0.17304694334456563</v>
      </c>
      <c r="O157" s="3">
        <v>41627</v>
      </c>
      <c r="P157">
        <v>0.17874887754348101</v>
      </c>
      <c r="Q157">
        <v>852925884546.91199</v>
      </c>
    </row>
    <row r="158" spans="2:17">
      <c r="B158" s="2">
        <v>41634</v>
      </c>
      <c r="C158">
        <f t="shared" si="8"/>
        <v>0.74072304288786295</v>
      </c>
      <c r="D158">
        <f t="shared" si="9"/>
        <v>0.57997892806395601</v>
      </c>
      <c r="F158" s="3">
        <v>41634</v>
      </c>
      <c r="G158">
        <v>0.74072304288786295</v>
      </c>
      <c r="I158" s="3">
        <v>41634</v>
      </c>
      <c r="J158">
        <v>0.57997892806395601</v>
      </c>
      <c r="K158" s="4">
        <v>147596217220.30301</v>
      </c>
      <c r="L158" s="4">
        <f t="shared" si="10"/>
        <v>852925884546.91199</v>
      </c>
      <c r="M158" s="5">
        <f t="shared" si="11"/>
        <v>0.17304694334456563</v>
      </c>
      <c r="O158" s="3">
        <v>41634</v>
      </c>
      <c r="P158">
        <v>0.178068943109321</v>
      </c>
      <c r="Q158">
        <v>852925884546.91199</v>
      </c>
    </row>
    <row r="159" spans="2:17">
      <c r="B159" s="2">
        <v>41641</v>
      </c>
      <c r="C159">
        <f t="shared" si="8"/>
        <v>0.71573440369395702</v>
      </c>
      <c r="D159">
        <f t="shared" si="9"/>
        <v>0.555096534677191</v>
      </c>
      <c r="F159" s="3">
        <v>41641</v>
      </c>
      <c r="G159">
        <v>0.71573440369395702</v>
      </c>
      <c r="I159" s="3">
        <v>41641</v>
      </c>
      <c r="J159">
        <v>0.555096534677191</v>
      </c>
      <c r="K159" s="4">
        <v>143491329926.00299</v>
      </c>
      <c r="L159" s="4">
        <f t="shared" si="10"/>
        <v>856169152140.41296</v>
      </c>
      <c r="M159" s="5">
        <f t="shared" si="11"/>
        <v>0.16759693988889501</v>
      </c>
      <c r="O159" s="3">
        <v>41641</v>
      </c>
      <c r="P159">
        <v>0.155777998451884</v>
      </c>
      <c r="Q159">
        <v>856169152140.41296</v>
      </c>
    </row>
    <row r="160" spans="2:17">
      <c r="B160" s="2">
        <v>41648</v>
      </c>
      <c r="C160">
        <f t="shared" si="8"/>
        <v>0.737862180577046</v>
      </c>
      <c r="D160">
        <f t="shared" si="9"/>
        <v>0.59351739235175405</v>
      </c>
      <c r="F160" s="3">
        <v>41648</v>
      </c>
      <c r="G160">
        <v>0.737862180577046</v>
      </c>
      <c r="I160" s="3">
        <v>41648</v>
      </c>
      <c r="J160">
        <v>0.59351739235175405</v>
      </c>
      <c r="K160" s="4">
        <v>143491329926.00299</v>
      </c>
      <c r="L160" s="4">
        <f t="shared" si="10"/>
        <v>856169152140.41296</v>
      </c>
      <c r="M160" s="5">
        <f t="shared" si="11"/>
        <v>0.16759693988889501</v>
      </c>
      <c r="O160" s="3">
        <v>41648</v>
      </c>
      <c r="P160">
        <v>0.179305765216212</v>
      </c>
      <c r="Q160">
        <v>856169152140.41296</v>
      </c>
    </row>
    <row r="161" spans="2:17">
      <c r="B161" s="2">
        <v>41655</v>
      </c>
      <c r="C161">
        <f t="shared" si="8"/>
        <v>0.77881660913151596</v>
      </c>
      <c r="D161">
        <f t="shared" si="9"/>
        <v>0.640010525508934</v>
      </c>
      <c r="F161" s="3">
        <v>41655</v>
      </c>
      <c r="G161">
        <v>0.77881660913151596</v>
      </c>
      <c r="I161" s="3">
        <v>41655</v>
      </c>
      <c r="J161">
        <v>0.640010525508934</v>
      </c>
      <c r="K161" s="4">
        <v>143491329926.00299</v>
      </c>
      <c r="L161" s="4">
        <f t="shared" si="10"/>
        <v>856169152140.41296</v>
      </c>
      <c r="M161" s="5">
        <f t="shared" si="11"/>
        <v>0.16759693988889501</v>
      </c>
      <c r="O161" s="3">
        <v>41655</v>
      </c>
      <c r="P161">
        <v>0.209593005344444</v>
      </c>
      <c r="Q161">
        <v>856169152140.41296</v>
      </c>
    </row>
    <row r="162" spans="2:17">
      <c r="B162" s="2">
        <v>41662</v>
      </c>
      <c r="C162">
        <f t="shared" si="8"/>
        <v>0.77893724315267199</v>
      </c>
      <c r="D162">
        <f t="shared" si="9"/>
        <v>0.641007859456873</v>
      </c>
      <c r="F162" s="3">
        <v>41662</v>
      </c>
      <c r="G162">
        <v>0.77893724315267199</v>
      </c>
      <c r="I162" s="3">
        <v>41662</v>
      </c>
      <c r="J162">
        <v>0.641007859456873</v>
      </c>
      <c r="K162" s="4">
        <v>143491329926.00299</v>
      </c>
      <c r="L162" s="4">
        <f t="shared" si="10"/>
        <v>856169152140.41296</v>
      </c>
      <c r="M162" s="5">
        <f t="shared" si="11"/>
        <v>0.16759693988889501</v>
      </c>
      <c r="O162" s="3">
        <v>41662</v>
      </c>
      <c r="P162">
        <v>0.21019143531749199</v>
      </c>
      <c r="Q162">
        <v>856169152140.41296</v>
      </c>
    </row>
    <row r="163" spans="2:17">
      <c r="B163" s="2">
        <v>41669</v>
      </c>
      <c r="C163">
        <f t="shared" si="8"/>
        <v>0.86531452225895999</v>
      </c>
      <c r="D163">
        <f t="shared" si="9"/>
        <v>0.72590930220267003</v>
      </c>
      <c r="F163" s="3">
        <v>41669</v>
      </c>
      <c r="G163">
        <v>0.86531452225895999</v>
      </c>
      <c r="I163" s="3">
        <v>41669</v>
      </c>
      <c r="J163">
        <v>0.72590930220267003</v>
      </c>
      <c r="K163" s="4">
        <v>143491329926.00299</v>
      </c>
      <c r="L163" s="4">
        <f t="shared" si="10"/>
        <v>856169152140.41296</v>
      </c>
      <c r="M163" s="5">
        <f t="shared" si="11"/>
        <v>0.16759693988889501</v>
      </c>
      <c r="O163" s="3">
        <v>41669</v>
      </c>
      <c r="P163">
        <v>0.26753407065163798</v>
      </c>
      <c r="Q163">
        <v>856169152140.41296</v>
      </c>
    </row>
    <row r="164" spans="2:17">
      <c r="B164" s="2">
        <v>41676</v>
      </c>
      <c r="C164">
        <f t="shared" si="8"/>
        <v>0.904840601248314</v>
      </c>
      <c r="D164">
        <f t="shared" si="9"/>
        <v>0.76715832931317196</v>
      </c>
      <c r="F164" s="3">
        <v>41676</v>
      </c>
      <c r="G164">
        <v>0.904840601248314</v>
      </c>
      <c r="I164" s="3">
        <v>41676</v>
      </c>
      <c r="J164">
        <v>0.76715832931317196</v>
      </c>
      <c r="K164" s="4">
        <v>140177207664.35901</v>
      </c>
      <c r="L164" s="4">
        <f t="shared" si="10"/>
        <v>860549250444.104</v>
      </c>
      <c r="M164" s="5">
        <f t="shared" si="11"/>
        <v>0.16289271949515696</v>
      </c>
      <c r="O164" s="3">
        <v>41676</v>
      </c>
      <c r="P164">
        <v>0.29181927799860802</v>
      </c>
      <c r="Q164">
        <v>860549250444.104</v>
      </c>
    </row>
    <row r="165" spans="2:17">
      <c r="B165" s="2">
        <v>41683</v>
      </c>
      <c r="C165">
        <f t="shared" si="8"/>
        <v>0.86420449138465305</v>
      </c>
      <c r="D165">
        <f t="shared" si="9"/>
        <v>0.73079513071076196</v>
      </c>
      <c r="F165" s="3">
        <v>41683</v>
      </c>
      <c r="G165">
        <v>0.86420449138465305</v>
      </c>
      <c r="I165" s="3">
        <v>41683</v>
      </c>
      <c r="J165">
        <v>0.73079513071076196</v>
      </c>
      <c r="K165" s="4">
        <v>140177207664.35901</v>
      </c>
      <c r="L165" s="4">
        <f t="shared" si="10"/>
        <v>860549250444.104</v>
      </c>
      <c r="M165" s="5">
        <f t="shared" si="11"/>
        <v>0.16289271949515696</v>
      </c>
      <c r="O165" s="3">
        <v>41683</v>
      </c>
      <c r="P165">
        <v>0.26481047273119801</v>
      </c>
      <c r="Q165">
        <v>860549250444.104</v>
      </c>
    </row>
    <row r="166" spans="2:17">
      <c r="B166" s="2">
        <v>41690</v>
      </c>
      <c r="C166">
        <f t="shared" si="8"/>
        <v>0.82103225324176798</v>
      </c>
      <c r="D166">
        <f t="shared" si="9"/>
        <v>0.68632933440003197</v>
      </c>
      <c r="F166" s="3">
        <v>41690</v>
      </c>
      <c r="G166">
        <v>0.82103225324176798</v>
      </c>
      <c r="I166" s="3">
        <v>41690</v>
      </c>
      <c r="J166">
        <v>0.68632933440003197</v>
      </c>
      <c r="K166" s="4">
        <v>140177207664.35901</v>
      </c>
      <c r="L166" s="4">
        <f t="shared" si="10"/>
        <v>860549250444.104</v>
      </c>
      <c r="M166" s="5">
        <f t="shared" si="11"/>
        <v>0.16289271949515696</v>
      </c>
      <c r="O166" s="3">
        <v>41690</v>
      </c>
      <c r="P166">
        <v>0.23629264624582699</v>
      </c>
      <c r="Q166">
        <v>860549250444.104</v>
      </c>
    </row>
    <row r="167" spans="2:17">
      <c r="B167" s="2">
        <v>41697</v>
      </c>
      <c r="C167">
        <f t="shared" si="8"/>
        <v>0.82077124571501203</v>
      </c>
      <c r="D167">
        <f t="shared" si="9"/>
        <v>0.684442361485053</v>
      </c>
      <c r="F167" s="3">
        <v>41697</v>
      </c>
      <c r="G167">
        <v>0.82077124571501203</v>
      </c>
      <c r="I167" s="3">
        <v>41697</v>
      </c>
      <c r="J167">
        <v>0.684442361485053</v>
      </c>
      <c r="K167" s="4">
        <v>140177207664.35901</v>
      </c>
      <c r="L167" s="4">
        <f t="shared" si="10"/>
        <v>860549250444.104</v>
      </c>
      <c r="M167" s="5">
        <f t="shared" si="11"/>
        <v>0.16289271949515696</v>
      </c>
      <c r="O167" s="3">
        <v>41697</v>
      </c>
      <c r="P167">
        <v>0.23523336613531601</v>
      </c>
      <c r="Q167">
        <v>860549250444.104</v>
      </c>
    </row>
    <row r="168" spans="2:17">
      <c r="B168" s="2">
        <v>41704</v>
      </c>
      <c r="C168">
        <f t="shared" si="8"/>
        <v>0.86296973588403203</v>
      </c>
      <c r="D168">
        <f t="shared" si="9"/>
        <v>0.73198493777118001</v>
      </c>
      <c r="F168" s="3">
        <v>41704</v>
      </c>
      <c r="G168">
        <v>0.86296973588403203</v>
      </c>
      <c r="I168" s="3">
        <v>41704</v>
      </c>
      <c r="J168">
        <v>0.73198493777118001</v>
      </c>
      <c r="K168" s="4">
        <v>137302780283.616</v>
      </c>
      <c r="L168" s="4">
        <f t="shared" si="10"/>
        <v>862646925748.92102</v>
      </c>
      <c r="M168" s="5">
        <f t="shared" si="11"/>
        <v>0.15916451584686789</v>
      </c>
      <c r="O168" s="3">
        <v>41704</v>
      </c>
      <c r="P168">
        <v>0.26131289645907702</v>
      </c>
      <c r="Q168">
        <v>862646925748.92102</v>
      </c>
    </row>
    <row r="169" spans="2:17">
      <c r="B169" s="2">
        <v>41711</v>
      </c>
      <c r="C169">
        <f t="shared" si="8"/>
        <v>0.81906765211778298</v>
      </c>
      <c r="D169">
        <f t="shared" si="9"/>
        <v>0.68652732115680604</v>
      </c>
      <c r="F169" s="3">
        <v>41711</v>
      </c>
      <c r="G169">
        <v>0.81906765211778298</v>
      </c>
      <c r="I169" s="3">
        <v>41711</v>
      </c>
      <c r="J169">
        <v>0.68652732115680604</v>
      </c>
      <c r="K169" s="4">
        <v>137302780283.616</v>
      </c>
      <c r="L169" s="4">
        <f t="shared" si="10"/>
        <v>862646925748.92102</v>
      </c>
      <c r="M169" s="5">
        <f t="shared" si="11"/>
        <v>0.15916451584686789</v>
      </c>
      <c r="O169" s="3">
        <v>41711</v>
      </c>
      <c r="P169">
        <v>0.23229463907320799</v>
      </c>
      <c r="Q169">
        <v>862646925748.92102</v>
      </c>
    </row>
    <row r="170" spans="2:17">
      <c r="B170" s="2">
        <v>41718</v>
      </c>
      <c r="C170">
        <f t="shared" si="8"/>
        <v>0.86286183686691498</v>
      </c>
      <c r="D170">
        <f t="shared" si="9"/>
        <v>0.73018796633644001</v>
      </c>
      <c r="F170" s="3">
        <v>41718</v>
      </c>
      <c r="G170">
        <v>0.86286183686691498</v>
      </c>
      <c r="I170" s="3">
        <v>41718</v>
      </c>
      <c r="J170">
        <v>0.73018796633644001</v>
      </c>
      <c r="K170" s="4">
        <v>137302780283.616</v>
      </c>
      <c r="L170" s="4">
        <f t="shared" si="10"/>
        <v>862646925748.92102</v>
      </c>
      <c r="M170" s="5">
        <f t="shared" si="11"/>
        <v>0.15916451584686789</v>
      </c>
      <c r="O170" s="3">
        <v>41718</v>
      </c>
      <c r="P170">
        <v>0.259911217598574</v>
      </c>
      <c r="Q170">
        <v>862646925748.92102</v>
      </c>
    </row>
    <row r="171" spans="2:17">
      <c r="B171" s="2">
        <v>41725</v>
      </c>
      <c r="C171">
        <f t="shared" si="8"/>
        <v>0.81889916283087805</v>
      </c>
      <c r="D171">
        <f t="shared" si="9"/>
        <v>0.68450438143886005</v>
      </c>
      <c r="F171" s="3">
        <v>41725</v>
      </c>
      <c r="G171">
        <v>0.81889916283087805</v>
      </c>
      <c r="I171" s="3">
        <v>41725</v>
      </c>
      <c r="J171">
        <v>0.68450438143886005</v>
      </c>
      <c r="K171" s="4">
        <v>137302780283.616</v>
      </c>
      <c r="L171" s="4">
        <f t="shared" si="10"/>
        <v>862646925748.92102</v>
      </c>
      <c r="M171" s="5">
        <f t="shared" si="11"/>
        <v>0.15916451584686789</v>
      </c>
      <c r="O171" s="3">
        <v>41725</v>
      </c>
      <c r="P171">
        <v>0.23160663701689099</v>
      </c>
      <c r="Q171">
        <v>862646925748.92102</v>
      </c>
    </row>
    <row r="172" spans="2:17">
      <c r="B172" s="2">
        <v>41732</v>
      </c>
      <c r="C172">
        <f t="shared" si="8"/>
        <v>0.77382163087992895</v>
      </c>
      <c r="D172">
        <f t="shared" si="9"/>
        <v>0.65157328022433403</v>
      </c>
      <c r="F172" s="3">
        <v>41732</v>
      </c>
      <c r="G172">
        <v>0.77382163087992895</v>
      </c>
      <c r="I172" s="3">
        <v>41732</v>
      </c>
      <c r="J172">
        <v>0.65157328022433403</v>
      </c>
      <c r="K172" s="4">
        <v>134084311974.908</v>
      </c>
      <c r="L172" s="4">
        <f t="shared" si="10"/>
        <v>865912452541.08801</v>
      </c>
      <c r="M172" s="5">
        <f t="shared" si="11"/>
        <v>0.15484742317936076</v>
      </c>
      <c r="O172" s="3">
        <v>41732</v>
      </c>
      <c r="P172">
        <v>0.20321387799468099</v>
      </c>
      <c r="Q172">
        <v>865912452541.08801</v>
      </c>
    </row>
    <row r="173" spans="2:17">
      <c r="B173" s="2">
        <v>41739</v>
      </c>
      <c r="C173">
        <f t="shared" si="8"/>
        <v>0.81929535733400805</v>
      </c>
      <c r="D173">
        <f t="shared" si="9"/>
        <v>0.69782122652957301</v>
      </c>
      <c r="F173" s="3">
        <v>41739</v>
      </c>
      <c r="G173">
        <v>0.81929535733400805</v>
      </c>
      <c r="I173" s="3">
        <v>41739</v>
      </c>
      <c r="J173">
        <v>0.69782122652957301</v>
      </c>
      <c r="K173" s="4">
        <v>134084311974.908</v>
      </c>
      <c r="L173" s="4">
        <f t="shared" si="10"/>
        <v>865912452541.08801</v>
      </c>
      <c r="M173" s="5">
        <f t="shared" si="11"/>
        <v>0.15484742317936076</v>
      </c>
      <c r="O173" s="3">
        <v>41739</v>
      </c>
      <c r="P173">
        <v>0.23288461809893199</v>
      </c>
      <c r="Q173">
        <v>865912452541.08801</v>
      </c>
    </row>
    <row r="174" spans="2:17">
      <c r="B174" s="2">
        <v>41746</v>
      </c>
      <c r="C174">
        <f t="shared" si="8"/>
        <v>0.86307390731589495</v>
      </c>
      <c r="D174">
        <f t="shared" si="9"/>
        <v>0.74322583937257003</v>
      </c>
      <c r="F174" s="3">
        <v>41746</v>
      </c>
      <c r="G174">
        <v>0.86307390731589495</v>
      </c>
      <c r="I174" s="3">
        <v>41746</v>
      </c>
      <c r="J174">
        <v>0.74322583937257003</v>
      </c>
      <c r="K174" s="4">
        <v>134084311974.908</v>
      </c>
      <c r="L174" s="4">
        <f t="shared" si="10"/>
        <v>865912452541.08801</v>
      </c>
      <c r="M174" s="5">
        <f t="shared" si="11"/>
        <v>0.15484742317936076</v>
      </c>
      <c r="O174" s="3">
        <v>41746</v>
      </c>
      <c r="P174">
        <v>0.26202204782205302</v>
      </c>
      <c r="Q174">
        <v>865912452541.08801</v>
      </c>
    </row>
    <row r="175" spans="2:17">
      <c r="B175" s="2">
        <v>41753</v>
      </c>
      <c r="C175">
        <f t="shared" si="8"/>
        <v>0.862883144079441</v>
      </c>
      <c r="D175">
        <f t="shared" si="9"/>
        <v>0.741465269880487</v>
      </c>
      <c r="F175" s="3">
        <v>41753</v>
      </c>
      <c r="G175">
        <v>0.862883144079441</v>
      </c>
      <c r="I175" s="3">
        <v>41753</v>
      </c>
      <c r="J175">
        <v>0.741465269880487</v>
      </c>
      <c r="K175" s="4">
        <v>134084311974.908</v>
      </c>
      <c r="L175" s="4">
        <f t="shared" si="10"/>
        <v>865912452541.08801</v>
      </c>
      <c r="M175" s="5">
        <f t="shared" si="11"/>
        <v>0.15484742317936076</v>
      </c>
      <c r="O175" s="3">
        <v>41753</v>
      </c>
      <c r="P175">
        <v>0.26064759544975202</v>
      </c>
      <c r="Q175">
        <v>865912452541.08801</v>
      </c>
    </row>
    <row r="176" spans="2:17">
      <c r="B176" s="2">
        <v>41760</v>
      </c>
      <c r="C176">
        <f t="shared" si="8"/>
        <v>0.86338218182302096</v>
      </c>
      <c r="D176">
        <f t="shared" si="9"/>
        <v>0.75311294857435296</v>
      </c>
      <c r="F176" s="3">
        <v>41760</v>
      </c>
      <c r="G176">
        <v>0.86338218182302096</v>
      </c>
      <c r="I176" s="3">
        <v>41760</v>
      </c>
      <c r="J176">
        <v>0.75311294857435296</v>
      </c>
      <c r="K176" s="4">
        <v>131022110576.76801</v>
      </c>
      <c r="L176" s="4">
        <f t="shared" si="10"/>
        <v>869491021687.79004</v>
      </c>
      <c r="M176" s="5">
        <f t="shared" si="11"/>
        <v>0.15068828465006784</v>
      </c>
      <c r="O176" s="3">
        <v>41760</v>
      </c>
      <c r="P176">
        <v>0.26096797184396903</v>
      </c>
      <c r="Q176">
        <v>869491021687.79004</v>
      </c>
    </row>
    <row r="177" spans="2:17">
      <c r="B177" s="2">
        <v>41767</v>
      </c>
      <c r="C177">
        <f t="shared" si="8"/>
        <v>0.92469964057410103</v>
      </c>
      <c r="D177">
        <f t="shared" si="9"/>
        <v>0.81447465128368302</v>
      </c>
      <c r="F177" s="3">
        <v>41767</v>
      </c>
      <c r="G177">
        <v>0.92469964057410103</v>
      </c>
      <c r="I177" s="3">
        <v>41767</v>
      </c>
      <c r="J177">
        <v>0.81447465128368302</v>
      </c>
      <c r="K177" s="4">
        <v>131022110576.76801</v>
      </c>
      <c r="L177" s="4">
        <f t="shared" si="10"/>
        <v>869491021687.79004</v>
      </c>
      <c r="M177" s="5">
        <f t="shared" si="11"/>
        <v>0.15068828465006784</v>
      </c>
      <c r="O177" s="3">
        <v>41767</v>
      </c>
      <c r="P177">
        <v>0.30889383306981899</v>
      </c>
      <c r="Q177">
        <v>869491021687.79004</v>
      </c>
    </row>
    <row r="178" spans="2:17">
      <c r="B178" s="2">
        <v>41774</v>
      </c>
      <c r="C178">
        <f t="shared" si="8"/>
        <v>0.92471213874485103</v>
      </c>
      <c r="D178">
        <f t="shared" si="9"/>
        <v>0.81448915279691303</v>
      </c>
      <c r="F178" s="3">
        <v>41774</v>
      </c>
      <c r="G178">
        <v>0.92471213874485103</v>
      </c>
      <c r="I178" s="3">
        <v>41774</v>
      </c>
      <c r="J178">
        <v>0.81448915279691303</v>
      </c>
      <c r="K178" s="4">
        <v>131022110576.76801</v>
      </c>
      <c r="L178" s="4">
        <f t="shared" si="10"/>
        <v>869491021687.79004</v>
      </c>
      <c r="M178" s="5">
        <f t="shared" si="11"/>
        <v>0.15068828465006784</v>
      </c>
      <c r="O178" s="3">
        <v>41774</v>
      </c>
      <c r="P178">
        <v>0.30891479778446901</v>
      </c>
      <c r="Q178">
        <v>869491021687.79004</v>
      </c>
    </row>
    <row r="179" spans="2:17">
      <c r="B179" s="2">
        <v>41781</v>
      </c>
      <c r="C179">
        <f t="shared" si="8"/>
        <v>0.942170788335981</v>
      </c>
      <c r="D179">
        <f t="shared" si="9"/>
        <v>0.83369685729657195</v>
      </c>
      <c r="F179" s="3">
        <v>41781</v>
      </c>
      <c r="G179">
        <v>0.942170788335981</v>
      </c>
      <c r="I179" s="3">
        <v>41781</v>
      </c>
      <c r="J179">
        <v>0.83369685729657195</v>
      </c>
      <c r="K179" s="4">
        <v>131022110576.76801</v>
      </c>
      <c r="L179" s="4">
        <f t="shared" si="10"/>
        <v>869491021687.79004</v>
      </c>
      <c r="M179" s="5">
        <f t="shared" si="11"/>
        <v>0.15068828465006784</v>
      </c>
      <c r="O179" s="3">
        <v>41781</v>
      </c>
      <c r="P179">
        <v>0.33114270527414602</v>
      </c>
      <c r="Q179">
        <v>869491021687.79004</v>
      </c>
    </row>
    <row r="180" spans="2:17">
      <c r="B180" s="2">
        <v>41788</v>
      </c>
      <c r="C180">
        <f t="shared" si="8"/>
        <v>0.94220364207853702</v>
      </c>
      <c r="D180">
        <f t="shared" si="9"/>
        <v>0.83441070814585505</v>
      </c>
      <c r="F180" s="3">
        <v>41788</v>
      </c>
      <c r="G180">
        <v>0.94220364207853702</v>
      </c>
      <c r="I180" s="3">
        <v>41788</v>
      </c>
      <c r="J180">
        <v>0.83441070814585505</v>
      </c>
      <c r="K180" s="4">
        <v>131022110576.76801</v>
      </c>
      <c r="L180" s="4">
        <f t="shared" si="10"/>
        <v>869491021687.79004</v>
      </c>
      <c r="M180" s="5">
        <f t="shared" si="11"/>
        <v>0.15068828465006784</v>
      </c>
      <c r="O180" s="3">
        <v>41788</v>
      </c>
      <c r="P180">
        <v>0.33194076989098698</v>
      </c>
      <c r="Q180">
        <v>869491021687.79004</v>
      </c>
    </row>
    <row r="181" spans="2:17">
      <c r="B181" s="2">
        <v>41795</v>
      </c>
      <c r="C181">
        <f t="shared" si="8"/>
        <v>0.94191255638832705</v>
      </c>
      <c r="D181">
        <f t="shared" si="9"/>
        <v>0.84407077334338998</v>
      </c>
      <c r="F181" s="3">
        <v>41795</v>
      </c>
      <c r="G181">
        <v>0.94191255638832705</v>
      </c>
      <c r="I181" s="3">
        <v>41795</v>
      </c>
      <c r="J181">
        <v>0.84407077334338998</v>
      </c>
      <c r="K181" s="4">
        <v>127996673162.017</v>
      </c>
      <c r="L181" s="4">
        <f t="shared" si="10"/>
        <v>874676225982.203</v>
      </c>
      <c r="M181" s="5">
        <f t="shared" si="11"/>
        <v>0.14633606054432916</v>
      </c>
      <c r="O181" s="3">
        <v>41795</v>
      </c>
      <c r="P181">
        <v>0.33192034731196002</v>
      </c>
      <c r="Q181">
        <v>874676225982.203</v>
      </c>
    </row>
    <row r="182" spans="2:17">
      <c r="B182" s="2">
        <v>41802</v>
      </c>
      <c r="C182">
        <f t="shared" si="8"/>
        <v>0.924708662683428</v>
      </c>
      <c r="D182">
        <f t="shared" si="9"/>
        <v>0.824454253938531</v>
      </c>
      <c r="F182" s="3">
        <v>41802</v>
      </c>
      <c r="G182">
        <v>0.924708662683428</v>
      </c>
      <c r="I182" s="3">
        <v>41802</v>
      </c>
      <c r="J182">
        <v>0.824454253938531</v>
      </c>
      <c r="K182" s="4">
        <v>127996673162.017</v>
      </c>
      <c r="L182" s="4">
        <f t="shared" si="10"/>
        <v>874676225982.203</v>
      </c>
      <c r="M182" s="5">
        <f t="shared" si="11"/>
        <v>0.14633606054432916</v>
      </c>
      <c r="O182" s="3">
        <v>41802</v>
      </c>
      <c r="P182">
        <v>0.30807676123988798</v>
      </c>
      <c r="Q182">
        <v>874676225982.203</v>
      </c>
    </row>
    <row r="183" spans="2:17">
      <c r="B183" s="2">
        <v>41809</v>
      </c>
      <c r="C183">
        <f t="shared" si="8"/>
        <v>0.92478797041361505</v>
      </c>
      <c r="D183">
        <f t="shared" si="9"/>
        <v>0.82589246523279602</v>
      </c>
      <c r="F183" s="3">
        <v>41809</v>
      </c>
      <c r="G183">
        <v>0.92478797041361505</v>
      </c>
      <c r="I183" s="3">
        <v>41809</v>
      </c>
      <c r="J183">
        <v>0.82589246523279602</v>
      </c>
      <c r="K183" s="4">
        <v>127996673162.017</v>
      </c>
      <c r="L183" s="4">
        <f t="shared" si="10"/>
        <v>874676225982.203</v>
      </c>
      <c r="M183" s="5">
        <f t="shared" si="11"/>
        <v>0.14633606054432916</v>
      </c>
      <c r="O183" s="3">
        <v>41809</v>
      </c>
      <c r="P183">
        <v>0.30971242843576302</v>
      </c>
      <c r="Q183">
        <v>874676225982.203</v>
      </c>
    </row>
    <row r="184" spans="2:17">
      <c r="B184" s="2">
        <v>41816</v>
      </c>
      <c r="C184">
        <f t="shared" si="8"/>
        <v>0.94191255638832705</v>
      </c>
      <c r="D184">
        <f t="shared" si="9"/>
        <v>0.84407077334338998</v>
      </c>
      <c r="F184" s="3">
        <v>41816</v>
      </c>
      <c r="G184">
        <v>0.94191255638832705</v>
      </c>
      <c r="I184" s="3">
        <v>41816</v>
      </c>
      <c r="J184">
        <v>0.84407077334338998</v>
      </c>
      <c r="K184" s="4">
        <v>127996673162.017</v>
      </c>
      <c r="L184" s="4">
        <f t="shared" si="10"/>
        <v>874676225982.203</v>
      </c>
      <c r="M184" s="5">
        <f t="shared" si="11"/>
        <v>0.14633606054432916</v>
      </c>
      <c r="O184" s="3">
        <v>41816</v>
      </c>
      <c r="P184">
        <v>0.33192034731196002</v>
      </c>
      <c r="Q184">
        <v>874676225982.203</v>
      </c>
    </row>
    <row r="185" spans="2:17">
      <c r="B185" s="2">
        <v>41823</v>
      </c>
      <c r="C185">
        <f t="shared" si="8"/>
        <v>0.95933486163638704</v>
      </c>
      <c r="D185">
        <f t="shared" si="9"/>
        <v>0.86674293264243896</v>
      </c>
      <c r="F185" s="3">
        <v>41823</v>
      </c>
      <c r="G185">
        <v>0.95933486163638704</v>
      </c>
      <c r="I185" s="3">
        <v>41823</v>
      </c>
      <c r="J185">
        <v>0.86674293264243896</v>
      </c>
      <c r="K185" s="4">
        <v>124999566160.547</v>
      </c>
      <c r="L185" s="4">
        <f t="shared" si="10"/>
        <v>879218074297.77698</v>
      </c>
      <c r="M185" s="5">
        <f t="shared" si="11"/>
        <v>0.14217128811914262</v>
      </c>
      <c r="O185" s="3">
        <v>41823</v>
      </c>
      <c r="P185">
        <v>0.35262516495052798</v>
      </c>
      <c r="Q185">
        <v>879218074297.77698</v>
      </c>
    </row>
    <row r="186" spans="2:17">
      <c r="B186" s="2">
        <v>41830</v>
      </c>
      <c r="C186">
        <f t="shared" si="8"/>
        <v>0.92435732512698199</v>
      </c>
      <c r="D186">
        <f t="shared" si="9"/>
        <v>0.82890227253426596</v>
      </c>
      <c r="F186" s="3">
        <v>41830</v>
      </c>
      <c r="G186">
        <v>0.92435732512698199</v>
      </c>
      <c r="I186" s="3">
        <v>41830</v>
      </c>
      <c r="J186">
        <v>0.82890227253426596</v>
      </c>
      <c r="K186" s="4">
        <v>124999566160.547</v>
      </c>
      <c r="L186" s="4">
        <f t="shared" si="10"/>
        <v>879218074297.77698</v>
      </c>
      <c r="M186" s="5">
        <f t="shared" si="11"/>
        <v>0.14217128811914262</v>
      </c>
      <c r="O186" s="3">
        <v>41830</v>
      </c>
      <c r="P186">
        <v>0.30448503707734098</v>
      </c>
      <c r="Q186">
        <v>879218074297.77698</v>
      </c>
    </row>
    <row r="187" spans="2:17">
      <c r="B187" s="2">
        <v>41837</v>
      </c>
      <c r="C187">
        <f t="shared" si="8"/>
        <v>0.94140193159732499</v>
      </c>
      <c r="D187">
        <f t="shared" si="9"/>
        <v>0.84648587198714098</v>
      </c>
      <c r="F187" s="3">
        <v>41837</v>
      </c>
      <c r="G187">
        <v>0.94140193159732499</v>
      </c>
      <c r="I187" s="3">
        <v>41837</v>
      </c>
      <c r="J187">
        <v>0.84648587198714098</v>
      </c>
      <c r="K187" s="4">
        <v>124999566160.547</v>
      </c>
      <c r="L187" s="4">
        <f t="shared" si="10"/>
        <v>879218074297.77698</v>
      </c>
      <c r="M187" s="5">
        <f t="shared" si="11"/>
        <v>0.14217128811914262</v>
      </c>
      <c r="O187" s="3">
        <v>41837</v>
      </c>
      <c r="P187">
        <v>0.32660064596161198</v>
      </c>
      <c r="Q187">
        <v>879218074297.77698</v>
      </c>
    </row>
    <row r="188" spans="2:17">
      <c r="B188" s="2">
        <v>41844</v>
      </c>
      <c r="C188">
        <f t="shared" si="8"/>
        <v>0.94140193159732499</v>
      </c>
      <c r="D188">
        <f t="shared" si="9"/>
        <v>0.84648587198714098</v>
      </c>
      <c r="F188" s="3">
        <v>41844</v>
      </c>
      <c r="G188">
        <v>0.94140193159732499</v>
      </c>
      <c r="I188" s="3">
        <v>41844</v>
      </c>
      <c r="J188">
        <v>0.84648587198714098</v>
      </c>
      <c r="K188" s="4">
        <v>124999566160.547</v>
      </c>
      <c r="L188" s="4">
        <f t="shared" si="10"/>
        <v>879218074297.77698</v>
      </c>
      <c r="M188" s="5">
        <f t="shared" si="11"/>
        <v>0.14217128811914262</v>
      </c>
      <c r="O188" s="3">
        <v>41844</v>
      </c>
      <c r="P188">
        <v>0.32660064596161198</v>
      </c>
      <c r="Q188">
        <v>879218074297.77698</v>
      </c>
    </row>
    <row r="189" spans="2:17">
      <c r="B189" s="2">
        <v>41851</v>
      </c>
      <c r="C189">
        <f t="shared" si="8"/>
        <v>0.94141649683931705</v>
      </c>
      <c r="D189">
        <f t="shared" si="9"/>
        <v>0.84693805880599304</v>
      </c>
      <c r="F189" s="3">
        <v>41851</v>
      </c>
      <c r="G189">
        <v>0.94141649683931705</v>
      </c>
      <c r="I189" s="3">
        <v>41851</v>
      </c>
      <c r="J189">
        <v>0.84693805880599304</v>
      </c>
      <c r="K189" s="4">
        <v>124999566160.547</v>
      </c>
      <c r="L189" s="4">
        <f t="shared" si="10"/>
        <v>879218074297.77698</v>
      </c>
      <c r="M189" s="5">
        <f t="shared" si="11"/>
        <v>0.14217128811914262</v>
      </c>
      <c r="O189" s="3">
        <v>41851</v>
      </c>
      <c r="P189">
        <v>0.32699157373577598</v>
      </c>
      <c r="Q189">
        <v>879218074297.77698</v>
      </c>
    </row>
    <row r="190" spans="2:17">
      <c r="B190" s="2">
        <v>41858</v>
      </c>
      <c r="C190">
        <f t="shared" si="8"/>
        <v>0.92406873351741203</v>
      </c>
      <c r="D190">
        <f t="shared" si="9"/>
        <v>0.83214930029007805</v>
      </c>
      <c r="F190" s="3">
        <v>41858</v>
      </c>
      <c r="G190">
        <v>0.92406873351741203</v>
      </c>
      <c r="I190" s="3">
        <v>41858</v>
      </c>
      <c r="J190">
        <v>0.83214930029007805</v>
      </c>
      <c r="K190" s="4">
        <v>122034558755.91701</v>
      </c>
      <c r="L190" s="4">
        <f t="shared" si="10"/>
        <v>889016211164.04895</v>
      </c>
      <c r="M190" s="5">
        <f t="shared" si="11"/>
        <v>0.13726921649283416</v>
      </c>
      <c r="O190" s="3">
        <v>41858</v>
      </c>
      <c r="P190">
        <v>0.29774290507115803</v>
      </c>
      <c r="Q190">
        <v>889016211164.04895</v>
      </c>
    </row>
    <row r="191" spans="2:17">
      <c r="B191" s="2">
        <v>41865</v>
      </c>
      <c r="C191">
        <f t="shared" si="8"/>
        <v>0.94091871934431903</v>
      </c>
      <c r="D191">
        <f t="shared" si="9"/>
        <v>0.84983360370315197</v>
      </c>
      <c r="F191" s="3">
        <v>41865</v>
      </c>
      <c r="G191">
        <v>0.94091871934431903</v>
      </c>
      <c r="I191" s="3">
        <v>41865</v>
      </c>
      <c r="J191">
        <v>0.84983360370315197</v>
      </c>
      <c r="K191" s="4">
        <v>122034558755.91701</v>
      </c>
      <c r="L191" s="4">
        <f t="shared" si="10"/>
        <v>889016211164.04895</v>
      </c>
      <c r="M191" s="5">
        <f t="shared" si="11"/>
        <v>0.13726921649283416</v>
      </c>
      <c r="O191" s="3">
        <v>41865</v>
      </c>
      <c r="P191">
        <v>0.320132361922567</v>
      </c>
      <c r="Q191">
        <v>889016211164.04895</v>
      </c>
    </row>
    <row r="192" spans="2:17">
      <c r="B192" s="2">
        <v>41872</v>
      </c>
      <c r="C192">
        <f t="shared" si="8"/>
        <v>0.95930523734958395</v>
      </c>
      <c r="D192">
        <f t="shared" si="9"/>
        <v>0.87098339925649604</v>
      </c>
      <c r="F192" s="3">
        <v>41872</v>
      </c>
      <c r="G192">
        <v>0.95930523734958395</v>
      </c>
      <c r="I192" s="3">
        <v>41872</v>
      </c>
      <c r="J192">
        <v>0.87098339925649604</v>
      </c>
      <c r="K192" s="4">
        <v>122034558755.91701</v>
      </c>
      <c r="L192" s="4">
        <f t="shared" si="10"/>
        <v>889016211164.04895</v>
      </c>
      <c r="M192" s="5">
        <f t="shared" si="11"/>
        <v>0.13726921649283416</v>
      </c>
      <c r="O192" s="3">
        <v>41872</v>
      </c>
      <c r="P192">
        <v>0.34626375886905603</v>
      </c>
      <c r="Q192">
        <v>889016211164.04895</v>
      </c>
    </row>
    <row r="193" spans="2:17">
      <c r="B193" s="2">
        <v>41879</v>
      </c>
      <c r="C193">
        <f t="shared" si="8"/>
        <v>0.95930523734958395</v>
      </c>
      <c r="D193">
        <f t="shared" si="9"/>
        <v>0.87098339925649604</v>
      </c>
      <c r="F193" s="3">
        <v>41879</v>
      </c>
      <c r="G193">
        <v>0.95930523734958395</v>
      </c>
      <c r="I193" s="3">
        <v>41879</v>
      </c>
      <c r="J193">
        <v>0.87098339925649604</v>
      </c>
      <c r="K193" s="4">
        <v>122034558755.91701</v>
      </c>
      <c r="L193" s="4">
        <f t="shared" si="10"/>
        <v>889016211164.04895</v>
      </c>
      <c r="M193" s="5">
        <f t="shared" si="11"/>
        <v>0.13726921649283416</v>
      </c>
      <c r="O193" s="3">
        <v>41879</v>
      </c>
      <c r="P193">
        <v>0.34626375886905603</v>
      </c>
      <c r="Q193">
        <v>889016211164.04895</v>
      </c>
    </row>
    <row r="194" spans="2:17">
      <c r="B194" s="2">
        <v>41886</v>
      </c>
      <c r="C194">
        <f t="shared" si="8"/>
        <v>0.959184322523427</v>
      </c>
      <c r="D194">
        <f t="shared" si="9"/>
        <v>0.87380583264278999</v>
      </c>
      <c r="F194" s="3">
        <v>41886</v>
      </c>
      <c r="G194">
        <v>0.959184322523427</v>
      </c>
      <c r="I194" s="3">
        <v>41886</v>
      </c>
      <c r="J194">
        <v>0.87380583264278999</v>
      </c>
      <c r="K194" s="4">
        <v>119186886371.356</v>
      </c>
      <c r="L194" s="4">
        <f t="shared" si="10"/>
        <v>896796715582.33606</v>
      </c>
      <c r="M194" s="5">
        <f t="shared" si="11"/>
        <v>0.13290290240855962</v>
      </c>
      <c r="O194" s="3">
        <v>41886</v>
      </c>
      <c r="P194">
        <v>0.339896907197697</v>
      </c>
      <c r="Q194">
        <v>896796715582.33606</v>
      </c>
    </row>
    <row r="195" spans="2:17">
      <c r="B195" s="2">
        <v>41893</v>
      </c>
      <c r="C195">
        <f t="shared" si="8"/>
        <v>0.95904395158926303</v>
      </c>
      <c r="D195">
        <f t="shared" si="9"/>
        <v>0.87282316645630098</v>
      </c>
      <c r="F195" s="3">
        <v>41893</v>
      </c>
      <c r="G195">
        <v>0.95904395158926303</v>
      </c>
      <c r="I195" s="3">
        <v>41893</v>
      </c>
      <c r="J195">
        <v>0.87282316645630098</v>
      </c>
      <c r="K195" s="4">
        <v>119186886371.356</v>
      </c>
      <c r="L195" s="4">
        <f t="shared" si="10"/>
        <v>896796715582.33606</v>
      </c>
      <c r="M195" s="5">
        <f t="shared" si="11"/>
        <v>0.13290290240855962</v>
      </c>
      <c r="O195" s="3">
        <v>41893</v>
      </c>
      <c r="P195">
        <v>0.33936239503709098</v>
      </c>
      <c r="Q195">
        <v>896796715582.33606</v>
      </c>
    </row>
    <row r="196" spans="2:17">
      <c r="B196" s="2">
        <v>41900</v>
      </c>
      <c r="C196">
        <f t="shared" ref="C196:C227" si="12">VLOOKUP(B196,F:G,2,0)</f>
        <v>0.92367592231458095</v>
      </c>
      <c r="D196">
        <f t="shared" ref="D196:D227" si="13">VLOOKUP(B196,I:J,2,0)</f>
        <v>0.83339683915826901</v>
      </c>
      <c r="F196" s="3">
        <v>41900</v>
      </c>
      <c r="G196">
        <v>0.92367592231458095</v>
      </c>
      <c r="I196" s="3">
        <v>41900</v>
      </c>
      <c r="J196">
        <v>0.83339683915826901</v>
      </c>
      <c r="K196" s="4">
        <v>119186886371.356</v>
      </c>
      <c r="L196" s="4">
        <f t="shared" ref="L196:L228" si="14">VLOOKUP(I196,O:Q,3,0)</f>
        <v>896796715582.33606</v>
      </c>
      <c r="M196" s="5">
        <f t="shared" ref="M196:M228" si="15">K196/L196*100%</f>
        <v>0.13290290240855962</v>
      </c>
      <c r="O196" s="3">
        <v>41900</v>
      </c>
      <c r="P196">
        <v>0.28985985896912098</v>
      </c>
      <c r="Q196">
        <v>896796715582.33606</v>
      </c>
    </row>
    <row r="197" spans="2:17">
      <c r="B197" s="2">
        <v>41907</v>
      </c>
      <c r="C197">
        <f t="shared" si="12"/>
        <v>0.92375754000891097</v>
      </c>
      <c r="D197">
        <f t="shared" si="13"/>
        <v>0.83469677777951401</v>
      </c>
      <c r="F197" s="3">
        <v>41907</v>
      </c>
      <c r="G197">
        <v>0.92375754000891097</v>
      </c>
      <c r="I197" s="3">
        <v>41907</v>
      </c>
      <c r="J197">
        <v>0.83469677777951401</v>
      </c>
      <c r="K197" s="4">
        <v>119186886371.356</v>
      </c>
      <c r="L197" s="4">
        <f t="shared" si="14"/>
        <v>896796715582.33606</v>
      </c>
      <c r="M197" s="5">
        <f t="shared" si="15"/>
        <v>0.13290290240855962</v>
      </c>
      <c r="O197" s="3">
        <v>41907</v>
      </c>
      <c r="P197">
        <v>0.29129845378289898</v>
      </c>
      <c r="Q197">
        <v>896796715582.33606</v>
      </c>
    </row>
    <row r="198" spans="2:17">
      <c r="B198" s="2">
        <v>41914</v>
      </c>
      <c r="C198">
        <f t="shared" si="12"/>
        <v>0.939877910552257</v>
      </c>
      <c r="D198">
        <f t="shared" si="13"/>
        <v>0.85275490992422898</v>
      </c>
      <c r="F198" s="3">
        <v>41914</v>
      </c>
      <c r="G198">
        <v>0.939877910552257</v>
      </c>
      <c r="I198" s="3">
        <v>41914</v>
      </c>
      <c r="J198">
        <v>0.85275490992422898</v>
      </c>
      <c r="K198" s="4">
        <v>116367013129.366</v>
      </c>
      <c r="L198" s="4">
        <f t="shared" si="14"/>
        <v>904868755203.72498</v>
      </c>
      <c r="M198" s="5">
        <f t="shared" si="15"/>
        <v>0.12860098490544827</v>
      </c>
      <c r="O198" s="3">
        <v>41914</v>
      </c>
      <c r="P198">
        <v>0.305477469640837</v>
      </c>
      <c r="Q198">
        <v>904868755203.72498</v>
      </c>
    </row>
    <row r="199" spans="2:17">
      <c r="B199" s="2">
        <v>41921</v>
      </c>
      <c r="C199">
        <f t="shared" si="12"/>
        <v>0.95870597013426595</v>
      </c>
      <c r="D199">
        <f t="shared" si="13"/>
        <v>0.87407306805923601</v>
      </c>
      <c r="F199" s="3">
        <v>41921</v>
      </c>
      <c r="G199">
        <v>0.95870597013426595</v>
      </c>
      <c r="I199" s="3">
        <v>41921</v>
      </c>
      <c r="J199">
        <v>0.87407306805923601</v>
      </c>
      <c r="K199" s="4">
        <v>116367013129.366</v>
      </c>
      <c r="L199" s="4">
        <f t="shared" si="14"/>
        <v>904868755203.72498</v>
      </c>
      <c r="M199" s="5">
        <f t="shared" si="15"/>
        <v>0.12860098490544827</v>
      </c>
      <c r="O199" s="3">
        <v>41921</v>
      </c>
      <c r="P199">
        <v>0.331441643373315</v>
      </c>
      <c r="Q199">
        <v>904868755203.72498</v>
      </c>
    </row>
    <row r="200" spans="2:17">
      <c r="B200" s="2">
        <v>41928</v>
      </c>
      <c r="C200">
        <f t="shared" si="12"/>
        <v>0.98146689029705902</v>
      </c>
      <c r="D200">
        <f t="shared" si="13"/>
        <v>0.90427695834799704</v>
      </c>
      <c r="F200" s="3">
        <v>41928</v>
      </c>
      <c r="G200">
        <v>0.98146689029705902</v>
      </c>
      <c r="I200" s="3">
        <v>41928</v>
      </c>
      <c r="J200">
        <v>0.90427695834799704</v>
      </c>
      <c r="K200" s="4">
        <v>116367013129.366</v>
      </c>
      <c r="L200" s="4">
        <f t="shared" si="14"/>
        <v>904868755203.72498</v>
      </c>
      <c r="M200" s="5">
        <f t="shared" si="15"/>
        <v>0.12860098490544827</v>
      </c>
      <c r="O200" s="3">
        <v>41928</v>
      </c>
      <c r="P200">
        <v>0.392928030601567</v>
      </c>
      <c r="Q200">
        <v>904868755203.72498</v>
      </c>
    </row>
    <row r="201" spans="2:17">
      <c r="B201" s="2">
        <v>41935</v>
      </c>
      <c r="C201">
        <f t="shared" si="12"/>
        <v>0.98818151288594802</v>
      </c>
      <c r="D201">
        <f t="shared" si="13"/>
        <v>0.91415871688142003</v>
      </c>
      <c r="F201" s="3">
        <v>41935</v>
      </c>
      <c r="G201">
        <v>0.98818151288594802</v>
      </c>
      <c r="I201" s="3">
        <v>41935</v>
      </c>
      <c r="J201">
        <v>0.91415871688142003</v>
      </c>
      <c r="K201" s="4">
        <v>116367013129.366</v>
      </c>
      <c r="L201" s="4">
        <f t="shared" si="14"/>
        <v>904868755203.72498</v>
      </c>
      <c r="M201" s="5">
        <f t="shared" si="15"/>
        <v>0.12860098490544827</v>
      </c>
      <c r="O201" s="3">
        <v>41935</v>
      </c>
      <c r="P201">
        <v>0.42272700072756098</v>
      </c>
      <c r="Q201">
        <v>904868755203.72498</v>
      </c>
    </row>
    <row r="202" spans="2:17">
      <c r="B202" s="2">
        <v>41942</v>
      </c>
      <c r="C202">
        <f t="shared" si="12"/>
        <v>0.98146296312210002</v>
      </c>
      <c r="D202">
        <f t="shared" si="13"/>
        <v>0.90425801000292305</v>
      </c>
      <c r="F202" s="3">
        <v>41942</v>
      </c>
      <c r="G202">
        <v>0.98146296312210002</v>
      </c>
      <c r="I202" s="3">
        <v>41942</v>
      </c>
      <c r="J202">
        <v>0.90425801000292305</v>
      </c>
      <c r="K202" s="4">
        <v>116367013129.366</v>
      </c>
      <c r="L202" s="4">
        <f t="shared" si="14"/>
        <v>904868755203.72498</v>
      </c>
      <c r="M202" s="5">
        <f t="shared" si="15"/>
        <v>0.12860098490544827</v>
      </c>
      <c r="O202" s="3">
        <v>41942</v>
      </c>
      <c r="P202">
        <v>0.39286667249963197</v>
      </c>
      <c r="Q202">
        <v>904868755203.72498</v>
      </c>
    </row>
    <row r="203" spans="2:17">
      <c r="B203" s="2">
        <v>41949</v>
      </c>
      <c r="C203">
        <f t="shared" si="12"/>
        <v>0.97081970689119501</v>
      </c>
      <c r="D203">
        <f t="shared" si="13"/>
        <v>0.89330807391308997</v>
      </c>
      <c r="F203" s="3">
        <v>41949</v>
      </c>
      <c r="G203">
        <v>0.97081970689119501</v>
      </c>
      <c r="I203" s="3">
        <v>41949</v>
      </c>
      <c r="J203">
        <v>0.89330807391308997</v>
      </c>
      <c r="K203" s="4">
        <v>113578619016.686</v>
      </c>
      <c r="L203" s="4">
        <f t="shared" si="14"/>
        <v>911144707396.39795</v>
      </c>
      <c r="M203" s="5">
        <f t="shared" si="15"/>
        <v>0.12465486337646373</v>
      </c>
      <c r="O203" s="3">
        <v>41949</v>
      </c>
      <c r="P203">
        <v>0.354143081837822</v>
      </c>
      <c r="Q203">
        <v>911144707396.39795</v>
      </c>
    </row>
    <row r="204" spans="2:17">
      <c r="B204" s="2">
        <v>41956</v>
      </c>
      <c r="C204">
        <f t="shared" si="12"/>
        <v>0.97082427955975303</v>
      </c>
      <c r="D204">
        <f t="shared" si="13"/>
        <v>0.89333391711787102</v>
      </c>
      <c r="F204" s="3">
        <v>41956</v>
      </c>
      <c r="G204">
        <v>0.97082427955975303</v>
      </c>
      <c r="I204" s="3">
        <v>41956</v>
      </c>
      <c r="J204">
        <v>0.89333391711787102</v>
      </c>
      <c r="K204" s="4">
        <v>113578619016.686</v>
      </c>
      <c r="L204" s="4">
        <f t="shared" si="14"/>
        <v>911144707396.39795</v>
      </c>
      <c r="M204" s="5">
        <f t="shared" si="15"/>
        <v>0.12465486337646373</v>
      </c>
      <c r="O204" s="3">
        <v>41956</v>
      </c>
      <c r="P204">
        <v>0.354271281217999</v>
      </c>
      <c r="Q204">
        <v>911144707396.39795</v>
      </c>
    </row>
    <row r="205" spans="2:17">
      <c r="B205" s="2">
        <v>41963</v>
      </c>
      <c r="C205">
        <f t="shared" si="12"/>
        <v>0.98114317383489702</v>
      </c>
      <c r="D205">
        <f t="shared" si="13"/>
        <v>0.905011241503064</v>
      </c>
      <c r="F205" s="3">
        <v>41963</v>
      </c>
      <c r="G205">
        <v>0.98114317383489702</v>
      </c>
      <c r="I205" s="3">
        <v>41963</v>
      </c>
      <c r="J205">
        <v>0.905011241503064</v>
      </c>
      <c r="K205" s="4">
        <v>113578619016.686</v>
      </c>
      <c r="L205" s="4">
        <f t="shared" si="14"/>
        <v>911144707396.39795</v>
      </c>
      <c r="M205" s="5">
        <f t="shared" si="15"/>
        <v>0.12465486337646373</v>
      </c>
      <c r="O205" s="3">
        <v>41963</v>
      </c>
      <c r="P205">
        <v>0.38515221599308302</v>
      </c>
      <c r="Q205">
        <v>911144707396.39795</v>
      </c>
    </row>
    <row r="206" spans="2:17">
      <c r="B206" s="2">
        <v>41969</v>
      </c>
      <c r="C206">
        <f t="shared" si="12"/>
        <v>0.98115309471965295</v>
      </c>
      <c r="D206">
        <f t="shared" si="13"/>
        <v>0.90562471296629599</v>
      </c>
      <c r="F206" s="3">
        <v>41969</v>
      </c>
      <c r="G206">
        <v>0.98115309471965295</v>
      </c>
      <c r="I206" s="3">
        <v>41969</v>
      </c>
      <c r="J206">
        <v>0.90562471296629599</v>
      </c>
      <c r="K206" s="4">
        <v>113578619016.686</v>
      </c>
      <c r="L206" s="4">
        <f t="shared" si="14"/>
        <v>911144707396.39795</v>
      </c>
      <c r="M206" s="5">
        <f t="shared" si="15"/>
        <v>0.12465486337646373</v>
      </c>
      <c r="O206" s="3">
        <v>41969</v>
      </c>
      <c r="P206">
        <v>0.38537159802743798</v>
      </c>
      <c r="Q206">
        <v>911144707396.39795</v>
      </c>
    </row>
    <row r="207" spans="2:17">
      <c r="B207" s="2">
        <v>41977</v>
      </c>
      <c r="C207">
        <f t="shared" si="12"/>
        <v>0.98784281177175604</v>
      </c>
      <c r="D207">
        <f t="shared" si="13"/>
        <v>0.91738283856560698</v>
      </c>
      <c r="F207" s="3">
        <v>41977</v>
      </c>
      <c r="G207">
        <v>0.98784281177175604</v>
      </c>
      <c r="I207" s="3">
        <v>41977</v>
      </c>
      <c r="J207">
        <v>0.91738283856560698</v>
      </c>
      <c r="K207" s="4">
        <v>111141034606.26401</v>
      </c>
      <c r="L207" s="4">
        <f t="shared" si="14"/>
        <v>915537820187.26404</v>
      </c>
      <c r="M207" s="5">
        <f t="shared" si="15"/>
        <v>0.12139425827709796</v>
      </c>
      <c r="O207" s="3">
        <v>41977</v>
      </c>
      <c r="P207">
        <v>0.40924051329753303</v>
      </c>
      <c r="Q207">
        <v>915537820187.26404</v>
      </c>
    </row>
    <row r="208" spans="2:17">
      <c r="B208" s="2">
        <v>41984</v>
      </c>
      <c r="C208">
        <f t="shared" si="12"/>
        <v>0.98783408332259803</v>
      </c>
      <c r="D208">
        <f t="shared" si="13"/>
        <v>0.91630211530110295</v>
      </c>
      <c r="F208" s="3">
        <v>41984</v>
      </c>
      <c r="G208">
        <v>0.98783408332259803</v>
      </c>
      <c r="I208" s="3">
        <v>41984</v>
      </c>
      <c r="J208">
        <v>0.91630211530110295</v>
      </c>
      <c r="K208" s="4">
        <v>111141034606.26401</v>
      </c>
      <c r="L208" s="4">
        <f t="shared" si="14"/>
        <v>915537820187.26404</v>
      </c>
      <c r="M208" s="5">
        <f t="shared" si="15"/>
        <v>0.12139425827709796</v>
      </c>
      <c r="O208" s="3">
        <v>41984</v>
      </c>
      <c r="P208">
        <v>0.40805805717169102</v>
      </c>
      <c r="Q208">
        <v>915537820187.26404</v>
      </c>
    </row>
    <row r="209" spans="2:17">
      <c r="B209" s="2">
        <v>41991</v>
      </c>
      <c r="C209">
        <f t="shared" si="12"/>
        <v>0.99479182701672098</v>
      </c>
      <c r="D209">
        <f t="shared" si="13"/>
        <v>0.92646419287507198</v>
      </c>
      <c r="F209" s="3">
        <v>41991</v>
      </c>
      <c r="G209">
        <v>0.99479182701672098</v>
      </c>
      <c r="I209" s="3">
        <v>41991</v>
      </c>
      <c r="J209">
        <v>0.92646419287507198</v>
      </c>
      <c r="K209" s="4">
        <v>111141034606.26401</v>
      </c>
      <c r="L209" s="4">
        <f t="shared" si="14"/>
        <v>915537820187.26404</v>
      </c>
      <c r="M209" s="5">
        <f t="shared" si="15"/>
        <v>0.12139425827709796</v>
      </c>
      <c r="O209" s="3">
        <v>41991</v>
      </c>
      <c r="P209">
        <v>0.44444312661220597</v>
      </c>
      <c r="Q209">
        <v>915537820187.26404</v>
      </c>
    </row>
    <row r="210" spans="2:17">
      <c r="B210" s="2">
        <v>41997</v>
      </c>
      <c r="C210">
        <f t="shared" si="12"/>
        <v>0.99479023677626099</v>
      </c>
      <c r="D210">
        <f t="shared" si="13"/>
        <v>0.92571360320613905</v>
      </c>
      <c r="F210" s="3">
        <v>41997</v>
      </c>
      <c r="G210">
        <v>0.99479023677626099</v>
      </c>
      <c r="I210" s="3">
        <v>41997</v>
      </c>
      <c r="J210">
        <v>0.92571360320613905</v>
      </c>
      <c r="K210" s="4">
        <v>111141034606.26401</v>
      </c>
      <c r="L210" s="4">
        <f t="shared" si="14"/>
        <v>915537820187.26404</v>
      </c>
      <c r="M210" s="5">
        <f t="shared" si="15"/>
        <v>0.12139425827709796</v>
      </c>
      <c r="O210" s="3">
        <v>41997</v>
      </c>
      <c r="P210">
        <v>0.44157633126364998</v>
      </c>
      <c r="Q210">
        <v>915537820187.26404</v>
      </c>
    </row>
    <row r="211" spans="2:17">
      <c r="B211" s="2">
        <v>42004</v>
      </c>
      <c r="C211">
        <f t="shared" si="12"/>
        <v>0.98784159692108897</v>
      </c>
      <c r="D211">
        <f t="shared" si="13"/>
        <v>0.91736458306846103</v>
      </c>
      <c r="F211" s="3">
        <v>42004</v>
      </c>
      <c r="G211">
        <v>0.98784159692108897</v>
      </c>
      <c r="I211" s="3">
        <v>42004</v>
      </c>
      <c r="J211">
        <v>0.91736458306846103</v>
      </c>
      <c r="K211" s="4">
        <v>111141034606.26401</v>
      </c>
      <c r="L211" s="4">
        <f t="shared" si="14"/>
        <v>915537820187.26404</v>
      </c>
      <c r="M211" s="5">
        <f t="shared" si="15"/>
        <v>0.12139425827709796</v>
      </c>
      <c r="O211" s="3">
        <v>42004</v>
      </c>
      <c r="P211">
        <v>0.40919489925904201</v>
      </c>
      <c r="Q211">
        <v>915537820187.26404</v>
      </c>
    </row>
    <row r="212" spans="2:17">
      <c r="B212" s="2">
        <v>42012</v>
      </c>
      <c r="C212">
        <f t="shared" si="12"/>
        <v>0.99863696366528298</v>
      </c>
      <c r="D212">
        <f t="shared" si="13"/>
        <v>0.93802679486435903</v>
      </c>
      <c r="F212" s="3">
        <v>42012</v>
      </c>
      <c r="G212">
        <v>0.99863696366528298</v>
      </c>
      <c r="I212" s="3">
        <v>42012</v>
      </c>
      <c r="J212">
        <v>0.93802679486435903</v>
      </c>
      <c r="K212" s="4">
        <v>108459729439.83501</v>
      </c>
      <c r="L212" s="4">
        <f t="shared" si="14"/>
        <v>919051298499.69104</v>
      </c>
      <c r="M212" s="5">
        <f t="shared" si="15"/>
        <v>0.11801270464106903</v>
      </c>
      <c r="O212" s="3">
        <v>42012</v>
      </c>
      <c r="P212">
        <v>0.46998057061549697</v>
      </c>
      <c r="Q212">
        <v>919051298499.69104</v>
      </c>
    </row>
    <row r="213" spans="2:17">
      <c r="B213" s="2">
        <v>42019</v>
      </c>
      <c r="C213">
        <f t="shared" si="12"/>
        <v>0.99972875942488504</v>
      </c>
      <c r="D213">
        <f t="shared" si="13"/>
        <v>0.94118254536371704</v>
      </c>
      <c r="F213" s="3">
        <v>42019</v>
      </c>
      <c r="G213">
        <v>0.99972875942488504</v>
      </c>
      <c r="I213" s="3">
        <v>42019</v>
      </c>
      <c r="J213">
        <v>0.94118254536371704</v>
      </c>
      <c r="K213" s="4">
        <v>108459729439.83501</v>
      </c>
      <c r="L213" s="4">
        <f t="shared" si="14"/>
        <v>919051298499.69104</v>
      </c>
      <c r="M213" s="5">
        <f t="shared" si="15"/>
        <v>0.11801270464106903</v>
      </c>
      <c r="O213" s="3">
        <v>42019</v>
      </c>
      <c r="P213">
        <v>0.52605134754242699</v>
      </c>
      <c r="Q213">
        <v>919051298499.69104</v>
      </c>
    </row>
    <row r="214" spans="2:17">
      <c r="B214" s="2">
        <v>42026</v>
      </c>
      <c r="C214">
        <f t="shared" si="12"/>
        <v>0.99972875942488504</v>
      </c>
      <c r="D214">
        <f t="shared" si="13"/>
        <v>0.94123508910533804</v>
      </c>
      <c r="F214" s="3">
        <v>42026</v>
      </c>
      <c r="G214">
        <v>0.99972875942488504</v>
      </c>
      <c r="I214" s="3">
        <v>42026</v>
      </c>
      <c r="J214">
        <v>0.94123508910533804</v>
      </c>
      <c r="K214" s="4">
        <v>108459729439.83501</v>
      </c>
      <c r="L214" s="4">
        <f t="shared" si="14"/>
        <v>919051298499.69104</v>
      </c>
      <c r="M214" s="5">
        <f t="shared" si="15"/>
        <v>0.11801270464106903</v>
      </c>
      <c r="O214" s="3">
        <v>42026</v>
      </c>
      <c r="P214">
        <v>0.52835609079609303</v>
      </c>
      <c r="Q214">
        <v>919051298499.69104</v>
      </c>
    </row>
    <row r="215" spans="2:17">
      <c r="B215" s="2">
        <v>42033</v>
      </c>
      <c r="C215">
        <f t="shared" si="12"/>
        <v>0.99972875942488504</v>
      </c>
      <c r="D215">
        <f t="shared" si="13"/>
        <v>0.94118254536371704</v>
      </c>
      <c r="F215" s="3">
        <v>42033</v>
      </c>
      <c r="G215">
        <v>0.99972875942488504</v>
      </c>
      <c r="I215" s="3">
        <v>42033</v>
      </c>
      <c r="J215">
        <v>0.94118254536371704</v>
      </c>
      <c r="K215" s="4">
        <v>108459729439.83501</v>
      </c>
      <c r="L215" s="4">
        <f t="shared" si="14"/>
        <v>919051298499.69104</v>
      </c>
      <c r="M215" s="5">
        <f t="shared" si="15"/>
        <v>0.11801270464106903</v>
      </c>
      <c r="O215" s="3">
        <v>42033</v>
      </c>
      <c r="P215">
        <v>0.52605134754242699</v>
      </c>
      <c r="Q215">
        <v>919051298499.69104</v>
      </c>
    </row>
    <row r="216" spans="2:17">
      <c r="B216" s="2">
        <v>42040</v>
      </c>
      <c r="C216">
        <f t="shared" si="12"/>
        <v>0.99972493862629996</v>
      </c>
      <c r="D216">
        <f t="shared" si="13"/>
        <v>0.94276245790638102</v>
      </c>
      <c r="F216" s="3">
        <v>42040</v>
      </c>
      <c r="G216">
        <v>0.99972493862629996</v>
      </c>
      <c r="I216" s="3">
        <v>42040</v>
      </c>
      <c r="J216">
        <v>0.94276245790638102</v>
      </c>
      <c r="K216" s="4">
        <v>106176807405.543</v>
      </c>
      <c r="L216" s="4">
        <f t="shared" si="14"/>
        <v>929906802060.74402</v>
      </c>
      <c r="M216" s="5">
        <f t="shared" si="15"/>
        <v>0.11418005242057283</v>
      </c>
      <c r="O216" s="3">
        <v>42040</v>
      </c>
      <c r="P216">
        <v>0.52546022650124202</v>
      </c>
      <c r="Q216">
        <v>929906802060.74402</v>
      </c>
    </row>
    <row r="217" spans="2:17">
      <c r="B217" s="2">
        <v>42047</v>
      </c>
      <c r="C217">
        <f t="shared" si="12"/>
        <v>0.99902094218210002</v>
      </c>
      <c r="D217">
        <f t="shared" si="13"/>
        <v>0.94029174019523298</v>
      </c>
      <c r="F217" s="3">
        <v>42047</v>
      </c>
      <c r="G217">
        <v>0.99902094218210002</v>
      </c>
      <c r="I217" s="3">
        <v>42047</v>
      </c>
      <c r="J217">
        <v>0.94029174019523298</v>
      </c>
      <c r="K217" s="4">
        <v>106176807405.543</v>
      </c>
      <c r="L217" s="4">
        <f t="shared" si="14"/>
        <v>929906802060.74402</v>
      </c>
      <c r="M217" s="5">
        <f t="shared" si="15"/>
        <v>0.11418005242057283</v>
      </c>
      <c r="O217" s="3">
        <v>42047</v>
      </c>
      <c r="P217">
        <v>0.49442366816029598</v>
      </c>
      <c r="Q217">
        <v>929906802060.74402</v>
      </c>
    </row>
    <row r="218" spans="2:17">
      <c r="B218" s="2">
        <v>42054</v>
      </c>
      <c r="C218">
        <f t="shared" si="12"/>
        <v>0.99863084569716998</v>
      </c>
      <c r="D218">
        <f t="shared" si="13"/>
        <v>0.93829546422584498</v>
      </c>
      <c r="F218" s="3">
        <v>42054</v>
      </c>
      <c r="G218">
        <v>0.99863084569716998</v>
      </c>
      <c r="I218" s="3">
        <v>42054</v>
      </c>
      <c r="J218">
        <v>0.93829546422584498</v>
      </c>
      <c r="K218" s="4">
        <v>106176807405.543</v>
      </c>
      <c r="L218" s="4">
        <f t="shared" si="14"/>
        <v>929906802060.74402</v>
      </c>
      <c r="M218" s="5">
        <f t="shared" si="15"/>
        <v>0.11418005242057283</v>
      </c>
      <c r="O218" s="3">
        <v>42054</v>
      </c>
      <c r="P218">
        <v>0.46098343440077399</v>
      </c>
      <c r="Q218">
        <v>929906802060.74402</v>
      </c>
    </row>
    <row r="219" spans="2:17">
      <c r="B219" s="2">
        <v>42061</v>
      </c>
      <c r="C219">
        <f t="shared" si="12"/>
        <v>0.99472881095047105</v>
      </c>
      <c r="D219">
        <f t="shared" si="13"/>
        <v>0.93258058102369301</v>
      </c>
      <c r="F219" s="3">
        <v>42061</v>
      </c>
      <c r="G219">
        <v>0.99472881095047105</v>
      </c>
      <c r="I219" s="3">
        <v>42061</v>
      </c>
      <c r="J219">
        <v>0.93258058102369301</v>
      </c>
      <c r="K219" s="4">
        <v>106176807405.543</v>
      </c>
      <c r="L219" s="4">
        <f t="shared" si="14"/>
        <v>929906802060.74402</v>
      </c>
      <c r="M219" s="5">
        <f t="shared" si="15"/>
        <v>0.11418005242057283</v>
      </c>
      <c r="O219" s="3">
        <v>42061</v>
      </c>
      <c r="P219">
        <v>0.43010921248141898</v>
      </c>
      <c r="Q219">
        <v>929906802060.74402</v>
      </c>
    </row>
    <row r="220" spans="2:17">
      <c r="B220" s="2">
        <v>42068</v>
      </c>
      <c r="C220">
        <f t="shared" si="12"/>
        <v>0.99843910380784895</v>
      </c>
      <c r="D220">
        <f t="shared" si="13"/>
        <v>0.93870362974987798</v>
      </c>
      <c r="F220" s="3">
        <v>42068</v>
      </c>
      <c r="G220">
        <v>0.99843910380784895</v>
      </c>
      <c r="I220" s="3">
        <v>42068</v>
      </c>
      <c r="J220">
        <v>0.93870362974987798</v>
      </c>
      <c r="K220" s="4">
        <v>103782963597.884</v>
      </c>
      <c r="L220" s="4">
        <f t="shared" si="14"/>
        <v>931776684212.27002</v>
      </c>
      <c r="M220" s="5">
        <f t="shared" si="15"/>
        <v>0.11138179926193666</v>
      </c>
      <c r="O220" s="3">
        <v>42068</v>
      </c>
      <c r="P220">
        <v>0.452940630341364</v>
      </c>
      <c r="Q220">
        <v>931776684212.27002</v>
      </c>
    </row>
    <row r="221" spans="2:17">
      <c r="B221" s="2">
        <v>42075</v>
      </c>
      <c r="C221">
        <f t="shared" si="12"/>
        <v>0.98728276128744996</v>
      </c>
      <c r="D221">
        <f t="shared" si="13"/>
        <v>0.92338991003179305</v>
      </c>
      <c r="F221" s="3">
        <v>42075</v>
      </c>
      <c r="G221">
        <v>0.98728276128744996</v>
      </c>
      <c r="I221" s="3">
        <v>42075</v>
      </c>
      <c r="J221">
        <v>0.92338991003179305</v>
      </c>
      <c r="K221" s="4">
        <v>103782963597.884</v>
      </c>
      <c r="L221" s="4">
        <f t="shared" si="14"/>
        <v>931776684212.27002</v>
      </c>
      <c r="M221" s="5">
        <f t="shared" si="15"/>
        <v>0.11138179926193666</v>
      </c>
      <c r="O221" s="3">
        <v>42075</v>
      </c>
      <c r="P221">
        <v>0.38705290362762201</v>
      </c>
      <c r="Q221">
        <v>931776684212.27002</v>
      </c>
    </row>
    <row r="222" spans="2:17">
      <c r="B222" s="2">
        <v>42082</v>
      </c>
      <c r="C222">
        <f t="shared" si="12"/>
        <v>0.99843910380784895</v>
      </c>
      <c r="D222">
        <f t="shared" si="13"/>
        <v>0.93778619299504695</v>
      </c>
      <c r="F222" s="3">
        <v>42082</v>
      </c>
      <c r="G222">
        <v>0.99843910380784895</v>
      </c>
      <c r="I222" s="3">
        <v>42082</v>
      </c>
      <c r="J222">
        <v>0.93778619299504695</v>
      </c>
      <c r="K222" s="4">
        <v>103782963597.884</v>
      </c>
      <c r="L222" s="4">
        <f t="shared" si="14"/>
        <v>931776684212.27002</v>
      </c>
      <c r="M222" s="5">
        <f t="shared" si="15"/>
        <v>0.11138179926193666</v>
      </c>
      <c r="O222" s="3">
        <v>42082</v>
      </c>
      <c r="P222">
        <v>0.45175307267929898</v>
      </c>
      <c r="Q222">
        <v>931776684212.27002</v>
      </c>
    </row>
    <row r="223" spans="2:17">
      <c r="B223" s="2">
        <v>42089</v>
      </c>
      <c r="C223">
        <f t="shared" si="12"/>
        <v>0.99887607034173698</v>
      </c>
      <c r="D223">
        <f t="shared" si="13"/>
        <v>0.94062134279207998</v>
      </c>
      <c r="F223" s="3">
        <v>42089</v>
      </c>
      <c r="G223">
        <v>0.99887607034173698</v>
      </c>
      <c r="I223" s="3">
        <v>42089</v>
      </c>
      <c r="J223">
        <v>0.94062134279207998</v>
      </c>
      <c r="K223" s="4">
        <v>103782963597.884</v>
      </c>
      <c r="L223" s="4">
        <f t="shared" si="14"/>
        <v>931776684212.27002</v>
      </c>
      <c r="M223" s="5">
        <f t="shared" si="15"/>
        <v>0.11138179926193666</v>
      </c>
      <c r="O223" s="3">
        <v>42089</v>
      </c>
      <c r="P223">
        <v>0.48615161590543599</v>
      </c>
      <c r="Q223">
        <v>931776684212.27002</v>
      </c>
    </row>
    <row r="224" spans="2:17">
      <c r="B224" s="2">
        <v>42096</v>
      </c>
      <c r="C224">
        <f t="shared" si="12"/>
        <v>0.99885910901552399</v>
      </c>
      <c r="D224">
        <f t="shared" si="13"/>
        <v>0.94047446142896596</v>
      </c>
      <c r="F224" s="3">
        <v>42096</v>
      </c>
      <c r="G224">
        <v>0.99885910901552399</v>
      </c>
      <c r="I224" s="3">
        <v>42096</v>
      </c>
      <c r="J224">
        <v>0.94047446142896596</v>
      </c>
      <c r="K224" s="4">
        <v>100652792127.048</v>
      </c>
      <c r="L224" s="4">
        <f t="shared" si="14"/>
        <v>936106192313.56702</v>
      </c>
      <c r="M224" s="5">
        <f t="shared" si="15"/>
        <v>0.10752283550041125</v>
      </c>
      <c r="O224" s="3">
        <v>42096</v>
      </c>
      <c r="P224">
        <v>0.470728843596744</v>
      </c>
      <c r="Q224">
        <v>936106192313.56702</v>
      </c>
    </row>
    <row r="225" spans="2:17">
      <c r="B225" s="2">
        <v>42103</v>
      </c>
      <c r="C225">
        <f t="shared" si="12"/>
        <v>0.99960994368004696</v>
      </c>
      <c r="D225">
        <f t="shared" si="13"/>
        <v>0.94241786802401695</v>
      </c>
      <c r="F225" s="3">
        <v>42103</v>
      </c>
      <c r="G225">
        <v>0.99960994368004696</v>
      </c>
      <c r="I225" s="3">
        <v>42103</v>
      </c>
      <c r="J225">
        <v>0.94241786802401695</v>
      </c>
      <c r="K225" s="4">
        <v>100652792127.048</v>
      </c>
      <c r="L225" s="4">
        <f t="shared" si="14"/>
        <v>936106192313.56702</v>
      </c>
      <c r="M225" s="5">
        <f t="shared" si="15"/>
        <v>0.10752283550041125</v>
      </c>
      <c r="O225" s="3">
        <v>42103</v>
      </c>
      <c r="P225">
        <v>0.49915608737725298</v>
      </c>
      <c r="Q225">
        <v>936106192313.56702</v>
      </c>
    </row>
    <row r="226" spans="2:17">
      <c r="B226" s="2">
        <v>42110</v>
      </c>
      <c r="C226">
        <f t="shared" si="12"/>
        <v>0.99885981007337399</v>
      </c>
      <c r="D226">
        <f t="shared" si="13"/>
        <v>0.94078919694529395</v>
      </c>
      <c r="F226" s="3">
        <v>42110</v>
      </c>
      <c r="G226">
        <v>0.99885981007337399</v>
      </c>
      <c r="I226" s="3">
        <v>42110</v>
      </c>
      <c r="J226">
        <v>0.94078919694529395</v>
      </c>
      <c r="K226" s="4">
        <v>100652792127.048</v>
      </c>
      <c r="L226" s="4">
        <f t="shared" si="14"/>
        <v>936106192313.56702</v>
      </c>
      <c r="M226" s="5">
        <f t="shared" si="15"/>
        <v>0.10752283550041125</v>
      </c>
      <c r="O226" s="3">
        <v>42110</v>
      </c>
      <c r="P226">
        <v>0.472608899236447</v>
      </c>
      <c r="Q226">
        <v>936106192313.56702</v>
      </c>
    </row>
    <row r="227" spans="2:17">
      <c r="B227" s="6">
        <v>42117</v>
      </c>
      <c r="C227">
        <f t="shared" si="12"/>
        <v>0.99960994368004696</v>
      </c>
      <c r="D227">
        <f t="shared" si="13"/>
        <v>0.94300276803956395</v>
      </c>
      <c r="F227" s="3">
        <v>42117</v>
      </c>
      <c r="G227">
        <v>0.99960994368004696</v>
      </c>
      <c r="I227" s="3">
        <v>42117</v>
      </c>
      <c r="J227">
        <v>0.94300276803956395</v>
      </c>
      <c r="K227" s="4">
        <v>100652792127.048</v>
      </c>
      <c r="L227" s="4">
        <f t="shared" si="14"/>
        <v>936106192313.56702</v>
      </c>
      <c r="M227" s="5">
        <f t="shared" si="15"/>
        <v>0.10752283550041125</v>
      </c>
      <c r="O227" s="3">
        <v>42117</v>
      </c>
      <c r="P227">
        <v>0.50167016442184997</v>
      </c>
      <c r="Q227">
        <v>936106192313.56702</v>
      </c>
    </row>
    <row r="228" spans="2:17">
      <c r="F228" s="3">
        <v>42124</v>
      </c>
      <c r="G228">
        <v>0.99885981007337399</v>
      </c>
      <c r="I228" s="3">
        <v>42124</v>
      </c>
      <c r="J228">
        <v>0.94125909426309795</v>
      </c>
      <c r="K228" s="4">
        <v>100652792127.048</v>
      </c>
      <c r="L228" s="4">
        <f t="shared" si="14"/>
        <v>936106192313.56702</v>
      </c>
      <c r="M228" s="5">
        <f t="shared" si="15"/>
        <v>0.10752283550041125</v>
      </c>
      <c r="O228" s="3">
        <v>42124</v>
      </c>
      <c r="P228">
        <v>0.473923065418694</v>
      </c>
      <c r="Q228">
        <v>936106192313.56702</v>
      </c>
    </row>
  </sheetData>
  <pageMargins left="0.7" right="0.7" top="0.75" bottom="0.75" header="0.3" footer="0.3"/>
  <pageSetup scale="78" orientation="landscape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HARPable Universe</vt:lpstr>
      <vt:lpstr>'HARPable Universe'!Print_Area</vt:lpstr>
      <vt:lpstr>'HARPable Universe'!temp1</vt:lpstr>
      <vt:lpstr>'HARPable Universe'!temp1_1</vt:lpstr>
      <vt:lpstr>'HARPable Universe'!temp1_2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2015-05-07T14:46:26Z</dcterms:created>
  <dcterms:modified xsi:type="dcterms:W3CDTF">2015-05-07T14:47:36Z</dcterms:modified>
</cp:coreProperties>
</file>