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harts/chart3.xml" ContentType="application/vnd.openxmlformats-officedocument.drawingml.chart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/>
  </bookViews>
  <sheets>
    <sheet name="Report" sheetId="16" r:id="rId1"/>
    <sheet name="Query" sheetId="18" r:id="rId2"/>
    <sheet name="Bloomberg" sheetId="19" r:id="rId3"/>
    <sheet name="Function Of Rate" sheetId="27" r:id="rId4"/>
    <sheet name="Current Coupon" sheetId="28" r:id="rId5"/>
  </sheets>
  <functionGroups builtInGroupCount="17"/>
  <externalReferences>
    <externalReference r:id="rId6"/>
    <externalReference r:id="rId7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>Report!$AA$2</definedName>
    <definedName name="CurrentRate">CurrentMtgRatesDataTable82523[SeriesNumValue]</definedName>
    <definedName name="CurrentRate1">'Function Of Rate'!$C$5</definedName>
    <definedName name="CurrentRateDate">CurrentMtgRatesDataTable82523[AsOfDate]</definedName>
    <definedName name="CurrMonth">Report!$AA$9</definedName>
    <definedName name="CuurentRate1">'Function Of Rate'!$C$5</definedName>
    <definedName name="CuurRate">CurrentMtgRatesDataTable82523[SeriesNumValue]</definedName>
    <definedName name="DatabaseEnv">Report!$AA$1</definedName>
    <definedName name="DateToChangeLag">Report!$AA$12</definedName>
    <definedName name="HistoricalMtgRatesDataTable">#REF!</definedName>
    <definedName name="ImpliedRate">'Function Of Rate'!$C$10</definedName>
    <definedName name="IR">#REF!</definedName>
    <definedName name="LastMonth">Report!$AA$10</definedName>
    <definedName name="LastThursday">Report!$AA$13</definedName>
    <definedName name="MmExcelLinker_D5EFE7B8_A5AE_4CC6_B628_05FDC84CBEA4">Early Market [2]Data!$C$44:$C$44</definedName>
    <definedName name="NoLagTopTenDataTable">#REF!</definedName>
    <definedName name="OneDayBusDate">#REF!</definedName>
    <definedName name="OneMonthBusDate">#REF!</definedName>
    <definedName name="OneWeekBusDate">#REF!</definedName>
    <definedName name="PDFReportDir">Report!$AA$3</definedName>
    <definedName name="PDFReportName">Report!$AA$4</definedName>
    <definedName name="PivotTable10">#REF!</definedName>
    <definedName name="PivotTable11">#REF!</definedName>
    <definedName name="PivotTable12">#REF!</definedName>
    <definedName name="_xlnm.Print_Area" localSheetId="0">Report!$B$1:$U$54</definedName>
    <definedName name="Query_from_Agency_10" localSheetId="1" hidden="1">Query!#REF!</definedName>
    <definedName name="Query_from_Agency_11" localSheetId="3" hidden="1">'Function Of Rate'!$B$2:$C$3</definedName>
    <definedName name="Query_from_Agency_11" localSheetId="1" hidden="1">Query!#REF!</definedName>
    <definedName name="Query_from_Agency_12" localSheetId="3" hidden="1">'Function Of Rate'!$F$2:$P$3</definedName>
    <definedName name="Query_from_Agency_12" localSheetId="1" hidden="1">Query!#REF!</definedName>
    <definedName name="Query_from_Agency_13" localSheetId="3" hidden="1">'Function Of Rate'!$F$7:$P$8</definedName>
    <definedName name="Query_from_Agency_13" localSheetId="1" hidden="1">Query!$I$2:$J$465</definedName>
    <definedName name="Query_from_Agency_14" localSheetId="3" hidden="1">'Function Of Rate'!$F$11:$P$12</definedName>
    <definedName name="Query_from_Agency_14" localSheetId="1" hidden="1">Query!$O$2:$P$464</definedName>
    <definedName name="Query_from_Agency_15" localSheetId="3" hidden="1">'Function Of Rate'!$F$31:$P$32</definedName>
    <definedName name="Query_from_Agency_15" localSheetId="1" hidden="1">Query!$S$2:$T$465</definedName>
    <definedName name="Query_from_Agency_6" localSheetId="1" hidden="1">Query!$B$2:$C$465</definedName>
    <definedName name="Query_from_Agency_7" localSheetId="4" hidden="1">'Current Coupon'!$S$4:$U$7</definedName>
    <definedName name="Query_from_Agency_7" localSheetId="1" hidden="1">Query!#REF!</definedName>
    <definedName name="Query_from_Agency_8" localSheetId="4" hidden="1">'Current Coupon'!$A$4:$C$40</definedName>
    <definedName name="Query_from_Agency_8" localSheetId="1" hidden="1">Query!#REF!</definedName>
    <definedName name="Query_from_Agency_9" localSheetId="1" hidden="1">Query!#REF!</definedName>
    <definedName name="SaveRatesToDB">Report!$AC$1</definedName>
    <definedName name="ServSpread">'Function Of Rate'!$C$9</definedName>
    <definedName name="SPREAD_DATE">'Function Of Rate'!$B$9</definedName>
    <definedName name="temp" localSheetId="1">Query!#REF!</definedName>
    <definedName name="temp_1" localSheetId="1">Query!#REF!</definedName>
    <definedName name="temp_17">#REF!</definedName>
    <definedName name="temp_2" localSheetId="1">Query!#REF!</definedName>
    <definedName name="temp_8">#REF!</definedName>
    <definedName name="temp1" localSheetId="1">Query!#REF!</definedName>
    <definedName name="temp1_1" localSheetId="1">Query!#REF!</definedName>
    <definedName name="temp1_2" localSheetId="1">Query!#REF!</definedName>
  </definedNames>
  <calcPr calcId="145621"/>
</workbook>
</file>

<file path=xl/calcChain.xml><?xml version="1.0" encoding="utf-8"?>
<calcChain xmlns="http://schemas.openxmlformats.org/spreadsheetml/2006/main">
  <c r="J51" i="16" l="1"/>
  <c r="J50" i="16"/>
  <c r="J49" i="16"/>
  <c r="J48" i="16"/>
  <c r="J47" i="16"/>
  <c r="J46" i="16"/>
  <c r="J45" i="16"/>
  <c r="J44" i="16"/>
  <c r="J43" i="16"/>
  <c r="J42" i="16"/>
  <c r="I51" i="16"/>
  <c r="I50" i="16"/>
  <c r="I49" i="16"/>
  <c r="I48" i="16"/>
  <c r="I47" i="16"/>
  <c r="I46" i="16"/>
  <c r="I45" i="16"/>
  <c r="I44" i="16"/>
  <c r="I43" i="16"/>
  <c r="I42" i="16"/>
  <c r="H51" i="16"/>
  <c r="H50" i="16"/>
  <c r="H49" i="16"/>
  <c r="H48" i="16"/>
  <c r="H47" i="16"/>
  <c r="H46" i="16"/>
  <c r="H45" i="16"/>
  <c r="H44" i="16"/>
  <c r="H43" i="16"/>
  <c r="H42" i="16"/>
  <c r="G51" i="16"/>
  <c r="G50" i="16"/>
  <c r="G49" i="16"/>
  <c r="G48" i="16"/>
  <c r="G47" i="16"/>
  <c r="G46" i="16"/>
  <c r="G45" i="16"/>
  <c r="G44" i="16"/>
  <c r="G43" i="16"/>
  <c r="G42" i="16"/>
  <c r="F51" i="16"/>
  <c r="F50" i="16"/>
  <c r="F49" i="16"/>
  <c r="F48" i="16"/>
  <c r="F47" i="16"/>
  <c r="F46" i="16"/>
  <c r="F45" i="16"/>
  <c r="F44" i="16"/>
  <c r="F43" i="16"/>
  <c r="F42" i="16"/>
  <c r="E51" i="16"/>
  <c r="E50" i="16"/>
  <c r="E49" i="16"/>
  <c r="E48" i="16"/>
  <c r="E47" i="16"/>
  <c r="E46" i="16"/>
  <c r="E45" i="16"/>
  <c r="E44" i="16"/>
  <c r="E43" i="16"/>
  <c r="E42" i="16"/>
  <c r="D51" i="16"/>
  <c r="D50" i="16"/>
  <c r="D49" i="16"/>
  <c r="D48" i="16"/>
  <c r="D47" i="16"/>
  <c r="D46" i="16"/>
  <c r="D45" i="16"/>
  <c r="D44" i="16"/>
  <c r="D43" i="16"/>
  <c r="D42" i="16"/>
  <c r="C51" i="16"/>
  <c r="C50" i="16"/>
  <c r="C49" i="16"/>
  <c r="C48" i="16"/>
  <c r="C47" i="16"/>
  <c r="C46" i="16"/>
  <c r="C45" i="16"/>
  <c r="C44" i="16"/>
  <c r="C43" i="16"/>
  <c r="C42" i="16"/>
  <c r="K3" i="18"/>
  <c r="K4" i="18"/>
  <c r="K5" i="18"/>
  <c r="K6" i="18"/>
  <c r="K7" i="18"/>
  <c r="K8" i="18"/>
  <c r="K9" i="18"/>
  <c r="K10" i="18"/>
  <c r="K11" i="18"/>
  <c r="K12" i="18"/>
  <c r="K13" i="18"/>
  <c r="K14" i="18"/>
  <c r="K15" i="18"/>
  <c r="K16" i="18"/>
  <c r="K17" i="18"/>
  <c r="K18" i="18"/>
  <c r="K19" i="18"/>
  <c r="K20" i="18"/>
  <c r="K21" i="18"/>
  <c r="K22" i="18"/>
  <c r="K23" i="18"/>
  <c r="K24" i="18"/>
  <c r="K25" i="18"/>
  <c r="K26" i="18"/>
  <c r="K27" i="18"/>
  <c r="K28" i="18"/>
  <c r="K29" i="18"/>
  <c r="K30" i="18"/>
  <c r="K31" i="18"/>
  <c r="K32" i="18"/>
  <c r="K33" i="18"/>
  <c r="K34" i="18"/>
  <c r="K35" i="18"/>
  <c r="K36" i="18"/>
  <c r="K37" i="18"/>
  <c r="K38" i="18"/>
  <c r="K39" i="18"/>
  <c r="K40" i="18"/>
  <c r="K41" i="18"/>
  <c r="K42" i="18"/>
  <c r="K43" i="18"/>
  <c r="K44" i="18"/>
  <c r="K45" i="18"/>
  <c r="K46" i="18"/>
  <c r="K47" i="18"/>
  <c r="K48" i="18"/>
  <c r="K49" i="18"/>
  <c r="K50" i="18"/>
  <c r="K51" i="18"/>
  <c r="K52" i="18"/>
  <c r="K53" i="18"/>
  <c r="K54" i="18"/>
  <c r="K55" i="18"/>
  <c r="K56" i="18"/>
  <c r="K57" i="18"/>
  <c r="K58" i="18"/>
  <c r="K59" i="18"/>
  <c r="K60" i="18"/>
  <c r="K61" i="18"/>
  <c r="K62" i="18"/>
  <c r="K63" i="18"/>
  <c r="K64" i="18"/>
  <c r="K65" i="18"/>
  <c r="K66" i="18"/>
  <c r="K67" i="18"/>
  <c r="K68" i="18"/>
  <c r="K69" i="18"/>
  <c r="K70" i="18"/>
  <c r="K71" i="18"/>
  <c r="K72" i="18"/>
  <c r="K73" i="18"/>
  <c r="K74" i="18"/>
  <c r="K75" i="18"/>
  <c r="K76" i="18"/>
  <c r="K77" i="18"/>
  <c r="K78" i="18"/>
  <c r="K79" i="18"/>
  <c r="K80" i="18"/>
  <c r="K81" i="18"/>
  <c r="K82" i="18"/>
  <c r="K83" i="18"/>
  <c r="K84" i="18"/>
  <c r="K85" i="18"/>
  <c r="K86" i="18"/>
  <c r="K87" i="18"/>
  <c r="K88" i="18"/>
  <c r="K89" i="18"/>
  <c r="K90" i="18"/>
  <c r="K91" i="18"/>
  <c r="K92" i="18"/>
  <c r="K93" i="18"/>
  <c r="K94" i="18"/>
  <c r="K95" i="18"/>
  <c r="K96" i="18"/>
  <c r="K97" i="18"/>
  <c r="K98" i="18"/>
  <c r="K99" i="18"/>
  <c r="K100" i="18"/>
  <c r="K101" i="18"/>
  <c r="K102" i="18"/>
  <c r="K103" i="18"/>
  <c r="K104" i="18"/>
  <c r="K105" i="18"/>
  <c r="K106" i="18"/>
  <c r="K107" i="18"/>
  <c r="K108" i="18"/>
  <c r="K109" i="18"/>
  <c r="K110" i="18"/>
  <c r="K111" i="18"/>
  <c r="K112" i="18"/>
  <c r="K113" i="18"/>
  <c r="K114" i="18"/>
  <c r="K115" i="18"/>
  <c r="K116" i="18"/>
  <c r="K117" i="18"/>
  <c r="K118" i="18"/>
  <c r="K119" i="18"/>
  <c r="K120" i="18"/>
  <c r="K121" i="18"/>
  <c r="K122" i="18"/>
  <c r="K123" i="18"/>
  <c r="K124" i="18"/>
  <c r="K125" i="18"/>
  <c r="K126" i="18"/>
  <c r="K127" i="18"/>
  <c r="K128" i="18"/>
  <c r="K129" i="18"/>
  <c r="K130" i="18"/>
  <c r="K131" i="18"/>
  <c r="K132" i="18"/>
  <c r="K133" i="18"/>
  <c r="K134" i="18"/>
  <c r="K135" i="18"/>
  <c r="K136" i="18"/>
  <c r="K137" i="18"/>
  <c r="K138" i="18"/>
  <c r="K139" i="18"/>
  <c r="K140" i="18"/>
  <c r="K141" i="18"/>
  <c r="K142" i="18"/>
  <c r="K143" i="18"/>
  <c r="K144" i="18"/>
  <c r="K145" i="18"/>
  <c r="K146" i="18"/>
  <c r="K147" i="18"/>
  <c r="K148" i="18"/>
  <c r="K149" i="18"/>
  <c r="K150" i="18"/>
  <c r="K151" i="18"/>
  <c r="K152" i="18"/>
  <c r="K153" i="18"/>
  <c r="K154" i="18"/>
  <c r="K155" i="18"/>
  <c r="K156" i="18"/>
  <c r="K157" i="18"/>
  <c r="K158" i="18"/>
  <c r="K159" i="18"/>
  <c r="K160" i="18"/>
  <c r="K161" i="18"/>
  <c r="K162" i="18"/>
  <c r="K163" i="18"/>
  <c r="K164" i="18"/>
  <c r="K165" i="18"/>
  <c r="K166" i="18"/>
  <c r="K167" i="18"/>
  <c r="K168" i="18"/>
  <c r="K169" i="18"/>
  <c r="K170" i="18"/>
  <c r="K171" i="18"/>
  <c r="K172" i="18"/>
  <c r="K173" i="18"/>
  <c r="K174" i="18"/>
  <c r="K175" i="18"/>
  <c r="K176" i="18"/>
  <c r="K177" i="18"/>
  <c r="K178" i="18"/>
  <c r="K179" i="18"/>
  <c r="K180" i="18"/>
  <c r="K181" i="18"/>
  <c r="K182" i="18"/>
  <c r="K183" i="18"/>
  <c r="K184" i="18"/>
  <c r="K185" i="18"/>
  <c r="K186" i="18"/>
  <c r="K187" i="18"/>
  <c r="K188" i="18"/>
  <c r="K189" i="18"/>
  <c r="K190" i="18"/>
  <c r="K191" i="18"/>
  <c r="K192" i="18"/>
  <c r="K193" i="18"/>
  <c r="K194" i="18"/>
  <c r="K195" i="18"/>
  <c r="K196" i="18"/>
  <c r="K197" i="18"/>
  <c r="K198" i="18"/>
  <c r="K199" i="18"/>
  <c r="K200" i="18"/>
  <c r="K201" i="18"/>
  <c r="K202" i="18"/>
  <c r="K203" i="18"/>
  <c r="K204" i="18"/>
  <c r="K205" i="18"/>
  <c r="K206" i="18"/>
  <c r="K207" i="18"/>
  <c r="K208" i="18"/>
  <c r="K209" i="18"/>
  <c r="K210" i="18"/>
  <c r="K211" i="18"/>
  <c r="K212" i="18"/>
  <c r="K213" i="18"/>
  <c r="K214" i="18"/>
  <c r="K215" i="18"/>
  <c r="K216" i="18"/>
  <c r="K217" i="18"/>
  <c r="K218" i="18"/>
  <c r="K219" i="18"/>
  <c r="K220" i="18"/>
  <c r="K221" i="18"/>
  <c r="K222" i="18"/>
  <c r="K223" i="18"/>
  <c r="K224" i="18"/>
  <c r="K225" i="18"/>
  <c r="K226" i="18"/>
  <c r="K227" i="18"/>
  <c r="K228" i="18"/>
  <c r="K229" i="18"/>
  <c r="K230" i="18"/>
  <c r="K231" i="18"/>
  <c r="K232" i="18"/>
  <c r="K233" i="18"/>
  <c r="K234" i="18"/>
  <c r="K235" i="18"/>
  <c r="K236" i="18"/>
  <c r="K237" i="18"/>
  <c r="K238" i="18"/>
  <c r="K239" i="18"/>
  <c r="K240" i="18"/>
  <c r="K241" i="18"/>
  <c r="K242" i="18"/>
  <c r="K243" i="18"/>
  <c r="K244" i="18"/>
  <c r="K245" i="18"/>
  <c r="K246" i="18"/>
  <c r="K247" i="18"/>
  <c r="K248" i="18"/>
  <c r="K249" i="18"/>
  <c r="K250" i="18"/>
  <c r="K251" i="18"/>
  <c r="K252" i="18"/>
  <c r="K253" i="18"/>
  <c r="K254" i="18"/>
  <c r="K255" i="18"/>
  <c r="K256" i="18"/>
  <c r="K257" i="18"/>
  <c r="K258" i="18"/>
  <c r="K259" i="18"/>
  <c r="K260" i="18"/>
  <c r="K261" i="18"/>
  <c r="K262" i="18"/>
  <c r="K263" i="18"/>
  <c r="K264" i="18"/>
  <c r="K265" i="18"/>
  <c r="K266" i="18"/>
  <c r="K267" i="18"/>
  <c r="K268" i="18"/>
  <c r="K269" i="18"/>
  <c r="K270" i="18"/>
  <c r="K271" i="18"/>
  <c r="K272" i="18"/>
  <c r="K273" i="18"/>
  <c r="K274" i="18"/>
  <c r="K275" i="18"/>
  <c r="K276" i="18"/>
  <c r="K277" i="18"/>
  <c r="K278" i="18"/>
  <c r="K279" i="18"/>
  <c r="K280" i="18"/>
  <c r="K281" i="18"/>
  <c r="K282" i="18"/>
  <c r="K283" i="18"/>
  <c r="K284" i="18"/>
  <c r="K285" i="18"/>
  <c r="K286" i="18"/>
  <c r="K287" i="18"/>
  <c r="K288" i="18"/>
  <c r="K289" i="18"/>
  <c r="K290" i="18"/>
  <c r="K291" i="18"/>
  <c r="K292" i="18"/>
  <c r="K293" i="18"/>
  <c r="K294" i="18"/>
  <c r="K295" i="18"/>
  <c r="K296" i="18"/>
  <c r="K297" i="18"/>
  <c r="K298" i="18"/>
  <c r="K299" i="18"/>
  <c r="K300" i="18"/>
  <c r="K301" i="18"/>
  <c r="K302" i="18"/>
  <c r="K303" i="18"/>
  <c r="K304" i="18"/>
  <c r="K305" i="18"/>
  <c r="K306" i="18"/>
  <c r="K307" i="18"/>
  <c r="K308" i="18"/>
  <c r="K309" i="18"/>
  <c r="K310" i="18"/>
  <c r="K311" i="18"/>
  <c r="K312" i="18"/>
  <c r="K313" i="18"/>
  <c r="K314" i="18"/>
  <c r="K315" i="18"/>
  <c r="K316" i="18"/>
  <c r="K317" i="18"/>
  <c r="K318" i="18"/>
  <c r="K319" i="18"/>
  <c r="K320" i="18"/>
  <c r="K321" i="18"/>
  <c r="K322" i="18"/>
  <c r="K323" i="18"/>
  <c r="K324" i="18"/>
  <c r="K325" i="18"/>
  <c r="K326" i="18"/>
  <c r="K327" i="18"/>
  <c r="K328" i="18"/>
  <c r="K329" i="18"/>
  <c r="K330" i="18"/>
  <c r="K331" i="18"/>
  <c r="K332" i="18"/>
  <c r="K333" i="18"/>
  <c r="K334" i="18"/>
  <c r="K335" i="18"/>
  <c r="K336" i="18"/>
  <c r="K337" i="18"/>
  <c r="K338" i="18"/>
  <c r="K339" i="18"/>
  <c r="K340" i="18"/>
  <c r="K341" i="18"/>
  <c r="K342" i="18"/>
  <c r="K343" i="18"/>
  <c r="K344" i="18"/>
  <c r="K345" i="18"/>
  <c r="K346" i="18"/>
  <c r="K347" i="18"/>
  <c r="K348" i="18"/>
  <c r="K349" i="18"/>
  <c r="K350" i="18"/>
  <c r="K351" i="18"/>
  <c r="K352" i="18"/>
  <c r="K353" i="18"/>
  <c r="K354" i="18"/>
  <c r="K355" i="18"/>
  <c r="K356" i="18"/>
  <c r="K357" i="18"/>
  <c r="K358" i="18"/>
  <c r="K359" i="18"/>
  <c r="K360" i="18"/>
  <c r="K361" i="18"/>
  <c r="K362" i="18"/>
  <c r="K363" i="18"/>
  <c r="K364" i="18"/>
  <c r="K365" i="18"/>
  <c r="K366" i="18"/>
  <c r="K367" i="18"/>
  <c r="K368" i="18"/>
  <c r="K369" i="18"/>
  <c r="K370" i="18"/>
  <c r="K371" i="18"/>
  <c r="K372" i="18"/>
  <c r="K373" i="18"/>
  <c r="K374" i="18"/>
  <c r="K375" i="18"/>
  <c r="K376" i="18"/>
  <c r="K377" i="18"/>
  <c r="K378" i="18"/>
  <c r="K379" i="18"/>
  <c r="K380" i="18"/>
  <c r="K381" i="18"/>
  <c r="K382" i="18"/>
  <c r="K383" i="18"/>
  <c r="K384" i="18"/>
  <c r="K385" i="18"/>
  <c r="K386" i="18"/>
  <c r="K387" i="18"/>
  <c r="K388" i="18"/>
  <c r="K389" i="18"/>
  <c r="K390" i="18"/>
  <c r="K391" i="18"/>
  <c r="K392" i="18"/>
  <c r="K393" i="18"/>
  <c r="K394" i="18"/>
  <c r="K395" i="18"/>
  <c r="K396" i="18"/>
  <c r="K397" i="18"/>
  <c r="K398" i="18"/>
  <c r="K399" i="18"/>
  <c r="K400" i="18"/>
  <c r="K401" i="18"/>
  <c r="K402" i="18"/>
  <c r="K403" i="18"/>
  <c r="K404" i="18"/>
  <c r="K405" i="18"/>
  <c r="K406" i="18"/>
  <c r="K407" i="18"/>
  <c r="K408" i="18"/>
  <c r="K409" i="18"/>
  <c r="K410" i="18"/>
  <c r="K411" i="18"/>
  <c r="K412" i="18"/>
  <c r="K413" i="18"/>
  <c r="K414" i="18"/>
  <c r="K415" i="18"/>
  <c r="K416" i="18"/>
  <c r="K417" i="18"/>
  <c r="K418" i="18"/>
  <c r="K419" i="18"/>
  <c r="K420" i="18"/>
  <c r="K421" i="18"/>
  <c r="K422" i="18"/>
  <c r="K423" i="18"/>
  <c r="K424" i="18"/>
  <c r="K425" i="18"/>
  <c r="K426" i="18"/>
  <c r="K427" i="18"/>
  <c r="K428" i="18"/>
  <c r="K429" i="18"/>
  <c r="K430" i="18"/>
  <c r="K431" i="18"/>
  <c r="K432" i="18"/>
  <c r="K433" i="18"/>
  <c r="K434" i="18"/>
  <c r="K435" i="18"/>
  <c r="K436" i="18"/>
  <c r="K437" i="18"/>
  <c r="K438" i="18"/>
  <c r="K439" i="18"/>
  <c r="K440" i="18"/>
  <c r="K441" i="18"/>
  <c r="K442" i="18"/>
  <c r="K443" i="18"/>
  <c r="K444" i="18"/>
  <c r="K445" i="18"/>
  <c r="K446" i="18"/>
  <c r="K447" i="18"/>
  <c r="K448" i="18"/>
  <c r="K449" i="18"/>
  <c r="K450" i="18"/>
  <c r="K451" i="18"/>
  <c r="K452" i="18"/>
  <c r="K453" i="18"/>
  <c r="K454" i="18"/>
  <c r="K455" i="18"/>
  <c r="K456" i="18"/>
  <c r="K457" i="18"/>
  <c r="K458" i="18"/>
  <c r="K459" i="18"/>
  <c r="K460" i="18"/>
  <c r="K461" i="18"/>
  <c r="K462" i="18"/>
  <c r="K463" i="18"/>
  <c r="K464" i="18"/>
  <c r="K465" i="18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7" i="18"/>
  <c r="L58" i="18"/>
  <c r="L59" i="18"/>
  <c r="L60" i="18"/>
  <c r="L61" i="18"/>
  <c r="L62" i="18"/>
  <c r="L63" i="18"/>
  <c r="L64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1" i="18"/>
  <c r="L92" i="18"/>
  <c r="L93" i="18"/>
  <c r="L94" i="18"/>
  <c r="L95" i="18"/>
  <c r="L96" i="18"/>
  <c r="L97" i="18"/>
  <c r="L98" i="18"/>
  <c r="L99" i="18"/>
  <c r="L100" i="18"/>
  <c r="L101" i="18"/>
  <c r="L102" i="18"/>
  <c r="L103" i="18"/>
  <c r="L104" i="18"/>
  <c r="L105" i="18"/>
  <c r="L106" i="18"/>
  <c r="L107" i="18"/>
  <c r="L108" i="18"/>
  <c r="L109" i="18"/>
  <c r="L110" i="18"/>
  <c r="L111" i="18"/>
  <c r="L112" i="18"/>
  <c r="L113" i="18"/>
  <c r="L114" i="18"/>
  <c r="L115" i="18"/>
  <c r="L116" i="18"/>
  <c r="L117" i="18"/>
  <c r="L118" i="18"/>
  <c r="L119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5" i="18"/>
  <c r="L136" i="18"/>
  <c r="L137" i="18"/>
  <c r="L138" i="18"/>
  <c r="L139" i="18"/>
  <c r="L140" i="18"/>
  <c r="L141" i="18"/>
  <c r="L142" i="18"/>
  <c r="L143" i="18"/>
  <c r="L144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L173" i="18"/>
  <c r="L174" i="18"/>
  <c r="L175" i="18"/>
  <c r="L176" i="18"/>
  <c r="L177" i="18"/>
  <c r="L178" i="18"/>
  <c r="L179" i="18"/>
  <c r="L180" i="18"/>
  <c r="L181" i="18"/>
  <c r="L182" i="18"/>
  <c r="L183" i="18"/>
  <c r="L184" i="18"/>
  <c r="L185" i="18"/>
  <c r="L186" i="18"/>
  <c r="L187" i="18"/>
  <c r="L188" i="18"/>
  <c r="L189" i="18"/>
  <c r="L190" i="18"/>
  <c r="L191" i="18"/>
  <c r="L192" i="18"/>
  <c r="L193" i="18"/>
  <c r="L194" i="18"/>
  <c r="L195" i="18"/>
  <c r="L196" i="18"/>
  <c r="L197" i="18"/>
  <c r="L198" i="18"/>
  <c r="L199" i="18"/>
  <c r="L200" i="18"/>
  <c r="L201" i="18"/>
  <c r="L202" i="18"/>
  <c r="L203" i="18"/>
  <c r="L204" i="18"/>
  <c r="L205" i="18"/>
  <c r="L206" i="18"/>
  <c r="L207" i="18"/>
  <c r="L208" i="18"/>
  <c r="L209" i="18"/>
  <c r="L210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24" i="18"/>
  <c r="L225" i="18"/>
  <c r="L226" i="18"/>
  <c r="L227" i="18"/>
  <c r="L228" i="18"/>
  <c r="L229" i="18"/>
  <c r="L230" i="18"/>
  <c r="L231" i="18"/>
  <c r="L232" i="18"/>
  <c r="L233" i="18"/>
  <c r="L234" i="18"/>
  <c r="L235" i="18"/>
  <c r="L236" i="18"/>
  <c r="L237" i="18"/>
  <c r="L238" i="18"/>
  <c r="L239" i="18"/>
  <c r="L240" i="18"/>
  <c r="L241" i="18"/>
  <c r="L242" i="18"/>
  <c r="L243" i="18"/>
  <c r="L244" i="18"/>
  <c r="L245" i="18"/>
  <c r="L246" i="18"/>
  <c r="L247" i="18"/>
  <c r="L248" i="18"/>
  <c r="L249" i="18"/>
  <c r="L250" i="18"/>
  <c r="L251" i="18"/>
  <c r="L252" i="18"/>
  <c r="L253" i="18"/>
  <c r="L254" i="18"/>
  <c r="L255" i="18"/>
  <c r="L256" i="18"/>
  <c r="L257" i="18"/>
  <c r="L258" i="18"/>
  <c r="L259" i="18"/>
  <c r="L260" i="18"/>
  <c r="L261" i="18"/>
  <c r="L262" i="18"/>
  <c r="L263" i="18"/>
  <c r="L264" i="18"/>
  <c r="L265" i="18"/>
  <c r="L266" i="18"/>
  <c r="L267" i="18"/>
  <c r="L268" i="18"/>
  <c r="L269" i="18"/>
  <c r="L270" i="18"/>
  <c r="L271" i="18"/>
  <c r="L272" i="18"/>
  <c r="L273" i="18"/>
  <c r="L274" i="18"/>
  <c r="L275" i="18"/>
  <c r="L276" i="18"/>
  <c r="L277" i="18"/>
  <c r="L278" i="18"/>
  <c r="L279" i="18"/>
  <c r="L280" i="18"/>
  <c r="L281" i="18"/>
  <c r="L282" i="18"/>
  <c r="L283" i="18"/>
  <c r="L284" i="18"/>
  <c r="L285" i="18"/>
  <c r="L286" i="18"/>
  <c r="L287" i="18"/>
  <c r="L288" i="18"/>
  <c r="L289" i="18"/>
  <c r="L290" i="18"/>
  <c r="L291" i="18"/>
  <c r="L292" i="18"/>
  <c r="L293" i="18"/>
  <c r="L294" i="18"/>
  <c r="L295" i="18"/>
  <c r="L296" i="18"/>
  <c r="L297" i="18"/>
  <c r="L298" i="18"/>
  <c r="L299" i="18"/>
  <c r="L300" i="18"/>
  <c r="L301" i="18"/>
  <c r="L302" i="18"/>
  <c r="L303" i="18"/>
  <c r="L304" i="18"/>
  <c r="L305" i="18"/>
  <c r="L306" i="18"/>
  <c r="L307" i="18"/>
  <c r="L308" i="18"/>
  <c r="L309" i="18"/>
  <c r="L310" i="18"/>
  <c r="L311" i="18"/>
  <c r="L312" i="18"/>
  <c r="L313" i="18"/>
  <c r="L314" i="18"/>
  <c r="L315" i="18"/>
  <c r="L316" i="18"/>
  <c r="L317" i="18"/>
  <c r="L318" i="18"/>
  <c r="L319" i="18"/>
  <c r="L320" i="18"/>
  <c r="L321" i="18"/>
  <c r="L322" i="18"/>
  <c r="L323" i="18"/>
  <c r="L324" i="18"/>
  <c r="L325" i="18"/>
  <c r="L326" i="18"/>
  <c r="L327" i="18"/>
  <c r="L328" i="18"/>
  <c r="L329" i="18"/>
  <c r="L330" i="18"/>
  <c r="L331" i="18"/>
  <c r="L332" i="18"/>
  <c r="L333" i="18"/>
  <c r="L334" i="18"/>
  <c r="L335" i="18"/>
  <c r="L336" i="18"/>
  <c r="L337" i="18"/>
  <c r="L338" i="18"/>
  <c r="L339" i="18"/>
  <c r="L340" i="18"/>
  <c r="L341" i="18"/>
  <c r="L342" i="18"/>
  <c r="L343" i="18"/>
  <c r="L344" i="18"/>
  <c r="L345" i="18"/>
  <c r="L346" i="18"/>
  <c r="L347" i="18"/>
  <c r="L348" i="18"/>
  <c r="L349" i="18"/>
  <c r="L350" i="18"/>
  <c r="L351" i="18"/>
  <c r="L352" i="18"/>
  <c r="L353" i="18"/>
  <c r="L354" i="18"/>
  <c r="L355" i="18"/>
  <c r="L356" i="18"/>
  <c r="L357" i="18"/>
  <c r="L358" i="18"/>
  <c r="L359" i="18"/>
  <c r="L360" i="18"/>
  <c r="L361" i="18"/>
  <c r="L362" i="18"/>
  <c r="L363" i="18"/>
  <c r="L364" i="18"/>
  <c r="L365" i="18"/>
  <c r="L366" i="18"/>
  <c r="L367" i="18"/>
  <c r="L368" i="18"/>
  <c r="L369" i="18"/>
  <c r="L370" i="18"/>
  <c r="L371" i="18"/>
  <c r="L372" i="18"/>
  <c r="L373" i="18"/>
  <c r="L374" i="18"/>
  <c r="L375" i="18"/>
  <c r="L376" i="18"/>
  <c r="L377" i="18"/>
  <c r="L378" i="18"/>
  <c r="L379" i="18"/>
  <c r="L380" i="18"/>
  <c r="L381" i="18"/>
  <c r="L382" i="18"/>
  <c r="L383" i="18"/>
  <c r="L384" i="18"/>
  <c r="L385" i="18"/>
  <c r="L386" i="18"/>
  <c r="L387" i="18"/>
  <c r="L388" i="18"/>
  <c r="L389" i="18"/>
  <c r="L390" i="18"/>
  <c r="L391" i="18"/>
  <c r="L392" i="18"/>
  <c r="L393" i="18"/>
  <c r="L394" i="18"/>
  <c r="L395" i="18"/>
  <c r="L396" i="18"/>
  <c r="L397" i="18"/>
  <c r="L398" i="18"/>
  <c r="L399" i="18"/>
  <c r="L400" i="18"/>
  <c r="L401" i="18"/>
  <c r="L402" i="18"/>
  <c r="L403" i="18"/>
  <c r="L404" i="18"/>
  <c r="L405" i="18"/>
  <c r="L406" i="18"/>
  <c r="L407" i="18"/>
  <c r="L408" i="18"/>
  <c r="L409" i="18"/>
  <c r="L410" i="18"/>
  <c r="L411" i="18"/>
  <c r="L412" i="18"/>
  <c r="L413" i="18"/>
  <c r="L414" i="18"/>
  <c r="L415" i="18"/>
  <c r="L416" i="18"/>
  <c r="L417" i="18"/>
  <c r="L418" i="18"/>
  <c r="L419" i="18"/>
  <c r="L420" i="18"/>
  <c r="L421" i="18"/>
  <c r="L422" i="18"/>
  <c r="L423" i="18"/>
  <c r="L424" i="18"/>
  <c r="L425" i="18"/>
  <c r="L426" i="18"/>
  <c r="L427" i="18"/>
  <c r="L428" i="18"/>
  <c r="L429" i="18"/>
  <c r="L430" i="18"/>
  <c r="L431" i="18"/>
  <c r="L432" i="18"/>
  <c r="L433" i="18"/>
  <c r="L434" i="18"/>
  <c r="L435" i="18"/>
  <c r="L436" i="18"/>
  <c r="L437" i="18"/>
  <c r="L438" i="18"/>
  <c r="L439" i="18"/>
  <c r="L440" i="18"/>
  <c r="L441" i="18"/>
  <c r="L442" i="18"/>
  <c r="L443" i="18"/>
  <c r="L444" i="18"/>
  <c r="L445" i="18"/>
  <c r="L446" i="18"/>
  <c r="L447" i="18"/>
  <c r="L448" i="18"/>
  <c r="L449" i="18"/>
  <c r="L450" i="18"/>
  <c r="L451" i="18"/>
  <c r="L452" i="18"/>
  <c r="L453" i="18"/>
  <c r="L454" i="18"/>
  <c r="L455" i="18"/>
  <c r="L456" i="18"/>
  <c r="L457" i="18"/>
  <c r="L458" i="18"/>
  <c r="L459" i="18"/>
  <c r="L460" i="18"/>
  <c r="L461" i="18"/>
  <c r="L462" i="18"/>
  <c r="L463" i="18"/>
  <c r="L464" i="18"/>
  <c r="L465" i="18"/>
  <c r="D5" i="28"/>
  <c r="D6" i="28"/>
  <c r="D7" i="28"/>
  <c r="D8" i="28"/>
  <c r="D9" i="28"/>
  <c r="D10" i="28"/>
  <c r="E10" i="28" s="1"/>
  <c r="D11" i="28"/>
  <c r="E11" i="28" s="1"/>
  <c r="D12" i="28"/>
  <c r="D13" i="28"/>
  <c r="D14" i="28"/>
  <c r="D15" i="28"/>
  <c r="D16" i="28"/>
  <c r="D17" i="28"/>
  <c r="D18" i="28"/>
  <c r="E18" i="28" s="1"/>
  <c r="D19" i="28"/>
  <c r="E19" i="28" s="1"/>
  <c r="D20" i="28"/>
  <c r="D21" i="28"/>
  <c r="D22" i="28"/>
  <c r="D23" i="28"/>
  <c r="D24" i="28"/>
  <c r="D25" i="28"/>
  <c r="D26" i="28"/>
  <c r="E26" i="28" s="1"/>
  <c r="D27" i="28"/>
  <c r="E27" i="28" s="1"/>
  <c r="D28" i="28"/>
  <c r="D29" i="28"/>
  <c r="D30" i="28"/>
  <c r="D31" i="28"/>
  <c r="D32" i="28"/>
  <c r="D33" i="28"/>
  <c r="D34" i="28"/>
  <c r="E34" i="28" s="1"/>
  <c r="D35" i="28"/>
  <c r="E35" i="28" s="1"/>
  <c r="D36" i="28"/>
  <c r="D37" i="28"/>
  <c r="D38" i="28"/>
  <c r="D39" i="28"/>
  <c r="D40" i="28"/>
  <c r="E5" i="28"/>
  <c r="E6" i="28"/>
  <c r="E7" i="28"/>
  <c r="E8" i="28"/>
  <c r="E9" i="28"/>
  <c r="E13" i="28"/>
  <c r="E14" i="28"/>
  <c r="E15" i="28"/>
  <c r="E16" i="28"/>
  <c r="E17" i="28"/>
  <c r="E21" i="28"/>
  <c r="E22" i="28"/>
  <c r="E23" i="28"/>
  <c r="E24" i="28"/>
  <c r="E25" i="28"/>
  <c r="E29" i="28"/>
  <c r="E30" i="28"/>
  <c r="E31" i="28"/>
  <c r="E32" i="28"/>
  <c r="E33" i="28"/>
  <c r="E37" i="28"/>
  <c r="E38" i="28"/>
  <c r="E39" i="28"/>
  <c r="E40" i="28"/>
  <c r="F5" i="28"/>
  <c r="F6" i="28" s="1"/>
  <c r="H5" i="28"/>
  <c r="M5" i="28"/>
  <c r="R42" i="16"/>
  <c r="R49" i="16"/>
  <c r="R52" i="16"/>
  <c r="R51" i="16"/>
  <c r="R50" i="16"/>
  <c r="R48" i="16"/>
  <c r="R47" i="16"/>
  <c r="R46" i="16"/>
  <c r="R45" i="16"/>
  <c r="R44" i="16"/>
  <c r="R43" i="16"/>
  <c r="H6" i="28" l="1"/>
  <c r="F7" i="28"/>
  <c r="I6" i="28"/>
  <c r="I5" i="28"/>
  <c r="G5" i="28"/>
  <c r="G6" i="28" s="1"/>
  <c r="E28" i="28"/>
  <c r="E20" i="28"/>
  <c r="E12" i="28"/>
  <c r="E36" i="28"/>
  <c r="AA13" i="16"/>
  <c r="G18" i="27"/>
  <c r="H18" i="27"/>
  <c r="I18" i="27"/>
  <c r="J18" i="27"/>
  <c r="K18" i="27"/>
  <c r="L18" i="27"/>
  <c r="M18" i="27"/>
  <c r="N18" i="27"/>
  <c r="O18" i="27"/>
  <c r="P18" i="27"/>
  <c r="H19" i="27"/>
  <c r="I19" i="27"/>
  <c r="J19" i="27"/>
  <c r="K19" i="27"/>
  <c r="L19" i="27"/>
  <c r="M19" i="27"/>
  <c r="N19" i="27"/>
  <c r="O19" i="27"/>
  <c r="P19" i="27"/>
  <c r="G19" i="27"/>
  <c r="F19" i="27"/>
  <c r="F18" i="27"/>
  <c r="J5" i="28" l="1"/>
  <c r="K5" i="28" s="1"/>
  <c r="M6" i="28"/>
  <c r="J6" i="28"/>
  <c r="M7" i="28"/>
  <c r="G7" i="28"/>
  <c r="H7" i="28"/>
  <c r="I7" i="28" s="1"/>
  <c r="F8" i="28"/>
  <c r="D3" i="18"/>
  <c r="D4" i="18"/>
  <c r="D5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D72" i="18"/>
  <c r="D73" i="18"/>
  <c r="D74" i="18"/>
  <c r="D75" i="18"/>
  <c r="D76" i="18"/>
  <c r="D77" i="18"/>
  <c r="D78" i="18"/>
  <c r="D79" i="18"/>
  <c r="D80" i="18"/>
  <c r="D81" i="18"/>
  <c r="D82" i="18"/>
  <c r="D83" i="18"/>
  <c r="D84" i="18"/>
  <c r="D85" i="18"/>
  <c r="D86" i="18"/>
  <c r="D87" i="18"/>
  <c r="D88" i="18"/>
  <c r="D89" i="18"/>
  <c r="D90" i="18"/>
  <c r="D91" i="18"/>
  <c r="D92" i="18"/>
  <c r="D93" i="18"/>
  <c r="D94" i="18"/>
  <c r="D95" i="18"/>
  <c r="D96" i="18"/>
  <c r="D97" i="18"/>
  <c r="D98" i="18"/>
  <c r="D99" i="18"/>
  <c r="D100" i="18"/>
  <c r="D101" i="18"/>
  <c r="D102" i="18"/>
  <c r="D103" i="18"/>
  <c r="D104" i="18"/>
  <c r="D105" i="18"/>
  <c r="D106" i="18"/>
  <c r="D107" i="18"/>
  <c r="D108" i="18"/>
  <c r="D109" i="18"/>
  <c r="D110" i="18"/>
  <c r="D111" i="18"/>
  <c r="D112" i="18"/>
  <c r="D113" i="18"/>
  <c r="D114" i="18"/>
  <c r="D115" i="18"/>
  <c r="D116" i="18"/>
  <c r="D117" i="18"/>
  <c r="D118" i="18"/>
  <c r="D119" i="18"/>
  <c r="D120" i="18"/>
  <c r="D121" i="18"/>
  <c r="D122" i="18"/>
  <c r="D123" i="18"/>
  <c r="D124" i="18"/>
  <c r="D125" i="18"/>
  <c r="D126" i="18"/>
  <c r="D127" i="18"/>
  <c r="D128" i="18"/>
  <c r="D129" i="18"/>
  <c r="D130" i="18"/>
  <c r="D131" i="18"/>
  <c r="D132" i="18"/>
  <c r="D133" i="18"/>
  <c r="D134" i="18"/>
  <c r="D135" i="18"/>
  <c r="D136" i="18"/>
  <c r="D137" i="18"/>
  <c r="D138" i="18"/>
  <c r="D139" i="18"/>
  <c r="D140" i="18"/>
  <c r="D141" i="18"/>
  <c r="D142" i="18"/>
  <c r="D143" i="18"/>
  <c r="D144" i="18"/>
  <c r="D145" i="18"/>
  <c r="D146" i="18"/>
  <c r="D147" i="18"/>
  <c r="D148" i="18"/>
  <c r="D149" i="18"/>
  <c r="D150" i="18"/>
  <c r="D151" i="18"/>
  <c r="D152" i="18"/>
  <c r="D153" i="18"/>
  <c r="D154" i="18"/>
  <c r="D155" i="18"/>
  <c r="D156" i="18"/>
  <c r="D157" i="18"/>
  <c r="D158" i="18"/>
  <c r="D159" i="18"/>
  <c r="D160" i="18"/>
  <c r="D161" i="18"/>
  <c r="D162" i="18"/>
  <c r="D163" i="18"/>
  <c r="D164" i="18"/>
  <c r="D165" i="18"/>
  <c r="D166" i="18"/>
  <c r="D167" i="18"/>
  <c r="D168" i="18"/>
  <c r="D169" i="18"/>
  <c r="D170" i="18"/>
  <c r="D171" i="18"/>
  <c r="D172" i="18"/>
  <c r="D173" i="18"/>
  <c r="D174" i="18"/>
  <c r="D175" i="18"/>
  <c r="D176" i="18"/>
  <c r="D177" i="18"/>
  <c r="D178" i="18"/>
  <c r="D179" i="18"/>
  <c r="D180" i="18"/>
  <c r="D181" i="18"/>
  <c r="D182" i="18"/>
  <c r="D183" i="18"/>
  <c r="D184" i="18"/>
  <c r="D185" i="18"/>
  <c r="D186" i="18"/>
  <c r="D187" i="18"/>
  <c r="D188" i="18"/>
  <c r="D189" i="18"/>
  <c r="D190" i="18"/>
  <c r="D191" i="18"/>
  <c r="D192" i="18"/>
  <c r="D193" i="18"/>
  <c r="D194" i="18"/>
  <c r="D195" i="18"/>
  <c r="D196" i="18"/>
  <c r="D197" i="18"/>
  <c r="D198" i="18"/>
  <c r="D199" i="18"/>
  <c r="D200" i="18"/>
  <c r="D201" i="18"/>
  <c r="D202" i="18"/>
  <c r="D203" i="18"/>
  <c r="D204" i="18"/>
  <c r="D205" i="18"/>
  <c r="D206" i="18"/>
  <c r="D207" i="18"/>
  <c r="D208" i="18"/>
  <c r="D209" i="18"/>
  <c r="D210" i="18"/>
  <c r="D211" i="18"/>
  <c r="D212" i="18"/>
  <c r="D213" i="18"/>
  <c r="D214" i="18"/>
  <c r="D215" i="18"/>
  <c r="D216" i="18"/>
  <c r="D217" i="18"/>
  <c r="D218" i="18"/>
  <c r="D219" i="18"/>
  <c r="D220" i="18"/>
  <c r="D221" i="18"/>
  <c r="D222" i="18"/>
  <c r="D223" i="18"/>
  <c r="D224" i="18"/>
  <c r="D225" i="18"/>
  <c r="D226" i="18"/>
  <c r="D227" i="18"/>
  <c r="D228" i="18"/>
  <c r="D229" i="18"/>
  <c r="D230" i="18"/>
  <c r="D231" i="18"/>
  <c r="D232" i="18"/>
  <c r="D233" i="18"/>
  <c r="D234" i="18"/>
  <c r="D235" i="18"/>
  <c r="D236" i="18"/>
  <c r="D237" i="18"/>
  <c r="D238" i="18"/>
  <c r="D239" i="18"/>
  <c r="D240" i="18"/>
  <c r="D241" i="18"/>
  <c r="D242" i="18"/>
  <c r="D243" i="18"/>
  <c r="D244" i="18"/>
  <c r="D245" i="18"/>
  <c r="D246" i="18"/>
  <c r="D247" i="18"/>
  <c r="D248" i="18"/>
  <c r="D249" i="18"/>
  <c r="D250" i="18"/>
  <c r="D251" i="18"/>
  <c r="D252" i="18"/>
  <c r="D253" i="18"/>
  <c r="D254" i="18"/>
  <c r="D255" i="18"/>
  <c r="D256" i="18"/>
  <c r="D257" i="18"/>
  <c r="D258" i="18"/>
  <c r="D259" i="18"/>
  <c r="D260" i="18"/>
  <c r="D261" i="18"/>
  <c r="D262" i="18"/>
  <c r="D263" i="18"/>
  <c r="D264" i="18"/>
  <c r="D265" i="18"/>
  <c r="D266" i="18"/>
  <c r="D267" i="18"/>
  <c r="D268" i="18"/>
  <c r="D269" i="18"/>
  <c r="D270" i="18"/>
  <c r="D271" i="18"/>
  <c r="D272" i="18"/>
  <c r="D273" i="18"/>
  <c r="D274" i="18"/>
  <c r="D275" i="18"/>
  <c r="D276" i="18"/>
  <c r="D277" i="18"/>
  <c r="D278" i="18"/>
  <c r="D279" i="18"/>
  <c r="D280" i="18"/>
  <c r="D281" i="18"/>
  <c r="D282" i="18"/>
  <c r="D283" i="18"/>
  <c r="D284" i="18"/>
  <c r="D285" i="18"/>
  <c r="D286" i="18"/>
  <c r="D287" i="18"/>
  <c r="D288" i="18"/>
  <c r="D289" i="18"/>
  <c r="D290" i="18"/>
  <c r="D291" i="18"/>
  <c r="D292" i="18"/>
  <c r="D293" i="18"/>
  <c r="D294" i="18"/>
  <c r="D295" i="18"/>
  <c r="D296" i="18"/>
  <c r="D297" i="18"/>
  <c r="D298" i="18"/>
  <c r="D299" i="18"/>
  <c r="D300" i="18"/>
  <c r="D301" i="18"/>
  <c r="D302" i="18"/>
  <c r="D303" i="18"/>
  <c r="D304" i="18"/>
  <c r="D305" i="18"/>
  <c r="D306" i="18"/>
  <c r="D307" i="18"/>
  <c r="D308" i="18"/>
  <c r="D309" i="18"/>
  <c r="D310" i="18"/>
  <c r="D311" i="18"/>
  <c r="D312" i="18"/>
  <c r="D313" i="18"/>
  <c r="D314" i="18"/>
  <c r="D315" i="18"/>
  <c r="D316" i="18"/>
  <c r="D317" i="18"/>
  <c r="D318" i="18"/>
  <c r="D319" i="18"/>
  <c r="D320" i="18"/>
  <c r="D321" i="18"/>
  <c r="D322" i="18"/>
  <c r="D323" i="18"/>
  <c r="D324" i="18"/>
  <c r="D325" i="18"/>
  <c r="D326" i="18"/>
  <c r="D327" i="18"/>
  <c r="D328" i="18"/>
  <c r="D329" i="18"/>
  <c r="D330" i="18"/>
  <c r="D331" i="18"/>
  <c r="D332" i="18"/>
  <c r="D333" i="18"/>
  <c r="D334" i="18"/>
  <c r="D335" i="18"/>
  <c r="D336" i="18"/>
  <c r="D337" i="18"/>
  <c r="D338" i="18"/>
  <c r="D339" i="18"/>
  <c r="D340" i="18"/>
  <c r="D341" i="18"/>
  <c r="D342" i="18"/>
  <c r="D343" i="18"/>
  <c r="D344" i="18"/>
  <c r="D345" i="18"/>
  <c r="D346" i="18"/>
  <c r="D347" i="18"/>
  <c r="D348" i="18"/>
  <c r="D349" i="18"/>
  <c r="D350" i="18"/>
  <c r="D351" i="18"/>
  <c r="D352" i="18"/>
  <c r="D353" i="18"/>
  <c r="D354" i="18"/>
  <c r="D355" i="18"/>
  <c r="D356" i="18"/>
  <c r="D357" i="18"/>
  <c r="D358" i="18"/>
  <c r="D359" i="18"/>
  <c r="D360" i="18"/>
  <c r="D361" i="18"/>
  <c r="D362" i="18"/>
  <c r="D363" i="18"/>
  <c r="D364" i="18"/>
  <c r="D365" i="18"/>
  <c r="D366" i="18"/>
  <c r="D367" i="18"/>
  <c r="D368" i="18"/>
  <c r="D369" i="18"/>
  <c r="D370" i="18"/>
  <c r="D371" i="18"/>
  <c r="D372" i="18"/>
  <c r="D373" i="18"/>
  <c r="D374" i="18"/>
  <c r="D375" i="18"/>
  <c r="D376" i="18"/>
  <c r="D377" i="18"/>
  <c r="D378" i="18"/>
  <c r="D379" i="18"/>
  <c r="D380" i="18"/>
  <c r="D381" i="18"/>
  <c r="D382" i="18"/>
  <c r="D383" i="18"/>
  <c r="D384" i="18"/>
  <c r="D385" i="18"/>
  <c r="D386" i="18"/>
  <c r="D387" i="18"/>
  <c r="D388" i="18"/>
  <c r="D389" i="18"/>
  <c r="D390" i="18"/>
  <c r="D391" i="18"/>
  <c r="D392" i="18"/>
  <c r="D393" i="18"/>
  <c r="D394" i="18"/>
  <c r="D395" i="18"/>
  <c r="D396" i="18"/>
  <c r="D397" i="18"/>
  <c r="D398" i="18"/>
  <c r="D399" i="18"/>
  <c r="D400" i="18"/>
  <c r="D401" i="18"/>
  <c r="D402" i="18"/>
  <c r="D403" i="18"/>
  <c r="D404" i="18"/>
  <c r="D405" i="18"/>
  <c r="D406" i="18"/>
  <c r="D407" i="18"/>
  <c r="D408" i="18"/>
  <c r="D409" i="18"/>
  <c r="D410" i="18"/>
  <c r="D411" i="18"/>
  <c r="D412" i="18"/>
  <c r="D413" i="18"/>
  <c r="D414" i="18"/>
  <c r="D415" i="18"/>
  <c r="D416" i="18"/>
  <c r="D417" i="18"/>
  <c r="D418" i="18"/>
  <c r="D419" i="18"/>
  <c r="D420" i="18"/>
  <c r="D421" i="18"/>
  <c r="D422" i="18"/>
  <c r="D423" i="18"/>
  <c r="D424" i="18"/>
  <c r="D425" i="18"/>
  <c r="D426" i="18"/>
  <c r="D427" i="18"/>
  <c r="D428" i="18"/>
  <c r="D429" i="18"/>
  <c r="D430" i="18"/>
  <c r="D431" i="18"/>
  <c r="D432" i="18"/>
  <c r="D433" i="18"/>
  <c r="D434" i="18"/>
  <c r="D435" i="18"/>
  <c r="D436" i="18"/>
  <c r="D437" i="18"/>
  <c r="D438" i="18"/>
  <c r="D439" i="18"/>
  <c r="D440" i="18"/>
  <c r="D441" i="18"/>
  <c r="D442" i="18"/>
  <c r="D443" i="18"/>
  <c r="D444" i="18"/>
  <c r="D445" i="18"/>
  <c r="D446" i="18"/>
  <c r="D447" i="18"/>
  <c r="D448" i="18"/>
  <c r="D449" i="18"/>
  <c r="D450" i="18"/>
  <c r="D451" i="18"/>
  <c r="D452" i="18"/>
  <c r="D453" i="18"/>
  <c r="D454" i="18"/>
  <c r="D455" i="18"/>
  <c r="D456" i="18"/>
  <c r="D457" i="18"/>
  <c r="D458" i="18"/>
  <c r="D459" i="18"/>
  <c r="D460" i="18"/>
  <c r="D461" i="18"/>
  <c r="D462" i="18"/>
  <c r="D463" i="18"/>
  <c r="D464" i="18"/>
  <c r="D465" i="18"/>
  <c r="E3" i="18"/>
  <c r="E4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E43" i="18"/>
  <c r="E44" i="18"/>
  <c r="E45" i="18"/>
  <c r="E46" i="18"/>
  <c r="E47" i="18"/>
  <c r="E48" i="18"/>
  <c r="E49" i="18"/>
  <c r="E50" i="18"/>
  <c r="E51" i="18"/>
  <c r="E52" i="18"/>
  <c r="E53" i="18"/>
  <c r="E54" i="18"/>
  <c r="E55" i="18"/>
  <c r="E56" i="18"/>
  <c r="E57" i="18"/>
  <c r="E58" i="18"/>
  <c r="E59" i="18"/>
  <c r="E60" i="18"/>
  <c r="E61" i="18"/>
  <c r="E62" i="18"/>
  <c r="E63" i="18"/>
  <c r="E64" i="18"/>
  <c r="E65" i="18"/>
  <c r="E66" i="18"/>
  <c r="E67" i="18"/>
  <c r="E68" i="18"/>
  <c r="E69" i="18"/>
  <c r="E70" i="18"/>
  <c r="E71" i="18"/>
  <c r="E72" i="18"/>
  <c r="E73" i="18"/>
  <c r="E74" i="18"/>
  <c r="E75" i="18"/>
  <c r="E76" i="18"/>
  <c r="E77" i="18"/>
  <c r="E78" i="18"/>
  <c r="E79" i="18"/>
  <c r="E80" i="18"/>
  <c r="E81" i="18"/>
  <c r="E82" i="18"/>
  <c r="E83" i="18"/>
  <c r="E84" i="18"/>
  <c r="E85" i="18"/>
  <c r="E86" i="18"/>
  <c r="E87" i="18"/>
  <c r="E88" i="18"/>
  <c r="E89" i="18"/>
  <c r="E90" i="18"/>
  <c r="E91" i="18"/>
  <c r="E92" i="18"/>
  <c r="E93" i="18"/>
  <c r="E94" i="18"/>
  <c r="E95" i="18"/>
  <c r="E96" i="18"/>
  <c r="E97" i="18"/>
  <c r="E98" i="18"/>
  <c r="E99" i="18"/>
  <c r="E100" i="18"/>
  <c r="E101" i="18"/>
  <c r="E102" i="18"/>
  <c r="E103" i="18"/>
  <c r="E104" i="18"/>
  <c r="E105" i="18"/>
  <c r="E106" i="18"/>
  <c r="E107" i="18"/>
  <c r="E108" i="18"/>
  <c r="E109" i="18"/>
  <c r="E110" i="18"/>
  <c r="E111" i="18"/>
  <c r="E112" i="18"/>
  <c r="E113" i="18"/>
  <c r="E114" i="18"/>
  <c r="E115" i="18"/>
  <c r="E116" i="18"/>
  <c r="E117" i="18"/>
  <c r="E118" i="18"/>
  <c r="E119" i="18"/>
  <c r="E120" i="18"/>
  <c r="E121" i="18"/>
  <c r="E122" i="18"/>
  <c r="E123" i="18"/>
  <c r="E124" i="18"/>
  <c r="E125" i="18"/>
  <c r="E126" i="18"/>
  <c r="E127" i="18"/>
  <c r="E128" i="18"/>
  <c r="E129" i="18"/>
  <c r="E130" i="18"/>
  <c r="E131" i="18"/>
  <c r="E132" i="18"/>
  <c r="E133" i="18"/>
  <c r="E134" i="18"/>
  <c r="E135" i="18"/>
  <c r="E136" i="18"/>
  <c r="E137" i="18"/>
  <c r="E138" i="18"/>
  <c r="E139" i="18"/>
  <c r="E140" i="18"/>
  <c r="E141" i="18"/>
  <c r="E142" i="18"/>
  <c r="E143" i="18"/>
  <c r="E144" i="18"/>
  <c r="E145" i="18"/>
  <c r="E146" i="18"/>
  <c r="E147" i="18"/>
  <c r="E148" i="18"/>
  <c r="E149" i="18"/>
  <c r="E150" i="18"/>
  <c r="E151" i="18"/>
  <c r="E152" i="18"/>
  <c r="E153" i="18"/>
  <c r="E154" i="18"/>
  <c r="E155" i="18"/>
  <c r="E156" i="18"/>
  <c r="E157" i="18"/>
  <c r="E158" i="18"/>
  <c r="E159" i="18"/>
  <c r="E160" i="18"/>
  <c r="E161" i="18"/>
  <c r="E162" i="18"/>
  <c r="E163" i="18"/>
  <c r="E164" i="18"/>
  <c r="E165" i="18"/>
  <c r="E166" i="18"/>
  <c r="E167" i="18"/>
  <c r="E168" i="18"/>
  <c r="E169" i="18"/>
  <c r="E170" i="18"/>
  <c r="E171" i="18"/>
  <c r="E172" i="18"/>
  <c r="E173" i="18"/>
  <c r="E174" i="18"/>
  <c r="E175" i="18"/>
  <c r="E176" i="18"/>
  <c r="E177" i="18"/>
  <c r="E178" i="18"/>
  <c r="E179" i="18"/>
  <c r="E180" i="18"/>
  <c r="E181" i="18"/>
  <c r="E182" i="18"/>
  <c r="E183" i="18"/>
  <c r="E184" i="18"/>
  <c r="E185" i="18"/>
  <c r="E186" i="18"/>
  <c r="E187" i="18"/>
  <c r="E188" i="18"/>
  <c r="E189" i="18"/>
  <c r="E190" i="18"/>
  <c r="E191" i="18"/>
  <c r="E192" i="18"/>
  <c r="E193" i="18"/>
  <c r="E194" i="18"/>
  <c r="E195" i="18"/>
  <c r="E196" i="18"/>
  <c r="E197" i="18"/>
  <c r="E198" i="18"/>
  <c r="E199" i="18"/>
  <c r="E200" i="18"/>
  <c r="E201" i="18"/>
  <c r="E202" i="18"/>
  <c r="E203" i="18"/>
  <c r="E204" i="18"/>
  <c r="E205" i="18"/>
  <c r="E206" i="18"/>
  <c r="E207" i="18"/>
  <c r="E208" i="18"/>
  <c r="E209" i="18"/>
  <c r="E210" i="18"/>
  <c r="E211" i="18"/>
  <c r="E212" i="18"/>
  <c r="E213" i="18"/>
  <c r="E214" i="18"/>
  <c r="E215" i="18"/>
  <c r="E216" i="18"/>
  <c r="E217" i="18"/>
  <c r="E218" i="18"/>
  <c r="E219" i="18"/>
  <c r="E220" i="18"/>
  <c r="E221" i="18"/>
  <c r="E222" i="18"/>
  <c r="E223" i="18"/>
  <c r="E224" i="18"/>
  <c r="E225" i="18"/>
  <c r="E226" i="18"/>
  <c r="E227" i="18"/>
  <c r="E228" i="18"/>
  <c r="E229" i="18"/>
  <c r="E230" i="18"/>
  <c r="E231" i="18"/>
  <c r="E232" i="18"/>
  <c r="E233" i="18"/>
  <c r="E234" i="18"/>
  <c r="E235" i="18"/>
  <c r="E236" i="18"/>
  <c r="E237" i="18"/>
  <c r="E238" i="18"/>
  <c r="E239" i="18"/>
  <c r="E240" i="18"/>
  <c r="E241" i="18"/>
  <c r="E242" i="18"/>
  <c r="E243" i="18"/>
  <c r="E244" i="18"/>
  <c r="E245" i="18"/>
  <c r="E246" i="18"/>
  <c r="E247" i="18"/>
  <c r="E248" i="18"/>
  <c r="E249" i="18"/>
  <c r="E250" i="18"/>
  <c r="E251" i="18"/>
  <c r="E252" i="18"/>
  <c r="E253" i="18"/>
  <c r="E254" i="18"/>
  <c r="E255" i="18"/>
  <c r="E256" i="18"/>
  <c r="E257" i="18"/>
  <c r="E258" i="18"/>
  <c r="E259" i="18"/>
  <c r="E260" i="18"/>
  <c r="E261" i="18"/>
  <c r="E262" i="18"/>
  <c r="E263" i="18"/>
  <c r="E264" i="18"/>
  <c r="E265" i="18"/>
  <c r="E266" i="18"/>
  <c r="E267" i="18"/>
  <c r="E268" i="18"/>
  <c r="E269" i="18"/>
  <c r="E270" i="18"/>
  <c r="E271" i="18"/>
  <c r="E272" i="18"/>
  <c r="E273" i="18"/>
  <c r="E274" i="18"/>
  <c r="E275" i="18"/>
  <c r="E276" i="18"/>
  <c r="E277" i="18"/>
  <c r="E278" i="18"/>
  <c r="E279" i="18"/>
  <c r="E280" i="18"/>
  <c r="E281" i="18"/>
  <c r="E282" i="18"/>
  <c r="E283" i="18"/>
  <c r="E284" i="18"/>
  <c r="E285" i="18"/>
  <c r="E286" i="18"/>
  <c r="E287" i="18"/>
  <c r="E288" i="18"/>
  <c r="E289" i="18"/>
  <c r="E290" i="18"/>
  <c r="E291" i="18"/>
  <c r="E292" i="18"/>
  <c r="E293" i="18"/>
  <c r="E294" i="18"/>
  <c r="E295" i="18"/>
  <c r="E296" i="18"/>
  <c r="E297" i="18"/>
  <c r="E298" i="18"/>
  <c r="E299" i="18"/>
  <c r="E300" i="18"/>
  <c r="E301" i="18"/>
  <c r="E302" i="18"/>
  <c r="E303" i="18"/>
  <c r="E304" i="18"/>
  <c r="E305" i="18"/>
  <c r="E306" i="18"/>
  <c r="E307" i="18"/>
  <c r="E308" i="18"/>
  <c r="E309" i="18"/>
  <c r="E310" i="18"/>
  <c r="E311" i="18"/>
  <c r="E312" i="18"/>
  <c r="E313" i="18"/>
  <c r="E314" i="18"/>
  <c r="E315" i="18"/>
  <c r="E316" i="18"/>
  <c r="E317" i="18"/>
  <c r="E318" i="18"/>
  <c r="E319" i="18"/>
  <c r="E320" i="18"/>
  <c r="E321" i="18"/>
  <c r="E322" i="18"/>
  <c r="E323" i="18"/>
  <c r="E324" i="18"/>
  <c r="E325" i="18"/>
  <c r="E326" i="18"/>
  <c r="E327" i="18"/>
  <c r="E328" i="18"/>
  <c r="E329" i="18"/>
  <c r="E330" i="18"/>
  <c r="E331" i="18"/>
  <c r="E332" i="18"/>
  <c r="E333" i="18"/>
  <c r="E334" i="18"/>
  <c r="E335" i="18"/>
  <c r="E336" i="18"/>
  <c r="E337" i="18"/>
  <c r="E338" i="18"/>
  <c r="E339" i="18"/>
  <c r="E340" i="18"/>
  <c r="E341" i="18"/>
  <c r="E342" i="18"/>
  <c r="E343" i="18"/>
  <c r="E344" i="18"/>
  <c r="E345" i="18"/>
  <c r="E346" i="18"/>
  <c r="E347" i="18"/>
  <c r="E348" i="18"/>
  <c r="E349" i="18"/>
  <c r="E350" i="18"/>
  <c r="E351" i="18"/>
  <c r="E352" i="18"/>
  <c r="E353" i="18"/>
  <c r="E354" i="18"/>
  <c r="E355" i="18"/>
  <c r="E356" i="18"/>
  <c r="E357" i="18"/>
  <c r="E358" i="18"/>
  <c r="E359" i="18"/>
  <c r="E360" i="18"/>
  <c r="E361" i="18"/>
  <c r="E362" i="18"/>
  <c r="E363" i="18"/>
  <c r="E364" i="18"/>
  <c r="E365" i="18"/>
  <c r="E366" i="18"/>
  <c r="E367" i="18"/>
  <c r="E368" i="18"/>
  <c r="E369" i="18"/>
  <c r="E370" i="18"/>
  <c r="E371" i="18"/>
  <c r="E372" i="18"/>
  <c r="E373" i="18"/>
  <c r="E374" i="18"/>
  <c r="E375" i="18"/>
  <c r="E376" i="18"/>
  <c r="E377" i="18"/>
  <c r="E378" i="18"/>
  <c r="E379" i="18"/>
  <c r="E380" i="18"/>
  <c r="E381" i="18"/>
  <c r="E382" i="18"/>
  <c r="E383" i="18"/>
  <c r="E384" i="18"/>
  <c r="E385" i="18"/>
  <c r="E386" i="18"/>
  <c r="E387" i="18"/>
  <c r="E388" i="18"/>
  <c r="E389" i="18"/>
  <c r="E390" i="18"/>
  <c r="E391" i="18"/>
  <c r="E392" i="18"/>
  <c r="E393" i="18"/>
  <c r="E394" i="18"/>
  <c r="E395" i="18"/>
  <c r="E396" i="18"/>
  <c r="E397" i="18"/>
  <c r="E398" i="18"/>
  <c r="E399" i="18"/>
  <c r="E400" i="18"/>
  <c r="E401" i="18"/>
  <c r="E402" i="18"/>
  <c r="E403" i="18"/>
  <c r="E404" i="18"/>
  <c r="E405" i="18"/>
  <c r="E406" i="18"/>
  <c r="E407" i="18"/>
  <c r="E408" i="18"/>
  <c r="E409" i="18"/>
  <c r="E410" i="18"/>
  <c r="E411" i="18"/>
  <c r="E412" i="18"/>
  <c r="E413" i="18"/>
  <c r="E414" i="18"/>
  <c r="E415" i="18"/>
  <c r="E416" i="18"/>
  <c r="E417" i="18"/>
  <c r="E418" i="18"/>
  <c r="E419" i="18"/>
  <c r="E420" i="18"/>
  <c r="E421" i="18"/>
  <c r="E422" i="18"/>
  <c r="E423" i="18"/>
  <c r="E424" i="18"/>
  <c r="E425" i="18"/>
  <c r="E426" i="18"/>
  <c r="E427" i="18"/>
  <c r="E428" i="18"/>
  <c r="E429" i="18"/>
  <c r="E430" i="18"/>
  <c r="E431" i="18"/>
  <c r="E432" i="18"/>
  <c r="E433" i="18"/>
  <c r="E434" i="18"/>
  <c r="E435" i="18"/>
  <c r="E436" i="18"/>
  <c r="E437" i="18"/>
  <c r="E438" i="18"/>
  <c r="E439" i="18"/>
  <c r="E440" i="18"/>
  <c r="E441" i="18"/>
  <c r="E442" i="18"/>
  <c r="E443" i="18"/>
  <c r="E444" i="18"/>
  <c r="E445" i="18"/>
  <c r="E446" i="18"/>
  <c r="E447" i="18"/>
  <c r="E448" i="18"/>
  <c r="E449" i="18"/>
  <c r="E450" i="18"/>
  <c r="E451" i="18"/>
  <c r="E452" i="18"/>
  <c r="E453" i="18"/>
  <c r="E454" i="18"/>
  <c r="E455" i="18"/>
  <c r="E456" i="18"/>
  <c r="E457" i="18"/>
  <c r="E458" i="18"/>
  <c r="E459" i="18"/>
  <c r="E460" i="18"/>
  <c r="E461" i="18"/>
  <c r="E462" i="18"/>
  <c r="E463" i="18"/>
  <c r="E464" i="18"/>
  <c r="E465" i="18"/>
  <c r="M8" i="28" l="1"/>
  <c r="J7" i="28"/>
  <c r="K7" i="28" s="1"/>
  <c r="H8" i="28"/>
  <c r="G8" i="28"/>
  <c r="F9" i="28"/>
  <c r="K6" i="28"/>
  <c r="L5" i="28"/>
  <c r="L6" i="28"/>
  <c r="L7" i="28" l="1"/>
  <c r="G9" i="28"/>
  <c r="H9" i="28"/>
  <c r="F10" i="28"/>
  <c r="I8" i="28"/>
  <c r="G10" i="28" l="1"/>
  <c r="H10" i="28"/>
  <c r="F11" i="28"/>
  <c r="I9" i="28"/>
  <c r="M9" i="28"/>
  <c r="J8" i="28"/>
  <c r="K8" i="28" s="1"/>
  <c r="B2" i="19"/>
  <c r="M6" i="18" l="1"/>
  <c r="K45" i="16" s="1"/>
  <c r="M14" i="18"/>
  <c r="M22" i="18"/>
  <c r="M30" i="18"/>
  <c r="M38" i="18"/>
  <c r="M46" i="18"/>
  <c r="M54" i="18"/>
  <c r="M62" i="18"/>
  <c r="M70" i="18"/>
  <c r="M78" i="18"/>
  <c r="M86" i="18"/>
  <c r="M94" i="18"/>
  <c r="M102" i="18"/>
  <c r="M110" i="18"/>
  <c r="M118" i="18"/>
  <c r="M126" i="18"/>
  <c r="M134" i="18"/>
  <c r="M142" i="18"/>
  <c r="M150" i="18"/>
  <c r="M158" i="18"/>
  <c r="M166" i="18"/>
  <c r="M174" i="18"/>
  <c r="M182" i="18"/>
  <c r="M190" i="18"/>
  <c r="M198" i="18"/>
  <c r="M206" i="18"/>
  <c r="M214" i="18"/>
  <c r="M222" i="18"/>
  <c r="M230" i="18"/>
  <c r="M238" i="18"/>
  <c r="M246" i="18"/>
  <c r="M254" i="18"/>
  <c r="M262" i="18"/>
  <c r="M270" i="18"/>
  <c r="M278" i="18"/>
  <c r="M286" i="18"/>
  <c r="M294" i="18"/>
  <c r="M302" i="18"/>
  <c r="M310" i="18"/>
  <c r="M318" i="18"/>
  <c r="M326" i="18"/>
  <c r="M334" i="18"/>
  <c r="M342" i="18"/>
  <c r="M350" i="18"/>
  <c r="M358" i="18"/>
  <c r="M366" i="18"/>
  <c r="M374" i="18"/>
  <c r="M382" i="18"/>
  <c r="M390" i="18"/>
  <c r="M398" i="18"/>
  <c r="M406" i="18"/>
  <c r="M414" i="18"/>
  <c r="M422" i="18"/>
  <c r="M430" i="18"/>
  <c r="M438" i="18"/>
  <c r="M446" i="18"/>
  <c r="M454" i="18"/>
  <c r="M462" i="18"/>
  <c r="M80" i="18"/>
  <c r="M96" i="18"/>
  <c r="M112" i="18"/>
  <c r="M128" i="18"/>
  <c r="M144" i="18"/>
  <c r="M160" i="18"/>
  <c r="M176" i="18"/>
  <c r="M192" i="18"/>
  <c r="M208" i="18"/>
  <c r="M224" i="18"/>
  <c r="M240" i="18"/>
  <c r="M256" i="18"/>
  <c r="M272" i="18"/>
  <c r="M288" i="18"/>
  <c r="M304" i="18"/>
  <c r="M320" i="18"/>
  <c r="M336" i="18"/>
  <c r="M352" i="18"/>
  <c r="M368" i="18"/>
  <c r="M7" i="18"/>
  <c r="M15" i="18"/>
  <c r="M23" i="18"/>
  <c r="M31" i="18"/>
  <c r="M39" i="18"/>
  <c r="M47" i="18"/>
  <c r="M55" i="18"/>
  <c r="M63" i="18"/>
  <c r="M71" i="18"/>
  <c r="M79" i="18"/>
  <c r="M87" i="18"/>
  <c r="M95" i="18"/>
  <c r="M103" i="18"/>
  <c r="M111" i="18"/>
  <c r="M119" i="18"/>
  <c r="M127" i="18"/>
  <c r="M135" i="18"/>
  <c r="M143" i="18"/>
  <c r="M151" i="18"/>
  <c r="M159" i="18"/>
  <c r="M167" i="18"/>
  <c r="M175" i="18"/>
  <c r="M183" i="18"/>
  <c r="M191" i="18"/>
  <c r="M199" i="18"/>
  <c r="M207" i="18"/>
  <c r="M215" i="18"/>
  <c r="M223" i="18"/>
  <c r="M231" i="18"/>
  <c r="M239" i="18"/>
  <c r="M247" i="18"/>
  <c r="M255" i="18"/>
  <c r="M263" i="18"/>
  <c r="M271" i="18"/>
  <c r="M279" i="18"/>
  <c r="M287" i="18"/>
  <c r="M295" i="18"/>
  <c r="M303" i="18"/>
  <c r="M311" i="18"/>
  <c r="M319" i="18"/>
  <c r="M327" i="18"/>
  <c r="M335" i="18"/>
  <c r="M343" i="18"/>
  <c r="M351" i="18"/>
  <c r="M359" i="18"/>
  <c r="M367" i="18"/>
  <c r="M375" i="18"/>
  <c r="M383" i="18"/>
  <c r="M391" i="18"/>
  <c r="M399" i="18"/>
  <c r="M407" i="18"/>
  <c r="M415" i="18"/>
  <c r="M423" i="18"/>
  <c r="M431" i="18"/>
  <c r="M439" i="18"/>
  <c r="M447" i="18"/>
  <c r="M455" i="18"/>
  <c r="M463" i="18"/>
  <c r="M8" i="18"/>
  <c r="M16" i="18"/>
  <c r="M24" i="18"/>
  <c r="M32" i="18"/>
  <c r="M40" i="18"/>
  <c r="M48" i="18"/>
  <c r="M56" i="18"/>
  <c r="M64" i="18"/>
  <c r="M72" i="18"/>
  <c r="M88" i="18"/>
  <c r="M104" i="18"/>
  <c r="M120" i="18"/>
  <c r="M136" i="18"/>
  <c r="M152" i="18"/>
  <c r="M168" i="18"/>
  <c r="M184" i="18"/>
  <c r="M200" i="18"/>
  <c r="M216" i="18"/>
  <c r="M232" i="18"/>
  <c r="M248" i="18"/>
  <c r="M264" i="18"/>
  <c r="M280" i="18"/>
  <c r="M296" i="18"/>
  <c r="M312" i="18"/>
  <c r="M328" i="18"/>
  <c r="M344" i="18"/>
  <c r="M360" i="18"/>
  <c r="M9" i="18"/>
  <c r="M17" i="18"/>
  <c r="M25" i="18"/>
  <c r="M33" i="18"/>
  <c r="M41" i="18"/>
  <c r="M49" i="18"/>
  <c r="M57" i="18"/>
  <c r="M65" i="18"/>
  <c r="M73" i="18"/>
  <c r="M81" i="18"/>
  <c r="M89" i="18"/>
  <c r="M97" i="18"/>
  <c r="M105" i="18"/>
  <c r="M113" i="18"/>
  <c r="M121" i="18"/>
  <c r="M129" i="18"/>
  <c r="M137" i="18"/>
  <c r="M145" i="18"/>
  <c r="M153" i="18"/>
  <c r="M161" i="18"/>
  <c r="M169" i="18"/>
  <c r="M177" i="18"/>
  <c r="M185" i="18"/>
  <c r="M193" i="18"/>
  <c r="M201" i="18"/>
  <c r="M209" i="18"/>
  <c r="M217" i="18"/>
  <c r="M225" i="18"/>
  <c r="M233" i="18"/>
  <c r="M241" i="18"/>
  <c r="M249" i="18"/>
  <c r="M257" i="18"/>
  <c r="M265" i="18"/>
  <c r="M273" i="18"/>
  <c r="M281" i="18"/>
  <c r="M289" i="18"/>
  <c r="M297" i="18"/>
  <c r="M305" i="18"/>
  <c r="M313" i="18"/>
  <c r="M321" i="18"/>
  <c r="M329" i="18"/>
  <c r="M337" i="18"/>
  <c r="M345" i="18"/>
  <c r="M353" i="18"/>
  <c r="M361" i="18"/>
  <c r="M369" i="18"/>
  <c r="M377" i="18"/>
  <c r="M385" i="18"/>
  <c r="M393" i="18"/>
  <c r="M401" i="18"/>
  <c r="M409" i="18"/>
  <c r="M417" i="18"/>
  <c r="M425" i="18"/>
  <c r="M433" i="18"/>
  <c r="M441" i="18"/>
  <c r="M449" i="18"/>
  <c r="M457" i="18"/>
  <c r="M465" i="18"/>
  <c r="M3" i="18"/>
  <c r="K42" i="16" s="1"/>
  <c r="M11" i="18"/>
  <c r="M19" i="18"/>
  <c r="M27" i="18"/>
  <c r="M35" i="18"/>
  <c r="M43" i="18"/>
  <c r="M51" i="18"/>
  <c r="M59" i="18"/>
  <c r="M67" i="18"/>
  <c r="M75" i="18"/>
  <c r="M83" i="18"/>
  <c r="M91" i="18"/>
  <c r="M99" i="18"/>
  <c r="M107" i="18"/>
  <c r="M115" i="18"/>
  <c r="M123" i="18"/>
  <c r="M131" i="18"/>
  <c r="M139" i="18"/>
  <c r="M147" i="18"/>
  <c r="M155" i="18"/>
  <c r="M163" i="18"/>
  <c r="M171" i="18"/>
  <c r="M179" i="18"/>
  <c r="M187" i="18"/>
  <c r="M195" i="18"/>
  <c r="M203" i="18"/>
  <c r="M211" i="18"/>
  <c r="M219" i="18"/>
  <c r="M227" i="18"/>
  <c r="M235" i="18"/>
  <c r="M243" i="18"/>
  <c r="M251" i="18"/>
  <c r="M259" i="18"/>
  <c r="M267" i="18"/>
  <c r="M275" i="18"/>
  <c r="M283" i="18"/>
  <c r="M291" i="18"/>
  <c r="M299" i="18"/>
  <c r="M307" i="18"/>
  <c r="M315" i="18"/>
  <c r="M323" i="18"/>
  <c r="M331" i="18"/>
  <c r="M339" i="18"/>
  <c r="M347" i="18"/>
  <c r="M355" i="18"/>
  <c r="M363" i="18"/>
  <c r="M371" i="18"/>
  <c r="M379" i="18"/>
  <c r="M387" i="18"/>
  <c r="M395" i="18"/>
  <c r="M403" i="18"/>
  <c r="M411" i="18"/>
  <c r="M419" i="18"/>
  <c r="M427" i="18"/>
  <c r="M435" i="18"/>
  <c r="M443" i="18"/>
  <c r="M451" i="18"/>
  <c r="M459" i="18"/>
  <c r="M12" i="18"/>
  <c r="M34" i="18"/>
  <c r="M53" i="18"/>
  <c r="M76" i="18"/>
  <c r="M98" i="18"/>
  <c r="M117" i="18"/>
  <c r="M140" i="18"/>
  <c r="M162" i="18"/>
  <c r="M181" i="18"/>
  <c r="M204" i="18"/>
  <c r="M226" i="18"/>
  <c r="M245" i="18"/>
  <c r="M268" i="18"/>
  <c r="M290" i="18"/>
  <c r="M309" i="18"/>
  <c r="M332" i="18"/>
  <c r="M354" i="18"/>
  <c r="M373" i="18"/>
  <c r="M389" i="18"/>
  <c r="M405" i="18"/>
  <c r="M421" i="18"/>
  <c r="M437" i="18"/>
  <c r="M453" i="18"/>
  <c r="M426" i="18"/>
  <c r="M458" i="18"/>
  <c r="M44" i="18"/>
  <c r="M85" i="18"/>
  <c r="M149" i="18"/>
  <c r="M194" i="18"/>
  <c r="M236" i="18"/>
  <c r="M277" i="18"/>
  <c r="M300" i="18"/>
  <c r="M364" i="18"/>
  <c r="M397" i="18"/>
  <c r="M429" i="18"/>
  <c r="M386" i="18"/>
  <c r="M372" i="18"/>
  <c r="M13" i="18"/>
  <c r="L48" i="16" s="1"/>
  <c r="M36" i="18"/>
  <c r="M58" i="18"/>
  <c r="M77" i="18"/>
  <c r="M100" i="18"/>
  <c r="M122" i="18"/>
  <c r="M141" i="18"/>
  <c r="M164" i="18"/>
  <c r="M186" i="18"/>
  <c r="M205" i="18"/>
  <c r="M228" i="18"/>
  <c r="M250" i="18"/>
  <c r="M269" i="18"/>
  <c r="M292" i="18"/>
  <c r="M314" i="18"/>
  <c r="M333" i="18"/>
  <c r="M356" i="18"/>
  <c r="M376" i="18"/>
  <c r="M392" i="18"/>
  <c r="M408" i="18"/>
  <c r="M424" i="18"/>
  <c r="M440" i="18"/>
  <c r="M456" i="18"/>
  <c r="M18" i="18"/>
  <c r="M37" i="18"/>
  <c r="M60" i="18"/>
  <c r="M82" i="18"/>
  <c r="M101" i="18"/>
  <c r="M124" i="18"/>
  <c r="M146" i="18"/>
  <c r="M165" i="18"/>
  <c r="M188" i="18"/>
  <c r="M210" i="18"/>
  <c r="M229" i="18"/>
  <c r="M252" i="18"/>
  <c r="M274" i="18"/>
  <c r="M293" i="18"/>
  <c r="M316" i="18"/>
  <c r="M338" i="18"/>
  <c r="M357" i="18"/>
  <c r="M378" i="18"/>
  <c r="M394" i="18"/>
  <c r="M410" i="18"/>
  <c r="M442" i="18"/>
  <c r="M341" i="18"/>
  <c r="M445" i="18"/>
  <c r="M28" i="18"/>
  <c r="M69" i="18"/>
  <c r="M114" i="18"/>
  <c r="M156" i="18"/>
  <c r="M197" i="18"/>
  <c r="M242" i="18"/>
  <c r="M284" i="18"/>
  <c r="M325" i="18"/>
  <c r="M370" i="18"/>
  <c r="M418" i="18"/>
  <c r="M450" i="18"/>
  <c r="M10" i="18"/>
  <c r="M29" i="18"/>
  <c r="M52" i="18"/>
  <c r="M74" i="18"/>
  <c r="M116" i="18"/>
  <c r="M138" i="18"/>
  <c r="M180" i="18"/>
  <c r="M221" i="18"/>
  <c r="M266" i="18"/>
  <c r="M308" i="18"/>
  <c r="M349" i="18"/>
  <c r="M420" i="18"/>
  <c r="M452" i="18"/>
  <c r="M20" i="18"/>
  <c r="M42" i="18"/>
  <c r="M61" i="18"/>
  <c r="M84" i="18"/>
  <c r="M106" i="18"/>
  <c r="M125" i="18"/>
  <c r="M148" i="18"/>
  <c r="M170" i="18"/>
  <c r="M189" i="18"/>
  <c r="M212" i="18"/>
  <c r="M234" i="18"/>
  <c r="M253" i="18"/>
  <c r="M276" i="18"/>
  <c r="M298" i="18"/>
  <c r="M317" i="18"/>
  <c r="M340" i="18"/>
  <c r="M362" i="18"/>
  <c r="M380" i="18"/>
  <c r="M396" i="18"/>
  <c r="M412" i="18"/>
  <c r="M428" i="18"/>
  <c r="M444" i="18"/>
  <c r="M460" i="18"/>
  <c r="M21" i="18"/>
  <c r="M66" i="18"/>
  <c r="M108" i="18"/>
  <c r="M130" i="18"/>
  <c r="M172" i="18"/>
  <c r="M213" i="18"/>
  <c r="M258" i="18"/>
  <c r="M322" i="18"/>
  <c r="M381" i="18"/>
  <c r="M413" i="18"/>
  <c r="M461" i="18"/>
  <c r="M5" i="18"/>
  <c r="K44" i="16" s="1"/>
  <c r="M50" i="18"/>
  <c r="M92" i="18"/>
  <c r="M133" i="18"/>
  <c r="M178" i="18"/>
  <c r="M220" i="18"/>
  <c r="M261" i="18"/>
  <c r="M306" i="18"/>
  <c r="M348" i="18"/>
  <c r="M402" i="18"/>
  <c r="M434" i="18"/>
  <c r="M93" i="18"/>
  <c r="M157" i="18"/>
  <c r="M202" i="18"/>
  <c r="M244" i="18"/>
  <c r="M285" i="18"/>
  <c r="M330" i="18"/>
  <c r="M388" i="18"/>
  <c r="M436" i="18"/>
  <c r="M4" i="18"/>
  <c r="K43" i="16" s="1"/>
  <c r="M26" i="18"/>
  <c r="M45" i="18"/>
  <c r="M68" i="18"/>
  <c r="M90" i="18"/>
  <c r="M109" i="18"/>
  <c r="M132" i="18"/>
  <c r="M154" i="18"/>
  <c r="M173" i="18"/>
  <c r="M196" i="18"/>
  <c r="M218" i="18"/>
  <c r="M237" i="18"/>
  <c r="M260" i="18"/>
  <c r="M282" i="18"/>
  <c r="M301" i="18"/>
  <c r="M324" i="18"/>
  <c r="M346" i="18"/>
  <c r="M365" i="18"/>
  <c r="M384" i="18"/>
  <c r="M400" i="18"/>
  <c r="M416" i="18"/>
  <c r="M432" i="18"/>
  <c r="M448" i="18"/>
  <c r="M464" i="18"/>
  <c r="M404" i="18"/>
  <c r="F12" i="28"/>
  <c r="G11" i="28"/>
  <c r="H11" i="28"/>
  <c r="I11" i="28" s="1"/>
  <c r="L8" i="28"/>
  <c r="M10" i="28"/>
  <c r="J9" i="28"/>
  <c r="K9" i="28" s="1"/>
  <c r="I10" i="28"/>
  <c r="F5" i="18"/>
  <c r="F13" i="18"/>
  <c r="F21" i="18"/>
  <c r="F29" i="18"/>
  <c r="F37" i="18"/>
  <c r="F45" i="18"/>
  <c r="F53" i="18"/>
  <c r="F61" i="18"/>
  <c r="F69" i="18"/>
  <c r="F77" i="18"/>
  <c r="F85" i="18"/>
  <c r="F93" i="18"/>
  <c r="F101" i="18"/>
  <c r="F109" i="18"/>
  <c r="F117" i="18"/>
  <c r="F125" i="18"/>
  <c r="F133" i="18"/>
  <c r="F141" i="18"/>
  <c r="F149" i="18"/>
  <c r="F157" i="18"/>
  <c r="F165" i="18"/>
  <c r="F173" i="18"/>
  <c r="F181" i="18"/>
  <c r="F189" i="18"/>
  <c r="F197" i="18"/>
  <c r="F205" i="18"/>
  <c r="F213" i="18"/>
  <c r="F221" i="18"/>
  <c r="F229" i="18"/>
  <c r="F237" i="18"/>
  <c r="F245" i="18"/>
  <c r="F253" i="18"/>
  <c r="F261" i="18"/>
  <c r="F269" i="18"/>
  <c r="F277" i="18"/>
  <c r="F285" i="18"/>
  <c r="F293" i="18"/>
  <c r="F301" i="18"/>
  <c r="F309" i="18"/>
  <c r="F317" i="18"/>
  <c r="F325" i="18"/>
  <c r="F333" i="18"/>
  <c r="F341" i="18"/>
  <c r="F349" i="18"/>
  <c r="F357" i="18"/>
  <c r="F365" i="18"/>
  <c r="F373" i="18"/>
  <c r="F381" i="18"/>
  <c r="F389" i="18"/>
  <c r="F397" i="18"/>
  <c r="F405" i="18"/>
  <c r="F413" i="18"/>
  <c r="F421" i="18"/>
  <c r="F429" i="18"/>
  <c r="F437" i="18"/>
  <c r="F445" i="18"/>
  <c r="F453" i="18"/>
  <c r="F461" i="18"/>
  <c r="F46" i="18"/>
  <c r="F70" i="18"/>
  <c r="F86" i="18"/>
  <c r="F102" i="18"/>
  <c r="F118" i="18"/>
  <c r="F134" i="18"/>
  <c r="F150" i="18"/>
  <c r="F166" i="18"/>
  <c r="F182" i="18"/>
  <c r="F198" i="18"/>
  <c r="F214" i="18"/>
  <c r="F230" i="18"/>
  <c r="F246" i="18"/>
  <c r="F262" i="18"/>
  <c r="F278" i="18"/>
  <c r="F294" i="18"/>
  <c r="F310" i="18"/>
  <c r="F326" i="18"/>
  <c r="F342" i="18"/>
  <c r="F350" i="18"/>
  <c r="F366" i="18"/>
  <c r="F390" i="18"/>
  <c r="F406" i="18"/>
  <c r="F422" i="18"/>
  <c r="F438" i="18"/>
  <c r="F454" i="18"/>
  <c r="F95" i="18"/>
  <c r="F6" i="18"/>
  <c r="F14" i="18"/>
  <c r="F22" i="18"/>
  <c r="F30" i="18"/>
  <c r="F38" i="18"/>
  <c r="F54" i="18"/>
  <c r="F62" i="18"/>
  <c r="F78" i="18"/>
  <c r="F94" i="18"/>
  <c r="F110" i="18"/>
  <c r="F126" i="18"/>
  <c r="F142" i="18"/>
  <c r="F158" i="18"/>
  <c r="F174" i="18"/>
  <c r="F190" i="18"/>
  <c r="F206" i="18"/>
  <c r="F222" i="18"/>
  <c r="F238" i="18"/>
  <c r="F254" i="18"/>
  <c r="F270" i="18"/>
  <c r="F286" i="18"/>
  <c r="F302" i="18"/>
  <c r="F318" i="18"/>
  <c r="F334" i="18"/>
  <c r="F358" i="18"/>
  <c r="F374" i="18"/>
  <c r="F382" i="18"/>
  <c r="F398" i="18"/>
  <c r="F414" i="18"/>
  <c r="F430" i="18"/>
  <c r="F446" i="18"/>
  <c r="F462" i="18"/>
  <c r="F7" i="18"/>
  <c r="F15" i="18"/>
  <c r="F23" i="18"/>
  <c r="F31" i="18"/>
  <c r="F39" i="18"/>
  <c r="F47" i="18"/>
  <c r="F55" i="18"/>
  <c r="F63" i="18"/>
  <c r="F71" i="18"/>
  <c r="F79" i="18"/>
  <c r="F87" i="18"/>
  <c r="F103" i="18"/>
  <c r="F111" i="18"/>
  <c r="F9" i="18"/>
  <c r="F17" i="18"/>
  <c r="F25" i="18"/>
  <c r="F33" i="18"/>
  <c r="F41" i="18"/>
  <c r="F49" i="18"/>
  <c r="F57" i="18"/>
  <c r="F65" i="18"/>
  <c r="F73" i="18"/>
  <c r="F81" i="18"/>
  <c r="F89" i="18"/>
  <c r="F97" i="18"/>
  <c r="F105" i="18"/>
  <c r="F113" i="18"/>
  <c r="F121" i="18"/>
  <c r="F129" i="18"/>
  <c r="F137" i="18"/>
  <c r="F145" i="18"/>
  <c r="F153" i="18"/>
  <c r="F161" i="18"/>
  <c r="F169" i="18"/>
  <c r="F177" i="18"/>
  <c r="F185" i="18"/>
  <c r="F193" i="18"/>
  <c r="F201" i="18"/>
  <c r="F209" i="18"/>
  <c r="F217" i="18"/>
  <c r="F225" i="18"/>
  <c r="F233" i="18"/>
  <c r="F241" i="18"/>
  <c r="F249" i="18"/>
  <c r="F257" i="18"/>
  <c r="F265" i="18"/>
  <c r="F273" i="18"/>
  <c r="F281" i="18"/>
  <c r="F289" i="18"/>
  <c r="F297" i="18"/>
  <c r="F305" i="18"/>
  <c r="F313" i="18"/>
  <c r="F321" i="18"/>
  <c r="F329" i="18"/>
  <c r="F337" i="18"/>
  <c r="F345" i="18"/>
  <c r="F353" i="18"/>
  <c r="F361" i="18"/>
  <c r="F369" i="18"/>
  <c r="F377" i="18"/>
  <c r="F385" i="18"/>
  <c r="F393" i="18"/>
  <c r="F401" i="18"/>
  <c r="F409" i="18"/>
  <c r="F417" i="18"/>
  <c r="F425" i="18"/>
  <c r="F433" i="18"/>
  <c r="F441" i="18"/>
  <c r="F449" i="18"/>
  <c r="F457" i="18"/>
  <c r="F465" i="18"/>
  <c r="F3" i="18"/>
  <c r="F11" i="18"/>
  <c r="F19" i="18"/>
  <c r="F27" i="18"/>
  <c r="F35" i="18"/>
  <c r="F43" i="18"/>
  <c r="F51" i="18"/>
  <c r="F59" i="18"/>
  <c r="F67" i="18"/>
  <c r="F75" i="18"/>
  <c r="F83" i="18"/>
  <c r="F91" i="18"/>
  <c r="F99" i="18"/>
  <c r="F107" i="18"/>
  <c r="F115" i="18"/>
  <c r="F123" i="18"/>
  <c r="F131" i="18"/>
  <c r="F139" i="18"/>
  <c r="F147" i="18"/>
  <c r="F155" i="18"/>
  <c r="F163" i="18"/>
  <c r="F171" i="18"/>
  <c r="F179" i="18"/>
  <c r="F187" i="18"/>
  <c r="F195" i="18"/>
  <c r="F203" i="18"/>
  <c r="F211" i="18"/>
  <c r="F219" i="18"/>
  <c r="F227" i="18"/>
  <c r="F235" i="18"/>
  <c r="F243" i="18"/>
  <c r="F251" i="18"/>
  <c r="F259" i="18"/>
  <c r="F267" i="18"/>
  <c r="F275" i="18"/>
  <c r="F283" i="18"/>
  <c r="F291" i="18"/>
  <c r="F299" i="18"/>
  <c r="F307" i="18"/>
  <c r="F315" i="18"/>
  <c r="F323" i="18"/>
  <c r="F331" i="18"/>
  <c r="F339" i="18"/>
  <c r="F347" i="18"/>
  <c r="F355" i="18"/>
  <c r="F363" i="18"/>
  <c r="F371" i="18"/>
  <c r="F379" i="18"/>
  <c r="F387" i="18"/>
  <c r="F395" i="18"/>
  <c r="F403" i="18"/>
  <c r="F411" i="18"/>
  <c r="F419" i="18"/>
  <c r="F427" i="18"/>
  <c r="F435" i="18"/>
  <c r="F443" i="18"/>
  <c r="F451" i="18"/>
  <c r="F459" i="18"/>
  <c r="F10" i="18"/>
  <c r="F32" i="18"/>
  <c r="F52" i="18"/>
  <c r="F74" i="18"/>
  <c r="F96" i="18"/>
  <c r="F116" i="18"/>
  <c r="F132" i="18"/>
  <c r="F148" i="18"/>
  <c r="F164" i="18"/>
  <c r="F180" i="18"/>
  <c r="F196" i="18"/>
  <c r="F212" i="18"/>
  <c r="F228" i="18"/>
  <c r="F244" i="18"/>
  <c r="F260" i="18"/>
  <c r="F276" i="18"/>
  <c r="F292" i="18"/>
  <c r="F308" i="18"/>
  <c r="F324" i="18"/>
  <c r="F340" i="18"/>
  <c r="F356" i="18"/>
  <c r="F372" i="18"/>
  <c r="F388" i="18"/>
  <c r="F404" i="18"/>
  <c r="F420" i="18"/>
  <c r="F436" i="18"/>
  <c r="F452" i="18"/>
  <c r="F108" i="18"/>
  <c r="F191" i="18"/>
  <c r="F239" i="18"/>
  <c r="F303" i="18"/>
  <c r="F351" i="18"/>
  <c r="F415" i="18"/>
  <c r="F12" i="18"/>
  <c r="F34" i="18"/>
  <c r="F56" i="18"/>
  <c r="F76" i="18"/>
  <c r="F98" i="18"/>
  <c r="F119" i="18"/>
  <c r="F135" i="18"/>
  <c r="F151" i="18"/>
  <c r="F167" i="18"/>
  <c r="F183" i="18"/>
  <c r="F199" i="18"/>
  <c r="F215" i="18"/>
  <c r="F231" i="18"/>
  <c r="F247" i="18"/>
  <c r="F263" i="18"/>
  <c r="F279" i="18"/>
  <c r="F295" i="18"/>
  <c r="F311" i="18"/>
  <c r="F327" i="18"/>
  <c r="F343" i="18"/>
  <c r="F359" i="18"/>
  <c r="F375" i="18"/>
  <c r="F391" i="18"/>
  <c r="F407" i="18"/>
  <c r="F423" i="18"/>
  <c r="F439" i="18"/>
  <c r="F455" i="18"/>
  <c r="F202" i="18"/>
  <c r="F250" i="18"/>
  <c r="F282" i="18"/>
  <c r="F314" i="18"/>
  <c r="F346" i="18"/>
  <c r="F378" i="18"/>
  <c r="F426" i="18"/>
  <c r="F458" i="18"/>
  <c r="F42" i="18"/>
  <c r="F84" i="18"/>
  <c r="F124" i="18"/>
  <c r="F156" i="18"/>
  <c r="F172" i="18"/>
  <c r="F204" i="18"/>
  <c r="F236" i="18"/>
  <c r="F252" i="18"/>
  <c r="F268" i="18"/>
  <c r="F284" i="18"/>
  <c r="F300" i="18"/>
  <c r="F316" i="18"/>
  <c r="F332" i="18"/>
  <c r="F348" i="18"/>
  <c r="F364" i="18"/>
  <c r="F380" i="18"/>
  <c r="F396" i="18"/>
  <c r="F412" i="18"/>
  <c r="F428" i="18"/>
  <c r="F444" i="18"/>
  <c r="F460" i="18"/>
  <c r="F24" i="18"/>
  <c r="F44" i="18"/>
  <c r="F66" i="18"/>
  <c r="F88" i="18"/>
  <c r="F143" i="18"/>
  <c r="F159" i="18"/>
  <c r="F207" i="18"/>
  <c r="F255" i="18"/>
  <c r="F319" i="18"/>
  <c r="F367" i="18"/>
  <c r="F431" i="18"/>
  <c r="F16" i="18"/>
  <c r="F36" i="18"/>
  <c r="F58" i="18"/>
  <c r="F80" i="18"/>
  <c r="F100" i="18"/>
  <c r="F120" i="18"/>
  <c r="F136" i="18"/>
  <c r="F152" i="18"/>
  <c r="F168" i="18"/>
  <c r="F184" i="18"/>
  <c r="F200" i="18"/>
  <c r="F216" i="18"/>
  <c r="F232" i="18"/>
  <c r="F248" i="18"/>
  <c r="F264" i="18"/>
  <c r="F280" i="18"/>
  <c r="F296" i="18"/>
  <c r="F312" i="18"/>
  <c r="F328" i="18"/>
  <c r="F344" i="18"/>
  <c r="F360" i="18"/>
  <c r="F376" i="18"/>
  <c r="F392" i="18"/>
  <c r="F408" i="18"/>
  <c r="F424" i="18"/>
  <c r="F440" i="18"/>
  <c r="F456" i="18"/>
  <c r="F18" i="18"/>
  <c r="F40" i="18"/>
  <c r="F60" i="18"/>
  <c r="F82" i="18"/>
  <c r="F104" i="18"/>
  <c r="F122" i="18"/>
  <c r="F138" i="18"/>
  <c r="F154" i="18"/>
  <c r="F170" i="18"/>
  <c r="F186" i="18"/>
  <c r="F218" i="18"/>
  <c r="F234" i="18"/>
  <c r="F266" i="18"/>
  <c r="F298" i="18"/>
  <c r="F330" i="18"/>
  <c r="F362" i="18"/>
  <c r="F394" i="18"/>
  <c r="F410" i="18"/>
  <c r="F442" i="18"/>
  <c r="F20" i="18"/>
  <c r="F64" i="18"/>
  <c r="F106" i="18"/>
  <c r="F140" i="18"/>
  <c r="F188" i="18"/>
  <c r="F220" i="18"/>
  <c r="F127" i="18"/>
  <c r="F175" i="18"/>
  <c r="F223" i="18"/>
  <c r="F271" i="18"/>
  <c r="F335" i="18"/>
  <c r="F399" i="18"/>
  <c r="F463" i="18"/>
  <c r="F4" i="18"/>
  <c r="F26" i="18"/>
  <c r="F48" i="18"/>
  <c r="F68" i="18"/>
  <c r="F90" i="18"/>
  <c r="F112" i="18"/>
  <c r="F128" i="18"/>
  <c r="F144" i="18"/>
  <c r="F160" i="18"/>
  <c r="F176" i="18"/>
  <c r="F192" i="18"/>
  <c r="F208" i="18"/>
  <c r="F224" i="18"/>
  <c r="F240" i="18"/>
  <c r="F256" i="18"/>
  <c r="F272" i="18"/>
  <c r="F288" i="18"/>
  <c r="F304" i="18"/>
  <c r="F320" i="18"/>
  <c r="F336" i="18"/>
  <c r="F352" i="18"/>
  <c r="F368" i="18"/>
  <c r="F384" i="18"/>
  <c r="F400" i="18"/>
  <c r="F416" i="18"/>
  <c r="F432" i="18"/>
  <c r="F448" i="18"/>
  <c r="F464" i="18"/>
  <c r="F8" i="18"/>
  <c r="F28" i="18"/>
  <c r="F50" i="18"/>
  <c r="F72" i="18"/>
  <c r="F92" i="18"/>
  <c r="F114" i="18"/>
  <c r="F130" i="18"/>
  <c r="F146" i="18"/>
  <c r="F162" i="18"/>
  <c r="F178" i="18"/>
  <c r="F194" i="18"/>
  <c r="F210" i="18"/>
  <c r="F226" i="18"/>
  <c r="F242" i="18"/>
  <c r="F258" i="18"/>
  <c r="F274" i="18"/>
  <c r="F290" i="18"/>
  <c r="F306" i="18"/>
  <c r="F322" i="18"/>
  <c r="F338" i="18"/>
  <c r="F354" i="18"/>
  <c r="F370" i="18"/>
  <c r="F386" i="18"/>
  <c r="F402" i="18"/>
  <c r="F418" i="18"/>
  <c r="F434" i="18"/>
  <c r="F450" i="18"/>
  <c r="F287" i="18"/>
  <c r="F383" i="18"/>
  <c r="F447" i="18"/>
  <c r="M49" i="16" l="1"/>
  <c r="L42" i="16"/>
  <c r="M45" i="16"/>
  <c r="M51" i="16"/>
  <c r="M44" i="16"/>
  <c r="M48" i="16"/>
  <c r="M46" i="16"/>
  <c r="M50" i="16"/>
  <c r="M43" i="16"/>
  <c r="M47" i="16"/>
  <c r="L51" i="16"/>
  <c r="M42" i="16"/>
  <c r="K47" i="16"/>
  <c r="L43" i="16"/>
  <c r="K51" i="16"/>
  <c r="L47" i="16"/>
  <c r="L50" i="16"/>
  <c r="K50" i="16"/>
  <c r="L46" i="16"/>
  <c r="K49" i="16"/>
  <c r="L45" i="16"/>
  <c r="K48" i="16"/>
  <c r="L44" i="16"/>
  <c r="L49" i="16"/>
  <c r="K46" i="16"/>
  <c r="M12" i="28"/>
  <c r="J11" i="28"/>
  <c r="K11" i="28" s="1"/>
  <c r="L9" i="28"/>
  <c r="M11" i="28"/>
  <c r="J10" i="28"/>
  <c r="K10" i="28" s="1"/>
  <c r="L11" i="28" s="1"/>
  <c r="H12" i="28"/>
  <c r="G12" i="28"/>
  <c r="I12" i="28"/>
  <c r="F13" i="28"/>
  <c r="G17" i="27"/>
  <c r="H17" i="27"/>
  <c r="I17" i="27"/>
  <c r="J17" i="27"/>
  <c r="K17" i="27"/>
  <c r="L17" i="27"/>
  <c r="M17" i="27"/>
  <c r="N17" i="27"/>
  <c r="O17" i="27"/>
  <c r="P17" i="27"/>
  <c r="F17" i="27"/>
  <c r="L10" i="28" l="1"/>
  <c r="H13" i="28"/>
  <c r="F14" i="28"/>
  <c r="G13" i="28"/>
  <c r="I13" i="28"/>
  <c r="J12" i="28"/>
  <c r="K12" i="28" s="1"/>
  <c r="M13" i="28"/>
  <c r="T39" i="16"/>
  <c r="B8" i="27"/>
  <c r="C8" i="27" s="1"/>
  <c r="Q38" i="16" s="1"/>
  <c r="L13" i="28" l="1"/>
  <c r="L12" i="28"/>
  <c r="J13" i="28"/>
  <c r="K13" i="28" s="1"/>
  <c r="M14" i="28"/>
  <c r="H14" i="28"/>
  <c r="F15" i="28"/>
  <c r="G14" i="28"/>
  <c r="I14" i="28"/>
  <c r="K39" i="16"/>
  <c r="J14" i="28" l="1"/>
  <c r="K14" i="28" s="1"/>
  <c r="M15" i="28"/>
  <c r="H15" i="28"/>
  <c r="F16" i="28"/>
  <c r="I15" i="28" s="1"/>
  <c r="G15" i="28"/>
  <c r="AA9" i="16"/>
  <c r="M16" i="28" l="1"/>
  <c r="J15" i="28"/>
  <c r="K15" i="28" s="1"/>
  <c r="L15" i="28"/>
  <c r="G16" i="28"/>
  <c r="H16" i="28"/>
  <c r="I16" i="28"/>
  <c r="F17" i="28"/>
  <c r="L14" i="28"/>
  <c r="T43" i="16"/>
  <c r="T44" i="16"/>
  <c r="T45" i="16"/>
  <c r="T46" i="16"/>
  <c r="T47" i="16"/>
  <c r="T48" i="16"/>
  <c r="T49" i="16"/>
  <c r="T50" i="16"/>
  <c r="T51" i="16"/>
  <c r="T52" i="16"/>
  <c r="T42" i="16"/>
  <c r="G17" i="28" l="1"/>
  <c r="H17" i="28"/>
  <c r="F18" i="28"/>
  <c r="M17" i="28"/>
  <c r="J16" i="28"/>
  <c r="K16" i="28" s="1"/>
  <c r="L16" i="28" s="1"/>
  <c r="AA4" i="16"/>
  <c r="G18" i="28" l="1"/>
  <c r="F19" i="28"/>
  <c r="H18" i="28"/>
  <c r="I17" i="28"/>
  <c r="M39" i="16"/>
  <c r="P43" i="16"/>
  <c r="P44" i="16"/>
  <c r="P45" i="16"/>
  <c r="P46" i="16"/>
  <c r="P47" i="16"/>
  <c r="P48" i="16"/>
  <c r="P49" i="16"/>
  <c r="P50" i="16"/>
  <c r="P51" i="16"/>
  <c r="P52" i="16"/>
  <c r="P42" i="16"/>
  <c r="B5" i="27"/>
  <c r="B9" i="27" s="1"/>
  <c r="G16" i="27"/>
  <c r="H16" i="27"/>
  <c r="I16" i="27"/>
  <c r="J16" i="27"/>
  <c r="K16" i="27"/>
  <c r="L16" i="27"/>
  <c r="M16" i="27"/>
  <c r="N16" i="27"/>
  <c r="O16" i="27"/>
  <c r="P16" i="27"/>
  <c r="F16" i="27"/>
  <c r="C5" i="27"/>
  <c r="AA10" i="16"/>
  <c r="F81" i="16"/>
  <c r="M18" i="28" l="1"/>
  <c r="J17" i="28"/>
  <c r="K17" i="28" s="1"/>
  <c r="F20" i="28"/>
  <c r="G19" i="28"/>
  <c r="I19" i="28"/>
  <c r="H19" i="28"/>
  <c r="I18" i="28"/>
  <c r="Q52" i="16"/>
  <c r="Q51" i="16"/>
  <c r="Q50" i="16"/>
  <c r="Q43" i="16"/>
  <c r="Q48" i="16"/>
  <c r="Q46" i="16"/>
  <c r="Q44" i="16"/>
  <c r="Q49" i="16"/>
  <c r="Q42" i="16"/>
  <c r="Q45" i="16"/>
  <c r="S52" i="16"/>
  <c r="S51" i="16"/>
  <c r="S49" i="16"/>
  <c r="S50" i="16"/>
  <c r="S48" i="16"/>
  <c r="S43" i="16"/>
  <c r="S46" i="16"/>
  <c r="S44" i="16"/>
  <c r="S42" i="16"/>
  <c r="S45" i="16"/>
  <c r="J18" i="28" l="1"/>
  <c r="K18" i="28" s="1"/>
  <c r="M19" i="28"/>
  <c r="M20" i="28"/>
  <c r="J19" i="28"/>
  <c r="G20" i="28"/>
  <c r="H20" i="28"/>
  <c r="F21" i="28"/>
  <c r="L17" i="28"/>
  <c r="F92" i="16" a="1"/>
  <c r="F92" i="16" s="1"/>
  <c r="D90" i="16" a="1"/>
  <c r="D90" i="16" s="1"/>
  <c r="E87" i="16" a="1"/>
  <c r="E87" i="16" s="1"/>
  <c r="F84" i="16" a="1"/>
  <c r="F84" i="16" s="1"/>
  <c r="D89" i="16" a="1"/>
  <c r="D89" i="16" s="1"/>
  <c r="F88" i="16" a="1"/>
  <c r="F88" i="16" s="1"/>
  <c r="F85" i="16" a="1"/>
  <c r="F85" i="16" s="1"/>
  <c r="E92" i="16" a="1"/>
  <c r="E92" i="16" s="1"/>
  <c r="F89" i="16" a="1"/>
  <c r="F89" i="16" s="1"/>
  <c r="D87" i="16" a="1"/>
  <c r="D87" i="16" s="1"/>
  <c r="E84" i="16" a="1"/>
  <c r="E84" i="16" s="1"/>
  <c r="D92" i="16" a="1"/>
  <c r="D92" i="16" s="1"/>
  <c r="E89" i="16" a="1"/>
  <c r="E89" i="16" s="1"/>
  <c r="F86" i="16" a="1"/>
  <c r="F86" i="16" s="1"/>
  <c r="D84" i="16" a="1"/>
  <c r="D84" i="16" s="1"/>
  <c r="F91" i="16" a="1"/>
  <c r="F91" i="16" s="1"/>
  <c r="F83" i="16" a="1"/>
  <c r="F83" i="16" s="1"/>
  <c r="D86" i="16" a="1"/>
  <c r="D86" i="16" s="1"/>
  <c r="E88" i="16" a="1"/>
  <c r="E88" i="16" s="1"/>
  <c r="F90" i="16" a="1"/>
  <c r="F90" i="16" s="1"/>
  <c r="D88" i="16" a="1"/>
  <c r="D88" i="16" s="1"/>
  <c r="E85" i="16" a="1"/>
  <c r="E85" i="16" s="1"/>
  <c r="E90" i="16" a="1"/>
  <c r="E90" i="16" s="1"/>
  <c r="F87" i="16" a="1"/>
  <c r="F87" i="16" s="1"/>
  <c r="D85" i="16" a="1"/>
  <c r="D85" i="16" s="1"/>
  <c r="E86" i="16" a="1"/>
  <c r="E86" i="16" s="1"/>
  <c r="E91" i="16" a="1"/>
  <c r="E91" i="16" s="1"/>
  <c r="E83" i="16" a="1"/>
  <c r="E83" i="16" s="1"/>
  <c r="D91" i="16" a="1"/>
  <c r="D91" i="16" s="1"/>
  <c r="D83" i="16" a="1"/>
  <c r="D83" i="16" s="1"/>
  <c r="L19" i="28" l="1"/>
  <c r="H21" i="28"/>
  <c r="F22" i="28"/>
  <c r="I21" i="28" s="1"/>
  <c r="G21" i="28"/>
  <c r="L18" i="28"/>
  <c r="I20" i="28"/>
  <c r="K19" i="28"/>
  <c r="J21" i="28" l="1"/>
  <c r="K21" i="28" s="1"/>
  <c r="M22" i="28"/>
  <c r="J20" i="28"/>
  <c r="K20" i="28" s="1"/>
  <c r="L20" i="28" s="1"/>
  <c r="M21" i="28"/>
  <c r="H22" i="28"/>
  <c r="G22" i="28"/>
  <c r="F23" i="28"/>
  <c r="I22" i="28" s="1"/>
  <c r="M23" i="28" l="1"/>
  <c r="J22" i="28"/>
  <c r="K22" i="28" s="1"/>
  <c r="L22" i="28"/>
  <c r="H23" i="28"/>
  <c r="F24" i="28"/>
  <c r="I23" i="28" s="1"/>
  <c r="G23" i="28"/>
  <c r="L21" i="28"/>
  <c r="J23" i="28" l="1"/>
  <c r="K23" i="28" s="1"/>
  <c r="L23" i="28" s="1"/>
  <c r="M24" i="28"/>
  <c r="G24" i="28"/>
  <c r="H24" i="28"/>
  <c r="F25" i="28"/>
  <c r="I24" i="28" s="1"/>
  <c r="M25" i="28" l="1"/>
  <c r="J24" i="28"/>
  <c r="K24" i="28" s="1"/>
  <c r="L24" i="28"/>
  <c r="G25" i="28"/>
  <c r="H25" i="28"/>
  <c r="F26" i="28"/>
  <c r="H26" i="28" l="1"/>
  <c r="G26" i="28"/>
  <c r="F27" i="28"/>
  <c r="I25" i="28"/>
  <c r="M26" i="28" l="1"/>
  <c r="J25" i="28"/>
  <c r="K25" i="28" s="1"/>
  <c r="F28" i="28"/>
  <c r="H27" i="28"/>
  <c r="G27" i="28"/>
  <c r="I27" i="28"/>
  <c r="I26" i="28"/>
  <c r="M28" i="28" l="1"/>
  <c r="J27" i="28"/>
  <c r="G28" i="28"/>
  <c r="H28" i="28"/>
  <c r="F29" i="28"/>
  <c r="J26" i="28"/>
  <c r="K26" i="28" s="1"/>
  <c r="M27" i="28"/>
  <c r="L25" i="28"/>
  <c r="H29" i="28" l="1"/>
  <c r="F30" i="28"/>
  <c r="I29" i="28" s="1"/>
  <c r="G29" i="28"/>
  <c r="L26" i="28"/>
  <c r="I28" i="28"/>
  <c r="K27" i="28"/>
  <c r="J29" i="28" l="1"/>
  <c r="J28" i="28"/>
  <c r="K28" i="28" s="1"/>
  <c r="M29" i="28"/>
  <c r="M30" i="28" s="1"/>
  <c r="L28" i="28"/>
  <c r="H30" i="28"/>
  <c r="F31" i="28"/>
  <c r="I30" i="28"/>
  <c r="G30" i="28"/>
  <c r="L27" i="28"/>
  <c r="J30" i="28" l="1"/>
  <c r="M31" i="28"/>
  <c r="G31" i="28"/>
  <c r="H31" i="28"/>
  <c r="F32" i="28"/>
  <c r="K29" i="28"/>
  <c r="L29" i="28" s="1"/>
  <c r="H32" i="28" l="1"/>
  <c r="G32" i="28"/>
  <c r="F33" i="28"/>
  <c r="I31" i="28"/>
  <c r="K30" i="28"/>
  <c r="J31" i="28" l="1"/>
  <c r="K31" i="28" s="1"/>
  <c r="M32" i="28"/>
  <c r="G33" i="28"/>
  <c r="H33" i="28"/>
  <c r="F34" i="28"/>
  <c r="I32" i="28"/>
  <c r="L30" i="28"/>
  <c r="M33" i="28" l="1"/>
  <c r="J32" i="28"/>
  <c r="K32" i="28" s="1"/>
  <c r="G34" i="28"/>
  <c r="H34" i="28"/>
  <c r="F35" i="28"/>
  <c r="I33" i="28"/>
  <c r="L32" i="28"/>
  <c r="L31" i="28"/>
  <c r="M34" i="28" l="1"/>
  <c r="J33" i="28"/>
  <c r="K33" i="28" s="1"/>
  <c r="H35" i="28"/>
  <c r="G35" i="28"/>
  <c r="F36" i="28"/>
  <c r="I34" i="28"/>
  <c r="L33" i="28"/>
  <c r="M35" i="28" l="1"/>
  <c r="J34" i="28"/>
  <c r="K34" i="28" s="1"/>
  <c r="G36" i="28"/>
  <c r="H36" i="28"/>
  <c r="F37" i="28"/>
  <c r="I35" i="28"/>
  <c r="L34" i="28"/>
  <c r="J35" i="28" l="1"/>
  <c r="K35" i="28" s="1"/>
  <c r="M36" i="28"/>
  <c r="H37" i="28"/>
  <c r="F38" i="28"/>
  <c r="G37" i="28"/>
  <c r="I37" i="28"/>
  <c r="L35" i="28"/>
  <c r="I36" i="28"/>
  <c r="M37" i="28" l="1"/>
  <c r="J36" i="28"/>
  <c r="K36" i="28" s="1"/>
  <c r="J37" i="28"/>
  <c r="K37" i="28" s="1"/>
  <c r="M38" i="28"/>
  <c r="H38" i="28"/>
  <c r="F39" i="28"/>
  <c r="I38" i="28" s="1"/>
  <c r="G38" i="28"/>
  <c r="J38" i="28" l="1"/>
  <c r="K38" i="28" s="1"/>
  <c r="M39" i="28"/>
  <c r="F40" i="28"/>
  <c r="G39" i="28"/>
  <c r="H39" i="28"/>
  <c r="I39" i="28"/>
  <c r="L37" i="28"/>
  <c r="L38" i="28"/>
  <c r="L36" i="28"/>
  <c r="M40" i="28" l="1"/>
  <c r="J39" i="28"/>
  <c r="K39" i="28" s="1"/>
  <c r="H40" i="28"/>
  <c r="G40" i="28"/>
  <c r="I40" i="28" s="1"/>
  <c r="J40" i="28" s="1"/>
  <c r="K40" i="28" s="1"/>
  <c r="L39" i="28"/>
  <c r="L40" i="28" l="1"/>
  <c r="C9" i="27"/>
  <c r="C10" i="27" l="1"/>
  <c r="T38" i="16"/>
  <c r="K15" i="27" l="1"/>
  <c r="O47" i="16" s="1"/>
  <c r="Q39" i="16"/>
</calcChain>
</file>

<file path=xl/connections.xml><?xml version="1.0" encoding="utf-8"?>
<connections xmlns="http://schemas.openxmlformats.org/spreadsheetml/2006/main">
  <connection id="1" name="CurrentCouponQuery" type="1" refreshedVersion="4" savePassword="1" saveData="1">
    <dbPr connection="DSN=Cello SQL Server;UID=report;PWD=gm4SJDw4;APP=Microsoft Office 2010;WSID=CELLO-PC4;DATABASE=Cello" command="select d.AsOfDate, d.SeriesNumValue, f.Rate  from TimeSeriesMeta as m,TimeSeries as d,[dbo].[get30YrFRM]() as f where m.TimeSeriesMetaId = d.TimeSeriesMetaId and d.AsOfDate = f.asOf and m.source = 'CELLO' and m.TickerName like'FN_CMM_30%' and m.category = 'MTG' and AsOfDate &lt;= '2016-11-28' and AsOfDate&gt;= '2016-10-01' order by d.AsOfDate"/>
  </connection>
  <connection id="2" name="CurrentCouponQuery1" type="1" refreshedVersion="4" savePassword="1" saveData="1">
    <dbPr connection="DSN=Cello SQL Server;UID=report;PWD=gm4SJDw4;APP=Microsoft Office 2010;WSID=CELLO-PC4;DATABASE=Cello" command="select d.AsOfDate, m.TickerName, d.SeriesNumValue  from TimeSeriesMeta as m,TimeSeries as d where m.TimeSeriesMetaId = d.TimeSeriesMetaId and m.source = 'CELLO' and m.TickerName like'FN_CMM_30%' and m.category = 'MTG' and AsOfDate &lt;= '2016-11-28' and AsOfDate&gt;= '2016-11-23' order by d.AsOfDate"/>
  </connection>
  <connection id="3" name="FunctionOfRatesLoanQuery" type="1" refreshedVersion="4" savePassword="1" saveData="1">
    <dbPr connection="DSN=Agency" command="exec RefinancibleUniverse_FunctionOfRates_Loan  3.93100639619244, '2016-10-01', '2016-11-28'"/>
  </connection>
  <connection id="4" name="FunctionOfRatesLoanWithLowestRateQuery" type="1" refreshedVersion="4" savePassword="1" saveData="1">
    <dbPr connection="DSN=Agency" command="exec RefinancibleUniverse_FunctionOfRates_LowestRate_Loan 3.93100639619244, '2016-10-01', '2016-11-28', '2016-11-23'"/>
  </connection>
  <connection id="5" name="FunctionOfRatesLoanWithMediaEffectQuery" type="1" refreshedVersion="4" savePassword="1" saveData="1">
    <dbPr connection="DSN=Agency" command="exec RefinancibleUniverse_FunctionOfRates_MediaEffect_Loan 3.93100639619244, '2016-10-01', '2016-11-28', '2016-11-23'"/>
  </connection>
  <connection id="6" name="FunctionOfRatesPoolQuery" type="1" refreshedVersion="4" savePassword="1" saveData="1">
    <dbPr connection="DSN=Agency" command="exec RefinancibleUniverse_FunctionOfRates  3.93100639619244, '2016-10-01', '2016-11-28'"/>
  </connection>
  <connection id="7" name="LoanLevel12WeeksQuery" type="1" refreshedVersion="4" savePassword="1" saveData="1">
    <dbPr connection="DSN=Agency" command="select asofdate, SeriesNumValue from TimeSeriesMeta meta join TimeSeries ts on meta.TimeSeriesMetaId = ts.TimeSeriesMetaId where SeriesType = 'WEEKLY_12W_PCT_REFI' and TickerName = 'CONVENTIONAL_30YR_COMBINED'and ModelType = 'ScaleMediaEffectModel v3.0' and asofdate &gt;= '2008-01-01' order by asofdate desc "/>
  </connection>
  <connection id="8" name="LoanLevelLowestRateQuery" type="1" refreshedVersion="4" savePassword="1" saveData="1">
    <dbPr connection="DSN=Agency" command="select asofdate, SeriesNumValue from TimeSeriesMeta meta join TimeSeries ts on meta.TimeSeriesMetaId = ts.TimeSeriesMetaId where SeriesType = 'WEEKLY_LOWEST_RATE_PCT_REFI' and TickerName = 'CONVENTIONAL_30YR_COMBINED'and ModelType = 'ScaleMediaEffectModel v3.0' and asofdate &gt;= '2008-01-01' order by asofdate desc "/>
  </connection>
  <connection id="9" name="LoanLevelQuery" type="1" refreshedVersion="4" savePassword="1" saveData="1">
    <dbPr connection="DSN=Agency" command="select asofdate, SeriesNumValue from TimeSeriesMeta meta join TimeSeries ts on meta.TimeSeriesMetaId = ts.TimeSeriesMetaId where SeriesType = 'WEEKLY_PCT_REFI' and TickerName = 'CONVENTIONAL_30YR_COMBINED' and ModelType = 'ScaleMediaEffectModel v3.0' and asofdate &gt;= '2008-01-01' order by asofdate desc "/>
  </connection>
  <connection id="10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1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12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13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14" name="NoLagTopTenQuery11111" type="1" refreshedVersion="4" savePassword="1" saveData="1">
    <dbPr connection="DSN=Agency" command="-------------------------------Combine LLPA tables--------Time dependent-------------------_x000d__x000a_DROP TABLE IF EXISTS #tempLLPA;_x000d__x000a_select f.asofdate,f.FicoStart, f.FicoEnd, f.LtvStart, f.LtvEnd, o.occtype, u.numUnits, BaseLLTV = (case when f.LLPA is null then 999 else f.LLPA end),_x000d__x000a_        a.LLPA as AMDC1,  aa.LLPA as AMDC2, AMDC = (case when AMDC1 is null then AMDC2 else AMDC1 end),_x000d__x000a_        HighLTV = (case when l.llpa is null then 999 else l.llpa end), _x000d__x000a_        Occp = (case when o.llpa is null then 999 else o.llpa end), _x000d__x000a_        UnitL = (case when u.llpa is null then 999 else u.llpa end),_x000d__x000a_        totalLLPA = (BaseLLTV + AMDC + HighLTV + Occp + UnitL)/100_x000d__x000a_into #tempLLPA_x000d__x000a_from report.LLPAFicoLTV f_x000d__x000a_left join report.LLPAAMDC a _x000d__x000a_on f.FicoStart = a.FicoStart _x000d__x000a_and f.FicoEnd = a.FicoEnd _x000d__x000a_and f.LtvStart = a.LtvStart_x000d__x000a_and f.LtvEnd = a.LtvEnd_x000d__x000a_and a.asofdate = f.asofdate_x000d__x000a_join report.LLPAAMDC aa _x000d__x000a_on f.FicoStart = aa.FicoStart _x000d__x000a_and f.FicoEnd = aa.FicoEnd _x000d__x000a_and f.LtvStart = aa.LtvStart_x000d__x000a_and f.LtvEnd = aa.LtvEnd_x000d__x000a_and aa.asofdate = '2014-01-08'_x000d__x000a_join report.LLPAHighLtv l_x000d__x000a_on f.FicoStart = l.FicoStart _x000d__x000a_and f.FicoEnd = l.FicoEnd _x000d__x000a_and f.LtvStart = l.LtvStart_x000d__x000a_and f.LtvEnd = l.LtvEnd_x000d__x000a_join report.LLPAOCCLTV o_x000d__x000a_on f.LtvStart = o.LtvStart_x000d__x000a_and f.LtvEnd = o.LtvEnd_x000d__x000a_join report.LLPAUNITLTV u_x000d__x000a_on f.LtvStart = u.LtvStart_x000d__x000a_and f.LtvEnd = u.LtvEnd_x000d__x000a_where l.asofdate = '2013-12-16'_x000d__x000a_and o.asofdate = '2013-11-14'_x000d__x000a_and u.asofdate = '2013-11-14'_x000d__x000a_;_x000d__x000a_COMMIT;_x000d__x000a__x000d__x000a_CREATE INDEX idx_templla_asof ON #tempLLPA(AsOfDate);_x000d__x000a_CREATE INDEX idx_templla_occType ON #tempLLPA(occType);_x000d__x000a_CREATE INDEX idx_templla_numUnits ON #tempLLPA(numUnits);_x000d__x000a_COMMIT;_x000d__x000a__x000d__x000a__x000d__x000a__x000d__x000a_-------------------------------Loan with LLPA---------------------------_x000d__x000a_DROP TABLE IF EXISTS #tempone;_x000d__x000a_select _x000d__x000a_    AsOfDate,_x000d__x000a_    convert(date, year(asOfDate) || '-' || month(asOfDate) || '-01') as AsOf,_x000d__x000a_    datebucket = convert(date, (case when asOfDate &lt;= '2013-12-16' then '2011-09-22'_x000d__x000a_                when asOfDate &lt;= '2014-01-08' then '2013-12-16'_x000d__x000a_                when asOfDate &lt;= '2015-01-07' then '2014-01-08'_x000d__x000a_                else '2015-01-07' end)),_x000d__x000a_    SeriesNumValue = sum(case when M.SeriesType = 'Points_US' then (1.0 - d.SeriesNumvalue)/-4.0 else d.SeriesNumvalue end)_x000d__x000a_into #tempone_x000d__x000a_from report.TimeSeriesMeta M, report.TimeSeries D_x000d__x000a_where M.TimeSeriesMetaId = D.TimeSeriesMetaId_x000d__x000a_and M.Source = 'Freddie'_x000d__x000a_and M.TickerName  ='PMMS_FRM_30YR'_x000d__x000a_and M.SeriesType in ('Points_US','Rate_US')_x000d__x000a_group by AsOfDate_x000d__x000a_order by AsOfDate DESC_x000d__x000a_;_x000d__x000a_COMMIT;_x000d__x000a__x000d__x000a_CREATE INDEX idx_temp_asofdate ON #tempone(AsOfDate);_x000d__x000a_CREATE INDEX idx_temp_asof ON #tempone(AsOf);_x000d__x000a_CREATE INDEX idx_temp_datebucket ON #tempone(datebucket);_x000d__x000a_COMMIT;_x000d__x000a__x000d__x000a_select t.asOfDate,_x000d__x000a_--t.datebucket,_x000d__x000a_--tl.totalLLPA, tl.asofdate,_x000d__x000a_refinanceible = sum(case when l.OrigNoteRate - t.SeriesNumValue - tl.totalLLPA/4 &gt;= 0.5 then (case when lh.currentRpb &gt; 0 then lh.currentRpb else 0.000001 end) else 0 end)/sum(case when lh.currentRpb &gt; 0 then lh.currentRpb else 0.000001 end)_x000d__x000a_--ITMBalance = sum(case when l.OrigNoteRate - t.SeriesNumValue - tl.totalLLPA/4 &gt;= 0.5 then (case when lh.currentRpb &gt; 0 then lh.currentRpb else 0.000001 end) else 0 end),_x000d__x000a_--currBalance = sum(case when lh.currentRpb &gt; 0 then lh.currentRpb else 0.000001 end)_x000d__x000a_from fhl.sec p, fhl.Cello_Loan l, fhl.Cello_LoanHist lh, #tempone t, #tempLLPA tl_x000d__x000a_where p.issueId = l.issueId_x000d__x000a_and l.issueId = lh.issueId_x000d__x000a_and l.loanSeqNum = lh.loanSeqNum_x000d__x000a_and p.collateralType = 'LOAN' _x000d__x000a_and l.marketTicker in ('FGLMC')_x000d__x000a_and l.marketTicker = p.marketTicker_x000d__x000a_and t.asOf = lh.asOf_x000d__x000a_and lh.asOf &gt;= '2011-01-01'_x000d__x000a_and l.occType = tl.occType_x000d__x000a_and l.cs &gt;= tl.FicoStart and l.cs &lt; tl.FicoEnd_x000d__x000a_and lh.CLTV &gt; tl.ltvStart and lh.CLTV &lt;= tl.LtvEnd_x000d__x000a_and l.numUnits = tl.numUnits_x000d__x000a_and t.datebucket = tl.asofdate_x000d__x000a_--and DATEDIFF(day, t.datebucket, tl.asofdate) = 0_x000d__x000a_--and l.calcorigmonth_LL &gt; 200906_x000d__x000a_group by t.asOfDate_x000d__x000a_order by t.asOfDate_x000d__x000a_;"/>
  </connection>
  <connection id="15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6" name="PMMSQuery" type="1" refreshedVersion="4" savePassword="1" saveData="1">
    <dbPr connection="DSN=Agency" command="commit; select top 1 AsOfDate, SeriesNumValue = sum(case when M.SeriesType = 'Points_US' then (1.0 - d.SeriesNumvalue)/-4.0 else d.SeriesNumvalue end) from report.TimeSeriesMeta M, report.TimeSeries D where M.TimeSeriesMetaId = D.TimeSeriesMetaId and M.Source = 'Freddie' and M.TickerName  ='PMMS_FRM_30YR' and M.SeriesType in ('Points_US','Rate_US') and AsOfDate &lt;= '2016-11-28' group by AsOfDate order by AsOfDate desc "/>
  </connection>
  <connection id="17" name="PoolLevelQuery" type="1" refreshedVersion="4" savePassword="1" saveData="1">
    <dbPr connection="DSN=Agency" command="select asofdate, SeriesNumValue from TimeSeriesMeta meta join TimeSeries ts on meta.TimeSeriesMetaId = ts.TimeSeriesMetaId where SeriesType = 'WEEKLY_PCT_REFI' and TickerName = 'CONVENTIONAL_30YR_POOL' and asofdate &gt; '2008-01-01' order by asofdate desc"/>
  </connection>
  <connection id="18" name="temp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19" name="temp1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20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21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22" name="temp12" type="6" refreshedVersion="4" background="1" saveData="1">
    <textPr codePage="437" sourceFile="C:\Users\lien.chen\Desktop\temp1.csv" comma="1" qualifier="singleQuote">
      <textFields count="2">
        <textField/>
        <textField/>
      </textFields>
    </textPr>
  </connection>
  <connection id="23" name="temp13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24" name="temp2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5" name="temp2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6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<sst xmlns="http://schemas.openxmlformats.org/spreadsheetml/2006/main" count="223" uniqueCount="152">
  <si>
    <t>Rank</t>
  </si>
  <si>
    <t>Database Env</t>
  </si>
  <si>
    <t>PROD</t>
  </si>
  <si>
    <t>Save Data to DB</t>
  </si>
  <si>
    <t>Yes</t>
  </si>
  <si>
    <t>As of Date</t>
  </si>
  <si>
    <t>Report Name</t>
  </si>
  <si>
    <t>Bank of America</t>
  </si>
  <si>
    <t>Chase</t>
  </si>
  <si>
    <t>Quicken</t>
  </si>
  <si>
    <t>Wells Fargo</t>
  </si>
  <si>
    <t>Source:</t>
  </si>
  <si>
    <t>1M Chg</t>
  </si>
  <si>
    <t>3M Chg</t>
  </si>
  <si>
    <t>Market Share</t>
  </si>
  <si>
    <t>Month</t>
  </si>
  <si>
    <t>Last Month</t>
  </si>
  <si>
    <t>Servicer Name</t>
  </si>
  <si>
    <t>Top 10 For Current Month</t>
  </si>
  <si>
    <t>Report Folder</t>
  </si>
  <si>
    <t>Volume (M)</t>
  </si>
  <si>
    <t>Issue Month:</t>
  </si>
  <si>
    <t>Loan Level</t>
  </si>
  <si>
    <t>Pool</t>
  </si>
  <si>
    <t>Loan</t>
  </si>
  <si>
    <t>Pool Level</t>
  </si>
  <si>
    <t>MBAVCMRS</t>
  </si>
  <si>
    <t>Current</t>
  </si>
  <si>
    <t>Bloomberg Refi Index</t>
  </si>
  <si>
    <t>As Of</t>
  </si>
  <si>
    <t>Refinancible Percentage</t>
  </si>
  <si>
    <t>AsOfDate</t>
  </si>
  <si>
    <t>SeriesNumValue</t>
  </si>
  <si>
    <t>refinancible1</t>
  </si>
  <si>
    <t>refinancible2</t>
  </si>
  <si>
    <t>refinancible3</t>
  </si>
  <si>
    <t>refinancible4</t>
  </si>
  <si>
    <t>refinancible5</t>
  </si>
  <si>
    <t>refinancible6</t>
  </si>
  <si>
    <t>refinancible7</t>
  </si>
  <si>
    <t>refinancible8</t>
  </si>
  <si>
    <t>refinancible9</t>
  </si>
  <si>
    <t>refinancible10</t>
  </si>
  <si>
    <t>refinancible11</t>
  </si>
  <si>
    <t>-10 bps</t>
  </si>
  <si>
    <t>-20 bps</t>
  </si>
  <si>
    <t>-30 bps</t>
  </si>
  <si>
    <t>-40 bps</t>
  </si>
  <si>
    <t>-50 bps</t>
  </si>
  <si>
    <t>+10 bps</t>
  </si>
  <si>
    <t>+20 bps</t>
  </si>
  <si>
    <t>+30 bps</t>
  </si>
  <si>
    <t>+40 bps</t>
  </si>
  <si>
    <t>+50 bps</t>
  </si>
  <si>
    <t>Rates</t>
  </si>
  <si>
    <t>Refi %</t>
  </si>
  <si>
    <t>Chg</t>
  </si>
  <si>
    <t>-</t>
  </si>
  <si>
    <t>As Of:</t>
  </si>
  <si>
    <t>Bloomberg Refi Index is conventional Refi Index (MBAVCMRS)</t>
  </si>
  <si>
    <t>Pool Level Model is based on FNCL data; Loan Level Model is using FGLMC loan level data.</t>
  </si>
  <si>
    <t>Refi Index</t>
  </si>
  <si>
    <t>Refi Index will be updated on next Wednesday.</t>
  </si>
  <si>
    <t>With Lowest Rate</t>
  </si>
  <si>
    <t>Loan with Lowest Rate</t>
  </si>
  <si>
    <t>Lowest Rate</t>
  </si>
  <si>
    <t>Scenario</t>
  </si>
  <si>
    <t>IF(DAY(CurrentCloseDate)&lt;5,(CurrentCloseDate-DAY(CurrentCloseDate))-DAY((CurrentCloseDate-DAY(CurrentCloseDate)))+1,CurrentCloseDate-DAY(CurrentCloseDate)+1)</t>
  </si>
  <si>
    <t>PMMS 1-Point Rate:</t>
  </si>
  <si>
    <t>Rate</t>
  </si>
  <si>
    <t>Weekday</t>
  </si>
  <si>
    <t>Weight</t>
  </si>
  <si>
    <t>Counter</t>
  </si>
  <si>
    <t>Accumulated Weighted CC</t>
  </si>
  <si>
    <t>AccumulatedWeight</t>
  </si>
  <si>
    <t>WA CC</t>
  </si>
  <si>
    <t>Servicing Spread</t>
  </si>
  <si>
    <t>Servicing Spread Non-Zero</t>
  </si>
  <si>
    <t>Servicing Spread 1m chg</t>
  </si>
  <si>
    <t>Survey Rate 1m chg</t>
  </si>
  <si>
    <t>MONDAY</t>
  </si>
  <si>
    <t>TUESDAY</t>
  </si>
  <si>
    <t>WEDNESDAY</t>
  </si>
  <si>
    <t>THURSDAY</t>
  </si>
  <si>
    <t>FRIDAY</t>
  </si>
  <si>
    <t>SATURDAY</t>
  </si>
  <si>
    <t>SUNDAY</t>
  </si>
  <si>
    <t>Servicing Spread Query</t>
  </si>
  <si>
    <t>TickerName</t>
  </si>
  <si>
    <t>FN_CMM_30Yr</t>
  </si>
  <si>
    <t>Current Coupon</t>
  </si>
  <si>
    <t>Implied Rate</t>
  </si>
  <si>
    <t>Daily Rate is calculated by current coupon plus the implied servicing spread.</t>
  </si>
  <si>
    <t>Current Coupon:</t>
  </si>
  <si>
    <t>Servicing Spread:</t>
  </si>
  <si>
    <t>Implied Primary Rate:</t>
  </si>
  <si>
    <t>12 Weeks Scenario</t>
  </si>
  <si>
    <t>asofdate</t>
  </si>
  <si>
    <t>12 Weeks</t>
  </si>
  <si>
    <t>2016-10-03</t>
  </si>
  <si>
    <t>2016-10-04</t>
  </si>
  <si>
    <t>2016-10-05</t>
  </si>
  <si>
    <t>2016-10-06</t>
  </si>
  <si>
    <t>2016-10-07</t>
  </si>
  <si>
    <t>2016-10-11</t>
  </si>
  <si>
    <t>2016-10-12</t>
  </si>
  <si>
    <t>2016-10-13</t>
  </si>
  <si>
    <t>2016-10-14</t>
  </si>
  <si>
    <t>2016-10-17</t>
  </si>
  <si>
    <t>2016-10-18</t>
  </si>
  <si>
    <t>2016-10-19</t>
  </si>
  <si>
    <t>2016-10-20</t>
  </si>
  <si>
    <t>2016-10-21</t>
  </si>
  <si>
    <t>2016-10-24</t>
  </si>
  <si>
    <t>2016-10-25</t>
  </si>
  <si>
    <t>2016-10-26</t>
  </si>
  <si>
    <t>2016-10-27</t>
  </si>
  <si>
    <t>2016-10-28</t>
  </si>
  <si>
    <t>2016-10-31</t>
  </si>
  <si>
    <t>S:\IT\Production\Daily Reports\Primary Market\2016-11\</t>
  </si>
  <si>
    <t>2016-11-01</t>
  </si>
  <si>
    <t>2016-11-02</t>
  </si>
  <si>
    <t>2016-11-03</t>
  </si>
  <si>
    <t>2016-11-04</t>
  </si>
  <si>
    <t>2016-11-07</t>
  </si>
  <si>
    <t>2016-11-08</t>
  </si>
  <si>
    <t>2016-11-09</t>
  </si>
  <si>
    <t>2016-11-10</t>
  </si>
  <si>
    <t>2016-11-14</t>
  </si>
  <si>
    <t>2016-11-15</t>
  </si>
  <si>
    <t>2016-11-16</t>
  </si>
  <si>
    <t>2016-11-17</t>
  </si>
  <si>
    <t>2016-11-18</t>
  </si>
  <si>
    <t>2016-11-21</t>
  </si>
  <si>
    <t>2016-11-22</t>
  </si>
  <si>
    <t>refinanceable1</t>
  </si>
  <si>
    <t>refinanceable2</t>
  </si>
  <si>
    <t>refinanceable3</t>
  </si>
  <si>
    <t>refinanceable4</t>
  </si>
  <si>
    <t>refinanceable5</t>
  </si>
  <si>
    <t>refinanceable6</t>
  </si>
  <si>
    <t>refinanceable7</t>
  </si>
  <si>
    <t>refinanceable8</t>
  </si>
  <si>
    <t>refinanceable9</t>
  </si>
  <si>
    <t>refinanceable10</t>
  </si>
  <si>
    <t>refinanceable11</t>
  </si>
  <si>
    <t>Last Survey Rate Date</t>
  </si>
  <si>
    <t>2016-11-23</t>
  </si>
  <si>
    <t>2016-11-25</t>
  </si>
  <si>
    <t>2016-11-28</t>
  </si>
  <si>
    <t>Refinacneable %</t>
  </si>
  <si>
    <t>12 Weeks Scenario:  1) 50 bps in the money;  2) At or below this rate for less than 3 months (12 weeks) over its history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</si>
</sst>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0.0%"/>
    <numFmt numFmtId="195" formatCode="&quot;$&quot;#,##0"/>
    <numFmt numFmtId="196" formatCode="yyyy\-mm"/>
    <numFmt numFmtId="197" formatCode="yyyy\-mm\-dd"/>
  </numFmts>
  <fonts count="1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1"/>
      <color rgb="FFAD275C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name val="Calibri"/>
      <family val="2"/>
    </font>
    <font>
      <u/>
      <sz val="11"/>
      <color theme="10"/>
      <name val="Calibri"/>
      <family val="2"/>
    </font>
    <font>
      <sz val="9"/>
      <color theme="1"/>
      <name val="Calibri"/>
      <family val="2"/>
      <scheme val="minor"/>
    </font>
    <font>
      <sz val="9"/>
      <color rgb="FFAD275C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b/>
      <sz val="9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6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31"/>
      </patternFill>
    </fill>
    <fill>
      <patternFill patternType="solid">
        <fgColor indexed="5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6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hair">
        <color indexed="23"/>
      </top>
      <bottom style="hair">
        <color indexed="23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medium">
        <color rgb="FF2E398A"/>
      </top>
      <bottom style="thin">
        <color rgb="FF2E398A"/>
      </bottom>
      <diagonal/>
    </border>
    <border>
      <left style="thin">
        <color rgb="FF2E398A"/>
      </left>
      <right style="thin">
        <color rgb="FF2E398A"/>
      </right>
      <top style="medium">
        <color rgb="FF2E398A"/>
      </top>
      <bottom style="thin">
        <color rgb="FF2E398A"/>
      </bottom>
      <diagonal/>
    </border>
    <border>
      <left style="thin">
        <color rgb="FF2E398A"/>
      </left>
      <right style="medium">
        <color rgb="FF2E398A"/>
      </right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medium">
        <color rgb="FF2E398A"/>
      </right>
      <top style="thin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 style="thin">
        <color rgb="FF2E398A"/>
      </left>
      <right style="medium">
        <color rgb="FF2E398A"/>
      </right>
      <top style="thin">
        <color rgb="FF2E398A"/>
      </top>
      <bottom style="medium">
        <color rgb="FF2E398A"/>
      </bottom>
      <diagonal/>
    </border>
    <border>
      <left style="medium">
        <color rgb="FF2E398A"/>
      </left>
      <right/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/>
      <top style="thin">
        <color rgb="FF2E398A"/>
      </top>
      <bottom style="thin">
        <color rgb="FF2E398A"/>
      </bottom>
      <diagonal/>
    </border>
    <border>
      <left style="medium">
        <color rgb="FF2E398A"/>
      </left>
      <right/>
      <top style="thin">
        <color rgb="FF2E398A"/>
      </top>
      <bottom style="medium">
        <color rgb="FF2E398A"/>
      </bottom>
      <diagonal/>
    </border>
    <border>
      <left/>
      <right/>
      <top style="medium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medium">
        <color rgb="FF2E398A"/>
      </bottom>
      <diagonal/>
    </border>
    <border>
      <left style="medium">
        <color rgb="FF2E398A"/>
      </left>
      <right style="medium">
        <color rgb="FF2E398A"/>
      </right>
      <top style="medium">
        <color rgb="FF2E398A"/>
      </top>
      <bottom/>
      <diagonal/>
    </border>
    <border>
      <left style="medium">
        <color rgb="FF2E398A"/>
      </left>
      <right style="medium">
        <color rgb="FF2E398A"/>
      </right>
      <top/>
      <bottom style="thin">
        <color rgb="FF2E398A"/>
      </bottom>
      <diagonal/>
    </border>
    <border>
      <left/>
      <right/>
      <top style="medium">
        <color rgb="FF2E398A"/>
      </top>
      <bottom/>
      <diagonal/>
    </border>
    <border>
      <left/>
      <right style="thin">
        <color rgb="FF2E398A"/>
      </right>
      <top style="medium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/>
      <right style="medium">
        <color rgb="FF2E398A"/>
      </right>
      <top style="medium">
        <color rgb="FF2E398A"/>
      </top>
      <bottom style="thin">
        <color rgb="FF2E398A"/>
      </bottom>
      <diagonal/>
    </border>
  </borders>
  <cellStyleXfs count="1050">
    <xf numFmtId="0" fontId="0" fillId="0" borderId="0"/>
    <xf numFmtId="9" fontId="1" fillId="0" borderId="0" applyFont="0" applyFill="0" applyBorder="0" applyAlignment="0" applyProtection="0"/>
    <xf numFmtId="0" fontId="5" fillId="5" borderId="4" applyNumberFormat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165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9" borderId="0" applyNumberFormat="0" applyBorder="0" applyAlignment="0" applyProtection="0"/>
    <xf numFmtId="0" fontId="12" fillId="10" borderId="0" applyNumberFormat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2" fillId="12" borderId="0" applyNumberFormat="0" applyBorder="0" applyAlignment="0" applyProtection="0"/>
    <xf numFmtId="0" fontId="13" fillId="11" borderId="0" applyNumberFormat="0" applyBorder="0" applyAlignment="0" applyProtection="0"/>
    <xf numFmtId="0" fontId="14" fillId="13" borderId="0" applyNumberFormat="0" applyBorder="0" applyAlignment="0" applyProtection="0"/>
    <xf numFmtId="0" fontId="12" fillId="14" borderId="0" applyNumberFormat="0" applyBorder="0" applyAlignment="0" applyProtection="0"/>
    <xf numFmtId="0" fontId="13" fillId="15" borderId="0" applyNumberFormat="0" applyBorder="0" applyAlignment="0" applyProtection="0"/>
    <xf numFmtId="0" fontId="14" fillId="1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8" borderId="0" applyNumberFormat="0" applyBorder="0" applyAlignment="0" applyProtection="0"/>
    <xf numFmtId="0" fontId="12" fillId="16" borderId="0" applyNumberFormat="0" applyBorder="0" applyAlignment="0" applyProtection="0"/>
    <xf numFmtId="0" fontId="13" fillId="17" borderId="0" applyNumberFormat="0" applyBorder="0" applyAlignment="0" applyProtection="0"/>
    <xf numFmtId="0" fontId="14" fillId="18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13" borderId="0" applyNumberFormat="0" applyBorder="0" applyAlignment="0" applyProtection="0"/>
    <xf numFmtId="0" fontId="12" fillId="18" borderId="0" applyNumberFormat="0" applyBorder="0" applyAlignment="0" applyProtection="0"/>
    <xf numFmtId="0" fontId="13" fillId="15" borderId="0" applyNumberFormat="0" applyBorder="0" applyAlignment="0" applyProtection="0"/>
    <xf numFmtId="0" fontId="14" fillId="18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5" borderId="0" applyNumberFormat="0" applyBorder="0" applyAlignment="0" applyProtection="0"/>
    <xf numFmtId="0" fontId="15" fillId="19" borderId="0" applyNumberFormat="0" applyBorder="0" applyAlignment="0" applyProtection="0"/>
    <xf numFmtId="0" fontId="16" fillId="19" borderId="0" applyNumberFormat="0" applyBorder="0" applyAlignment="0" applyProtection="0"/>
    <xf numFmtId="0" fontId="17" fillId="19" borderId="0" applyNumberFormat="0" applyBorder="0" applyAlignment="0" applyProtection="0"/>
    <xf numFmtId="0" fontId="15" fillId="10" borderId="0" applyNumberFormat="0" applyBorder="0" applyAlignment="0" applyProtection="0"/>
    <xf numFmtId="0" fontId="16" fillId="13" borderId="0" applyNumberFormat="0" applyBorder="0" applyAlignment="0" applyProtection="0"/>
    <xf numFmtId="0" fontId="17" fillId="20" borderId="0" applyNumberFormat="0" applyBorder="0" applyAlignment="0" applyProtection="0"/>
    <xf numFmtId="0" fontId="15" fillId="16" borderId="0" applyNumberFormat="0" applyBorder="0" applyAlignment="0" applyProtection="0"/>
    <xf numFmtId="0" fontId="16" fillId="26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3" borderId="0" applyNumberFormat="0" applyBorder="0" applyAlignment="0" applyProtection="0"/>
    <xf numFmtId="0" fontId="15" fillId="8" borderId="0" applyNumberFormat="0" applyBorder="0" applyAlignment="0" applyProtection="0"/>
    <xf numFmtId="0" fontId="16" fillId="8" borderId="0" applyNumberFormat="0" applyBorder="0" applyAlignment="0" applyProtection="0"/>
    <xf numFmtId="0" fontId="17" fillId="28" borderId="0" applyNumberFormat="0" applyBorder="0" applyAlignment="0" applyProtection="0"/>
    <xf numFmtId="0" fontId="15" fillId="23" borderId="0" applyNumberFormat="0" applyBorder="0" applyAlignment="0" applyProtection="0"/>
    <xf numFmtId="0" fontId="16" fillId="29" borderId="0" applyNumberFormat="0" applyBorder="0" applyAlignment="0" applyProtection="0"/>
    <xf numFmtId="0" fontId="17" fillId="30" borderId="0" applyNumberFormat="0" applyBorder="0" applyAlignment="0" applyProtection="0"/>
    <xf numFmtId="0" fontId="15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31" borderId="0" applyNumberFormat="0" applyBorder="0" applyAlignment="0" applyProtection="0"/>
    <xf numFmtId="0" fontId="15" fillId="33" borderId="0" applyNumberFormat="0" applyBorder="0" applyAlignment="0" applyProtection="0"/>
    <xf numFmtId="0" fontId="16" fillId="32" borderId="0" applyNumberFormat="0" applyBorder="0" applyAlignment="0" applyProtection="0"/>
    <xf numFmtId="0" fontId="17" fillId="33" borderId="0" applyNumberFormat="0" applyBorder="0" applyAlignment="0" applyProtection="0"/>
    <xf numFmtId="0" fontId="15" fillId="29" borderId="0" applyNumberFormat="0" applyBorder="0" applyAlignment="0" applyProtection="0"/>
    <xf numFmtId="0" fontId="16" fillId="29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33" borderId="0" applyNumberFormat="0" applyBorder="0" applyAlignment="0" applyProtection="0"/>
    <xf numFmtId="0" fontId="17" fillId="23" borderId="0" applyNumberFormat="0" applyBorder="0" applyAlignment="0" applyProtection="0"/>
    <xf numFmtId="0" fontId="15" fillId="34" borderId="0" applyNumberFormat="0" applyBorder="0" applyAlignment="0" applyProtection="0"/>
    <xf numFmtId="0" fontId="16" fillId="34" borderId="0" applyNumberFormat="0" applyBorder="0" applyAlignment="0" applyProtection="0"/>
    <xf numFmtId="0" fontId="17" fillId="34" borderId="0" applyNumberFormat="0" applyBorder="0" applyAlignment="0" applyProtection="0"/>
    <xf numFmtId="0" fontId="10" fillId="0" borderId="0"/>
    <xf numFmtId="17" fontId="10" fillId="0" borderId="0" applyFont="0" applyFill="0" applyBorder="0" applyProtection="0">
      <alignment horizontal="left"/>
    </xf>
    <xf numFmtId="0" fontId="10" fillId="0" borderId="0" applyFont="0" applyFill="0" applyBorder="0" applyProtection="0">
      <alignment horizontal="left"/>
    </xf>
    <xf numFmtId="0" fontId="18" fillId="9" borderId="0" applyNumberFormat="0" applyBorder="0" applyAlignment="0" applyProtection="0"/>
    <xf numFmtId="0" fontId="19" fillId="9" borderId="0" applyNumberFormat="0" applyBorder="0" applyAlignment="0" applyProtection="0"/>
    <xf numFmtId="0" fontId="20" fillId="9" borderId="0" applyNumberFormat="0" applyBorder="0" applyAlignment="0" applyProtection="0"/>
    <xf numFmtId="38" fontId="21" fillId="12" borderId="0"/>
    <xf numFmtId="0" fontId="22" fillId="0" borderId="0" applyNumberFormat="0" applyFill="0" applyBorder="0" applyAlignment="0" applyProtection="0"/>
    <xf numFmtId="0" fontId="23" fillId="35" borderId="0">
      <alignment horizontal="left"/>
    </xf>
    <xf numFmtId="2" fontId="24" fillId="36" borderId="6" applyProtection="0">
      <alignment horizontal="left"/>
      <protection locked="0"/>
    </xf>
    <xf numFmtId="0" fontId="25" fillId="0" borderId="0" applyNumberFormat="0" applyFill="0" applyBorder="0" applyAlignment="0" applyProtection="0"/>
    <xf numFmtId="0" fontId="26" fillId="0" borderId="5" applyNumberFormat="0" applyFill="0" applyAlignment="0" applyProtection="0"/>
    <xf numFmtId="0" fontId="10" fillId="37" borderId="0"/>
    <xf numFmtId="167" fontId="11" fillId="0" borderId="0" applyFont="0" applyFill="0" applyBorder="0" applyAlignment="0" applyProtection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68" fontId="28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9" fillId="12" borderId="7" applyNumberFormat="0" applyAlignment="0" applyProtection="0"/>
    <xf numFmtId="0" fontId="30" fillId="14" borderId="7" applyNumberFormat="0" applyAlignment="0" applyProtection="0"/>
    <xf numFmtId="0" fontId="31" fillId="16" borderId="7" applyNumberFormat="0" applyAlignment="0" applyProtection="0"/>
    <xf numFmtId="0" fontId="32" fillId="38" borderId="8" applyNumberFormat="0"/>
    <xf numFmtId="0" fontId="33" fillId="39" borderId="9" applyBorder="0">
      <alignment horizontal="center" wrapText="1"/>
    </xf>
    <xf numFmtId="0" fontId="33" fillId="40" borderId="9" applyBorder="0">
      <alignment horizontal="center" wrapText="1"/>
    </xf>
    <xf numFmtId="0" fontId="34" fillId="41" borderId="8" applyNumberFormat="0"/>
    <xf numFmtId="0" fontId="35" fillId="42" borderId="8" applyNumberFormat="0"/>
    <xf numFmtId="0" fontId="3" fillId="42" borderId="8" applyNumberFormat="0"/>
    <xf numFmtId="0" fontId="34" fillId="41" borderId="8" applyNumberFormat="0"/>
    <xf numFmtId="0" fontId="35" fillId="41" borderId="8" applyNumberFormat="0"/>
    <xf numFmtId="0" fontId="34" fillId="38" borderId="8" applyNumberFormat="0"/>
    <xf numFmtId="0" fontId="32" fillId="38" borderId="8" applyNumberFormat="0"/>
    <xf numFmtId="0" fontId="5" fillId="5" borderId="4" applyNumberFormat="0" applyBorder="0"/>
    <xf numFmtId="0" fontId="5" fillId="5" borderId="4" applyNumberFormat="0" applyBorder="0"/>
    <xf numFmtId="0" fontId="5" fillId="5" borderId="4" applyNumberFormat="0"/>
    <xf numFmtId="0" fontId="5" fillId="5" borderId="4" applyNumberFormat="0" applyBorder="0"/>
    <xf numFmtId="14" fontId="36" fillId="41" borderId="10" applyNumberFormat="0" applyAlignment="0"/>
    <xf numFmtId="14" fontId="36" fillId="42" borderId="10" applyNumberFormat="0" applyAlignment="0"/>
    <xf numFmtId="14" fontId="37" fillId="42" borderId="10" applyNumberFormat="0" applyAlignment="0"/>
    <xf numFmtId="0" fontId="38" fillId="43" borderId="11" applyNumberFormat="0" applyAlignment="0" applyProtection="0"/>
    <xf numFmtId="0" fontId="39" fillId="43" borderId="11" applyNumberFormat="0" applyAlignment="0" applyProtection="0"/>
    <xf numFmtId="0" fontId="40" fillId="43" borderId="11" applyNumberFormat="0" applyAlignment="0" applyProtection="0"/>
    <xf numFmtId="0" fontId="41" fillId="0" borderId="0" applyNumberFormat="0" applyFill="0" applyBorder="0" applyAlignment="0" applyProtection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0" fontId="27" fillId="0" borderId="0" applyFont="0" applyFill="0" applyBorder="0" applyAlignment="0" applyProtection="0"/>
    <xf numFmtId="168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3" fontId="10" fillId="0" borderId="0" applyFill="0" applyBorder="0" applyAlignment="0" applyProtection="0"/>
    <xf numFmtId="0" fontId="44" fillId="0" borderId="0"/>
    <xf numFmtId="0" fontId="45" fillId="0" borderId="0" applyNumberFormat="0" applyAlignment="0">
      <alignment horizontal="left"/>
    </xf>
    <xf numFmtId="0" fontId="46" fillId="0" borderId="0">
      <alignment horizontal="center"/>
    </xf>
    <xf numFmtId="0" fontId="44" fillId="0" borderId="0"/>
    <xf numFmtId="0" fontId="27" fillId="0" borderId="0" applyFont="0" applyFill="0" applyBorder="0" applyAlignment="0" applyProtection="0"/>
    <xf numFmtId="169" fontId="10" fillId="0" borderId="0" applyFont="0" applyFill="0" applyBorder="0" applyAlignment="0" applyProtection="0"/>
    <xf numFmtId="8" fontId="47" fillId="0" borderId="12">
      <protection locked="0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5" fontId="10" fillId="0" borderId="0" applyFill="0" applyBorder="0" applyAlignment="0" applyProtection="0"/>
    <xf numFmtId="173" fontId="11" fillId="0" borderId="0" applyFont="0" applyFill="0" applyBorder="0" applyAlignment="0" applyProtection="0"/>
    <xf numFmtId="10" fontId="10" fillId="0" borderId="0" applyFont="0" applyFill="0" applyBorder="0" applyProtection="0">
      <alignment horizontal="center"/>
    </xf>
    <xf numFmtId="174" fontId="10" fillId="0" borderId="0" applyFont="0" applyFill="0" applyBorder="0" applyProtection="0"/>
    <xf numFmtId="175" fontId="10" fillId="0" borderId="0" applyFont="0" applyFill="0" applyBorder="0" applyProtection="0"/>
    <xf numFmtId="15" fontId="48" fillId="0" borderId="0" applyFont="0" applyFill="0" applyBorder="0" applyAlignment="0" applyProtection="0"/>
    <xf numFmtId="0" fontId="44" fillId="0" borderId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5" fontId="13" fillId="12" borderId="0"/>
    <xf numFmtId="14" fontId="13" fillId="0" borderId="0" applyFill="0" applyBorder="0" applyAlignment="0"/>
    <xf numFmtId="0" fontId="46" fillId="36" borderId="0">
      <alignment horizontal="left"/>
    </xf>
    <xf numFmtId="176" fontId="10" fillId="0" borderId="0" applyFill="0" applyBorder="0" applyAlignment="0" applyProtection="0"/>
    <xf numFmtId="14" fontId="10" fillId="0" borderId="0"/>
    <xf numFmtId="0" fontId="49" fillId="19" borderId="0">
      <alignment horizontal="left"/>
    </xf>
    <xf numFmtId="0" fontId="50" fillId="0" borderId="0">
      <alignment horizontal="left"/>
    </xf>
    <xf numFmtId="38" fontId="51" fillId="0" borderId="13">
      <alignment vertical="center"/>
    </xf>
    <xf numFmtId="177" fontId="10" fillId="0" borderId="0">
      <alignment horizontal="right"/>
    </xf>
    <xf numFmtId="1" fontId="10" fillId="0" borderId="0">
      <alignment horizontal="right"/>
    </xf>
    <xf numFmtId="1" fontId="10" fillId="0" borderId="0">
      <alignment horizontal="right"/>
    </xf>
    <xf numFmtId="178" fontId="10" fillId="0" borderId="0">
      <alignment horizontal="right"/>
    </xf>
    <xf numFmtId="49" fontId="10" fillId="0" borderId="0">
      <alignment horizontal="left"/>
    </xf>
    <xf numFmtId="49" fontId="10" fillId="0" borderId="0">
      <alignment horizontal="left"/>
    </xf>
    <xf numFmtId="49" fontId="10" fillId="0" borderId="0">
      <alignment horizontal="right"/>
    </xf>
    <xf numFmtId="14" fontId="10" fillId="0" borderId="0">
      <alignment horizontal="left"/>
    </xf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52" fillId="0" borderId="0" applyNumberFormat="0" applyAlignment="0">
      <alignment horizontal="left"/>
    </xf>
    <xf numFmtId="9" fontId="53" fillId="0" borderId="3" applyNumberFormat="0" applyBorder="0" applyAlignment="0">
      <protection locked="0"/>
    </xf>
    <xf numFmtId="179" fontId="10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2" fontId="10" fillId="0" borderId="0" applyFill="0" applyBorder="0" applyAlignment="0" applyProtection="0"/>
    <xf numFmtId="180" fontId="10" fillId="0" borderId="0" applyFont="0" applyFill="0" applyBorder="0" applyAlignment="0" applyProtection="0"/>
    <xf numFmtId="0" fontId="13" fillId="12" borderId="0"/>
    <xf numFmtId="0" fontId="57" fillId="11" borderId="0" applyNumberFormat="0" applyBorder="0" applyAlignment="0" applyProtection="0"/>
    <xf numFmtId="0" fontId="58" fillId="15" borderId="0" applyNumberFormat="0" applyBorder="0" applyAlignment="0" applyProtection="0"/>
    <xf numFmtId="0" fontId="59" fillId="11" borderId="0" applyNumberFormat="0" applyBorder="0" applyAlignment="0" applyProtection="0"/>
    <xf numFmtId="2" fontId="60" fillId="36" borderId="6" applyProtection="0">
      <alignment horizontal="left"/>
      <protection locked="0"/>
    </xf>
    <xf numFmtId="38" fontId="41" fillId="44" borderId="0" applyNumberFormat="0" applyBorder="0" applyAlignment="0" applyProtection="0"/>
    <xf numFmtId="0" fontId="61" fillId="0" borderId="14" applyNumberFormat="0" applyAlignment="0" applyProtection="0">
      <alignment horizontal="left" vertical="center"/>
    </xf>
    <xf numFmtId="0" fontId="61" fillId="0" borderId="15">
      <alignment horizontal="left" vertical="center"/>
    </xf>
    <xf numFmtId="0" fontId="62" fillId="16" borderId="3">
      <alignment horizontal="centerContinuous"/>
    </xf>
    <xf numFmtId="0" fontId="63" fillId="0" borderId="16" applyNumberFormat="0" applyFill="0" applyAlignment="0" applyProtection="0"/>
    <xf numFmtId="0" fontId="64" fillId="0" borderId="17" applyNumberFormat="0" applyFill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18" applyNumberFormat="0" applyFill="0" applyAlignment="0" applyProtection="0"/>
    <xf numFmtId="0" fontId="68" fillId="0" borderId="19" applyNumberFormat="0" applyFill="0" applyAlignment="0" applyProtection="0"/>
    <xf numFmtId="0" fontId="69" fillId="0" borderId="20" applyNumberFormat="0" applyFill="0" applyAlignment="0" applyProtection="0"/>
    <xf numFmtId="0" fontId="49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1" applyNumberFormat="0" applyFill="0" applyAlignment="0" applyProtection="0"/>
    <xf numFmtId="0" fontId="72" fillId="0" borderId="22" applyNumberFormat="0" applyFill="0" applyAlignment="0" applyProtection="0"/>
    <xf numFmtId="0" fontId="73" fillId="0" borderId="23" applyNumberFormat="0" applyFill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12" borderId="0"/>
    <xf numFmtId="0" fontId="66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5" fillId="0" borderId="0" applyNumberFormat="0" applyFill="0" applyBorder="0" applyAlignment="0" applyProtection="0">
      <alignment vertical="top"/>
      <protection locked="0"/>
    </xf>
    <xf numFmtId="10" fontId="41" fillId="45" borderId="3" applyNumberFormat="0" applyBorder="0" applyAlignment="0" applyProtection="0"/>
    <xf numFmtId="2" fontId="76" fillId="0" borderId="24" applyNumberFormat="0" applyFill="0" applyBorder="0" applyAlignment="0">
      <alignment horizontal="center"/>
      <protection locked="0"/>
    </xf>
    <xf numFmtId="2" fontId="76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37" fontId="78" fillId="0" borderId="0" applyNumberFormat="0" applyAlignment="0">
      <protection locked="0"/>
    </xf>
    <xf numFmtId="0" fontId="79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10" fillId="44" borderId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38" fontId="13" fillId="12" borderId="0"/>
    <xf numFmtId="0" fontId="83" fillId="8" borderId="0" applyNumberFormat="0" applyBorder="0" applyAlignment="0" applyProtection="0"/>
    <xf numFmtId="0" fontId="84" fillId="13" borderId="0" applyNumberFormat="0" applyBorder="0" applyAlignment="0" applyProtection="0"/>
    <xf numFmtId="0" fontId="85" fillId="37" borderId="0" applyNumberFormat="0" applyBorder="0" applyAlignment="0" applyProtection="0"/>
    <xf numFmtId="37" fontId="86" fillId="0" borderId="0"/>
    <xf numFmtId="0" fontId="49" fillId="12" borderId="0" applyNumberFormat="0" applyFont="0" applyFill="0" applyBorder="0" applyAlignment="0"/>
    <xf numFmtId="10" fontId="13" fillId="12" borderId="0"/>
    <xf numFmtId="181" fontId="87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42" borderId="0"/>
    <xf numFmtId="0" fontId="10" fillId="42" borderId="0"/>
    <xf numFmtId="0" fontId="10" fillId="0" borderId="0"/>
    <xf numFmtId="0" fontId="10" fillId="0" borderId="0"/>
    <xf numFmtId="0" fontId="34" fillId="41" borderId="0"/>
    <xf numFmtId="0" fontId="34" fillId="41" borderId="0"/>
    <xf numFmtId="0" fontId="34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34" fillId="41" borderId="0"/>
    <xf numFmtId="0" fontId="1" fillId="0" borderId="0"/>
    <xf numFmtId="0" fontId="1" fillId="0" borderId="0"/>
    <xf numFmtId="0" fontId="10" fillId="0" borderId="0">
      <alignment vertical="top"/>
    </xf>
    <xf numFmtId="0" fontId="10" fillId="0" borderId="0">
      <alignment vertical="top"/>
    </xf>
    <xf numFmtId="0" fontId="1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8" fillId="0" borderId="0"/>
    <xf numFmtId="0" fontId="10" fillId="0" borderId="0"/>
    <xf numFmtId="0" fontId="10" fillId="0" borderId="0"/>
    <xf numFmtId="0" fontId="34" fillId="3" borderId="2" applyNumberFormat="0" applyFont="0" applyAlignment="0" applyProtection="0"/>
    <xf numFmtId="0" fontId="13" fillId="10" borderId="26" applyNumberFormat="0" applyFont="0" applyAlignment="0" applyProtection="0"/>
    <xf numFmtId="0" fontId="89" fillId="10" borderId="26" applyNumberFormat="0" applyFont="0" applyAlignment="0" applyProtection="0"/>
    <xf numFmtId="0" fontId="34" fillId="3" borderId="2" applyNumberFormat="0" applyFont="0" applyAlignment="0" applyProtection="0"/>
    <xf numFmtId="0" fontId="90" fillId="0" borderId="0"/>
    <xf numFmtId="0" fontId="14" fillId="10" borderId="26" applyNumberFormat="0" applyFont="0" applyAlignment="0" applyProtection="0"/>
    <xf numFmtId="0" fontId="34" fillId="3" borderId="2" applyNumberFormat="0" applyFont="0" applyAlignment="0" applyProtection="0"/>
    <xf numFmtId="0" fontId="34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7" fillId="0" borderId="0">
      <alignment horizontal="center"/>
    </xf>
    <xf numFmtId="37" fontId="10" fillId="0" borderId="0"/>
    <xf numFmtId="183" fontId="41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84" fontId="91" fillId="0" borderId="0" applyNumberFormat="0" applyFill="0" applyBorder="0" applyAlignment="0" applyProtection="0"/>
    <xf numFmtId="164" fontId="27" fillId="0" borderId="0">
      <alignment horizontal="center"/>
    </xf>
    <xf numFmtId="0" fontId="34" fillId="6" borderId="0" applyNumberFormat="0" applyFont="0" applyBorder="0" applyAlignment="0" applyProtection="0"/>
    <xf numFmtId="0" fontId="91" fillId="0" borderId="27"/>
    <xf numFmtId="2" fontId="92" fillId="36" borderId="6">
      <alignment horizontal="left"/>
    </xf>
    <xf numFmtId="0" fontId="93" fillId="12" borderId="28" applyNumberFormat="0" applyAlignment="0" applyProtection="0"/>
    <xf numFmtId="0" fontId="94" fillId="14" borderId="28" applyNumberFormat="0" applyAlignment="0" applyProtection="0"/>
    <xf numFmtId="0" fontId="95" fillId="16" borderId="28" applyNumberFormat="0" applyAlignment="0" applyProtection="0"/>
    <xf numFmtId="40" fontId="13" fillId="36" borderId="0">
      <alignment horizontal="right"/>
    </xf>
    <xf numFmtId="0" fontId="96" fillId="45" borderId="0">
      <alignment horizontal="center"/>
    </xf>
    <xf numFmtId="0" fontId="39" fillId="46" borderId="6"/>
    <xf numFmtId="0" fontId="97" fillId="0" borderId="0" applyBorder="0">
      <alignment horizontal="centerContinuous"/>
    </xf>
    <xf numFmtId="0" fontId="98" fillId="0" borderId="0" applyBorder="0">
      <alignment horizontal="centerContinuous"/>
    </xf>
    <xf numFmtId="0" fontId="61" fillId="0" borderId="0"/>
    <xf numFmtId="0" fontId="10" fillId="0" borderId="0" applyFont="0" applyFill="0" applyBorder="0" applyAlignment="0" applyProtection="0"/>
    <xf numFmtId="171" fontId="10" fillId="0" borderId="0" applyFont="0" applyFill="0" applyBorder="0" applyAlignment="0" applyProtection="0"/>
    <xf numFmtId="0" fontId="99" fillId="0" borderId="0" applyFont="0" applyFill="0" applyBorder="0" applyAlignment="0" applyProtection="0"/>
    <xf numFmtId="185" fontId="28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1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186" fontId="27" fillId="0" borderId="0">
      <alignment horizontal="center"/>
    </xf>
    <xf numFmtId="187" fontId="27" fillId="0" borderId="3">
      <alignment horizontal="center"/>
    </xf>
    <xf numFmtId="0" fontId="100" fillId="0" borderId="29" applyAlignment="0">
      <alignment horizontal="center"/>
    </xf>
    <xf numFmtId="0" fontId="101" fillId="44" borderId="0"/>
    <xf numFmtId="0" fontId="51" fillId="0" borderId="0" applyNumberFormat="0" applyFont="0" applyFill="0" applyBorder="0" applyAlignment="0" applyProtection="0">
      <alignment horizontal="left"/>
    </xf>
    <xf numFmtId="0" fontId="102" fillId="0" borderId="30">
      <alignment horizontal="center"/>
    </xf>
    <xf numFmtId="0" fontId="48" fillId="0" borderId="0">
      <alignment vertical="top"/>
    </xf>
    <xf numFmtId="188" fontId="48" fillId="0" borderId="0">
      <alignment vertical="top"/>
    </xf>
    <xf numFmtId="0" fontId="100" fillId="0" borderId="0">
      <alignment horizontal="left"/>
    </xf>
    <xf numFmtId="0" fontId="100" fillId="0" borderId="0">
      <alignment horizontal="right"/>
    </xf>
    <xf numFmtId="0" fontId="13" fillId="0" borderId="6" applyNumberFormat="0" applyBorder="0" applyAlignment="0"/>
    <xf numFmtId="189" fontId="103" fillId="0" borderId="0" applyNumberFormat="0" applyFill="0" applyBorder="0" applyAlignment="0" applyProtection="0">
      <alignment horizontal="left"/>
    </xf>
    <xf numFmtId="0" fontId="49" fillId="33" borderId="0">
      <alignment horizontal="left"/>
    </xf>
    <xf numFmtId="0" fontId="104" fillId="0" borderId="31"/>
    <xf numFmtId="187" fontId="24" fillId="10" borderId="0">
      <alignment horizontal="center"/>
    </xf>
    <xf numFmtId="187" fontId="105" fillId="10" borderId="0">
      <alignment horizontal="center"/>
    </xf>
    <xf numFmtId="187" fontId="24" fillId="11" borderId="0">
      <alignment horizontal="center"/>
    </xf>
    <xf numFmtId="0" fontId="24" fillId="10" borderId="0">
      <alignment horizontal="left"/>
    </xf>
    <xf numFmtId="0" fontId="106" fillId="0" borderId="0" applyFont="0" applyFill="0" applyBorder="0" applyAlignment="0" applyProtection="0"/>
    <xf numFmtId="190" fontId="28" fillId="0" borderId="0" applyFont="0" applyFill="0" applyBorder="0" applyAlignment="0" applyProtection="0"/>
    <xf numFmtId="191" fontId="10" fillId="0" borderId="0"/>
    <xf numFmtId="0" fontId="10" fillId="0" borderId="0"/>
    <xf numFmtId="0" fontId="10" fillId="0" borderId="0">
      <alignment horizontal="left" wrapText="1"/>
    </xf>
    <xf numFmtId="0" fontId="24" fillId="10" borderId="0">
      <alignment horizontal="center"/>
    </xf>
    <xf numFmtId="0" fontId="100" fillId="0" borderId="0"/>
    <xf numFmtId="0" fontId="107" fillId="0" borderId="0"/>
    <xf numFmtId="40" fontId="108" fillId="0" borderId="0" applyBorder="0">
      <alignment horizontal="right"/>
    </xf>
    <xf numFmtId="0" fontId="10" fillId="36" borderId="26"/>
    <xf numFmtId="0" fontId="27" fillId="0" borderId="0">
      <alignment horizontal="center"/>
    </xf>
    <xf numFmtId="15" fontId="27" fillId="0" borderId="0">
      <alignment horizontal="center"/>
    </xf>
    <xf numFmtId="0" fontId="109" fillId="0" borderId="0">
      <alignment horizontal="center"/>
    </xf>
    <xf numFmtId="3" fontId="27" fillId="0" borderId="0">
      <alignment horizontal="center"/>
    </xf>
    <xf numFmtId="192" fontId="27" fillId="0" borderId="0">
      <alignment horizontal="center"/>
    </xf>
    <xf numFmtId="187" fontId="27" fillId="0" borderId="0">
      <alignment horizontal="center"/>
    </xf>
    <xf numFmtId="0" fontId="110" fillId="47" borderId="0"/>
    <xf numFmtId="193" fontId="27" fillId="0" borderId="0">
      <alignment horizontal="center"/>
    </xf>
    <xf numFmtId="193" fontId="27" fillId="0" borderId="32">
      <alignment horizontal="center"/>
    </xf>
    <xf numFmtId="0" fontId="27" fillId="0" borderId="0">
      <alignment horizontal="left"/>
    </xf>
    <xf numFmtId="0" fontId="111" fillId="0" borderId="0">
      <alignment horizontal="center"/>
    </xf>
    <xf numFmtId="0" fontId="112" fillId="0" borderId="0" applyNumberFormat="0" applyFill="0" applyBorder="0"/>
    <xf numFmtId="0" fontId="13" fillId="12" borderId="0"/>
    <xf numFmtId="49" fontId="13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49" fontId="10" fillId="0" borderId="0"/>
    <xf numFmtId="0" fontId="113" fillId="0" borderId="0">
      <alignment horizontal="right"/>
    </xf>
    <xf numFmtId="0" fontId="114" fillId="0" borderId="0">
      <alignment horizontal="right"/>
      <protection locked="0"/>
    </xf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21" fillId="12" borderId="0"/>
    <xf numFmtId="0" fontId="34" fillId="48" borderId="33" applyBorder="0">
      <alignment horizontal="center" wrapText="1"/>
    </xf>
    <xf numFmtId="0" fontId="33" fillId="39" borderId="9" applyBorder="0">
      <alignment horizontal="center" wrapText="1"/>
    </xf>
    <xf numFmtId="0" fontId="34" fillId="49" borderId="9" applyBorder="0">
      <alignment horizontal="center" wrapText="1"/>
    </xf>
    <xf numFmtId="0" fontId="33" fillId="40" borderId="9" applyBorder="0">
      <alignment horizontal="center" wrapText="1"/>
    </xf>
    <xf numFmtId="0" fontId="7" fillId="50" borderId="9" applyBorder="0">
      <alignment horizontal="center" wrapText="1"/>
    </xf>
    <xf numFmtId="0" fontId="33" fillId="51" borderId="9" applyBorder="0">
      <alignment horizontal="center" wrapText="1"/>
    </xf>
    <xf numFmtId="0" fontId="33" fillId="51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00" fillId="0" borderId="0" applyNumberFormat="0" applyFill="0" applyBorder="0" applyAlignment="0" applyProtection="0"/>
    <xf numFmtId="0" fontId="118" fillId="0" borderId="34" applyNumberFormat="0" applyFill="0" applyAlignment="0" applyProtection="0"/>
    <xf numFmtId="0" fontId="21" fillId="0" borderId="35" applyNumberFormat="0" applyFill="0" applyAlignment="0" applyProtection="0"/>
    <xf numFmtId="0" fontId="10" fillId="0" borderId="36" applyNumberFormat="0" applyFill="0" applyAlignment="0" applyProtection="0"/>
    <xf numFmtId="0" fontId="119" fillId="0" borderId="37" applyNumberFormat="0" applyFill="0" applyAlignment="0" applyProtection="0"/>
    <xf numFmtId="0" fontId="120" fillId="12" borderId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1" fontId="124" fillId="41" borderId="10"/>
    <xf numFmtId="1" fontId="124" fillId="42" borderId="10"/>
    <xf numFmtId="2" fontId="125" fillId="42" borderId="10"/>
    <xf numFmtId="0" fontId="126" fillId="41" borderId="4" applyNumberFormat="0" applyAlignment="0"/>
    <xf numFmtId="0" fontId="127" fillId="42" borderId="4" applyNumberFormat="0" applyAlignment="0"/>
    <xf numFmtId="1" fontId="128" fillId="42" borderId="10" applyNumberFormat="0"/>
    <xf numFmtId="177" fontId="129" fillId="42" borderId="10" applyNumberFormat="0"/>
    <xf numFmtId="0" fontId="10" fillId="0" borderId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" fillId="54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" fillId="56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" fillId="58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" fillId="60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" fillId="62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" fillId="53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" fillId="55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" fillId="57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" fillId="59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" fillId="61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" fillId="63" borderId="0" applyNumberFormat="0" applyBorder="0" applyAlignment="0" applyProtection="0"/>
    <xf numFmtId="0" fontId="135" fillId="52" borderId="1" applyNumberFormat="0" applyAlignment="0" applyProtection="0"/>
    <xf numFmtId="0" fontId="133" fillId="52" borderId="1" applyNumberFormat="0" applyAlignment="0" applyProtection="0"/>
    <xf numFmtId="0" fontId="35" fillId="42" borderId="8" applyNumberFormat="0"/>
    <xf numFmtId="0" fontId="80" fillId="36" borderId="42" applyNumberFormat="0"/>
    <xf numFmtId="0" fontId="80" fillId="36" borderId="42" applyNumberFormat="0"/>
    <xf numFmtId="0" fontId="34" fillId="38" borderId="8" applyNumberFormat="0"/>
    <xf numFmtId="0" fontId="136" fillId="65" borderId="42" applyNumberFormat="0"/>
    <xf numFmtId="14" fontId="36" fillId="41" borderId="10" applyNumberFormat="0" applyAlignment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137" fillId="0" borderId="0" applyNumberFormat="0" applyFill="0" applyBorder="0" applyAlignment="0" applyProtection="0">
      <alignment vertical="top"/>
      <protection locked="0"/>
    </xf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13" fillId="0" borderId="0"/>
    <xf numFmtId="0" fontId="14" fillId="0" borderId="0"/>
    <xf numFmtId="0" fontId="14" fillId="0" borderId="0"/>
    <xf numFmtId="0" fontId="14" fillId="0" borderId="0"/>
    <xf numFmtId="0" fontId="136" fillId="36" borderId="0"/>
    <xf numFmtId="0" fontId="10" fillId="0" borderId="0"/>
    <xf numFmtId="0" fontId="14" fillId="0" borderId="0"/>
    <xf numFmtId="0" fontId="14" fillId="0" borderId="0"/>
    <xf numFmtId="0" fontId="14" fillId="0" borderId="0"/>
    <xf numFmtId="0" fontId="34" fillId="41" borderId="0"/>
    <xf numFmtId="0" fontId="34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3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34" fillId="6" borderId="0" applyNumberFormat="0" applyFont="0" applyBorder="0" applyAlignment="0" applyProtection="0"/>
    <xf numFmtId="0" fontId="132" fillId="52" borderId="41" applyNumberFormat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33" fillId="39" borderId="9" applyBorder="0">
      <alignment horizontal="center" wrapText="1"/>
    </xf>
    <xf numFmtId="0" fontId="136" fillId="45" borderId="33" applyBorder="0">
      <alignment horizontal="center" wrapText="1"/>
    </xf>
    <xf numFmtId="0" fontId="34" fillId="49" borderId="9" applyBorder="0">
      <alignment horizontal="center" wrapText="1"/>
    </xf>
    <xf numFmtId="0" fontId="136" fillId="3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12" fillId="66" borderId="9" applyBorder="0">
      <alignment horizontal="center" wrapText="1"/>
    </xf>
    <xf numFmtId="0" fontId="119" fillId="0" borderId="37" applyNumberFormat="0" applyFill="0" applyAlignment="0" applyProtection="0"/>
    <xf numFmtId="0" fontId="119" fillId="0" borderId="37" applyNumberFormat="0" applyFill="0" applyAlignment="0" applyProtection="0"/>
    <xf numFmtId="0" fontId="134" fillId="0" borderId="0" applyNumberFormat="0" applyFill="0" applyBorder="0" applyAlignment="0" applyProtection="0"/>
    <xf numFmtId="1" fontId="124" fillId="42" borderId="10"/>
    <xf numFmtId="0" fontId="126" fillId="41" borderId="4" applyNumberFormat="0" applyAlignment="0"/>
  </cellStyleXfs>
  <cellXfs count="142">
    <xf numFmtId="0" fontId="0" fillId="0" borderId="0" xfId="0"/>
    <xf numFmtId="14" fontId="0" fillId="0" borderId="0" xfId="0" applyNumberFormat="1"/>
    <xf numFmtId="0" fontId="4" fillId="0" borderId="3" xfId="0" applyFont="1" applyBorder="1"/>
    <xf numFmtId="0" fontId="5" fillId="5" borderId="3" xfId="2" applyFont="1" applyBorder="1" applyAlignment="1">
      <alignment horizontal="center"/>
    </xf>
    <xf numFmtId="14" fontId="5" fillId="5" borderId="3" xfId="2" applyNumberFormat="1" applyFont="1" applyBorder="1"/>
    <xf numFmtId="0" fontId="6" fillId="0" borderId="0" xfId="0" applyFont="1"/>
    <xf numFmtId="0" fontId="7" fillId="0" borderId="0" xfId="0" applyFont="1"/>
    <xf numFmtId="0" fontId="4" fillId="0" borderId="0" xfId="0" applyFont="1" applyBorder="1"/>
    <xf numFmtId="0" fontId="7" fillId="0" borderId="0" xfId="0" applyFont="1" applyAlignment="1">
      <alignment wrapText="1"/>
    </xf>
    <xf numFmtId="0" fontId="7" fillId="0" borderId="0" xfId="0" applyFont="1" applyAlignment="1"/>
    <xf numFmtId="0" fontId="7" fillId="0" borderId="0" xfId="0" applyFont="1" applyAlignment="1">
      <alignment horizontal="right"/>
    </xf>
    <xf numFmtId="0" fontId="130" fillId="0" borderId="0" xfId="3" applyFont="1"/>
    <xf numFmtId="0" fontId="130" fillId="0" borderId="0" xfId="3" applyFont="1" applyAlignment="1">
      <alignment vertical="top"/>
    </xf>
    <xf numFmtId="14" fontId="7" fillId="0" borderId="0" xfId="0" applyNumberFormat="1" applyFont="1" applyAlignment="1">
      <alignment wrapText="1"/>
    </xf>
    <xf numFmtId="14" fontId="7" fillId="0" borderId="0" xfId="0" applyNumberFormat="1" applyFont="1" applyAlignment="1"/>
    <xf numFmtId="164" fontId="7" fillId="0" borderId="0" xfId="1" applyNumberFormat="1" applyFont="1" applyBorder="1" applyAlignment="1">
      <alignment horizontal="left"/>
    </xf>
    <xf numFmtId="194" fontId="4" fillId="0" borderId="0" xfId="1" applyNumberFormat="1" applyFont="1" applyBorder="1" applyAlignment="1">
      <alignment horizontal="center"/>
    </xf>
    <xf numFmtId="194" fontId="7" fillId="0" borderId="0" xfId="1" applyNumberFormat="1" applyFont="1" applyBorder="1" applyAlignment="1">
      <alignment horizontal="center"/>
    </xf>
    <xf numFmtId="14" fontId="7" fillId="0" borderId="0" xfId="0" applyNumberFormat="1" applyFont="1"/>
    <xf numFmtId="0" fontId="5" fillId="5" borderId="3" xfId="2" applyFont="1" applyBorder="1" applyAlignment="1">
      <alignment horizontal="left"/>
    </xf>
    <xf numFmtId="0" fontId="7" fillId="0" borderId="38" xfId="0" applyFont="1" applyBorder="1" applyAlignment="1">
      <alignment horizontal="center"/>
    </xf>
    <xf numFmtId="0" fontId="7" fillId="0" borderId="39" xfId="0" applyFont="1" applyBorder="1" applyAlignment="1">
      <alignment horizontal="center"/>
    </xf>
    <xf numFmtId="0" fontId="7" fillId="0" borderId="40" xfId="0" applyFont="1" applyBorder="1" applyAlignment="1">
      <alignment horizontal="center"/>
    </xf>
    <xf numFmtId="14" fontId="7" fillId="0" borderId="39" xfId="0" applyNumberFormat="1" applyFont="1" applyBorder="1" applyAlignment="1">
      <alignment horizontal="left"/>
    </xf>
    <xf numFmtId="194" fontId="7" fillId="0" borderId="39" xfId="1" applyNumberFormat="1" applyFont="1" applyBorder="1" applyAlignment="1">
      <alignment horizontal="center"/>
    </xf>
    <xf numFmtId="195" fontId="7" fillId="0" borderId="40" xfId="1" applyNumberFormat="1" applyFont="1" applyBorder="1" applyAlignment="1">
      <alignment horizontal="center"/>
    </xf>
    <xf numFmtId="0" fontId="131" fillId="0" borderId="0" xfId="0" applyFont="1" applyAlignment="1">
      <alignment horizontal="right"/>
    </xf>
    <xf numFmtId="196" fontId="131" fillId="0" borderId="0" xfId="0" applyNumberFormat="1" applyFont="1" applyAlignment="1">
      <alignment horizontal="left"/>
    </xf>
    <xf numFmtId="164" fontId="8" fillId="7" borderId="43" xfId="0" applyNumberFormat="1" applyFont="1" applyFill="1" applyBorder="1" applyAlignment="1">
      <alignment horizontal="center"/>
    </xf>
    <xf numFmtId="10" fontId="7" fillId="0" borderId="0" xfId="1" applyNumberFormat="1" applyFont="1"/>
    <xf numFmtId="10" fontId="7" fillId="0" borderId="0" xfId="0" applyNumberFormat="1" applyFont="1"/>
    <xf numFmtId="2" fontId="7" fillId="0" borderId="0" xfId="1" applyNumberFormat="1" applyFont="1"/>
    <xf numFmtId="2" fontId="7" fillId="0" borderId="0" xfId="0" applyNumberFormat="1" applyFont="1"/>
    <xf numFmtId="0" fontId="7" fillId="0" borderId="0" xfId="0" applyFont="1" applyAlignment="1">
      <alignment vertical="center"/>
    </xf>
    <xf numFmtId="194" fontId="7" fillId="0" borderId="43" xfId="1" applyNumberFormat="1" applyFont="1" applyBorder="1" applyAlignment="1">
      <alignment horizontal="center" vertical="center"/>
    </xf>
    <xf numFmtId="2" fontId="8" fillId="7" borderId="43" xfId="0" applyNumberFormat="1" applyFont="1" applyFill="1" applyBorder="1" applyAlignment="1">
      <alignment horizontal="center"/>
    </xf>
    <xf numFmtId="0" fontId="138" fillId="0" borderId="0" xfId="0" applyFont="1"/>
    <xf numFmtId="0" fontId="139" fillId="0" borderId="0" xfId="0" applyFont="1"/>
    <xf numFmtId="0" fontId="139" fillId="0" borderId="0" xfId="0" applyFont="1" applyAlignment="1">
      <alignment horizontal="right"/>
    </xf>
    <xf numFmtId="164" fontId="8" fillId="7" borderId="47" xfId="0" applyNumberFormat="1" applyFont="1" applyFill="1" applyBorder="1" applyAlignment="1">
      <alignment horizontal="center"/>
    </xf>
    <xf numFmtId="164" fontId="8" fillId="7" borderId="48" xfId="0" applyNumberFormat="1" applyFont="1" applyFill="1" applyBorder="1" applyAlignment="1">
      <alignment horizontal="center"/>
    </xf>
    <xf numFmtId="14" fontId="7" fillId="0" borderId="47" xfId="0" applyNumberFormat="1" applyFont="1" applyBorder="1" applyAlignment="1">
      <alignment horizontal="center" vertical="center"/>
    </xf>
    <xf numFmtId="14" fontId="7" fillId="0" borderId="49" xfId="0" applyNumberFormat="1" applyFont="1" applyBorder="1" applyAlignment="1">
      <alignment horizontal="center" vertical="center"/>
    </xf>
    <xf numFmtId="194" fontId="7" fillId="0" borderId="50" xfId="1" applyNumberFormat="1" applyFont="1" applyBorder="1" applyAlignment="1">
      <alignment horizontal="center" vertical="center"/>
    </xf>
    <xf numFmtId="164" fontId="8" fillId="7" borderId="52" xfId="0" applyNumberFormat="1" applyFont="1" applyFill="1" applyBorder="1" applyAlignment="1">
      <alignment horizontal="left" vertical="center"/>
    </xf>
    <xf numFmtId="164" fontId="8" fillId="7" borderId="53" xfId="0" applyNumberFormat="1" applyFont="1" applyFill="1" applyBorder="1" applyAlignment="1">
      <alignment horizontal="center"/>
    </xf>
    <xf numFmtId="14" fontId="7" fillId="0" borderId="53" xfId="0" applyNumberFormat="1" applyFont="1" applyBorder="1" applyAlignment="1">
      <alignment horizontal="center" vertical="center"/>
    </xf>
    <xf numFmtId="14" fontId="7" fillId="0" borderId="54" xfId="0" applyNumberFormat="1" applyFont="1" applyBorder="1" applyAlignment="1">
      <alignment horizontal="center" vertical="center"/>
    </xf>
    <xf numFmtId="194" fontId="7" fillId="0" borderId="47" xfId="0" applyNumberFormat="1" applyFont="1" applyBorder="1" applyAlignment="1">
      <alignment horizontal="center" vertical="center"/>
    </xf>
    <xf numFmtId="194" fontId="7" fillId="0" borderId="48" xfId="1" applyNumberFormat="1" applyFont="1" applyBorder="1" applyAlignment="1">
      <alignment horizontal="center" vertical="center"/>
    </xf>
    <xf numFmtId="194" fontId="7" fillId="0" borderId="49" xfId="0" applyNumberFormat="1" applyFont="1" applyBorder="1" applyAlignment="1">
      <alignment horizontal="center" vertical="center"/>
    </xf>
    <xf numFmtId="194" fontId="7" fillId="0" borderId="51" xfId="1" applyNumberFormat="1" applyFont="1" applyBorder="1" applyAlignment="1">
      <alignment horizontal="center" vertical="center"/>
    </xf>
    <xf numFmtId="1" fontId="7" fillId="0" borderId="47" xfId="0" applyNumberFormat="1" applyFont="1" applyBorder="1" applyAlignment="1">
      <alignment horizontal="center" vertical="center"/>
    </xf>
    <xf numFmtId="1" fontId="7" fillId="0" borderId="49" xfId="0" applyNumberFormat="1" applyFont="1" applyBorder="1" applyAlignment="1">
      <alignment horizontal="center" vertical="center"/>
    </xf>
    <xf numFmtId="2" fontId="4" fillId="67" borderId="47" xfId="0" applyNumberFormat="1" applyFont="1" applyFill="1" applyBorder="1" applyAlignment="1">
      <alignment horizontal="center" vertical="center"/>
    </xf>
    <xf numFmtId="194" fontId="4" fillId="67" borderId="48" xfId="1" quotePrefix="1" applyNumberFormat="1" applyFont="1" applyFill="1" applyBorder="1" applyAlignment="1">
      <alignment horizontal="center" vertical="center"/>
    </xf>
    <xf numFmtId="194" fontId="7" fillId="0" borderId="47" xfId="1" applyNumberFormat="1" applyFont="1" applyBorder="1" applyAlignment="1">
      <alignment horizontal="center" vertical="center"/>
    </xf>
    <xf numFmtId="194" fontId="4" fillId="67" borderId="47" xfId="1" applyNumberFormat="1" applyFont="1" applyFill="1" applyBorder="1" applyAlignment="1">
      <alignment horizontal="center" vertical="center"/>
    </xf>
    <xf numFmtId="194" fontId="7" fillId="0" borderId="49" xfId="1" applyNumberFormat="1" applyFont="1" applyBorder="1" applyAlignment="1">
      <alignment horizontal="center" vertical="center"/>
    </xf>
    <xf numFmtId="14" fontId="139" fillId="0" borderId="0" xfId="0" applyNumberFormat="1" applyFont="1" applyAlignment="1">
      <alignment horizontal="left"/>
    </xf>
    <xf numFmtId="164" fontId="8" fillId="7" borderId="55" xfId="0" applyNumberFormat="1" applyFont="1" applyFill="1" applyBorder="1" applyAlignment="1">
      <alignment horizontal="center" vertical="center"/>
    </xf>
    <xf numFmtId="164" fontId="8" fillId="7" borderId="39" xfId="0" applyNumberFormat="1" applyFont="1" applyFill="1" applyBorder="1" applyAlignment="1">
      <alignment horizontal="center"/>
    </xf>
    <xf numFmtId="194" fontId="7" fillId="0" borderId="39" xfId="1" applyNumberFormat="1" applyFont="1" applyBorder="1" applyAlignment="1">
      <alignment horizontal="center" vertical="center"/>
    </xf>
    <xf numFmtId="194" fontId="7" fillId="0" borderId="56" xfId="1" applyNumberFormat="1" applyFont="1" applyBorder="1" applyAlignment="1">
      <alignment horizontal="center" vertical="center"/>
    </xf>
    <xf numFmtId="164" fontId="0" fillId="0" borderId="0" xfId="0" applyNumberFormat="1"/>
    <xf numFmtId="194" fontId="0" fillId="0" borderId="0" xfId="0" applyNumberFormat="1"/>
    <xf numFmtId="0" fontId="7" fillId="0" borderId="0" xfId="0" quotePrefix="1" applyFont="1" applyAlignment="1"/>
    <xf numFmtId="14" fontId="139" fillId="0" borderId="0" xfId="0" applyNumberFormat="1" applyFont="1" applyAlignment="1">
      <alignment horizontal="center"/>
    </xf>
    <xf numFmtId="0" fontId="140" fillId="41" borderId="0" xfId="351" applyFont="1"/>
    <xf numFmtId="0" fontId="34" fillId="41" borderId="0" xfId="351"/>
    <xf numFmtId="0" fontId="34" fillId="41" borderId="0" xfId="351" applyFont="1" applyAlignment="1">
      <alignment horizontal="center"/>
    </xf>
    <xf numFmtId="14" fontId="34" fillId="41" borderId="0" xfId="351" applyNumberFormat="1" applyFont="1"/>
    <xf numFmtId="0" fontId="34" fillId="41" borderId="0" xfId="351" applyNumberFormat="1" applyFont="1"/>
    <xf numFmtId="0" fontId="34" fillId="41" borderId="0" xfId="351" applyFont="1"/>
    <xf numFmtId="0" fontId="141" fillId="41" borderId="0" xfId="351" applyFont="1"/>
    <xf numFmtId="197" fontId="7" fillId="0" borderId="0" xfId="0" applyNumberFormat="1" applyFont="1"/>
    <xf numFmtId="0" fontId="7" fillId="0" borderId="43" xfId="0" applyFont="1" applyBorder="1"/>
    <xf numFmtId="10" fontId="7" fillId="0" borderId="43" xfId="0" applyNumberFormat="1" applyFont="1" applyBorder="1"/>
    <xf numFmtId="2" fontId="139" fillId="0" borderId="0" xfId="0" applyNumberFormat="1" applyFont="1" applyAlignment="1">
      <alignment horizontal="left"/>
    </xf>
    <xf numFmtId="2" fontId="142" fillId="0" borderId="0" xfId="0" applyNumberFormat="1" applyFont="1" applyAlignment="1">
      <alignment horizontal="left"/>
    </xf>
    <xf numFmtId="0" fontId="142" fillId="0" borderId="0" xfId="0" applyFont="1" applyAlignment="1">
      <alignment horizontal="left"/>
    </xf>
    <xf numFmtId="0" fontId="138" fillId="0" borderId="0" xfId="0" applyFont="1" applyAlignment="1">
      <alignment horizontal="right"/>
    </xf>
    <xf numFmtId="164" fontId="8" fillId="7" borderId="40" xfId="0" applyNumberFormat="1" applyFont="1" applyFill="1" applyBorder="1" applyAlignment="1">
      <alignment horizontal="center"/>
    </xf>
    <xf numFmtId="194" fontId="7" fillId="0" borderId="40" xfId="0" applyNumberFormat="1" applyFont="1" applyBorder="1" applyAlignment="1">
      <alignment horizontal="center" vertical="center"/>
    </xf>
    <xf numFmtId="194" fontId="7" fillId="0" borderId="61" xfId="0" applyNumberFormat="1" applyFont="1" applyBorder="1" applyAlignment="1">
      <alignment horizontal="center" vertical="center"/>
    </xf>
    <xf numFmtId="14" fontId="143" fillId="0" borderId="0" xfId="0" applyNumberFormat="1" applyFont="1"/>
    <xf numFmtId="10" fontId="143" fillId="0" borderId="0" xfId="1" applyNumberFormat="1" applyFont="1"/>
    <xf numFmtId="2" fontId="143" fillId="0" borderId="0" xfId="1" applyNumberFormat="1" applyFont="1"/>
    <xf numFmtId="14" fontId="144" fillId="0" borderId="0" xfId="0" applyNumberFormat="1" applyFont="1"/>
    <xf numFmtId="10" fontId="144" fillId="0" borderId="0" xfId="1" applyNumberFormat="1" applyFont="1"/>
    <xf numFmtId="2" fontId="144" fillId="0" borderId="0" xfId="1" applyNumberFormat="1" applyFont="1"/>
    <xf numFmtId="9" fontId="7" fillId="0" borderId="0" xfId="1" applyFont="1"/>
    <xf numFmtId="14" fontId="145" fillId="0" borderId="0" xfId="0" applyNumberFormat="1" applyFont="1"/>
    <xf numFmtId="10" fontId="145" fillId="0" borderId="0" xfId="1" applyNumberFormat="1" applyFont="1"/>
    <xf numFmtId="2" fontId="145" fillId="0" borderId="0" xfId="1" applyNumberFormat="1" applyFont="1"/>
    <xf numFmtId="14" fontId="146" fillId="0" borderId="0" xfId="0" applyNumberFormat="1" applyFont="1"/>
    <xf numFmtId="10" fontId="146" fillId="0" borderId="0" xfId="1" applyNumberFormat="1" applyFont="1"/>
    <xf numFmtId="2" fontId="146" fillId="0" borderId="0" xfId="1" applyNumberFormat="1" applyFont="1"/>
    <xf numFmtId="14" fontId="147" fillId="0" borderId="0" xfId="0" applyNumberFormat="1" applyFont="1"/>
    <xf numFmtId="10" fontId="147" fillId="0" borderId="0" xfId="1" applyNumberFormat="1" applyFont="1"/>
    <xf numFmtId="2" fontId="147" fillId="0" borderId="0" xfId="1" applyNumberFormat="1" applyFont="1"/>
    <xf numFmtId="14" fontId="148" fillId="0" borderId="0" xfId="0" applyNumberFormat="1" applyFont="1"/>
    <xf numFmtId="10" fontId="148" fillId="0" borderId="0" xfId="1" applyNumberFormat="1" applyFont="1"/>
    <xf numFmtId="2" fontId="148" fillId="0" borderId="0" xfId="1" applyNumberFormat="1" applyFont="1"/>
    <xf numFmtId="9" fontId="148" fillId="0" borderId="0" xfId="1" applyFont="1"/>
    <xf numFmtId="9" fontId="0" fillId="0" borderId="0" xfId="1" applyFont="1"/>
    <xf numFmtId="10" fontId="0" fillId="0" borderId="0" xfId="1" applyNumberFormat="1" applyFont="1"/>
    <xf numFmtId="14" fontId="149" fillId="0" borderId="0" xfId="0" applyNumberFormat="1" applyFont="1"/>
    <xf numFmtId="10" fontId="149" fillId="0" borderId="0" xfId="1" applyNumberFormat="1" applyFont="1"/>
    <xf numFmtId="2" fontId="149" fillId="0" borderId="0" xfId="1" applyNumberFormat="1" applyFont="1"/>
    <xf numFmtId="14" fontId="150" fillId="0" borderId="0" xfId="0" applyNumberFormat="1" applyFont="1"/>
    <xf numFmtId="10" fontId="150" fillId="0" borderId="0" xfId="1" applyNumberFormat="1" applyFont="1"/>
    <xf numFmtId="2" fontId="150" fillId="0" borderId="0" xfId="1" applyNumberFormat="1" applyFont="1"/>
    <xf numFmtId="14" fontId="151" fillId="0" borderId="0" xfId="0" applyNumberFormat="1" applyFont="1"/>
    <xf numFmtId="10" fontId="151" fillId="0" borderId="0" xfId="1" applyNumberFormat="1" applyFont="1"/>
    <xf numFmtId="2" fontId="151" fillId="0" borderId="0" xfId="1" applyNumberFormat="1" applyFont="1"/>
    <xf numFmtId="14" fontId="152" fillId="0" borderId="0" xfId="0" applyNumberFormat="1" applyFont="1"/>
    <xf numFmtId="10" fontId="152" fillId="0" borderId="0" xfId="1" applyNumberFormat="1" applyFont="1"/>
    <xf numFmtId="2" fontId="152" fillId="0" borderId="0" xfId="1" applyNumberFormat="1" applyFont="1"/>
    <xf numFmtId="0" fontId="153" fillId="41" borderId="0" xfId="351" applyNumberFormat="1" applyFont="1"/>
    <xf numFmtId="14" fontId="154" fillId="0" borderId="0" xfId="0" applyNumberFormat="1" applyFont="1"/>
    <xf numFmtId="10" fontId="154" fillId="0" borderId="0" xfId="1" applyNumberFormat="1" applyFont="1"/>
    <xf numFmtId="2" fontId="154" fillId="0" borderId="0" xfId="1" applyNumberFormat="1" applyFont="1"/>
    <xf numFmtId="14" fontId="153" fillId="68" borderId="0" xfId="351" applyNumberFormat="1" applyFont="1" applyFill="1"/>
    <xf numFmtId="0" fontId="154" fillId="68" borderId="0" xfId="0" applyFont="1" applyFill="1"/>
    <xf numFmtId="0" fontId="154" fillId="0" borderId="0" xfId="0" applyFont="1"/>
    <xf numFmtId="0" fontId="155" fillId="0" borderId="0" xfId="0" applyFont="1"/>
    <xf numFmtId="0" fontId="138" fillId="0" borderId="59" xfId="0" applyFont="1" applyBorder="1" applyAlignment="1">
      <alignment horizontal="left" wrapText="1"/>
    </xf>
    <xf numFmtId="0" fontId="138" fillId="0" borderId="0" xfId="0" applyFont="1" applyBorder="1" applyAlignment="1">
      <alignment horizontal="left" wrapText="1"/>
    </xf>
    <xf numFmtId="164" fontId="8" fillId="7" borderId="57" xfId="0" applyNumberFormat="1" applyFont="1" applyFill="1" applyBorder="1" applyAlignment="1">
      <alignment horizontal="center" vertical="center" wrapText="1"/>
    </xf>
    <xf numFmtId="164" fontId="8" fillId="7" borderId="58" xfId="0" applyNumberFormat="1" applyFont="1" applyFill="1" applyBorder="1" applyAlignment="1">
      <alignment horizontal="center" vertical="center" wrapText="1"/>
    </xf>
    <xf numFmtId="164" fontId="8" fillId="7" borderId="52" xfId="0" applyNumberFormat="1" applyFont="1" applyFill="1" applyBorder="1" applyAlignment="1">
      <alignment horizontal="center" vertical="center"/>
    </xf>
    <xf numFmtId="164" fontId="8" fillId="7" borderId="55" xfId="0" applyNumberFormat="1" applyFont="1" applyFill="1" applyBorder="1" applyAlignment="1">
      <alignment horizontal="center" vertical="center"/>
    </xf>
    <xf numFmtId="164" fontId="8" fillId="7" borderId="62" xfId="0" applyNumberFormat="1" applyFont="1" applyFill="1" applyBorder="1" applyAlignment="1">
      <alignment horizontal="center" vertical="center"/>
    </xf>
    <xf numFmtId="164" fontId="8" fillId="7" borderId="60" xfId="0" applyNumberFormat="1" applyFont="1" applyFill="1" applyBorder="1" applyAlignment="1">
      <alignment horizontal="center" vertical="center"/>
    </xf>
    <xf numFmtId="164" fontId="8" fillId="7" borderId="45" xfId="0" applyNumberFormat="1" applyFont="1" applyFill="1" applyBorder="1" applyAlignment="1">
      <alignment horizontal="center" vertical="center"/>
    </xf>
    <xf numFmtId="164" fontId="8" fillId="7" borderId="46" xfId="0" applyNumberFormat="1" applyFont="1" applyFill="1" applyBorder="1" applyAlignment="1">
      <alignment horizontal="center" vertical="center"/>
    </xf>
    <xf numFmtId="164" fontId="8" fillId="7" borderId="44" xfId="0" applyNumberFormat="1" applyFont="1" applyFill="1" applyBorder="1" applyAlignment="1">
      <alignment horizontal="center" vertical="center"/>
    </xf>
    <xf numFmtId="14" fontId="34" fillId="68" borderId="0" xfId="351" applyNumberFormat="1" applyFont="1" applyFill="1"/>
    <xf numFmtId="0" fontId="7" fillId="68" borderId="0" xfId="0" applyFont="1" applyFill="1"/>
    <xf numFmtId="164" fontId="8" fillId="7" borderId="52" xfId="0" applyNumberFormat="1" applyFont="1" applyFill="1" applyBorder="1" applyAlignment="1">
      <alignment vertical="center"/>
    </xf>
    <xf numFmtId="0" fontId="7" fillId="0" borderId="0" xfId="0" applyFont="1" applyAlignment="1">
      <alignment horizontal="left" vertical="center" wrapText="1"/>
    </xf>
  </cellXfs>
  <cellStyles count="1050">
    <cellStyle name="_Bonds" xfId="4"/>
    <cellStyle name="_Bonds 2" xfId="5"/>
    <cellStyle name="_Offering" xfId="6"/>
    <cellStyle name="_Offering 2" xfId="7"/>
    <cellStyle name="£ BP" xfId="8"/>
    <cellStyle name="¥ JY" xfId="9"/>
    <cellStyle name="20% - Accent1 2" xfId="10"/>
    <cellStyle name="20% - Accent1 2 2" xfId="11"/>
    <cellStyle name="20% - Accent1 2 3" xfId="12"/>
    <cellStyle name="20% - Accent1 3" xfId="13"/>
    <cellStyle name="20% - Accent1 3 2" xfId="14"/>
    <cellStyle name="20% - Accent1 3 3" xfId="15"/>
    <cellStyle name="20% - Accent1 4" xfId="16"/>
    <cellStyle name="20% - Accent1 4 2" xfId="527"/>
    <cellStyle name="20% - Accent1 4 2 2" xfId="528"/>
    <cellStyle name="20% - Accent1 4 3" xfId="529"/>
    <cellStyle name="20% - Accent1 4 3 2" xfId="530"/>
    <cellStyle name="20% - Accent1 4 4" xfId="531"/>
    <cellStyle name="20% - Accent1 4_Primary vs Secondary Spread Oct 3" xfId="532"/>
    <cellStyle name="20% - Accent1 5" xfId="17"/>
    <cellStyle name="20% - Accent2 2" xfId="18"/>
    <cellStyle name="20% - Accent2 3" xfId="19"/>
    <cellStyle name="20% - Accent2 4" xfId="20"/>
    <cellStyle name="20% - Accent2 4 2" xfId="533"/>
    <cellStyle name="20% - Accent2 4 2 2" xfId="534"/>
    <cellStyle name="20% - Accent2 4 3" xfId="535"/>
    <cellStyle name="20% - Accent2 4 3 2" xfId="536"/>
    <cellStyle name="20% - Accent2 4 4" xfId="537"/>
    <cellStyle name="20% - Accent2 4_Primary vs Secondary Spread Oct 3" xfId="538"/>
    <cellStyle name="20% - Accent2 5" xfId="539"/>
    <cellStyle name="20% - Accent3 2" xfId="21"/>
    <cellStyle name="20% - Accent3 3" xfId="22"/>
    <cellStyle name="20% - Accent3 4" xfId="23"/>
    <cellStyle name="20% - Accent3 4 2" xfId="540"/>
    <cellStyle name="20% - Accent3 4 2 2" xfId="541"/>
    <cellStyle name="20% - Accent3 4 3" xfId="542"/>
    <cellStyle name="20% - Accent3 4 3 2" xfId="543"/>
    <cellStyle name="20% - Accent3 4 4" xfId="544"/>
    <cellStyle name="20% - Accent3 4_Primary vs Secondary Spread Oct 3" xfId="545"/>
    <cellStyle name="20% - Accent3 5" xfId="546"/>
    <cellStyle name="20% - Accent4 2" xfId="24"/>
    <cellStyle name="20% - Accent4 3" xfId="25"/>
    <cellStyle name="20% - Accent4 4" xfId="26"/>
    <cellStyle name="20% - Accent4 4 2" xfId="547"/>
    <cellStyle name="20% - Accent4 4 2 2" xfId="548"/>
    <cellStyle name="20% - Accent4 4 3" xfId="549"/>
    <cellStyle name="20% - Accent4 4 3 2" xfId="550"/>
    <cellStyle name="20% - Accent4 4 4" xfId="551"/>
    <cellStyle name="20% - Accent4 4_Primary vs Secondary Spread Oct 3" xfId="552"/>
    <cellStyle name="20% - Accent4 5" xfId="553"/>
    <cellStyle name="20% - Accent5 2" xfId="27"/>
    <cellStyle name="20% - Accent5 3" xfId="28"/>
    <cellStyle name="20% - Accent5 4" xfId="29"/>
    <cellStyle name="20% - Accent5 4 2" xfId="554"/>
    <cellStyle name="20% - Accent5 4 2 2" xfId="555"/>
    <cellStyle name="20% - Accent5 4 3" xfId="556"/>
    <cellStyle name="20% - Accent5 4 3 2" xfId="557"/>
    <cellStyle name="20% - Accent5 4 4" xfId="558"/>
    <cellStyle name="20% - Accent5 4_Primary vs Secondary Spread Oct 3" xfId="559"/>
    <cellStyle name="20% - Accent5 5" xfId="560"/>
    <cellStyle name="20% - Accent6 2" xfId="30"/>
    <cellStyle name="20% - Accent6 3" xfId="31"/>
    <cellStyle name="20% - Accent6 4" xfId="32"/>
    <cellStyle name="20% - Accent6 4 2" xfId="561"/>
    <cellStyle name="20% - Accent6 4 2 2" xfId="562"/>
    <cellStyle name="20% - Accent6 4 3" xfId="563"/>
    <cellStyle name="20% - Accent6 4 3 2" xfId="564"/>
    <cellStyle name="20% - Accent6 4 4" xfId="565"/>
    <cellStyle name="20% - Accent6 4_Primary vs Secondary Spread Oct 3" xfId="566"/>
    <cellStyle name="20% - Accent6 5" xfId="567"/>
    <cellStyle name="40% - Accent1 2" xfId="33"/>
    <cellStyle name="40% - Accent1 3" xfId="34"/>
    <cellStyle name="40% - Accent1 4" xfId="35"/>
    <cellStyle name="40% - Accent1 4 2" xfId="568"/>
    <cellStyle name="40% - Accent1 4 2 2" xfId="569"/>
    <cellStyle name="40% - Accent1 4 3" xfId="570"/>
    <cellStyle name="40% - Accent1 4 3 2" xfId="571"/>
    <cellStyle name="40% - Accent1 4 4" xfId="572"/>
    <cellStyle name="40% - Accent1 4_Primary vs Secondary Spread Oct 3" xfId="573"/>
    <cellStyle name="40% - Accent1 5" xfId="574"/>
    <cellStyle name="40% - Accent2 2" xfId="36"/>
    <cellStyle name="40% - Accent2 3" xfId="37"/>
    <cellStyle name="40% - Accent2 4" xfId="38"/>
    <cellStyle name="40% - Accent2 4 2" xfId="575"/>
    <cellStyle name="40% - Accent2 4 2 2" xfId="576"/>
    <cellStyle name="40% - Accent2 4 3" xfId="577"/>
    <cellStyle name="40% - Accent2 4 3 2" xfId="578"/>
    <cellStyle name="40% - Accent2 4 4" xfId="579"/>
    <cellStyle name="40% - Accent2 4_Primary vs Secondary Spread Oct 3" xfId="580"/>
    <cellStyle name="40% - Accent2 5" xfId="581"/>
    <cellStyle name="40% - Accent3 2" xfId="39"/>
    <cellStyle name="40% - Accent3 3" xfId="40"/>
    <cellStyle name="40% - Accent3 4" xfId="41"/>
    <cellStyle name="40% - Accent3 4 2" xfId="582"/>
    <cellStyle name="40% - Accent3 4 2 2" xfId="583"/>
    <cellStyle name="40% - Accent3 4 3" xfId="584"/>
    <cellStyle name="40% - Accent3 4 3 2" xfId="585"/>
    <cellStyle name="40% - Accent3 4 4" xfId="586"/>
    <cellStyle name="40% - Accent3 4_Primary vs Secondary Spread Oct 3" xfId="587"/>
    <cellStyle name="40% - Accent3 5" xfId="588"/>
    <cellStyle name="40% - Accent4 2" xfId="42"/>
    <cellStyle name="40% - Accent4 3" xfId="43"/>
    <cellStyle name="40% - Accent4 4" xfId="44"/>
    <cellStyle name="40% - Accent4 4 2" xfId="589"/>
    <cellStyle name="40% - Accent4 4 2 2" xfId="590"/>
    <cellStyle name="40% - Accent4 4 3" xfId="591"/>
    <cellStyle name="40% - Accent4 4 3 2" xfId="592"/>
    <cellStyle name="40% - Accent4 4 4" xfId="593"/>
    <cellStyle name="40% - Accent4 4_Primary vs Secondary Spread Oct 3" xfId="594"/>
    <cellStyle name="40% - Accent4 5" xfId="595"/>
    <cellStyle name="40% - Accent5 2" xfId="45"/>
    <cellStyle name="40% - Accent5 3" xfId="46"/>
    <cellStyle name="40% - Accent5 4" xfId="47"/>
    <cellStyle name="40% - Accent5 4 2" xfId="596"/>
    <cellStyle name="40% - Accent5 4 2 2" xfId="597"/>
    <cellStyle name="40% - Accent5 4 3" xfId="598"/>
    <cellStyle name="40% - Accent5 4 3 2" xfId="599"/>
    <cellStyle name="40% - Accent5 4 4" xfId="600"/>
    <cellStyle name="40% - Accent5 4_Primary vs Secondary Spread Oct 3" xfId="601"/>
    <cellStyle name="40% - Accent5 5" xfId="602"/>
    <cellStyle name="40% - Accent6 2" xfId="48"/>
    <cellStyle name="40% - Accent6 3" xfId="49"/>
    <cellStyle name="40% - Accent6 4" xfId="50"/>
    <cellStyle name="40% - Accent6 4 2" xfId="603"/>
    <cellStyle name="40% - Accent6 4 2 2" xfId="604"/>
    <cellStyle name="40% - Accent6 4 3" xfId="605"/>
    <cellStyle name="40% - Accent6 4 3 2" xfId="606"/>
    <cellStyle name="40% - Accent6 4 4" xfId="607"/>
    <cellStyle name="40% - Accent6 4_Primary vs Secondary Spread Oct 3" xfId="608"/>
    <cellStyle name="40% - Accent6 5" xfId="609"/>
    <cellStyle name="60% - Accent1 2" xfId="51"/>
    <cellStyle name="60% - Accent1 3" xfId="52"/>
    <cellStyle name="60% - Accent1 4" xfId="53"/>
    <cellStyle name="60% - Accent2 2" xfId="54"/>
    <cellStyle name="60% - Accent2 3" xfId="55"/>
    <cellStyle name="60% - Accent2 4" xfId="56"/>
    <cellStyle name="60% - Accent3 2" xfId="57"/>
    <cellStyle name="60% - Accent3 3" xfId="58"/>
    <cellStyle name="60% - Accent3 4" xfId="59"/>
    <cellStyle name="60% - Accent4 2" xfId="60"/>
    <cellStyle name="60% - Accent4 3" xfId="61"/>
    <cellStyle name="60% - Accent4 4" xfId="62"/>
    <cellStyle name="60% - Accent5 2" xfId="63"/>
    <cellStyle name="60% - Accent5 3" xfId="64"/>
    <cellStyle name="60% - Accent5 4" xfId="65"/>
    <cellStyle name="60% - Accent6 2" xfId="66"/>
    <cellStyle name="60% - Accent6 3" xfId="67"/>
    <cellStyle name="60% - Accent6 4" xfId="68"/>
    <cellStyle name="Accent1 2" xfId="69"/>
    <cellStyle name="Accent1 3" xfId="70"/>
    <cellStyle name="Accent1 4" xfId="71"/>
    <cellStyle name="Accent2 2" xfId="72"/>
    <cellStyle name="Accent2 3" xfId="73"/>
    <cellStyle name="Accent2 4" xfId="74"/>
    <cellStyle name="Accent3 2" xfId="75"/>
    <cellStyle name="Accent3 3" xfId="76"/>
    <cellStyle name="Accent3 4" xfId="77"/>
    <cellStyle name="Accent4 2" xfId="78"/>
    <cellStyle name="Accent4 3" xfId="79"/>
    <cellStyle name="Accent4 4" xfId="80"/>
    <cellStyle name="Accent5 2" xfId="81"/>
    <cellStyle name="Accent5 3" xfId="82"/>
    <cellStyle name="Accent5 4" xfId="83"/>
    <cellStyle name="Accent6 2" xfId="84"/>
    <cellStyle name="Accent6 3" xfId="85"/>
    <cellStyle name="Accent6 4" xfId="86"/>
    <cellStyle name="Auto_OpenAuto_CloseExtractD_Sheet1" xfId="87"/>
    <cellStyle name="Axis.EffectiveDate" xfId="88"/>
    <cellStyle name="Axis.Seasoning" xfId="89"/>
    <cellStyle name="Bad 2" xfId="90"/>
    <cellStyle name="Bad 3" xfId="91"/>
    <cellStyle name="Bad 4" xfId="92"/>
    <cellStyle name="Big Money" xfId="93"/>
    <cellStyle name="Blue" xfId="94"/>
    <cellStyle name="blue axis cells" xfId="95"/>
    <cellStyle name="blue text cells" xfId="96"/>
    <cellStyle name="Body" xfId="97"/>
    <cellStyle name="Bold/Border" xfId="98"/>
    <cellStyle name="Border" xfId="99"/>
    <cellStyle name="Bullet" xfId="100"/>
    <cellStyle name="Calc Currency (0)" xfId="101"/>
    <cellStyle name="Calc Currency (0) 2" xfId="102"/>
    <cellStyle name="Calc Currency (2)" xfId="103"/>
    <cellStyle name="Calc Currency (2) 2" xfId="104"/>
    <cellStyle name="Calc Percent (0)" xfId="105"/>
    <cellStyle name="Calc Percent (0) 2" xfId="106"/>
    <cellStyle name="Calc Percent (1)" xfId="107"/>
    <cellStyle name="Calc Percent (1) 2" xfId="108"/>
    <cellStyle name="Calc Percent (2)" xfId="109"/>
    <cellStyle name="Calc Percent (2) 2" xfId="110"/>
    <cellStyle name="Calc Units (0)" xfId="111"/>
    <cellStyle name="Calc Units (0) 2" xfId="112"/>
    <cellStyle name="Calc Units (1)" xfId="113"/>
    <cellStyle name="Calc Units (1) 2" xfId="114"/>
    <cellStyle name="Calc Units (2)" xfId="115"/>
    <cellStyle name="Calc Units (2) 2" xfId="116"/>
    <cellStyle name="Calculation 2" xfId="117"/>
    <cellStyle name="Calculation 3" xfId="118"/>
    <cellStyle name="Calculation 4" xfId="119"/>
    <cellStyle name="Calculation 5" xfId="610"/>
    <cellStyle name="Calculation 6" xfId="611"/>
    <cellStyle name="CCM Input" xfId="120"/>
    <cellStyle name="CCM Title Calculations" xfId="121"/>
    <cellStyle name="CCM Title Indicative" xfId="122"/>
    <cellStyle name="Cello Calculation" xfId="123"/>
    <cellStyle name="Cello Calculation 2" xfId="124"/>
    <cellStyle name="Cello Calculation 2 2" xfId="125"/>
    <cellStyle name="Cello Calculation 2 3" xfId="612"/>
    <cellStyle name="Cello Calculation 2_Primary vs Secondary Spread Oct 3" xfId="613"/>
    <cellStyle name="Cello Calculation 3" xfId="126"/>
    <cellStyle name="Cello Calculation 4" xfId="127"/>
    <cellStyle name="Cello Calculation_Primary vs Secondary Spread Oct 3" xfId="614"/>
    <cellStyle name="Cello Input" xfId="2"/>
    <cellStyle name="Cello Input 2" xfId="128"/>
    <cellStyle name="Cello Input 2 2" xfId="129"/>
    <cellStyle name="Cello Input 2 3" xfId="130"/>
    <cellStyle name="Cello Input 2 4" xfId="615"/>
    <cellStyle name="Cello Input 2 5" xfId="131"/>
    <cellStyle name="Cello Input 2_Primary vs Secondary Spread Oct 3" xfId="616"/>
    <cellStyle name="Cello Input 3" xfId="132"/>
    <cellStyle name="Cello Input 4" xfId="133"/>
    <cellStyle name="Cello Linked Cell" xfId="134"/>
    <cellStyle name="Cello Linked Cell 2" xfId="135"/>
    <cellStyle name="Cello Linked Cell 2 2" xfId="136"/>
    <cellStyle name="Cello Linked Cell 3" xfId="617"/>
    <cellStyle name="Check Cell 2" xfId="137"/>
    <cellStyle name="Check Cell 3" xfId="138"/>
    <cellStyle name="Check Cell 4" xfId="139"/>
    <cellStyle name="Co. Names" xfId="140"/>
    <cellStyle name="Comma  - Style1" xfId="141"/>
    <cellStyle name="Comma  - Style1 2" xfId="142"/>
    <cellStyle name="Comma  - Style2" xfId="143"/>
    <cellStyle name="Comma  - Style2 2" xfId="144"/>
    <cellStyle name="Comma  - Style3" xfId="145"/>
    <cellStyle name="Comma  - Style3 2" xfId="146"/>
    <cellStyle name="Comma  - Style4" xfId="147"/>
    <cellStyle name="Comma  - Style4 2" xfId="148"/>
    <cellStyle name="Comma  - Style5" xfId="149"/>
    <cellStyle name="Comma  - Style5 2" xfId="150"/>
    <cellStyle name="Comma  - Style6" xfId="151"/>
    <cellStyle name="Comma  - Style6 2" xfId="152"/>
    <cellStyle name="Comma  - Style7" xfId="153"/>
    <cellStyle name="Comma  - Style7 2" xfId="154"/>
    <cellStyle name="Comma  - Style8" xfId="155"/>
    <cellStyle name="Comma  - Style8 2" xfId="156"/>
    <cellStyle name="Comma [00]" xfId="157"/>
    <cellStyle name="Comma [00] 2" xfId="158"/>
    <cellStyle name="Comma 10" xfId="159"/>
    <cellStyle name="Comma 11" xfId="160"/>
    <cellStyle name="Comma 12" xfId="161"/>
    <cellStyle name="Comma 13" xfId="162"/>
    <cellStyle name="Comma 14" xfId="163"/>
    <cellStyle name="Comma 15" xfId="164"/>
    <cellStyle name="Comma 16" xfId="165"/>
    <cellStyle name="Comma 16 2" xfId="166"/>
    <cellStyle name="Comma 17" xfId="167"/>
    <cellStyle name="Comma 18" xfId="168"/>
    <cellStyle name="Comma 19" xfId="169"/>
    <cellStyle name="Comma 2" xfId="170"/>
    <cellStyle name="Comma 20" xfId="171"/>
    <cellStyle name="Comma 21" xfId="172"/>
    <cellStyle name="Comma 22" xfId="173"/>
    <cellStyle name="Comma 23" xfId="174"/>
    <cellStyle name="Comma 24" xfId="175"/>
    <cellStyle name="Comma 25" xfId="176"/>
    <cellStyle name="Comma 26" xfId="177"/>
    <cellStyle name="Comma 27" xfId="178"/>
    <cellStyle name="Comma 28" xfId="179"/>
    <cellStyle name="Comma 29" xfId="180"/>
    <cellStyle name="Comma 29 2" xfId="181"/>
    <cellStyle name="Comma 29 2 2" xfId="618"/>
    <cellStyle name="Comma 29 3" xfId="619"/>
    <cellStyle name="Comma 29 3 2" xfId="620"/>
    <cellStyle name="Comma 29 4" xfId="621"/>
    <cellStyle name="Comma 29 5" xfId="622"/>
    <cellStyle name="Comma 3" xfId="182"/>
    <cellStyle name="Comma 30" xfId="183"/>
    <cellStyle name="Comma 31" xfId="623"/>
    <cellStyle name="Comma 32" xfId="624"/>
    <cellStyle name="Comma 33" xfId="625"/>
    <cellStyle name="Comma 34" xfId="626"/>
    <cellStyle name="Comma 35" xfId="627"/>
    <cellStyle name="Comma 4" xfId="184"/>
    <cellStyle name="Comma 4 2" xfId="185"/>
    <cellStyle name="Comma 5" xfId="186"/>
    <cellStyle name="Comma 6" xfId="187"/>
    <cellStyle name="Comma 7" xfId="188"/>
    <cellStyle name="Comma 8" xfId="189"/>
    <cellStyle name="Comma 9" xfId="190"/>
    <cellStyle name="Comma0" xfId="191"/>
    <cellStyle name="Comma1 - Style1" xfId="192"/>
    <cellStyle name="Copied" xfId="193"/>
    <cellStyle name="CTDSwitchAnalysisHeader" xfId="194"/>
    <cellStyle name="Curren - Style2" xfId="195"/>
    <cellStyle name="Currency [00]" xfId="196"/>
    <cellStyle name="Currency [00] 2" xfId="197"/>
    <cellStyle name="Currency [2]" xfId="198"/>
    <cellStyle name="Currency 10" xfId="199"/>
    <cellStyle name="Currency 11" xfId="200"/>
    <cellStyle name="Currency 12" xfId="201"/>
    <cellStyle name="Currency 13" xfId="202"/>
    <cellStyle name="Currency 14" xfId="203"/>
    <cellStyle name="Currency 15" xfId="204"/>
    <cellStyle name="Currency 16" xfId="628"/>
    <cellStyle name="Currency 17" xfId="629"/>
    <cellStyle name="Currency 18" xfId="630"/>
    <cellStyle name="Currency 19" xfId="631"/>
    <cellStyle name="Currency 2" xfId="205"/>
    <cellStyle name="Currency 20" xfId="632"/>
    <cellStyle name="Currency 21" xfId="633"/>
    <cellStyle name="Currency 3" xfId="206"/>
    <cellStyle name="Currency 4" xfId="207"/>
    <cellStyle name="Currency 5" xfId="208"/>
    <cellStyle name="Currency 6" xfId="209"/>
    <cellStyle name="Currency 7" xfId="210"/>
    <cellStyle name="Currency 8" xfId="211"/>
    <cellStyle name="Currency 9" xfId="212"/>
    <cellStyle name="Currency0" xfId="213"/>
    <cellStyle name="Dash" xfId="214"/>
    <cellStyle name="Data.LongPercent" xfId="215"/>
    <cellStyle name="Data.NumPercent" xfId="216"/>
    <cellStyle name="Data.NumShortPercent" xfId="217"/>
    <cellStyle name="date" xfId="218"/>
    <cellStyle name="Date - Style3" xfId="219"/>
    <cellStyle name="Date 2" xfId="220"/>
    <cellStyle name="Date 3" xfId="221"/>
    <cellStyle name="Date 4" xfId="222"/>
    <cellStyle name="Date 5" xfId="223"/>
    <cellStyle name="Date 6" xfId="224"/>
    <cellStyle name="Date 7" xfId="225"/>
    <cellStyle name="Date Short" xfId="226"/>
    <cellStyle name="date title" xfId="227"/>
    <cellStyle name="Date_DV01" xfId="228"/>
    <cellStyle name="DateFormat" xfId="229"/>
    <cellStyle name="DBAHandle" xfId="230"/>
    <cellStyle name="DBAParameter" xfId="231"/>
    <cellStyle name="DELTA" xfId="232"/>
    <cellStyle name="DS 0" xfId="233"/>
    <cellStyle name="DS 1" xfId="234"/>
    <cellStyle name="DS 2" xfId="235"/>
    <cellStyle name="DS 3" xfId="236"/>
    <cellStyle name="DS 4" xfId="237"/>
    <cellStyle name="DS 5" xfId="238"/>
    <cellStyle name="DS 5 2" xfId="239"/>
    <cellStyle name="DS 6" xfId="240"/>
    <cellStyle name="Enter Currency (0)" xfId="241"/>
    <cellStyle name="Enter Currency (0) 2" xfId="242"/>
    <cellStyle name="Enter Currency (2)" xfId="243"/>
    <cellStyle name="Enter Currency (2) 2" xfId="244"/>
    <cellStyle name="Enter Units (0)" xfId="245"/>
    <cellStyle name="Enter Units (0) 2" xfId="246"/>
    <cellStyle name="Enter Units (1)" xfId="247"/>
    <cellStyle name="Enter Units (1) 2" xfId="248"/>
    <cellStyle name="Enter Units (2)" xfId="249"/>
    <cellStyle name="Enter Units (2) 2" xfId="250"/>
    <cellStyle name="Entered" xfId="251"/>
    <cellStyle name="Entries" xfId="252"/>
    <cellStyle name="Euro" xfId="253"/>
    <cellStyle name="Explanatory Text 2" xfId="254"/>
    <cellStyle name="Explanatory Text 3" xfId="255"/>
    <cellStyle name="Explanatory Text 4" xfId="256"/>
    <cellStyle name="Fixed" xfId="257"/>
    <cellStyle name="FullTime" xfId="258"/>
    <cellStyle name="General" xfId="259"/>
    <cellStyle name="Good 2" xfId="260"/>
    <cellStyle name="Good 3" xfId="261"/>
    <cellStyle name="Good 4" xfId="262"/>
    <cellStyle name="gray text cells" xfId="263"/>
    <cellStyle name="Grey" xfId="264"/>
    <cellStyle name="Header1" xfId="265"/>
    <cellStyle name="Header2" xfId="266"/>
    <cellStyle name="Heading" xfId="267"/>
    <cellStyle name="Heading 1 2" xfId="268"/>
    <cellStyle name="Heading 1 2 2" xfId="269"/>
    <cellStyle name="Heading 1 3" xfId="270"/>
    <cellStyle name="Heading 1 4" xfId="271"/>
    <cellStyle name="Heading 1 5" xfId="272"/>
    <cellStyle name="Heading 2 2" xfId="273"/>
    <cellStyle name="Heading 2 2 2" xfId="274"/>
    <cellStyle name="Heading 2 3" xfId="275"/>
    <cellStyle name="Heading 2 4" xfId="276"/>
    <cellStyle name="Heading 2 5" xfId="277"/>
    <cellStyle name="Heading 3 2" xfId="278"/>
    <cellStyle name="Heading 3 3" xfId="279"/>
    <cellStyle name="Heading 3 4" xfId="280"/>
    <cellStyle name="Heading 4 2" xfId="281"/>
    <cellStyle name="Heading 4 3" xfId="282"/>
    <cellStyle name="Heading 4 4" xfId="283"/>
    <cellStyle name="Heading 5" xfId="284"/>
    <cellStyle name="HEADING1" xfId="285"/>
    <cellStyle name="HEADING2" xfId="286"/>
    <cellStyle name="Hyperlink" xfId="3" builtinId="8"/>
    <cellStyle name="Hyperlink 2" xfId="287"/>
    <cellStyle name="Hyperlink 3" xfId="634"/>
    <cellStyle name="Input [yellow]" xfId="288"/>
    <cellStyle name="Input 10" xfId="635"/>
    <cellStyle name="Input 11" xfId="636"/>
    <cellStyle name="Input 12" xfId="637"/>
    <cellStyle name="Input 13" xfId="638"/>
    <cellStyle name="Input 14" xfId="639"/>
    <cellStyle name="Input 15" xfId="640"/>
    <cellStyle name="Input 2" xfId="289"/>
    <cellStyle name="Input 2 2" xfId="290"/>
    <cellStyle name="Input 2 3" xfId="291"/>
    <cellStyle name="Input 3" xfId="292"/>
    <cellStyle name="Input 4" xfId="293"/>
    <cellStyle name="Input 5" xfId="294"/>
    <cellStyle name="Input 6" xfId="295"/>
    <cellStyle name="Input 7" xfId="296"/>
    <cellStyle name="Input 8" xfId="641"/>
    <cellStyle name="Input 9" xfId="642"/>
    <cellStyle name="Item" xfId="297"/>
    <cellStyle name="Link Currency (0)" xfId="298"/>
    <cellStyle name="Link Currency (0) 2" xfId="299"/>
    <cellStyle name="Link Currency (2)" xfId="300"/>
    <cellStyle name="Link Currency (2) 2" xfId="301"/>
    <cellStyle name="Link Units (0)" xfId="302"/>
    <cellStyle name="Link Units (0) 2" xfId="303"/>
    <cellStyle name="Link Units (1)" xfId="304"/>
    <cellStyle name="Link Units (1) 2" xfId="305"/>
    <cellStyle name="Link Units (2)" xfId="306"/>
    <cellStyle name="Link Units (2) 2" xfId="307"/>
    <cellStyle name="Linked Cell 2" xfId="308"/>
    <cellStyle name="Linked Cell 3" xfId="309"/>
    <cellStyle name="Linked Cell 4" xfId="310"/>
    <cellStyle name="Lookup" xfId="311"/>
    <cellStyle name="Milliers [0]_Basis" xfId="312"/>
    <cellStyle name="Milliers_Basis" xfId="313"/>
    <cellStyle name="Monétaire [0]_Basis" xfId="314"/>
    <cellStyle name="Monétaire_Basis" xfId="315"/>
    <cellStyle name="Money" xfId="316"/>
    <cellStyle name="Neutral 2" xfId="317"/>
    <cellStyle name="Neutral 3" xfId="318"/>
    <cellStyle name="Neutral 4" xfId="319"/>
    <cellStyle name="no dec" xfId="320"/>
    <cellStyle name="NoChange" xfId="321"/>
    <cellStyle name="Non Zero" xfId="322"/>
    <cellStyle name="Normal" xfId="0" builtinId="0"/>
    <cellStyle name="Normal - Style1" xfId="323"/>
    <cellStyle name="Normal 10" xfId="324"/>
    <cellStyle name="Normal 10 2" xfId="325"/>
    <cellStyle name="Normal 107" xfId="326"/>
    <cellStyle name="Normal 11" xfId="327"/>
    <cellStyle name="Normal 11 2" xfId="328"/>
    <cellStyle name="Normal 12" xfId="329"/>
    <cellStyle name="Normal 13" xfId="330"/>
    <cellStyle name="Normal 14" xfId="331"/>
    <cellStyle name="Normal 15" xfId="332"/>
    <cellStyle name="Normal 16" xfId="333"/>
    <cellStyle name="Normal 17" xfId="334"/>
    <cellStyle name="Normal 18" xfId="335"/>
    <cellStyle name="Normal 19" xfId="336"/>
    <cellStyle name="Normal 2" xfId="337"/>
    <cellStyle name="Normal 2 2" xfId="338"/>
    <cellStyle name="Normal 2 2 2" xfId="339"/>
    <cellStyle name="Normal 2 2 3" xfId="643"/>
    <cellStyle name="Normal 2 2_Primary vs Secondary Spread Oct 3" xfId="644"/>
    <cellStyle name="Normal 2 3" xfId="340"/>
    <cellStyle name="Normal 2 3 2" xfId="341"/>
    <cellStyle name="Normal 2 3 2 2" xfId="342"/>
    <cellStyle name="Normal 2 3 3" xfId="343"/>
    <cellStyle name="Normal 2 3_Primary vs Secondary Spread Oct 3" xfId="645"/>
    <cellStyle name="Normal 2 4" xfId="344"/>
    <cellStyle name="Normal 2 4 2" xfId="345"/>
    <cellStyle name="Normal 2 4 2 2" xfId="346"/>
    <cellStyle name="Normal 2 4 3" xfId="347"/>
    <cellStyle name="Normal 2 4_Primary vs Secondary Spread Oct 3" xfId="646"/>
    <cellStyle name="Normal 2 5" xfId="348"/>
    <cellStyle name="Normal 2 5 2" xfId="349"/>
    <cellStyle name="Normal 2 6" xfId="350"/>
    <cellStyle name="Normal 2 7" xfId="351"/>
    <cellStyle name="Normal 2_Primary vs Secondary Spread Oct 3" xfId="647"/>
    <cellStyle name="Normal 20" xfId="352"/>
    <cellStyle name="Normal 21" xfId="353"/>
    <cellStyle name="Normal 22" xfId="354"/>
    <cellStyle name="Normal 23" xfId="355"/>
    <cellStyle name="Normal 24" xfId="356"/>
    <cellStyle name="Normal 25" xfId="357"/>
    <cellStyle name="Normal 26" xfId="358"/>
    <cellStyle name="Normal 27" xfId="359"/>
    <cellStyle name="Normal 28" xfId="360"/>
    <cellStyle name="Normal 28 2" xfId="361"/>
    <cellStyle name="Normal 29" xfId="362"/>
    <cellStyle name="Normal 3" xfId="363"/>
    <cellStyle name="Normal 3 2" xfId="364"/>
    <cellStyle name="Normal 3 3" xfId="648"/>
    <cellStyle name="Normal 3_Primary vs Secondary Spread Oct 3" xfId="649"/>
    <cellStyle name="Normal 30" xfId="365"/>
    <cellStyle name="Normal 31" xfId="366"/>
    <cellStyle name="Normal 32" xfId="367"/>
    <cellStyle name="Normal 33" xfId="368"/>
    <cellStyle name="Normal 34" xfId="369"/>
    <cellStyle name="Normal 35" xfId="370"/>
    <cellStyle name="Normal 36" xfId="371"/>
    <cellStyle name="Normal 37" xfId="372"/>
    <cellStyle name="Normal 38" xfId="373"/>
    <cellStyle name="Normal 38 2" xfId="374"/>
    <cellStyle name="Normal 38 2 2" xfId="375"/>
    <cellStyle name="Normal 38 3" xfId="376"/>
    <cellStyle name="Normal 38_Primary vs Secondary Spread Oct 3" xfId="650"/>
    <cellStyle name="Normal 39" xfId="377"/>
    <cellStyle name="Normal 4" xfId="378"/>
    <cellStyle name="Normal 4 2" xfId="379"/>
    <cellStyle name="Normal 4 3" xfId="380"/>
    <cellStyle name="Normal 4 4" xfId="381"/>
    <cellStyle name="Normal 4_Primary vs Secondary Spread Oct 3" xfId="651"/>
    <cellStyle name="Normal 40" xfId="382"/>
    <cellStyle name="Normal 41" xfId="383"/>
    <cellStyle name="Normal 42" xfId="384"/>
    <cellStyle name="Normal 42 2" xfId="385"/>
    <cellStyle name="Normal 43" xfId="652"/>
    <cellStyle name="Normal 44" xfId="653"/>
    <cellStyle name="Normal 45" xfId="654"/>
    <cellStyle name="Normal 46" xfId="655"/>
    <cellStyle name="Normal 47" xfId="656"/>
    <cellStyle name="Normal 48" xfId="657"/>
    <cellStyle name="Normal 49" xfId="658"/>
    <cellStyle name="Normal 5" xfId="386"/>
    <cellStyle name="Normal 5 2" xfId="659"/>
    <cellStyle name="Normal 5 2 2" xfId="660"/>
    <cellStyle name="Normal 5 3" xfId="661"/>
    <cellStyle name="Normal 5 3 2" xfId="662"/>
    <cellStyle name="Normal 5 4" xfId="663"/>
    <cellStyle name="Normal 5_Primary vs Secondary Spread Oct 3" xfId="664"/>
    <cellStyle name="Normal 50" xfId="665"/>
    <cellStyle name="Normal 51" xfId="666"/>
    <cellStyle name="Normal 52" xfId="667"/>
    <cellStyle name="Normal 53" xfId="668"/>
    <cellStyle name="Normal 6" xfId="387"/>
    <cellStyle name="Normal 6 2" xfId="388"/>
    <cellStyle name="Normal 7" xfId="389"/>
    <cellStyle name="Normal 7 2" xfId="390"/>
    <cellStyle name="Normal 8" xfId="391"/>
    <cellStyle name="Normal 88" xfId="392"/>
    <cellStyle name="Normal 9" xfId="393"/>
    <cellStyle name="Normal 9 2" xfId="394"/>
    <cellStyle name="Note 2" xfId="395"/>
    <cellStyle name="Note 2 2" xfId="396"/>
    <cellStyle name="Note 2 3" xfId="397"/>
    <cellStyle name="Note 2 4" xfId="398"/>
    <cellStyle name="Note 3" xfId="399"/>
    <cellStyle name="Note 4" xfId="400"/>
    <cellStyle name="Note 4 2" xfId="669"/>
    <cellStyle name="Note 4 2 2" xfId="670"/>
    <cellStyle name="Note 4 3" xfId="671"/>
    <cellStyle name="Note 4 3 2" xfId="672"/>
    <cellStyle name="Note 4 4" xfId="673"/>
    <cellStyle name="Note 5" xfId="401"/>
    <cellStyle name="Note 5 2" xfId="674"/>
    <cellStyle name="Note 5 2 2" xfId="675"/>
    <cellStyle name="Note 5 3" xfId="676"/>
    <cellStyle name="Note 5 3 2" xfId="677"/>
    <cellStyle name="Note 5 4" xfId="678"/>
    <cellStyle name="Note 6" xfId="402"/>
    <cellStyle name="Note 6 2" xfId="679"/>
    <cellStyle name="Note 6 2 2" xfId="680"/>
    <cellStyle name="Note 6 3" xfId="681"/>
    <cellStyle name="Note 6 3 2" xfId="682"/>
    <cellStyle name="Note 6 4" xfId="683"/>
    <cellStyle name="Note 6 5" xfId="684"/>
    <cellStyle name="Note 7" xfId="403"/>
    <cellStyle name="Note 7 2" xfId="404"/>
    <cellStyle name="Note 7 2 2" xfId="685"/>
    <cellStyle name="Note 7 3" xfId="686"/>
    <cellStyle name="Note 7 3 2" xfId="687"/>
    <cellStyle name="Note 7 4" xfId="688"/>
    <cellStyle name="Note 7 5" xfId="689"/>
    <cellStyle name="Note 8" xfId="405"/>
    <cellStyle name="Note 9" xfId="690"/>
    <cellStyle name="NumberAsPercent" xfId="406"/>
    <cellStyle name="NumberFormat" xfId="407"/>
    <cellStyle name="Numbers" xfId="408"/>
    <cellStyle name="Numbers - Bold" xfId="409"/>
    <cellStyle name="Numbers_increm pf" xfId="410"/>
    <cellStyle name="NumberTo1DecPlace" xfId="411"/>
    <cellStyle name="OffWhite" xfId="412"/>
    <cellStyle name="OffWhite 2" xfId="691"/>
    <cellStyle name="OffWhite 2 2" xfId="692"/>
    <cellStyle name="OffWhite 3" xfId="693"/>
    <cellStyle name="OffWhite 3 2" xfId="694"/>
    <cellStyle name="OffWhite 4" xfId="695"/>
    <cellStyle name="Option" xfId="413"/>
    <cellStyle name="orange text cell" xfId="414"/>
    <cellStyle name="Output 2" xfId="415"/>
    <cellStyle name="Output 3" xfId="416"/>
    <cellStyle name="Output 4" xfId="417"/>
    <cellStyle name="Output 5" xfId="696"/>
    <cellStyle name="Output Amounts" xfId="418"/>
    <cellStyle name="Output Column Headings" xfId="419"/>
    <cellStyle name="Output Line Items" xfId="420"/>
    <cellStyle name="Output Report Heading" xfId="421"/>
    <cellStyle name="Output Report Title" xfId="422"/>
    <cellStyle name="Pageheading" xfId="423"/>
    <cellStyle name="Percent" xfId="1" builtinId="5"/>
    <cellStyle name="Percent [0]" xfId="424"/>
    <cellStyle name="Percent [0] 2" xfId="425"/>
    <cellStyle name="Percent [00]" xfId="426"/>
    <cellStyle name="Percent [00] 2" xfId="427"/>
    <cellStyle name="Percent [2]" xfId="428"/>
    <cellStyle name="Percent 2" xfId="429"/>
    <cellStyle name="Percent 2 2" xfId="430"/>
    <cellStyle name="Percent 2 2 2" xfId="697"/>
    <cellStyle name="Percent 2 3" xfId="698"/>
    <cellStyle name="Percent 2 3 2" xfId="699"/>
    <cellStyle name="Percent 2 4" xfId="700"/>
    <cellStyle name="Percent 2 5" xfId="701"/>
    <cellStyle name="Percent 3" xfId="431"/>
    <cellStyle name="Percent 3 2" xfId="702"/>
    <cellStyle name="Percent 3 2 2" xfId="703"/>
    <cellStyle name="Percent 3 3" xfId="704"/>
    <cellStyle name="Percent 3 3 2" xfId="705"/>
    <cellStyle name="Percent 3 4" xfId="706"/>
    <cellStyle name="Percent 4" xfId="707"/>
    <cellStyle name="Percent 4 2" xfId="708"/>
    <cellStyle name="Percent 4 2 2" xfId="709"/>
    <cellStyle name="Percent 4 3" xfId="710"/>
    <cellStyle name="Percent 4 3 2" xfId="711"/>
    <cellStyle name="Percent 4 4" xfId="712"/>
    <cellStyle name="Percent 5" xfId="713"/>
    <cellStyle name="Percent 5 2" xfId="714"/>
    <cellStyle name="Percent 5 2 2" xfId="715"/>
    <cellStyle name="Percent 5 3" xfId="716"/>
    <cellStyle name="Percent 5 3 2" xfId="717"/>
    <cellStyle name="Percent 5 4" xfId="718"/>
    <cellStyle name="Percentage" xfId="432"/>
    <cellStyle name="PrePop Currency (0)" xfId="433"/>
    <cellStyle name="PrePop Currency (0) 2" xfId="434"/>
    <cellStyle name="PrePop Currency (2)" xfId="435"/>
    <cellStyle name="PrePop Currency (2) 2" xfId="436"/>
    <cellStyle name="PrePop Units (0)" xfId="437"/>
    <cellStyle name="PrePop Units (0) 2" xfId="438"/>
    <cellStyle name="PrePop Units (1)" xfId="439"/>
    <cellStyle name="PrePop Units (1) 2" xfId="440"/>
    <cellStyle name="PrePop Units (2)" xfId="441"/>
    <cellStyle name="PrePop Units (2) 2" xfId="442"/>
    <cellStyle name="PriceTo3DecPlaces" xfId="443"/>
    <cellStyle name="PriceWithBorderAround" xfId="444"/>
    <cellStyle name="PRICING" xfId="445"/>
    <cellStyle name="Product Header" xfId="446"/>
    <cellStyle name="PSChar" xfId="447"/>
    <cellStyle name="PSHeading" xfId="448"/>
    <cellStyle name="r" xfId="449"/>
    <cellStyle name="r_pldt" xfId="450"/>
    <cellStyle name="ReportLeftHeader" xfId="451"/>
    <cellStyle name="ReportRightHeader" xfId="452"/>
    <cellStyle name="results" xfId="453"/>
    <cellStyle name="RevList" xfId="454"/>
    <cellStyle name="RVRQueryHandle" xfId="455"/>
    <cellStyle name="Section" xfId="456"/>
    <cellStyle name="SecuritiesPricingTable" xfId="457"/>
    <cellStyle name="SecuritiesPricingTableFinalData" xfId="458"/>
    <cellStyle name="SecuritiesPricingTableManualData" xfId="459"/>
    <cellStyle name="SecuritiesPricingTableText" xfId="460"/>
    <cellStyle name="Short $" xfId="461"/>
    <cellStyle name="Short $ 2" xfId="462"/>
    <cellStyle name="SIZE" xfId="463"/>
    <cellStyle name="Standard_Swaps-Bonds-Blending" xfId="464"/>
    <cellStyle name="Style 1" xfId="465"/>
    <cellStyle name="StyleSecuritiesPricingTableInteger" xfId="466"/>
    <cellStyle name="Subheading" xfId="467"/>
    <cellStyle name="subtitle" xfId="468"/>
    <cellStyle name="Subtotal" xfId="469"/>
    <cellStyle name="Table" xfId="470"/>
    <cellStyle name="Tablebody" xfId="471"/>
    <cellStyle name="TablebodyDate" xfId="472"/>
    <cellStyle name="TablebodyHeading" xfId="473"/>
    <cellStyle name="TablebodyOutstandingAmount" xfId="474"/>
    <cellStyle name="TablebodyPercent" xfId="475"/>
    <cellStyle name="TablebodyPrice" xfId="476"/>
    <cellStyle name="TablebodyReverse" xfId="477"/>
    <cellStyle name="TablebodySpread" xfId="478"/>
    <cellStyle name="TablebodySpreadBorder" xfId="479"/>
    <cellStyle name="TablebodyText" xfId="480"/>
    <cellStyle name="Tableheading" xfId="481"/>
    <cellStyle name="Text" xfId="482"/>
    <cellStyle name="Text 2" xfId="483"/>
    <cellStyle name="Text Indent A" xfId="484"/>
    <cellStyle name="Text Indent B" xfId="485"/>
    <cellStyle name="Text Indent B 2" xfId="486"/>
    <cellStyle name="Text Indent C" xfId="487"/>
    <cellStyle name="Text Indent C 2" xfId="488"/>
    <cellStyle name="TextStyle" xfId="489"/>
    <cellStyle name="tic display" xfId="490"/>
    <cellStyle name="tic input" xfId="491"/>
    <cellStyle name="Title - Underline" xfId="492"/>
    <cellStyle name="Title 2" xfId="493"/>
    <cellStyle name="Title 3" xfId="494"/>
    <cellStyle name="Title 4" xfId="495"/>
    <cellStyle name="Title 5" xfId="496"/>
    <cellStyle name="Title 6" xfId="497"/>
    <cellStyle name="Title 7" xfId="498"/>
    <cellStyle name="Title Calculations" xfId="499"/>
    <cellStyle name="Title Calculations 2" xfId="500"/>
    <cellStyle name="Title Calculations 2 2" xfId="719"/>
    <cellStyle name="Title Calculations_Primary vs Secondary Spread Oct 3" xfId="720"/>
    <cellStyle name="Title Indicative" xfId="501"/>
    <cellStyle name="Title Indicative 2" xfId="502"/>
    <cellStyle name="Title Indicative 2 2" xfId="721"/>
    <cellStyle name="Title Indicative_Primary vs Secondary Spread Oct 3" xfId="722"/>
    <cellStyle name="Title Pricing Assumptions" xfId="503"/>
    <cellStyle name="Title Pricing Assumptions 10" xfId="723"/>
    <cellStyle name="Title Pricing Assumptions 10 2" xfId="724"/>
    <cellStyle name="Title Pricing Assumptions 10 2 2" xfId="725"/>
    <cellStyle name="Title Pricing Assumptions 10 2_Primary vs Secondary Spread Oct 3" xfId="726"/>
    <cellStyle name="Title Pricing Assumptions 10 3" xfId="727"/>
    <cellStyle name="Title Pricing Assumptions 10 4" xfId="728"/>
    <cellStyle name="Title Pricing Assumptions 10 5" xfId="729"/>
    <cellStyle name="Title Pricing Assumptions 10_Primary vs Secondary Spread Oct 3" xfId="730"/>
    <cellStyle name="Title Pricing Assumptions 11" xfId="731"/>
    <cellStyle name="Title Pricing Assumptions 11 2" xfId="732"/>
    <cellStyle name="Title Pricing Assumptions 11_Primary vs Secondary Spread Oct 3" xfId="733"/>
    <cellStyle name="Title Pricing Assumptions 12" xfId="734"/>
    <cellStyle name="Title Pricing Assumptions 12 2" xfId="735"/>
    <cellStyle name="Title Pricing Assumptions 12_Primary vs Secondary Spread Oct 3" xfId="736"/>
    <cellStyle name="Title Pricing Assumptions 13" xfId="737"/>
    <cellStyle name="Title Pricing Assumptions 14" xfId="738"/>
    <cellStyle name="Title Pricing Assumptions 15" xfId="739"/>
    <cellStyle name="Title Pricing Assumptions 2" xfId="504"/>
    <cellStyle name="Title Pricing Assumptions 2 2" xfId="505"/>
    <cellStyle name="Title Pricing Assumptions 2 3" xfId="506"/>
    <cellStyle name="Title Pricing Assumptions 3" xfId="507"/>
    <cellStyle name="Title Pricing Assumptions 3 10" xfId="740"/>
    <cellStyle name="Title Pricing Assumptions 3 10 2" xfId="741"/>
    <cellStyle name="Title Pricing Assumptions 3 10_Primary vs Secondary Spread Oct 3" xfId="742"/>
    <cellStyle name="Title Pricing Assumptions 3 11" xfId="743"/>
    <cellStyle name="Title Pricing Assumptions 3 12" xfId="744"/>
    <cellStyle name="Title Pricing Assumptions 3 12 8" xfId="508"/>
    <cellStyle name="Title Pricing Assumptions 3 2" xfId="745"/>
    <cellStyle name="Title Pricing Assumptions 3 2 2" xfId="746"/>
    <cellStyle name="Title Pricing Assumptions 3 2 2 2" xfId="747"/>
    <cellStyle name="Title Pricing Assumptions 3 2 2 2 2" xfId="748"/>
    <cellStyle name="Title Pricing Assumptions 3 2 2 2_Primary vs Secondary Spread Oct 3" xfId="749"/>
    <cellStyle name="Title Pricing Assumptions 3 2 2 3" xfId="750"/>
    <cellStyle name="Title Pricing Assumptions 3 2 2 4" xfId="751"/>
    <cellStyle name="Title Pricing Assumptions 3 2 2 5" xfId="752"/>
    <cellStyle name="Title Pricing Assumptions 3 2 2_Primary vs Secondary Spread Oct 3" xfId="753"/>
    <cellStyle name="Title Pricing Assumptions 3 2 3" xfId="754"/>
    <cellStyle name="Title Pricing Assumptions 3 2 3 2" xfId="755"/>
    <cellStyle name="Title Pricing Assumptions 3 2 3 2 2" xfId="756"/>
    <cellStyle name="Title Pricing Assumptions 3 2 3 2_Primary vs Secondary Spread Oct 3" xfId="757"/>
    <cellStyle name="Title Pricing Assumptions 3 2 3 3" xfId="758"/>
    <cellStyle name="Title Pricing Assumptions 3 2 3 4" xfId="759"/>
    <cellStyle name="Title Pricing Assumptions 3 2 3 5" xfId="760"/>
    <cellStyle name="Title Pricing Assumptions 3 2 3_Primary vs Secondary Spread Oct 3" xfId="761"/>
    <cellStyle name="Title Pricing Assumptions 3 2 4" xfId="762"/>
    <cellStyle name="Title Pricing Assumptions 3 2 4 2" xfId="763"/>
    <cellStyle name="Title Pricing Assumptions 3 2 4 2 2" xfId="764"/>
    <cellStyle name="Title Pricing Assumptions 3 2 4 2_Primary vs Secondary Spread Oct 3" xfId="765"/>
    <cellStyle name="Title Pricing Assumptions 3 2 4 3" xfId="766"/>
    <cellStyle name="Title Pricing Assumptions 3 2 4 4" xfId="767"/>
    <cellStyle name="Title Pricing Assumptions 3 2 4 5" xfId="768"/>
    <cellStyle name="Title Pricing Assumptions 3 2 4_Primary vs Secondary Spread Oct 3" xfId="769"/>
    <cellStyle name="Title Pricing Assumptions 3 2 5" xfId="770"/>
    <cellStyle name="Title Pricing Assumptions 3 2 5 2" xfId="771"/>
    <cellStyle name="Title Pricing Assumptions 3 2 5_Primary vs Secondary Spread Oct 3" xfId="772"/>
    <cellStyle name="Title Pricing Assumptions 3 2 6" xfId="773"/>
    <cellStyle name="Title Pricing Assumptions 3 2 6 2" xfId="774"/>
    <cellStyle name="Title Pricing Assumptions 3 2 6_Primary vs Secondary Spread Oct 3" xfId="775"/>
    <cellStyle name="Title Pricing Assumptions 3 2 7" xfId="776"/>
    <cellStyle name="Title Pricing Assumptions 3 2 8" xfId="777"/>
    <cellStyle name="Title Pricing Assumptions 3 2_Primary vs Secondary Spread Oct 3" xfId="778"/>
    <cellStyle name="Title Pricing Assumptions 3 3" xfId="779"/>
    <cellStyle name="Title Pricing Assumptions 3 3 2" xfId="780"/>
    <cellStyle name="Title Pricing Assumptions 3 3 2 2" xfId="781"/>
    <cellStyle name="Title Pricing Assumptions 3 3 2 2 2" xfId="782"/>
    <cellStyle name="Title Pricing Assumptions 3 3 2 2_Primary vs Secondary Spread Oct 3" xfId="783"/>
    <cellStyle name="Title Pricing Assumptions 3 3 2 3" xfId="784"/>
    <cellStyle name="Title Pricing Assumptions 3 3 2 4" xfId="785"/>
    <cellStyle name="Title Pricing Assumptions 3 3 2 5" xfId="786"/>
    <cellStyle name="Title Pricing Assumptions 3 3 2_Primary vs Secondary Spread Oct 3" xfId="787"/>
    <cellStyle name="Title Pricing Assumptions 3 3 3" xfId="788"/>
    <cellStyle name="Title Pricing Assumptions 3 3 3 2" xfId="789"/>
    <cellStyle name="Title Pricing Assumptions 3 3 3 2 2" xfId="790"/>
    <cellStyle name="Title Pricing Assumptions 3 3 3 2_Primary vs Secondary Spread Oct 3" xfId="791"/>
    <cellStyle name="Title Pricing Assumptions 3 3 3 3" xfId="792"/>
    <cellStyle name="Title Pricing Assumptions 3 3 3 4" xfId="793"/>
    <cellStyle name="Title Pricing Assumptions 3 3 3 5" xfId="794"/>
    <cellStyle name="Title Pricing Assumptions 3 3 3_Primary vs Secondary Spread Oct 3" xfId="795"/>
    <cellStyle name="Title Pricing Assumptions 3 3 4" xfId="796"/>
    <cellStyle name="Title Pricing Assumptions 3 3 4 2" xfId="797"/>
    <cellStyle name="Title Pricing Assumptions 3 3 4 2 2" xfId="798"/>
    <cellStyle name="Title Pricing Assumptions 3 3 4 2_Primary vs Secondary Spread Oct 3" xfId="799"/>
    <cellStyle name="Title Pricing Assumptions 3 3 4 3" xfId="800"/>
    <cellStyle name="Title Pricing Assumptions 3 3 4 4" xfId="801"/>
    <cellStyle name="Title Pricing Assumptions 3 3 4 5" xfId="802"/>
    <cellStyle name="Title Pricing Assumptions 3 3 4_Primary vs Secondary Spread Oct 3" xfId="803"/>
    <cellStyle name="Title Pricing Assumptions 3 3 5" xfId="804"/>
    <cellStyle name="Title Pricing Assumptions 3 3 5 2" xfId="805"/>
    <cellStyle name="Title Pricing Assumptions 3 3 5_Primary vs Secondary Spread Oct 3" xfId="806"/>
    <cellStyle name="Title Pricing Assumptions 3 3 6" xfId="807"/>
    <cellStyle name="Title Pricing Assumptions 3 3 6 2" xfId="808"/>
    <cellStyle name="Title Pricing Assumptions 3 3 6_Primary vs Secondary Spread Oct 3" xfId="809"/>
    <cellStyle name="Title Pricing Assumptions 3 3 7" xfId="810"/>
    <cellStyle name="Title Pricing Assumptions 3 3 8" xfId="811"/>
    <cellStyle name="Title Pricing Assumptions 3 3_Primary vs Secondary Spread Oct 3" xfId="812"/>
    <cellStyle name="Title Pricing Assumptions 3 4" xfId="813"/>
    <cellStyle name="Title Pricing Assumptions 3 4 2" xfId="814"/>
    <cellStyle name="Title Pricing Assumptions 3 4 2 2" xfId="815"/>
    <cellStyle name="Title Pricing Assumptions 3 4 2 2 2" xfId="816"/>
    <cellStyle name="Title Pricing Assumptions 3 4 2 2_Primary vs Secondary Spread Oct 3" xfId="817"/>
    <cellStyle name="Title Pricing Assumptions 3 4 2 3" xfId="818"/>
    <cellStyle name="Title Pricing Assumptions 3 4 2 4" xfId="819"/>
    <cellStyle name="Title Pricing Assumptions 3 4 2 5" xfId="820"/>
    <cellStyle name="Title Pricing Assumptions 3 4 2_Primary vs Secondary Spread Oct 3" xfId="821"/>
    <cellStyle name="Title Pricing Assumptions 3 4 3" xfId="822"/>
    <cellStyle name="Title Pricing Assumptions 3 4 3 2" xfId="823"/>
    <cellStyle name="Title Pricing Assumptions 3 4 3 2 2" xfId="824"/>
    <cellStyle name="Title Pricing Assumptions 3 4 3 2_Primary vs Secondary Spread Oct 3" xfId="825"/>
    <cellStyle name="Title Pricing Assumptions 3 4 3 3" xfId="826"/>
    <cellStyle name="Title Pricing Assumptions 3 4 3 4" xfId="827"/>
    <cellStyle name="Title Pricing Assumptions 3 4 3 5" xfId="828"/>
    <cellStyle name="Title Pricing Assumptions 3 4 3_Primary vs Secondary Spread Oct 3" xfId="829"/>
    <cellStyle name="Title Pricing Assumptions 3 4 4" xfId="830"/>
    <cellStyle name="Title Pricing Assumptions 3 4 4 2" xfId="831"/>
    <cellStyle name="Title Pricing Assumptions 3 4 4 2 2" xfId="832"/>
    <cellStyle name="Title Pricing Assumptions 3 4 4 2_Primary vs Secondary Spread Oct 3" xfId="833"/>
    <cellStyle name="Title Pricing Assumptions 3 4 4 3" xfId="834"/>
    <cellStyle name="Title Pricing Assumptions 3 4 4 4" xfId="835"/>
    <cellStyle name="Title Pricing Assumptions 3 4 4 5" xfId="836"/>
    <cellStyle name="Title Pricing Assumptions 3 4 4_Primary vs Secondary Spread Oct 3" xfId="837"/>
    <cellStyle name="Title Pricing Assumptions 3 4 5" xfId="838"/>
    <cellStyle name="Title Pricing Assumptions 3 4 5 2" xfId="839"/>
    <cellStyle name="Title Pricing Assumptions 3 4 5_Primary vs Secondary Spread Oct 3" xfId="840"/>
    <cellStyle name="Title Pricing Assumptions 3 4 6" xfId="841"/>
    <cellStyle name="Title Pricing Assumptions 3 4 6 2" xfId="842"/>
    <cellStyle name="Title Pricing Assumptions 3 4 6_Primary vs Secondary Spread Oct 3" xfId="843"/>
    <cellStyle name="Title Pricing Assumptions 3 4 7" xfId="844"/>
    <cellStyle name="Title Pricing Assumptions 3 4 8" xfId="845"/>
    <cellStyle name="Title Pricing Assumptions 3 4_Primary vs Secondary Spread Oct 3" xfId="846"/>
    <cellStyle name="Title Pricing Assumptions 3 5" xfId="847"/>
    <cellStyle name="Title Pricing Assumptions 3 5 2" xfId="848"/>
    <cellStyle name="Title Pricing Assumptions 3 5 2 2" xfId="849"/>
    <cellStyle name="Title Pricing Assumptions 3 5 2 2 2" xfId="850"/>
    <cellStyle name="Title Pricing Assumptions 3 5 2 2_Primary vs Secondary Spread Oct 3" xfId="851"/>
    <cellStyle name="Title Pricing Assumptions 3 5 2 3" xfId="852"/>
    <cellStyle name="Title Pricing Assumptions 3 5 2 4" xfId="853"/>
    <cellStyle name="Title Pricing Assumptions 3 5 2 5" xfId="854"/>
    <cellStyle name="Title Pricing Assumptions 3 5 2_Primary vs Secondary Spread Oct 3" xfId="855"/>
    <cellStyle name="Title Pricing Assumptions 3 5 3" xfId="856"/>
    <cellStyle name="Title Pricing Assumptions 3 5 3 2" xfId="857"/>
    <cellStyle name="Title Pricing Assumptions 3 5 3 2 2" xfId="858"/>
    <cellStyle name="Title Pricing Assumptions 3 5 3 2_Primary vs Secondary Spread Oct 3" xfId="859"/>
    <cellStyle name="Title Pricing Assumptions 3 5 3 3" xfId="860"/>
    <cellStyle name="Title Pricing Assumptions 3 5 3 4" xfId="861"/>
    <cellStyle name="Title Pricing Assumptions 3 5 3 5" xfId="862"/>
    <cellStyle name="Title Pricing Assumptions 3 5 3_Primary vs Secondary Spread Oct 3" xfId="863"/>
    <cellStyle name="Title Pricing Assumptions 3 5 4" xfId="864"/>
    <cellStyle name="Title Pricing Assumptions 3 5 4 2" xfId="865"/>
    <cellStyle name="Title Pricing Assumptions 3 5 4_Primary vs Secondary Spread Oct 3" xfId="866"/>
    <cellStyle name="Title Pricing Assumptions 3 5 5" xfId="867"/>
    <cellStyle name="Title Pricing Assumptions 3 5 5 2" xfId="868"/>
    <cellStyle name="Title Pricing Assumptions 3 5 5_Primary vs Secondary Spread Oct 3" xfId="869"/>
    <cellStyle name="Title Pricing Assumptions 3 5 6" xfId="870"/>
    <cellStyle name="Title Pricing Assumptions 3 5 7" xfId="871"/>
    <cellStyle name="Title Pricing Assumptions 3 5_Primary vs Secondary Spread Oct 3" xfId="872"/>
    <cellStyle name="Title Pricing Assumptions 3 6" xfId="873"/>
    <cellStyle name="Title Pricing Assumptions 3 6 2" xfId="874"/>
    <cellStyle name="Title Pricing Assumptions 3 6 2 2" xfId="875"/>
    <cellStyle name="Title Pricing Assumptions 3 6 2_Primary vs Secondary Spread Oct 3" xfId="876"/>
    <cellStyle name="Title Pricing Assumptions 3 6 3" xfId="877"/>
    <cellStyle name="Title Pricing Assumptions 3 6 4" xfId="878"/>
    <cellStyle name="Title Pricing Assumptions 3 6 4 2 8" xfId="509"/>
    <cellStyle name="Title Pricing Assumptions 3 6 5" xfId="879"/>
    <cellStyle name="Title Pricing Assumptions 3 6_Primary vs Secondary Spread Oct 3" xfId="880"/>
    <cellStyle name="Title Pricing Assumptions 3 7" xfId="881"/>
    <cellStyle name="Title Pricing Assumptions 3 7 2" xfId="882"/>
    <cellStyle name="Title Pricing Assumptions 3 7 2 2" xfId="883"/>
    <cellStyle name="Title Pricing Assumptions 3 7 2_Primary vs Secondary Spread Oct 3" xfId="884"/>
    <cellStyle name="Title Pricing Assumptions 3 7 3" xfId="885"/>
    <cellStyle name="Title Pricing Assumptions 3 7 4" xfId="886"/>
    <cellStyle name="Title Pricing Assumptions 3 7 5" xfId="887"/>
    <cellStyle name="Title Pricing Assumptions 3 7_Primary vs Secondary Spread Oct 3" xfId="888"/>
    <cellStyle name="Title Pricing Assumptions 3 8" xfId="889"/>
    <cellStyle name="Title Pricing Assumptions 3 8 2" xfId="890"/>
    <cellStyle name="Title Pricing Assumptions 3 8 2 2" xfId="891"/>
    <cellStyle name="Title Pricing Assumptions 3 8 2_Primary vs Secondary Spread Oct 3" xfId="892"/>
    <cellStyle name="Title Pricing Assumptions 3 8 3" xfId="893"/>
    <cellStyle name="Title Pricing Assumptions 3 8 4" xfId="894"/>
    <cellStyle name="Title Pricing Assumptions 3 8 5" xfId="895"/>
    <cellStyle name="Title Pricing Assumptions 3 8_Primary vs Secondary Spread Oct 3" xfId="896"/>
    <cellStyle name="Title Pricing Assumptions 3 9" xfId="897"/>
    <cellStyle name="Title Pricing Assumptions 3 9 2" xfId="898"/>
    <cellStyle name="Title Pricing Assumptions 3 9_Primary vs Secondary Spread Oct 3" xfId="899"/>
    <cellStyle name="Title Pricing Assumptions 3_Primary vs Secondary Spread Oct 3" xfId="900"/>
    <cellStyle name="Title Pricing Assumptions 4" xfId="901"/>
    <cellStyle name="Title Pricing Assumptions 4 2" xfId="902"/>
    <cellStyle name="Title Pricing Assumptions 4 2 2" xfId="903"/>
    <cellStyle name="Title Pricing Assumptions 4 2 2 2" xfId="904"/>
    <cellStyle name="Title Pricing Assumptions 4 2 2_Primary vs Secondary Spread Oct 3" xfId="905"/>
    <cellStyle name="Title Pricing Assumptions 4 2 3" xfId="906"/>
    <cellStyle name="Title Pricing Assumptions 4 2 4" xfId="907"/>
    <cellStyle name="Title Pricing Assumptions 4 2 5" xfId="908"/>
    <cellStyle name="Title Pricing Assumptions 4 2_Primary vs Secondary Spread Oct 3" xfId="909"/>
    <cellStyle name="Title Pricing Assumptions 4 3" xfId="910"/>
    <cellStyle name="Title Pricing Assumptions 4 3 2" xfId="911"/>
    <cellStyle name="Title Pricing Assumptions 4 3 2 2" xfId="912"/>
    <cellStyle name="Title Pricing Assumptions 4 3 2_Primary vs Secondary Spread Oct 3" xfId="913"/>
    <cellStyle name="Title Pricing Assumptions 4 3 3" xfId="914"/>
    <cellStyle name="Title Pricing Assumptions 4 3 4" xfId="915"/>
    <cellStyle name="Title Pricing Assumptions 4 3 5" xfId="916"/>
    <cellStyle name="Title Pricing Assumptions 4 3_Primary vs Secondary Spread Oct 3" xfId="917"/>
    <cellStyle name="Title Pricing Assumptions 4 4" xfId="918"/>
    <cellStyle name="Title Pricing Assumptions 4 4 2" xfId="919"/>
    <cellStyle name="Title Pricing Assumptions 4 4 2 2" xfId="920"/>
    <cellStyle name="Title Pricing Assumptions 4 4 2_Primary vs Secondary Spread Oct 3" xfId="921"/>
    <cellStyle name="Title Pricing Assumptions 4 4 3" xfId="922"/>
    <cellStyle name="Title Pricing Assumptions 4 4 4" xfId="923"/>
    <cellStyle name="Title Pricing Assumptions 4 4 5" xfId="924"/>
    <cellStyle name="Title Pricing Assumptions 4 4_Primary vs Secondary Spread Oct 3" xfId="925"/>
    <cellStyle name="Title Pricing Assumptions 4 5" xfId="926"/>
    <cellStyle name="Title Pricing Assumptions 4 5 2" xfId="927"/>
    <cellStyle name="Title Pricing Assumptions 4 5_Primary vs Secondary Spread Oct 3" xfId="928"/>
    <cellStyle name="Title Pricing Assumptions 4 6" xfId="929"/>
    <cellStyle name="Title Pricing Assumptions 4 6 2" xfId="930"/>
    <cellStyle name="Title Pricing Assumptions 4 6_Primary vs Secondary Spread Oct 3" xfId="931"/>
    <cellStyle name="Title Pricing Assumptions 4 7" xfId="932"/>
    <cellStyle name="Title Pricing Assumptions 4 8" xfId="933"/>
    <cellStyle name="Title Pricing Assumptions 4_Primary vs Secondary Spread Oct 3" xfId="934"/>
    <cellStyle name="Title Pricing Assumptions 5" xfId="935"/>
    <cellStyle name="Title Pricing Assumptions 5 2" xfId="936"/>
    <cellStyle name="Title Pricing Assumptions 5 2 2" xfId="937"/>
    <cellStyle name="Title Pricing Assumptions 5 2 2 2" xfId="938"/>
    <cellStyle name="Title Pricing Assumptions 5 2 2_Primary vs Secondary Spread Oct 3" xfId="939"/>
    <cellStyle name="Title Pricing Assumptions 5 2 3" xfId="940"/>
    <cellStyle name="Title Pricing Assumptions 5 2 4" xfId="941"/>
    <cellStyle name="Title Pricing Assumptions 5 2 5" xfId="942"/>
    <cellStyle name="Title Pricing Assumptions 5 2_Primary vs Secondary Spread Oct 3" xfId="943"/>
    <cellStyle name="Title Pricing Assumptions 5 3" xfId="944"/>
    <cellStyle name="Title Pricing Assumptions 5 3 2" xfId="945"/>
    <cellStyle name="Title Pricing Assumptions 5 3 2 2" xfId="946"/>
    <cellStyle name="Title Pricing Assumptions 5 3 2_Primary vs Secondary Spread Oct 3" xfId="947"/>
    <cellStyle name="Title Pricing Assumptions 5 3 3" xfId="948"/>
    <cellStyle name="Title Pricing Assumptions 5 3 4" xfId="949"/>
    <cellStyle name="Title Pricing Assumptions 5 3 5" xfId="950"/>
    <cellStyle name="Title Pricing Assumptions 5 3_Primary vs Secondary Spread Oct 3" xfId="951"/>
    <cellStyle name="Title Pricing Assumptions 5 4" xfId="952"/>
    <cellStyle name="Title Pricing Assumptions 5 4 2" xfId="953"/>
    <cellStyle name="Title Pricing Assumptions 5 4 2 2" xfId="954"/>
    <cellStyle name="Title Pricing Assumptions 5 4 2_Primary vs Secondary Spread Oct 3" xfId="955"/>
    <cellStyle name="Title Pricing Assumptions 5 4 3" xfId="956"/>
    <cellStyle name="Title Pricing Assumptions 5 4 4" xfId="957"/>
    <cellStyle name="Title Pricing Assumptions 5 4 5" xfId="958"/>
    <cellStyle name="Title Pricing Assumptions 5 4_Primary vs Secondary Spread Oct 3" xfId="959"/>
    <cellStyle name="Title Pricing Assumptions 5 5" xfId="960"/>
    <cellStyle name="Title Pricing Assumptions 5 5 2" xfId="961"/>
    <cellStyle name="Title Pricing Assumptions 5 5_Primary vs Secondary Spread Oct 3" xfId="962"/>
    <cellStyle name="Title Pricing Assumptions 5 6" xfId="963"/>
    <cellStyle name="Title Pricing Assumptions 5 6 2" xfId="964"/>
    <cellStyle name="Title Pricing Assumptions 5 6_Primary vs Secondary Spread Oct 3" xfId="965"/>
    <cellStyle name="Title Pricing Assumptions 5 7" xfId="966"/>
    <cellStyle name="Title Pricing Assumptions 5 8" xfId="967"/>
    <cellStyle name="Title Pricing Assumptions 5_Primary vs Secondary Spread Oct 3" xfId="968"/>
    <cellStyle name="Title Pricing Assumptions 6" xfId="969"/>
    <cellStyle name="Title Pricing Assumptions 6 2" xfId="970"/>
    <cellStyle name="Title Pricing Assumptions 6 2 2" xfId="971"/>
    <cellStyle name="Title Pricing Assumptions 6 2 2 2" xfId="972"/>
    <cellStyle name="Title Pricing Assumptions 6 2 2_Primary vs Secondary Spread Oct 3" xfId="973"/>
    <cellStyle name="Title Pricing Assumptions 6 2 3" xfId="974"/>
    <cellStyle name="Title Pricing Assumptions 6 2 4" xfId="975"/>
    <cellStyle name="Title Pricing Assumptions 6 2 5" xfId="976"/>
    <cellStyle name="Title Pricing Assumptions 6 2_Primary vs Secondary Spread Oct 3" xfId="977"/>
    <cellStyle name="Title Pricing Assumptions 6 3" xfId="978"/>
    <cellStyle name="Title Pricing Assumptions 6 3 2" xfId="979"/>
    <cellStyle name="Title Pricing Assumptions 6 3 2 2" xfId="980"/>
    <cellStyle name="Title Pricing Assumptions 6 3 2_Primary vs Secondary Spread Oct 3" xfId="981"/>
    <cellStyle name="Title Pricing Assumptions 6 3 3" xfId="982"/>
    <cellStyle name="Title Pricing Assumptions 6 3 4" xfId="983"/>
    <cellStyle name="Title Pricing Assumptions 6 3_Primary vs Secondary Spread Oct 3" xfId="984"/>
    <cellStyle name="Title Pricing Assumptions 6 4" xfId="985"/>
    <cellStyle name="Title Pricing Assumptions 6 4 2" xfId="986"/>
    <cellStyle name="Title Pricing Assumptions 6 4 2 2" xfId="987"/>
    <cellStyle name="Title Pricing Assumptions 6 4 2_Primary vs Secondary Spread Oct 3" xfId="988"/>
    <cellStyle name="Title Pricing Assumptions 6 4 3" xfId="989"/>
    <cellStyle name="Title Pricing Assumptions 6 4 4" xfId="990"/>
    <cellStyle name="Title Pricing Assumptions 6 4 5" xfId="991"/>
    <cellStyle name="Title Pricing Assumptions 6 4_Primary vs Secondary Spread Oct 3" xfId="992"/>
    <cellStyle name="Title Pricing Assumptions 6 5" xfId="993"/>
    <cellStyle name="Title Pricing Assumptions 6 5 2" xfId="994"/>
    <cellStyle name="Title Pricing Assumptions 6 5_Primary vs Secondary Spread Oct 3" xfId="995"/>
    <cellStyle name="Title Pricing Assumptions 6 6" xfId="996"/>
    <cellStyle name="Title Pricing Assumptions 6 6 2" xfId="997"/>
    <cellStyle name="Title Pricing Assumptions 6 6_Primary vs Secondary Spread Oct 3" xfId="998"/>
    <cellStyle name="Title Pricing Assumptions 6 7" xfId="999"/>
    <cellStyle name="Title Pricing Assumptions 6 8" xfId="1000"/>
    <cellStyle name="Title Pricing Assumptions 6_Primary vs Secondary Spread Oct 3" xfId="1001"/>
    <cellStyle name="Title Pricing Assumptions 7" xfId="1002"/>
    <cellStyle name="Title Pricing Assumptions 7 2" xfId="1003"/>
    <cellStyle name="Title Pricing Assumptions 7 2 2" xfId="1004"/>
    <cellStyle name="Title Pricing Assumptions 7 2 2 2" xfId="1005"/>
    <cellStyle name="Title Pricing Assumptions 7 2 2_Primary vs Secondary Spread Oct 3" xfId="1006"/>
    <cellStyle name="Title Pricing Assumptions 7 2 3" xfId="1007"/>
    <cellStyle name="Title Pricing Assumptions 7 2 4" xfId="1008"/>
    <cellStyle name="Title Pricing Assumptions 7 2 5" xfId="1009"/>
    <cellStyle name="Title Pricing Assumptions 7 2_Primary vs Secondary Spread Oct 3" xfId="1010"/>
    <cellStyle name="Title Pricing Assumptions 7 3" xfId="1011"/>
    <cellStyle name="Title Pricing Assumptions 7 3 2" xfId="1012"/>
    <cellStyle name="Title Pricing Assumptions 7 3 2 2" xfId="1013"/>
    <cellStyle name="Title Pricing Assumptions 7 3 2_Primary vs Secondary Spread Oct 3" xfId="1014"/>
    <cellStyle name="Title Pricing Assumptions 7 3 3" xfId="1015"/>
    <cellStyle name="Title Pricing Assumptions 7 3 4" xfId="1016"/>
    <cellStyle name="Title Pricing Assumptions 7 3 5" xfId="1017"/>
    <cellStyle name="Title Pricing Assumptions 7 3_Primary vs Secondary Spread Oct 3" xfId="1018"/>
    <cellStyle name="Title Pricing Assumptions 7 4" xfId="1019"/>
    <cellStyle name="Title Pricing Assumptions 7 4 2" xfId="1020"/>
    <cellStyle name="Title Pricing Assumptions 7 4_Primary vs Secondary Spread Oct 3" xfId="1021"/>
    <cellStyle name="Title Pricing Assumptions 7 5" xfId="1022"/>
    <cellStyle name="Title Pricing Assumptions 7 5 2" xfId="1023"/>
    <cellStyle name="Title Pricing Assumptions 7 5_Primary vs Secondary Spread Oct 3" xfId="1024"/>
    <cellStyle name="Title Pricing Assumptions 7 6" xfId="1025"/>
    <cellStyle name="Title Pricing Assumptions 7 7" xfId="1026"/>
    <cellStyle name="Title Pricing Assumptions 7_Primary vs Secondary Spread Oct 3" xfId="1027"/>
    <cellStyle name="Title Pricing Assumptions 8" xfId="1028"/>
    <cellStyle name="Title Pricing Assumptions 8 2" xfId="1029"/>
    <cellStyle name="Title Pricing Assumptions 8 2 2" xfId="1030"/>
    <cellStyle name="Title Pricing Assumptions 8 2_Primary vs Secondary Spread Oct 3" xfId="1031"/>
    <cellStyle name="Title Pricing Assumptions 8 3" xfId="1032"/>
    <cellStyle name="Title Pricing Assumptions 8 4" xfId="1033"/>
    <cellStyle name="Title Pricing Assumptions 8 5" xfId="1034"/>
    <cellStyle name="Title Pricing Assumptions 8_Primary vs Secondary Spread Oct 3" xfId="1035"/>
    <cellStyle name="Title Pricing Assumptions 9" xfId="1036"/>
    <cellStyle name="Title Pricing Assumptions 9 2" xfId="1037"/>
    <cellStyle name="Title Pricing Assumptions 9 2 2" xfId="1038"/>
    <cellStyle name="Title Pricing Assumptions 9 2_Primary vs Secondary Spread Oct 3" xfId="1039"/>
    <cellStyle name="Title Pricing Assumptions 9 3" xfId="1040"/>
    <cellStyle name="Title Pricing Assumptions 9 4" xfId="1041"/>
    <cellStyle name="Title Pricing Assumptions 9 5" xfId="1042"/>
    <cellStyle name="Title Pricing Assumptions 9_Primary vs Secondary Spread Oct 3" xfId="1043"/>
    <cellStyle name="Title Pricing Assumptions_Primary vs Secondary Spread Oct 3" xfId="1044"/>
    <cellStyle name="Titles - Other" xfId="510"/>
    <cellStyle name="Total 2" xfId="511"/>
    <cellStyle name="Total 2 2" xfId="512"/>
    <cellStyle name="Total 3" xfId="513"/>
    <cellStyle name="Total 4" xfId="514"/>
    <cellStyle name="Total 4 2" xfId="1045"/>
    <cellStyle name="Total 4_Primary vs Secondary Spread Oct 3" xfId="1046"/>
    <cellStyle name="Warning" xfId="515"/>
    <cellStyle name="Warning Text 2" xfId="516"/>
    <cellStyle name="Warning Text 3" xfId="517"/>
    <cellStyle name="Warning Text 4" xfId="518"/>
    <cellStyle name="Warning Text 5" xfId="1047"/>
    <cellStyle name="YB Calculations" xfId="519"/>
    <cellStyle name="YB Calculations 2" xfId="520"/>
    <cellStyle name="YB Calculations 2 2" xfId="1048"/>
    <cellStyle name="YB Curve" xfId="521"/>
    <cellStyle name="YB Indicative" xfId="522"/>
    <cellStyle name="YB Indicative 2" xfId="1049"/>
    <cellStyle name="YBINDIC" xfId="523"/>
    <cellStyle name="YBIOPOBE" xfId="524"/>
    <cellStyle name="YBPRICE" xfId="525"/>
    <cellStyle name="一般_原始檔案" xfId="526"/>
  </cellStyles>
  <dxfs count="1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color rgb="FFC00000"/>
      </font>
    </dxf>
    <dxf>
      <font>
        <color theme="0"/>
      </font>
    </dxf>
    <dxf>
      <font>
        <color theme="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</dxfs>
  <tableStyles count="0" defaultTableStyle="TableStyleMedium2" defaultPivotStyle="PivotStyleMedium9"/>
  <colors>
    <mruColors>
      <color rgb="FF2E8A60"/>
      <color rgb="FFAD275C"/>
      <color rgb="FF2E398A"/>
      <color rgb="FFC7732D"/>
      <color rgb="FF74B629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As Function of Rates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'Function Of Rate'!$E$17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3.93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Rate'!$F$17:$P$17</c:f>
              <c:numCache>
                <c:formatCode>0.00%</c:formatCode>
                <c:ptCount val="11"/>
                <c:pt idx="0">
                  <c:v>0.62189467943359122</c:v>
                </c:pt>
                <c:pt idx="1">
                  <c:v>0.51596464926495167</c:v>
                </c:pt>
                <c:pt idx="2">
                  <c:v>0.43621860494286335</c:v>
                </c:pt>
                <c:pt idx="3">
                  <c:v>0.39126981743213618</c:v>
                </c:pt>
                <c:pt idx="4">
                  <c:v>0.34937282511225631</c:v>
                </c:pt>
                <c:pt idx="5">
                  <c:v>0.30733940235390333</c:v>
                </c:pt>
                <c:pt idx="6">
                  <c:v>0.2628303136301563</c:v>
                </c:pt>
                <c:pt idx="7">
                  <c:v>0.22202897421272344</c:v>
                </c:pt>
                <c:pt idx="8">
                  <c:v>0.19751458384245796</c:v>
                </c:pt>
                <c:pt idx="9">
                  <c:v>0.17714388506437129</c:v>
                </c:pt>
                <c:pt idx="10">
                  <c:v>0.14104794586159894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'Function Of Rate'!$E$18</c:f>
              <c:strCache>
                <c:ptCount val="1"/>
                <c:pt idx="0">
                  <c:v>With Lowest Rate</c:v>
                </c:pt>
              </c:strCache>
            </c:strRef>
          </c:tx>
          <c:spPr>
            <a:ln w="19050">
              <a:solidFill>
                <a:srgbClr val="2E8A60"/>
              </a:solidFill>
            </a:ln>
          </c:spPr>
          <c:marker>
            <c:symbol val="circle"/>
            <c:size val="5"/>
            <c:spPr>
              <a:solidFill>
                <a:srgbClr val="2E8A60"/>
              </a:solidFill>
            </c:spPr>
          </c:marker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3.93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Rate'!$F$18:$P$18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'Function Of Rate'!$E$19</c:f>
              <c:strCache>
                <c:ptCount val="1"/>
                <c:pt idx="0">
                  <c:v>12 Weeks Scenario</c:v>
                </c:pt>
              </c:strCache>
            </c:strRef>
          </c:tx>
          <c:spPr>
            <a:ln>
              <a:solidFill>
                <a:srgbClr val="AD275C"/>
              </a:solidFill>
            </a:ln>
          </c:spPr>
          <c:marker>
            <c:spPr>
              <a:solidFill>
                <a:srgbClr val="AD275C"/>
              </a:solidFill>
              <a:ln>
                <a:solidFill>
                  <a:srgbClr val="AD275C"/>
                </a:solidFill>
              </a:ln>
            </c:spPr>
          </c:marker>
          <c:val>
            <c:numRef>
              <c:f>'Function Of Rate'!$F$19:$P$19</c:f>
              <c:numCache>
                <c:formatCode>0.00%</c:formatCode>
                <c:ptCount val="11"/>
                <c:pt idx="0">
                  <c:v>1.0469369956980943E-3</c:v>
                </c:pt>
                <c:pt idx="1">
                  <c:v>5.0161297528015744E-4</c:v>
                </c:pt>
                <c:pt idx="2">
                  <c:v>2.539778299511381E-4</c:v>
                </c:pt>
                <c:pt idx="3">
                  <c:v>1.764316138983977E-4</c:v>
                </c:pt>
                <c:pt idx="4">
                  <c:v>6.8737407271820695E-5</c:v>
                </c:pt>
                <c:pt idx="5">
                  <c:v>4.4705730322494124E-5</c:v>
                </c:pt>
                <c:pt idx="6">
                  <c:v>3.1247354702148059E-5</c:v>
                </c:pt>
                <c:pt idx="7">
                  <c:v>1.5709468943600092E-5</c:v>
                </c:pt>
                <c:pt idx="8">
                  <c:v>1.2062081290111748E-5</c:v>
                </c:pt>
                <c:pt idx="9">
                  <c:v>2.9760866395791746E-6</c:v>
                </c:pt>
                <c:pt idx="10">
                  <c:v>2.9760866395791746E-6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703872"/>
        <c:axId val="122706176"/>
      </c:lineChart>
      <c:catAx>
        <c:axId val="12270387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22706176"/>
        <c:crosses val="autoZero"/>
        <c:auto val="1"/>
        <c:lblAlgn val="ctr"/>
        <c:lblOffset val="100"/>
        <c:noMultiLvlLbl val="0"/>
      </c:catAx>
      <c:valAx>
        <c:axId val="122706176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22703872"/>
        <c:crossesAt val="1"/>
        <c:crossBetween val="midCat"/>
      </c:valAx>
      <c:spPr>
        <a:ln w="12700"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Historical Refinancible Universe vs Refi Index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2"/>
          <c:tx>
            <c:strRef>
              <c:f>Query!$K$2</c:f>
              <c:strCache>
                <c:ptCount val="1"/>
                <c:pt idx="0">
                  <c:v>With Lowest Rate</c:v>
                </c:pt>
              </c:strCache>
            </c:strRef>
          </c:tx>
          <c:spPr>
            <a:solidFill>
              <a:srgbClr val="2E8A60"/>
            </a:solidFill>
            <a:ln w="19050">
              <a:solidFill>
                <a:srgbClr val="2E8A60"/>
              </a:solidFill>
            </a:ln>
          </c:spPr>
          <c:invertIfNegative val="0"/>
          <c:cat>
            <c:numRef>
              <c:f>Query!$I$3:$I$465</c:f>
              <c:numCache>
                <c:formatCode>m/d/yyyy</c:formatCode>
                <c:ptCount val="463"/>
                <c:pt idx="0">
                  <c:v>42691</c:v>
                </c:pt>
                <c:pt idx="1">
                  <c:v>42684</c:v>
                </c:pt>
                <c:pt idx="2">
                  <c:v>42677</c:v>
                </c:pt>
                <c:pt idx="3">
                  <c:v>42670</c:v>
                </c:pt>
                <c:pt idx="4">
                  <c:v>42663</c:v>
                </c:pt>
                <c:pt idx="5">
                  <c:v>42649</c:v>
                </c:pt>
                <c:pt idx="6">
                  <c:v>42642</c:v>
                </c:pt>
                <c:pt idx="7">
                  <c:v>42635</c:v>
                </c:pt>
                <c:pt idx="8">
                  <c:v>42628</c:v>
                </c:pt>
                <c:pt idx="9">
                  <c:v>42621</c:v>
                </c:pt>
                <c:pt idx="10">
                  <c:v>42614</c:v>
                </c:pt>
                <c:pt idx="11">
                  <c:v>42606</c:v>
                </c:pt>
                <c:pt idx="12">
                  <c:v>42600</c:v>
                </c:pt>
                <c:pt idx="13">
                  <c:v>42593</c:v>
                </c:pt>
                <c:pt idx="14">
                  <c:v>42586</c:v>
                </c:pt>
                <c:pt idx="15">
                  <c:v>42579</c:v>
                </c:pt>
                <c:pt idx="16">
                  <c:v>42572</c:v>
                </c:pt>
                <c:pt idx="17">
                  <c:v>42565</c:v>
                </c:pt>
                <c:pt idx="18">
                  <c:v>42558</c:v>
                </c:pt>
                <c:pt idx="19">
                  <c:v>42551</c:v>
                </c:pt>
                <c:pt idx="20">
                  <c:v>42544</c:v>
                </c:pt>
                <c:pt idx="21">
                  <c:v>42537</c:v>
                </c:pt>
                <c:pt idx="22">
                  <c:v>42530</c:v>
                </c:pt>
                <c:pt idx="23">
                  <c:v>42523</c:v>
                </c:pt>
                <c:pt idx="24">
                  <c:v>42516</c:v>
                </c:pt>
                <c:pt idx="25">
                  <c:v>42509</c:v>
                </c:pt>
                <c:pt idx="26">
                  <c:v>42502</c:v>
                </c:pt>
                <c:pt idx="27">
                  <c:v>42495</c:v>
                </c:pt>
                <c:pt idx="28">
                  <c:v>42488</c:v>
                </c:pt>
                <c:pt idx="29">
                  <c:v>42481</c:v>
                </c:pt>
                <c:pt idx="30">
                  <c:v>42474</c:v>
                </c:pt>
                <c:pt idx="31">
                  <c:v>42467</c:v>
                </c:pt>
                <c:pt idx="32">
                  <c:v>42460</c:v>
                </c:pt>
                <c:pt idx="33">
                  <c:v>42453</c:v>
                </c:pt>
                <c:pt idx="34">
                  <c:v>42446</c:v>
                </c:pt>
                <c:pt idx="35">
                  <c:v>42439</c:v>
                </c:pt>
                <c:pt idx="36">
                  <c:v>42432</c:v>
                </c:pt>
                <c:pt idx="37">
                  <c:v>42425</c:v>
                </c:pt>
                <c:pt idx="38">
                  <c:v>42418</c:v>
                </c:pt>
                <c:pt idx="39">
                  <c:v>42411</c:v>
                </c:pt>
                <c:pt idx="40">
                  <c:v>42404</c:v>
                </c:pt>
                <c:pt idx="41">
                  <c:v>42397</c:v>
                </c:pt>
                <c:pt idx="42">
                  <c:v>42390</c:v>
                </c:pt>
                <c:pt idx="43">
                  <c:v>42383</c:v>
                </c:pt>
                <c:pt idx="44">
                  <c:v>42376</c:v>
                </c:pt>
                <c:pt idx="45">
                  <c:v>42369</c:v>
                </c:pt>
                <c:pt idx="46">
                  <c:v>42362</c:v>
                </c:pt>
                <c:pt idx="47">
                  <c:v>42355</c:v>
                </c:pt>
                <c:pt idx="48">
                  <c:v>42348</c:v>
                </c:pt>
                <c:pt idx="49">
                  <c:v>42341</c:v>
                </c:pt>
                <c:pt idx="50">
                  <c:v>42333</c:v>
                </c:pt>
                <c:pt idx="51">
                  <c:v>42327</c:v>
                </c:pt>
                <c:pt idx="52">
                  <c:v>42320</c:v>
                </c:pt>
                <c:pt idx="53">
                  <c:v>42313</c:v>
                </c:pt>
                <c:pt idx="54">
                  <c:v>42306</c:v>
                </c:pt>
                <c:pt idx="55">
                  <c:v>42299</c:v>
                </c:pt>
                <c:pt idx="56">
                  <c:v>42292</c:v>
                </c:pt>
                <c:pt idx="57">
                  <c:v>42285</c:v>
                </c:pt>
                <c:pt idx="58">
                  <c:v>42278</c:v>
                </c:pt>
                <c:pt idx="59">
                  <c:v>42271</c:v>
                </c:pt>
                <c:pt idx="60">
                  <c:v>42264</c:v>
                </c:pt>
                <c:pt idx="61">
                  <c:v>42257</c:v>
                </c:pt>
                <c:pt idx="62">
                  <c:v>42250</c:v>
                </c:pt>
                <c:pt idx="63">
                  <c:v>42243</c:v>
                </c:pt>
                <c:pt idx="64">
                  <c:v>42236</c:v>
                </c:pt>
                <c:pt idx="65">
                  <c:v>42229</c:v>
                </c:pt>
                <c:pt idx="66">
                  <c:v>42222</c:v>
                </c:pt>
                <c:pt idx="67">
                  <c:v>42215</c:v>
                </c:pt>
                <c:pt idx="68">
                  <c:v>42208</c:v>
                </c:pt>
                <c:pt idx="69">
                  <c:v>42201</c:v>
                </c:pt>
                <c:pt idx="70">
                  <c:v>42194</c:v>
                </c:pt>
                <c:pt idx="71">
                  <c:v>42187</c:v>
                </c:pt>
                <c:pt idx="72">
                  <c:v>42180</c:v>
                </c:pt>
                <c:pt idx="73">
                  <c:v>42173</c:v>
                </c:pt>
                <c:pt idx="74">
                  <c:v>42166</c:v>
                </c:pt>
                <c:pt idx="75">
                  <c:v>42159</c:v>
                </c:pt>
                <c:pt idx="76">
                  <c:v>42152</c:v>
                </c:pt>
                <c:pt idx="77">
                  <c:v>42145</c:v>
                </c:pt>
                <c:pt idx="78">
                  <c:v>42138</c:v>
                </c:pt>
                <c:pt idx="79">
                  <c:v>42131</c:v>
                </c:pt>
                <c:pt idx="80">
                  <c:v>42124</c:v>
                </c:pt>
                <c:pt idx="81">
                  <c:v>42117</c:v>
                </c:pt>
                <c:pt idx="82">
                  <c:v>42110</c:v>
                </c:pt>
                <c:pt idx="83">
                  <c:v>42103</c:v>
                </c:pt>
                <c:pt idx="84">
                  <c:v>42096</c:v>
                </c:pt>
                <c:pt idx="85">
                  <c:v>42089</c:v>
                </c:pt>
                <c:pt idx="86">
                  <c:v>42082</c:v>
                </c:pt>
                <c:pt idx="87">
                  <c:v>42075</c:v>
                </c:pt>
                <c:pt idx="88">
                  <c:v>42068</c:v>
                </c:pt>
                <c:pt idx="89">
                  <c:v>42061</c:v>
                </c:pt>
                <c:pt idx="90">
                  <c:v>42054</c:v>
                </c:pt>
                <c:pt idx="91">
                  <c:v>42047</c:v>
                </c:pt>
                <c:pt idx="92">
                  <c:v>42040</c:v>
                </c:pt>
                <c:pt idx="93">
                  <c:v>42033</c:v>
                </c:pt>
                <c:pt idx="94">
                  <c:v>42026</c:v>
                </c:pt>
                <c:pt idx="95">
                  <c:v>42019</c:v>
                </c:pt>
                <c:pt idx="96">
                  <c:v>42012</c:v>
                </c:pt>
                <c:pt idx="97">
                  <c:v>42004</c:v>
                </c:pt>
                <c:pt idx="98">
                  <c:v>41997</c:v>
                </c:pt>
                <c:pt idx="99">
                  <c:v>41991</c:v>
                </c:pt>
                <c:pt idx="100">
                  <c:v>41984</c:v>
                </c:pt>
                <c:pt idx="101">
                  <c:v>41977</c:v>
                </c:pt>
                <c:pt idx="102">
                  <c:v>41969</c:v>
                </c:pt>
                <c:pt idx="103">
                  <c:v>41963</c:v>
                </c:pt>
                <c:pt idx="104">
                  <c:v>41956</c:v>
                </c:pt>
                <c:pt idx="105">
                  <c:v>41949</c:v>
                </c:pt>
                <c:pt idx="106">
                  <c:v>41942</c:v>
                </c:pt>
                <c:pt idx="107">
                  <c:v>41935</c:v>
                </c:pt>
                <c:pt idx="108">
                  <c:v>41928</c:v>
                </c:pt>
                <c:pt idx="109">
                  <c:v>41921</c:v>
                </c:pt>
                <c:pt idx="110">
                  <c:v>41914</c:v>
                </c:pt>
                <c:pt idx="111">
                  <c:v>41907</c:v>
                </c:pt>
                <c:pt idx="112">
                  <c:v>41900</c:v>
                </c:pt>
                <c:pt idx="113">
                  <c:v>41893</c:v>
                </c:pt>
                <c:pt idx="114">
                  <c:v>41886</c:v>
                </c:pt>
                <c:pt idx="115">
                  <c:v>41879</c:v>
                </c:pt>
                <c:pt idx="116">
                  <c:v>41872</c:v>
                </c:pt>
                <c:pt idx="117">
                  <c:v>41865</c:v>
                </c:pt>
                <c:pt idx="118">
                  <c:v>41858</c:v>
                </c:pt>
                <c:pt idx="119">
                  <c:v>41851</c:v>
                </c:pt>
                <c:pt idx="120">
                  <c:v>41844</c:v>
                </c:pt>
                <c:pt idx="121">
                  <c:v>41837</c:v>
                </c:pt>
                <c:pt idx="122">
                  <c:v>41830</c:v>
                </c:pt>
                <c:pt idx="123">
                  <c:v>41823</c:v>
                </c:pt>
                <c:pt idx="124">
                  <c:v>41816</c:v>
                </c:pt>
                <c:pt idx="125">
                  <c:v>41809</c:v>
                </c:pt>
                <c:pt idx="126">
                  <c:v>41802</c:v>
                </c:pt>
                <c:pt idx="127">
                  <c:v>41795</c:v>
                </c:pt>
                <c:pt idx="128">
                  <c:v>41788</c:v>
                </c:pt>
                <c:pt idx="129">
                  <c:v>41781</c:v>
                </c:pt>
                <c:pt idx="130">
                  <c:v>41774</c:v>
                </c:pt>
                <c:pt idx="131">
                  <c:v>41767</c:v>
                </c:pt>
                <c:pt idx="132">
                  <c:v>41760</c:v>
                </c:pt>
                <c:pt idx="133">
                  <c:v>41753</c:v>
                </c:pt>
                <c:pt idx="134">
                  <c:v>41746</c:v>
                </c:pt>
                <c:pt idx="135">
                  <c:v>41739</c:v>
                </c:pt>
                <c:pt idx="136">
                  <c:v>41732</c:v>
                </c:pt>
                <c:pt idx="137">
                  <c:v>41725</c:v>
                </c:pt>
                <c:pt idx="138">
                  <c:v>41718</c:v>
                </c:pt>
                <c:pt idx="139">
                  <c:v>41711</c:v>
                </c:pt>
                <c:pt idx="140">
                  <c:v>41704</c:v>
                </c:pt>
                <c:pt idx="141">
                  <c:v>41697</c:v>
                </c:pt>
                <c:pt idx="142">
                  <c:v>41690</c:v>
                </c:pt>
                <c:pt idx="143">
                  <c:v>41683</c:v>
                </c:pt>
                <c:pt idx="144">
                  <c:v>41676</c:v>
                </c:pt>
                <c:pt idx="145">
                  <c:v>41669</c:v>
                </c:pt>
                <c:pt idx="146">
                  <c:v>41662</c:v>
                </c:pt>
                <c:pt idx="147">
                  <c:v>41655</c:v>
                </c:pt>
                <c:pt idx="148">
                  <c:v>41648</c:v>
                </c:pt>
                <c:pt idx="149">
                  <c:v>41641</c:v>
                </c:pt>
                <c:pt idx="150">
                  <c:v>41634</c:v>
                </c:pt>
                <c:pt idx="151">
                  <c:v>41627</c:v>
                </c:pt>
                <c:pt idx="152">
                  <c:v>41620</c:v>
                </c:pt>
                <c:pt idx="153">
                  <c:v>41613</c:v>
                </c:pt>
                <c:pt idx="154">
                  <c:v>41605</c:v>
                </c:pt>
                <c:pt idx="155">
                  <c:v>41599</c:v>
                </c:pt>
                <c:pt idx="156">
                  <c:v>41592</c:v>
                </c:pt>
                <c:pt idx="157">
                  <c:v>41585</c:v>
                </c:pt>
                <c:pt idx="158">
                  <c:v>41578</c:v>
                </c:pt>
                <c:pt idx="159">
                  <c:v>41571</c:v>
                </c:pt>
                <c:pt idx="160">
                  <c:v>41564</c:v>
                </c:pt>
                <c:pt idx="161">
                  <c:v>41557</c:v>
                </c:pt>
                <c:pt idx="162">
                  <c:v>41550</c:v>
                </c:pt>
                <c:pt idx="163">
                  <c:v>41543</c:v>
                </c:pt>
                <c:pt idx="164">
                  <c:v>41536</c:v>
                </c:pt>
                <c:pt idx="165">
                  <c:v>41529</c:v>
                </c:pt>
                <c:pt idx="166">
                  <c:v>41522</c:v>
                </c:pt>
                <c:pt idx="167">
                  <c:v>41515</c:v>
                </c:pt>
                <c:pt idx="168">
                  <c:v>41508</c:v>
                </c:pt>
                <c:pt idx="169">
                  <c:v>41501</c:v>
                </c:pt>
                <c:pt idx="170">
                  <c:v>41494</c:v>
                </c:pt>
                <c:pt idx="171">
                  <c:v>41487</c:v>
                </c:pt>
                <c:pt idx="172">
                  <c:v>41480</c:v>
                </c:pt>
                <c:pt idx="173">
                  <c:v>41473</c:v>
                </c:pt>
                <c:pt idx="174">
                  <c:v>41466</c:v>
                </c:pt>
                <c:pt idx="175">
                  <c:v>41458</c:v>
                </c:pt>
                <c:pt idx="176">
                  <c:v>41452</c:v>
                </c:pt>
                <c:pt idx="177">
                  <c:v>41445</c:v>
                </c:pt>
                <c:pt idx="178">
                  <c:v>41438</c:v>
                </c:pt>
                <c:pt idx="179">
                  <c:v>41431</c:v>
                </c:pt>
                <c:pt idx="180">
                  <c:v>41424</c:v>
                </c:pt>
                <c:pt idx="181">
                  <c:v>41417</c:v>
                </c:pt>
                <c:pt idx="182">
                  <c:v>41410</c:v>
                </c:pt>
                <c:pt idx="183">
                  <c:v>41403</c:v>
                </c:pt>
                <c:pt idx="184">
                  <c:v>41396</c:v>
                </c:pt>
                <c:pt idx="185">
                  <c:v>41389</c:v>
                </c:pt>
                <c:pt idx="186">
                  <c:v>41382</c:v>
                </c:pt>
                <c:pt idx="187">
                  <c:v>41375</c:v>
                </c:pt>
                <c:pt idx="188">
                  <c:v>41368</c:v>
                </c:pt>
                <c:pt idx="189">
                  <c:v>41361</c:v>
                </c:pt>
                <c:pt idx="190">
                  <c:v>41354</c:v>
                </c:pt>
                <c:pt idx="191">
                  <c:v>41347</c:v>
                </c:pt>
                <c:pt idx="192">
                  <c:v>41340</c:v>
                </c:pt>
                <c:pt idx="193">
                  <c:v>41333</c:v>
                </c:pt>
                <c:pt idx="194">
                  <c:v>41326</c:v>
                </c:pt>
                <c:pt idx="195">
                  <c:v>41319</c:v>
                </c:pt>
                <c:pt idx="196">
                  <c:v>41312</c:v>
                </c:pt>
                <c:pt idx="197">
                  <c:v>41305</c:v>
                </c:pt>
                <c:pt idx="198">
                  <c:v>41298</c:v>
                </c:pt>
                <c:pt idx="199">
                  <c:v>41291</c:v>
                </c:pt>
                <c:pt idx="200">
                  <c:v>41284</c:v>
                </c:pt>
                <c:pt idx="201">
                  <c:v>41277</c:v>
                </c:pt>
                <c:pt idx="202">
                  <c:v>41270</c:v>
                </c:pt>
                <c:pt idx="203">
                  <c:v>41263</c:v>
                </c:pt>
                <c:pt idx="204">
                  <c:v>41256</c:v>
                </c:pt>
                <c:pt idx="205">
                  <c:v>41249</c:v>
                </c:pt>
                <c:pt idx="206">
                  <c:v>41242</c:v>
                </c:pt>
                <c:pt idx="207">
                  <c:v>41234</c:v>
                </c:pt>
                <c:pt idx="208">
                  <c:v>41228</c:v>
                </c:pt>
                <c:pt idx="209">
                  <c:v>41221</c:v>
                </c:pt>
                <c:pt idx="210">
                  <c:v>41214</c:v>
                </c:pt>
                <c:pt idx="211">
                  <c:v>41207</c:v>
                </c:pt>
                <c:pt idx="212">
                  <c:v>41200</c:v>
                </c:pt>
                <c:pt idx="213">
                  <c:v>41193</c:v>
                </c:pt>
                <c:pt idx="214">
                  <c:v>41186</c:v>
                </c:pt>
                <c:pt idx="215">
                  <c:v>41179</c:v>
                </c:pt>
                <c:pt idx="216">
                  <c:v>41172</c:v>
                </c:pt>
                <c:pt idx="217">
                  <c:v>41165</c:v>
                </c:pt>
                <c:pt idx="218">
                  <c:v>41158</c:v>
                </c:pt>
                <c:pt idx="219">
                  <c:v>41151</c:v>
                </c:pt>
                <c:pt idx="220">
                  <c:v>41144</c:v>
                </c:pt>
                <c:pt idx="221">
                  <c:v>41137</c:v>
                </c:pt>
                <c:pt idx="222">
                  <c:v>41130</c:v>
                </c:pt>
                <c:pt idx="223">
                  <c:v>41123</c:v>
                </c:pt>
                <c:pt idx="224">
                  <c:v>41116</c:v>
                </c:pt>
                <c:pt idx="225">
                  <c:v>41109</c:v>
                </c:pt>
                <c:pt idx="226">
                  <c:v>41102</c:v>
                </c:pt>
                <c:pt idx="227">
                  <c:v>41095</c:v>
                </c:pt>
                <c:pt idx="228">
                  <c:v>41088</c:v>
                </c:pt>
                <c:pt idx="229">
                  <c:v>41081</c:v>
                </c:pt>
                <c:pt idx="230">
                  <c:v>41074</c:v>
                </c:pt>
                <c:pt idx="231">
                  <c:v>41067</c:v>
                </c:pt>
                <c:pt idx="232">
                  <c:v>41060</c:v>
                </c:pt>
                <c:pt idx="233">
                  <c:v>41053</c:v>
                </c:pt>
                <c:pt idx="234">
                  <c:v>41046</c:v>
                </c:pt>
                <c:pt idx="235">
                  <c:v>41039</c:v>
                </c:pt>
                <c:pt idx="236">
                  <c:v>41032</c:v>
                </c:pt>
                <c:pt idx="237">
                  <c:v>41025</c:v>
                </c:pt>
                <c:pt idx="238">
                  <c:v>41018</c:v>
                </c:pt>
                <c:pt idx="239">
                  <c:v>41011</c:v>
                </c:pt>
                <c:pt idx="240">
                  <c:v>41004</c:v>
                </c:pt>
                <c:pt idx="241">
                  <c:v>40997</c:v>
                </c:pt>
                <c:pt idx="242">
                  <c:v>40990</c:v>
                </c:pt>
                <c:pt idx="243">
                  <c:v>40983</c:v>
                </c:pt>
                <c:pt idx="244">
                  <c:v>40976</c:v>
                </c:pt>
                <c:pt idx="245">
                  <c:v>40969</c:v>
                </c:pt>
                <c:pt idx="246">
                  <c:v>40962</c:v>
                </c:pt>
                <c:pt idx="247">
                  <c:v>40955</c:v>
                </c:pt>
                <c:pt idx="248">
                  <c:v>40948</c:v>
                </c:pt>
                <c:pt idx="249">
                  <c:v>40941</c:v>
                </c:pt>
                <c:pt idx="250">
                  <c:v>40934</c:v>
                </c:pt>
                <c:pt idx="251">
                  <c:v>40927</c:v>
                </c:pt>
                <c:pt idx="252">
                  <c:v>40920</c:v>
                </c:pt>
                <c:pt idx="253">
                  <c:v>40913</c:v>
                </c:pt>
                <c:pt idx="254">
                  <c:v>40906</c:v>
                </c:pt>
                <c:pt idx="255">
                  <c:v>40899</c:v>
                </c:pt>
                <c:pt idx="256">
                  <c:v>40892</c:v>
                </c:pt>
                <c:pt idx="257">
                  <c:v>40885</c:v>
                </c:pt>
                <c:pt idx="258">
                  <c:v>40878</c:v>
                </c:pt>
                <c:pt idx="259">
                  <c:v>40870</c:v>
                </c:pt>
                <c:pt idx="260">
                  <c:v>40864</c:v>
                </c:pt>
                <c:pt idx="261">
                  <c:v>40857</c:v>
                </c:pt>
                <c:pt idx="262">
                  <c:v>40850</c:v>
                </c:pt>
                <c:pt idx="263">
                  <c:v>40843</c:v>
                </c:pt>
                <c:pt idx="264">
                  <c:v>40836</c:v>
                </c:pt>
                <c:pt idx="265">
                  <c:v>40829</c:v>
                </c:pt>
                <c:pt idx="266">
                  <c:v>40822</c:v>
                </c:pt>
                <c:pt idx="267">
                  <c:v>40815</c:v>
                </c:pt>
                <c:pt idx="268">
                  <c:v>40808</c:v>
                </c:pt>
                <c:pt idx="269">
                  <c:v>40801</c:v>
                </c:pt>
                <c:pt idx="270">
                  <c:v>40794</c:v>
                </c:pt>
                <c:pt idx="271">
                  <c:v>40787</c:v>
                </c:pt>
                <c:pt idx="272">
                  <c:v>40780</c:v>
                </c:pt>
                <c:pt idx="273">
                  <c:v>40773</c:v>
                </c:pt>
                <c:pt idx="274">
                  <c:v>40766</c:v>
                </c:pt>
                <c:pt idx="275">
                  <c:v>40759</c:v>
                </c:pt>
                <c:pt idx="276">
                  <c:v>40752</c:v>
                </c:pt>
                <c:pt idx="277">
                  <c:v>40745</c:v>
                </c:pt>
                <c:pt idx="278">
                  <c:v>40738</c:v>
                </c:pt>
                <c:pt idx="279">
                  <c:v>40731</c:v>
                </c:pt>
                <c:pt idx="280">
                  <c:v>40724</c:v>
                </c:pt>
                <c:pt idx="281">
                  <c:v>40717</c:v>
                </c:pt>
                <c:pt idx="282">
                  <c:v>40710</c:v>
                </c:pt>
                <c:pt idx="283">
                  <c:v>40703</c:v>
                </c:pt>
                <c:pt idx="284">
                  <c:v>40696</c:v>
                </c:pt>
                <c:pt idx="285">
                  <c:v>40689</c:v>
                </c:pt>
                <c:pt idx="286">
                  <c:v>40682</c:v>
                </c:pt>
                <c:pt idx="287">
                  <c:v>40675</c:v>
                </c:pt>
                <c:pt idx="288">
                  <c:v>40668</c:v>
                </c:pt>
                <c:pt idx="289">
                  <c:v>40661</c:v>
                </c:pt>
                <c:pt idx="290">
                  <c:v>40654</c:v>
                </c:pt>
                <c:pt idx="291">
                  <c:v>40647</c:v>
                </c:pt>
                <c:pt idx="292">
                  <c:v>40640</c:v>
                </c:pt>
                <c:pt idx="293">
                  <c:v>40633</c:v>
                </c:pt>
                <c:pt idx="294">
                  <c:v>40626</c:v>
                </c:pt>
                <c:pt idx="295">
                  <c:v>40619</c:v>
                </c:pt>
                <c:pt idx="296">
                  <c:v>40612</c:v>
                </c:pt>
                <c:pt idx="297">
                  <c:v>40605</c:v>
                </c:pt>
                <c:pt idx="298">
                  <c:v>40598</c:v>
                </c:pt>
                <c:pt idx="299">
                  <c:v>40591</c:v>
                </c:pt>
                <c:pt idx="300">
                  <c:v>40584</c:v>
                </c:pt>
                <c:pt idx="301">
                  <c:v>40577</c:v>
                </c:pt>
                <c:pt idx="302">
                  <c:v>40570</c:v>
                </c:pt>
                <c:pt idx="303">
                  <c:v>40563</c:v>
                </c:pt>
                <c:pt idx="304">
                  <c:v>40556</c:v>
                </c:pt>
                <c:pt idx="305">
                  <c:v>40549</c:v>
                </c:pt>
                <c:pt idx="306">
                  <c:v>40542</c:v>
                </c:pt>
                <c:pt idx="307">
                  <c:v>40535</c:v>
                </c:pt>
                <c:pt idx="308">
                  <c:v>40528</c:v>
                </c:pt>
                <c:pt idx="309">
                  <c:v>40521</c:v>
                </c:pt>
                <c:pt idx="310">
                  <c:v>40514</c:v>
                </c:pt>
                <c:pt idx="311">
                  <c:v>40506</c:v>
                </c:pt>
                <c:pt idx="312">
                  <c:v>40500</c:v>
                </c:pt>
                <c:pt idx="313">
                  <c:v>40493</c:v>
                </c:pt>
                <c:pt idx="314">
                  <c:v>40486</c:v>
                </c:pt>
                <c:pt idx="315">
                  <c:v>40479</c:v>
                </c:pt>
                <c:pt idx="316">
                  <c:v>40472</c:v>
                </c:pt>
                <c:pt idx="317">
                  <c:v>40465</c:v>
                </c:pt>
                <c:pt idx="318">
                  <c:v>40458</c:v>
                </c:pt>
                <c:pt idx="319">
                  <c:v>40451</c:v>
                </c:pt>
                <c:pt idx="320">
                  <c:v>40444</c:v>
                </c:pt>
                <c:pt idx="321">
                  <c:v>40437</c:v>
                </c:pt>
                <c:pt idx="322">
                  <c:v>40430</c:v>
                </c:pt>
                <c:pt idx="323">
                  <c:v>40423</c:v>
                </c:pt>
                <c:pt idx="324">
                  <c:v>40416</c:v>
                </c:pt>
                <c:pt idx="325">
                  <c:v>40409</c:v>
                </c:pt>
                <c:pt idx="326">
                  <c:v>40402</c:v>
                </c:pt>
                <c:pt idx="327">
                  <c:v>40395</c:v>
                </c:pt>
                <c:pt idx="328">
                  <c:v>40388</c:v>
                </c:pt>
                <c:pt idx="329">
                  <c:v>40381</c:v>
                </c:pt>
                <c:pt idx="330">
                  <c:v>40374</c:v>
                </c:pt>
                <c:pt idx="331">
                  <c:v>40367</c:v>
                </c:pt>
                <c:pt idx="332">
                  <c:v>40360</c:v>
                </c:pt>
                <c:pt idx="333">
                  <c:v>40353</c:v>
                </c:pt>
                <c:pt idx="334">
                  <c:v>40346</c:v>
                </c:pt>
                <c:pt idx="335">
                  <c:v>40339</c:v>
                </c:pt>
                <c:pt idx="336">
                  <c:v>40332</c:v>
                </c:pt>
                <c:pt idx="337">
                  <c:v>40325</c:v>
                </c:pt>
                <c:pt idx="338">
                  <c:v>40318</c:v>
                </c:pt>
                <c:pt idx="339">
                  <c:v>40311</c:v>
                </c:pt>
                <c:pt idx="340">
                  <c:v>40304</c:v>
                </c:pt>
                <c:pt idx="341">
                  <c:v>40297</c:v>
                </c:pt>
                <c:pt idx="342">
                  <c:v>40290</c:v>
                </c:pt>
                <c:pt idx="343">
                  <c:v>40283</c:v>
                </c:pt>
                <c:pt idx="344">
                  <c:v>40276</c:v>
                </c:pt>
                <c:pt idx="345">
                  <c:v>40269</c:v>
                </c:pt>
                <c:pt idx="346">
                  <c:v>40262</c:v>
                </c:pt>
                <c:pt idx="347">
                  <c:v>40255</c:v>
                </c:pt>
                <c:pt idx="348">
                  <c:v>40248</c:v>
                </c:pt>
                <c:pt idx="349">
                  <c:v>40241</c:v>
                </c:pt>
                <c:pt idx="350">
                  <c:v>40234</c:v>
                </c:pt>
                <c:pt idx="351">
                  <c:v>40227</c:v>
                </c:pt>
                <c:pt idx="352">
                  <c:v>40220</c:v>
                </c:pt>
                <c:pt idx="353">
                  <c:v>40213</c:v>
                </c:pt>
                <c:pt idx="354">
                  <c:v>40206</c:v>
                </c:pt>
                <c:pt idx="355">
                  <c:v>40199</c:v>
                </c:pt>
                <c:pt idx="356">
                  <c:v>40192</c:v>
                </c:pt>
                <c:pt idx="357">
                  <c:v>40185</c:v>
                </c:pt>
                <c:pt idx="358">
                  <c:v>40178</c:v>
                </c:pt>
                <c:pt idx="359">
                  <c:v>40171</c:v>
                </c:pt>
                <c:pt idx="360">
                  <c:v>40164</c:v>
                </c:pt>
                <c:pt idx="361">
                  <c:v>40157</c:v>
                </c:pt>
                <c:pt idx="362">
                  <c:v>40150</c:v>
                </c:pt>
                <c:pt idx="363">
                  <c:v>40142</c:v>
                </c:pt>
                <c:pt idx="364">
                  <c:v>40136</c:v>
                </c:pt>
                <c:pt idx="365">
                  <c:v>40129</c:v>
                </c:pt>
                <c:pt idx="366">
                  <c:v>40122</c:v>
                </c:pt>
                <c:pt idx="367">
                  <c:v>40115</c:v>
                </c:pt>
                <c:pt idx="368">
                  <c:v>40108</c:v>
                </c:pt>
                <c:pt idx="369">
                  <c:v>40101</c:v>
                </c:pt>
                <c:pt idx="370">
                  <c:v>40094</c:v>
                </c:pt>
                <c:pt idx="371">
                  <c:v>40087</c:v>
                </c:pt>
                <c:pt idx="372">
                  <c:v>40080</c:v>
                </c:pt>
                <c:pt idx="373">
                  <c:v>40073</c:v>
                </c:pt>
                <c:pt idx="374">
                  <c:v>40066</c:v>
                </c:pt>
                <c:pt idx="375">
                  <c:v>40059</c:v>
                </c:pt>
                <c:pt idx="376">
                  <c:v>40052</c:v>
                </c:pt>
                <c:pt idx="377">
                  <c:v>40045</c:v>
                </c:pt>
                <c:pt idx="378">
                  <c:v>40038</c:v>
                </c:pt>
                <c:pt idx="379">
                  <c:v>40031</c:v>
                </c:pt>
                <c:pt idx="380">
                  <c:v>40024</c:v>
                </c:pt>
                <c:pt idx="381">
                  <c:v>40017</c:v>
                </c:pt>
                <c:pt idx="382">
                  <c:v>40010</c:v>
                </c:pt>
                <c:pt idx="383">
                  <c:v>40003</c:v>
                </c:pt>
                <c:pt idx="384">
                  <c:v>39996</c:v>
                </c:pt>
                <c:pt idx="385">
                  <c:v>39989</c:v>
                </c:pt>
                <c:pt idx="386">
                  <c:v>39982</c:v>
                </c:pt>
                <c:pt idx="387">
                  <c:v>39975</c:v>
                </c:pt>
                <c:pt idx="388">
                  <c:v>39968</c:v>
                </c:pt>
                <c:pt idx="389">
                  <c:v>39961</c:v>
                </c:pt>
                <c:pt idx="390">
                  <c:v>39954</c:v>
                </c:pt>
                <c:pt idx="391">
                  <c:v>39947</c:v>
                </c:pt>
                <c:pt idx="392">
                  <c:v>39940</c:v>
                </c:pt>
                <c:pt idx="393">
                  <c:v>39933</c:v>
                </c:pt>
                <c:pt idx="394">
                  <c:v>39926</c:v>
                </c:pt>
                <c:pt idx="395">
                  <c:v>39919</c:v>
                </c:pt>
                <c:pt idx="396">
                  <c:v>39912</c:v>
                </c:pt>
                <c:pt idx="397">
                  <c:v>39905</c:v>
                </c:pt>
                <c:pt idx="398">
                  <c:v>39898</c:v>
                </c:pt>
                <c:pt idx="399">
                  <c:v>39891</c:v>
                </c:pt>
                <c:pt idx="400">
                  <c:v>39884</c:v>
                </c:pt>
                <c:pt idx="401">
                  <c:v>39877</c:v>
                </c:pt>
                <c:pt idx="402">
                  <c:v>39870</c:v>
                </c:pt>
                <c:pt idx="403">
                  <c:v>39863</c:v>
                </c:pt>
                <c:pt idx="404">
                  <c:v>39856</c:v>
                </c:pt>
                <c:pt idx="405">
                  <c:v>39849</c:v>
                </c:pt>
                <c:pt idx="406">
                  <c:v>39842</c:v>
                </c:pt>
                <c:pt idx="407">
                  <c:v>39835</c:v>
                </c:pt>
                <c:pt idx="408">
                  <c:v>39828</c:v>
                </c:pt>
                <c:pt idx="409">
                  <c:v>39821</c:v>
                </c:pt>
                <c:pt idx="410">
                  <c:v>39813</c:v>
                </c:pt>
                <c:pt idx="411">
                  <c:v>39806</c:v>
                </c:pt>
                <c:pt idx="412">
                  <c:v>39800</c:v>
                </c:pt>
                <c:pt idx="413">
                  <c:v>39793</c:v>
                </c:pt>
                <c:pt idx="414">
                  <c:v>39786</c:v>
                </c:pt>
                <c:pt idx="415">
                  <c:v>39778</c:v>
                </c:pt>
                <c:pt idx="416">
                  <c:v>39772</c:v>
                </c:pt>
                <c:pt idx="417">
                  <c:v>39765</c:v>
                </c:pt>
                <c:pt idx="418">
                  <c:v>39758</c:v>
                </c:pt>
                <c:pt idx="419">
                  <c:v>39751</c:v>
                </c:pt>
                <c:pt idx="420">
                  <c:v>39744</c:v>
                </c:pt>
                <c:pt idx="421">
                  <c:v>39737</c:v>
                </c:pt>
                <c:pt idx="422">
                  <c:v>39730</c:v>
                </c:pt>
                <c:pt idx="423">
                  <c:v>39723</c:v>
                </c:pt>
                <c:pt idx="424">
                  <c:v>39716</c:v>
                </c:pt>
                <c:pt idx="425">
                  <c:v>39709</c:v>
                </c:pt>
                <c:pt idx="426">
                  <c:v>39702</c:v>
                </c:pt>
                <c:pt idx="427">
                  <c:v>39695</c:v>
                </c:pt>
                <c:pt idx="428">
                  <c:v>39688</c:v>
                </c:pt>
                <c:pt idx="429">
                  <c:v>39681</c:v>
                </c:pt>
                <c:pt idx="430">
                  <c:v>39674</c:v>
                </c:pt>
                <c:pt idx="431">
                  <c:v>39667</c:v>
                </c:pt>
                <c:pt idx="432">
                  <c:v>39660</c:v>
                </c:pt>
                <c:pt idx="433">
                  <c:v>39653</c:v>
                </c:pt>
                <c:pt idx="434">
                  <c:v>39646</c:v>
                </c:pt>
                <c:pt idx="435">
                  <c:v>39639</c:v>
                </c:pt>
                <c:pt idx="436">
                  <c:v>39632</c:v>
                </c:pt>
                <c:pt idx="437">
                  <c:v>39625</c:v>
                </c:pt>
                <c:pt idx="438">
                  <c:v>39618</c:v>
                </c:pt>
                <c:pt idx="439">
                  <c:v>39611</c:v>
                </c:pt>
                <c:pt idx="440">
                  <c:v>39604</c:v>
                </c:pt>
                <c:pt idx="441">
                  <c:v>39597</c:v>
                </c:pt>
                <c:pt idx="442">
                  <c:v>39590</c:v>
                </c:pt>
                <c:pt idx="443">
                  <c:v>39583</c:v>
                </c:pt>
                <c:pt idx="444">
                  <c:v>39576</c:v>
                </c:pt>
                <c:pt idx="445">
                  <c:v>39569</c:v>
                </c:pt>
                <c:pt idx="446">
                  <c:v>39562</c:v>
                </c:pt>
                <c:pt idx="447">
                  <c:v>39555</c:v>
                </c:pt>
                <c:pt idx="448">
                  <c:v>39548</c:v>
                </c:pt>
                <c:pt idx="449">
                  <c:v>39541</c:v>
                </c:pt>
                <c:pt idx="450">
                  <c:v>39534</c:v>
                </c:pt>
                <c:pt idx="451">
                  <c:v>39527</c:v>
                </c:pt>
                <c:pt idx="452">
                  <c:v>39520</c:v>
                </c:pt>
                <c:pt idx="453">
                  <c:v>39513</c:v>
                </c:pt>
                <c:pt idx="454">
                  <c:v>39506</c:v>
                </c:pt>
                <c:pt idx="455">
                  <c:v>39499</c:v>
                </c:pt>
                <c:pt idx="456">
                  <c:v>39492</c:v>
                </c:pt>
                <c:pt idx="457">
                  <c:v>39485</c:v>
                </c:pt>
                <c:pt idx="458">
                  <c:v>39478</c:v>
                </c:pt>
                <c:pt idx="459">
                  <c:v>39471</c:v>
                </c:pt>
                <c:pt idx="460">
                  <c:v>39464</c:v>
                </c:pt>
                <c:pt idx="461">
                  <c:v>39457</c:v>
                </c:pt>
                <c:pt idx="462">
                  <c:v>39450</c:v>
                </c:pt>
              </c:numCache>
            </c:numRef>
          </c:cat>
          <c:val>
            <c:numRef>
              <c:f>Query!$K$3:$K$465</c:f>
              <c:numCache>
                <c:formatCode>0%</c:formatCode>
                <c:ptCount val="46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4.8680987000000002E-3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#N/A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0.36405278540000002</c:v>
                </c:pt>
                <c:pt idx="19">
                  <c:v>0.33814811109999998</c:v>
                </c:pt>
                <c:pt idx="20">
                  <c:v>0</c:v>
                </c:pt>
                <c:pt idx="21">
                  <c:v>0.30688655190000003</c:v>
                </c:pt>
                <c:pt idx="22">
                  <c:v>2.196012E-4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0.2844667655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0.26905119960000001</c:v>
                </c:pt>
                <c:pt idx="31">
                  <c:v>0.26649742840000001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5.7145894099999997E-2</c:v>
                </c:pt>
                <c:pt idx="37">
                  <c:v>5.1230928299999999E-2</c:v>
                </c:pt>
                <c:pt idx="38">
                  <c:v>0</c:v>
                </c:pt>
                <c:pt idx="39">
                  <c:v>5.1085709700000002E-2</c:v>
                </c:pt>
                <c:pt idx="40">
                  <c:v>3.1734090600000001E-2</c:v>
                </c:pt>
                <c:pt idx="41">
                  <c:v>3.3333785999999999E-3</c:v>
                </c:pt>
                <c:pt idx="42">
                  <c:v>3.3044493000000002E-3</c:v>
                </c:pt>
                <c:pt idx="43">
                  <c:v>5.448769E-4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8.6672647999999995E-3</c:v>
                </c:pt>
                <c:pt idx="58">
                  <c:v>1.7827444999999999E-3</c:v>
                </c:pt>
                <c:pt idx="59">
                  <c:v>7.4039299999999994E-5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1.1738189E-3</c:v>
                </c:pt>
                <c:pt idx="64">
                  <c:v>0</c:v>
                </c:pt>
                <c:pt idx="65">
                  <c:v>0</c:v>
                </c:pt>
                <c:pt idx="66">
                  <c:v>2.6231900000000001E-4</c:v>
                </c:pt>
                <c:pt idx="67">
                  <c:v>1.2230900000000002E-5</c:v>
                </c:pt>
                <c:pt idx="68">
                  <c:v>0</c:v>
                </c:pt>
                <c:pt idx="69">
                  <c:v>0</c:v>
                </c:pt>
                <c:pt idx="70">
                  <c:v>8.1397999999999996E-6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2.5004665E-3</c:v>
                </c:pt>
                <c:pt idx="82">
                  <c:v>0</c:v>
                </c:pt>
                <c:pt idx="83">
                  <c:v>2.4475238999999999E-3</c:v>
                </c:pt>
                <c:pt idx="84">
                  <c:v>0</c:v>
                </c:pt>
                <c:pt idx="85">
                  <c:v>1.608499E-4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0.18166743839999999</c:v>
                </c:pt>
                <c:pt idx="93">
                  <c:v>0</c:v>
                </c:pt>
                <c:pt idx="94">
                  <c:v>0.1537746354</c:v>
                </c:pt>
                <c:pt idx="95">
                  <c:v>0.1536612413</c:v>
                </c:pt>
                <c:pt idx="96">
                  <c:v>0.1242832545</c:v>
                </c:pt>
                <c:pt idx="97">
                  <c:v>0</c:v>
                </c:pt>
                <c:pt idx="98">
                  <c:v>0</c:v>
                </c:pt>
                <c:pt idx="99">
                  <c:v>0.1023458956</c:v>
                </c:pt>
                <c:pt idx="100">
                  <c:v>0</c:v>
                </c:pt>
                <c:pt idx="101">
                  <c:v>8.5560241400000001E-2</c:v>
                </c:pt>
                <c:pt idx="102">
                  <c:v>5.4104000000000002E-5</c:v>
                </c:pt>
                <c:pt idx="103">
                  <c:v>5.35251E-5</c:v>
                </c:pt>
                <c:pt idx="104">
                  <c:v>3.8752399999999998E-5</c:v>
                </c:pt>
                <c:pt idx="105">
                  <c:v>0</c:v>
                </c:pt>
                <c:pt idx="106">
                  <c:v>0</c:v>
                </c:pt>
                <c:pt idx="107">
                  <c:v>7.97003981E-2</c:v>
                </c:pt>
                <c:pt idx="108">
                  <c:v>6.5095605900000006E-2</c:v>
                </c:pt>
                <c:pt idx="109">
                  <c:v>1.9032899999999999E-5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3.3566371999999997E-2</c:v>
                </c:pt>
                <c:pt idx="117">
                  <c:v>3.7045100000000002E-5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2.9636230199999999E-2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1.9336270799999999E-2</c:v>
                </c:pt>
                <c:pt idx="128">
                  <c:v>1.5762900199999999E-2</c:v>
                </c:pt>
                <c:pt idx="129">
                  <c:v>1.17439009E-2</c:v>
                </c:pt>
                <c:pt idx="130">
                  <c:v>7.9300269999999992E-3</c:v>
                </c:pt>
                <c:pt idx="131">
                  <c:v>5.7357874999999997E-3</c:v>
                </c:pt>
                <c:pt idx="132">
                  <c:v>0</c:v>
                </c:pt>
                <c:pt idx="133">
                  <c:v>0</c:v>
                </c:pt>
                <c:pt idx="134">
                  <c:v>3.8373790000000002E-4</c:v>
                </c:pt>
                <c:pt idx="135">
                  <c:v>1.23647E-5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1.4348052E-3</c:v>
                </c:pt>
                <c:pt idx="145">
                  <c:v>5.7224559999999997E-4</c:v>
                </c:pt>
                <c:pt idx="146">
                  <c:v>2.914956E-4</c:v>
                </c:pt>
                <c:pt idx="147">
                  <c:v>7.5507000000000004E-6</c:v>
                </c:pt>
                <c:pt idx="148">
                  <c:v>4.5013999999999998E-6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1.0423364E-3</c:v>
                </c:pt>
                <c:pt idx="159">
                  <c:v>6.657124999999999E-4</c:v>
                </c:pt>
                <c:pt idx="160">
                  <c:v>0</c:v>
                </c:pt>
                <c:pt idx="161">
                  <c:v>0</c:v>
                </c:pt>
                <c:pt idx="162">
                  <c:v>3.2431819999999999E-4</c:v>
                </c:pt>
                <c:pt idx="163">
                  <c:v>1.00191E-5</c:v>
                </c:pt>
                <c:pt idx="164">
                  <c:v>3.5779999999999999E-7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5.2293966000000001E-3</c:v>
                </c:pt>
                <c:pt idx="185">
                  <c:v>0</c:v>
                </c:pt>
                <c:pt idx="186">
                  <c:v>2.1059732999999998E-3</c:v>
                </c:pt>
                <c:pt idx="187">
                  <c:v>1.4715691000000001E-3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4.1444319999999998E-4</c:v>
                </c:pt>
                <c:pt idx="193">
                  <c:v>1.7306500000000001E-5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2.061412E-4</c:v>
                </c:pt>
                <c:pt idx="205">
                  <c:v>0</c:v>
                </c:pt>
                <c:pt idx="206">
                  <c:v>0</c:v>
                </c:pt>
                <c:pt idx="207">
                  <c:v>0.9281076654</c:v>
                </c:pt>
                <c:pt idx="208">
                  <c:v>6.9942099999999996E-5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0.92807978840000005</c:v>
                </c:pt>
                <c:pt idx="215">
                  <c:v>0.935348391</c:v>
                </c:pt>
                <c:pt idx="216">
                  <c:v>0.90078150499999998</c:v>
                </c:pt>
                <c:pt idx="217">
                  <c:v>1.3565838E-3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0.91595412320000003</c:v>
                </c:pt>
                <c:pt idx="225">
                  <c:v>0.90462039660000004</c:v>
                </c:pt>
                <c:pt idx="226">
                  <c:v>0.90261395929999999</c:v>
                </c:pt>
                <c:pt idx="227">
                  <c:v>0.87826553819999997</c:v>
                </c:pt>
                <c:pt idx="228">
                  <c:v>0</c:v>
                </c:pt>
                <c:pt idx="229">
                  <c:v>0.87680139130000012</c:v>
                </c:pt>
                <c:pt idx="230">
                  <c:v>0</c:v>
                </c:pt>
                <c:pt idx="231">
                  <c:v>0.87641126130000013</c:v>
                </c:pt>
                <c:pt idx="232">
                  <c:v>0.83983334480000005</c:v>
                </c:pt>
                <c:pt idx="233">
                  <c:v>0</c:v>
                </c:pt>
                <c:pt idx="234">
                  <c:v>0.83830150820000005</c:v>
                </c:pt>
                <c:pt idx="235">
                  <c:v>0.81730839639999997</c:v>
                </c:pt>
                <c:pt idx="236">
                  <c:v>0.81120579599999998</c:v>
                </c:pt>
                <c:pt idx="237">
                  <c:v>0</c:v>
                </c:pt>
                <c:pt idx="238">
                  <c:v>0</c:v>
                </c:pt>
                <c:pt idx="239">
                  <c:v>0.80339735970000004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2.1742500000000004E-5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0.82555159239999998</c:v>
                </c:pt>
                <c:pt idx="253">
                  <c:v>0</c:v>
                </c:pt>
                <c:pt idx="254">
                  <c:v>0</c:v>
                </c:pt>
                <c:pt idx="255">
                  <c:v>0.830488738</c:v>
                </c:pt>
                <c:pt idx="256">
                  <c:v>1.3569425E-3</c:v>
                </c:pt>
                <c:pt idx="257">
                  <c:v>1.142524E-4</c:v>
                </c:pt>
                <c:pt idx="258">
                  <c:v>0</c:v>
                </c:pt>
                <c:pt idx="259">
                  <c:v>1.8926290000000003E-4</c:v>
                </c:pt>
                <c:pt idx="260">
                  <c:v>0</c:v>
                </c:pt>
                <c:pt idx="261">
                  <c:v>1.8805710000000003E-4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0.83641698470000003</c:v>
                </c:pt>
                <c:pt idx="267">
                  <c:v>0.83290245399999996</c:v>
                </c:pt>
                <c:pt idx="268">
                  <c:v>0</c:v>
                </c:pt>
                <c:pt idx="269">
                  <c:v>0.79840746299999998</c:v>
                </c:pt>
                <c:pt idx="270">
                  <c:v>0.79336326020000003</c:v>
                </c:pt>
                <c:pt idx="271">
                  <c:v>0</c:v>
                </c:pt>
                <c:pt idx="272">
                  <c:v>0</c:v>
                </c:pt>
                <c:pt idx="273">
                  <c:v>0.77916685399999996</c:v>
                </c:pt>
                <c:pt idx="274">
                  <c:v>2.4178990099999999E-2</c:v>
                </c:pt>
                <c:pt idx="275">
                  <c:v>1.26126242E-2</c:v>
                </c:pt>
                <c:pt idx="276">
                  <c:v>0</c:v>
                </c:pt>
                <c:pt idx="277">
                  <c:v>0</c:v>
                </c:pt>
                <c:pt idx="278">
                  <c:v>3.0790400000000003E-5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3.8651415000000001E-3</c:v>
                </c:pt>
                <c:pt idx="284">
                  <c:v>3.0079733999999999E-3</c:v>
                </c:pt>
                <c:pt idx="285">
                  <c:v>9.6633050000000001E-4</c:v>
                </c:pt>
                <c:pt idx="286">
                  <c:v>9.5316439999999997E-4</c:v>
                </c:pt>
                <c:pt idx="287">
                  <c:v>9.49525E-4</c:v>
                </c:pt>
                <c:pt idx="288">
                  <c:v>4.295093E-4</c:v>
                </c:pt>
                <c:pt idx="289">
                  <c:v>4.3211E-6</c:v>
                </c:pt>
                <c:pt idx="290">
                  <c:v>4.3211E-6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2.2781200000000005E-5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3.4087999999999999E-6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0.87849900790000013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0.87668126219999998</c:v>
                </c:pt>
                <c:pt idx="318">
                  <c:v>0.84601650620000002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0.8595783092</c:v>
                </c:pt>
                <c:pt idx="324">
                  <c:v>0.83767788539999999</c:v>
                </c:pt>
                <c:pt idx="325">
                  <c:v>0.80875793200000001</c:v>
                </c:pt>
                <c:pt idx="326">
                  <c:v>0.80814178439999995</c:v>
                </c:pt>
                <c:pt idx="327">
                  <c:v>0.77103122199999996</c:v>
                </c:pt>
                <c:pt idx="328">
                  <c:v>0.76295205990000003</c:v>
                </c:pt>
                <c:pt idx="329">
                  <c:v>0.76214313</c:v>
                </c:pt>
                <c:pt idx="330">
                  <c:v>0</c:v>
                </c:pt>
                <c:pt idx="331">
                  <c:v>0.76127916539999996</c:v>
                </c:pt>
                <c:pt idx="332">
                  <c:v>0.74095838449999996</c:v>
                </c:pt>
                <c:pt idx="333">
                  <c:v>0.72360327089999998</c:v>
                </c:pt>
                <c:pt idx="334">
                  <c:v>0</c:v>
                </c:pt>
                <c:pt idx="335">
                  <c:v>8.9007627999999998E-3</c:v>
                </c:pt>
                <c:pt idx="336">
                  <c:v>0</c:v>
                </c:pt>
                <c:pt idx="337">
                  <c:v>3.6171073000000002E-3</c:v>
                </c:pt>
                <c:pt idx="338">
                  <c:v>1.8994548999999999E-3</c:v>
                </c:pt>
                <c:pt idx="339">
                  <c:v>2.9471480000000001E-4</c:v>
                </c:pt>
                <c:pt idx="340">
                  <c:v>5.6751000000000009E-6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1.2029E-5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0.79182101829999996</c:v>
                </c:pt>
                <c:pt idx="363">
                  <c:v>1.7464750599999999E-2</c:v>
                </c:pt>
                <c:pt idx="364">
                  <c:v>8.4279416000000006E-3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5.3882499999999998E-3</c:v>
                </c:pt>
                <c:pt idx="371">
                  <c:v>4.1859721000000001E-3</c:v>
                </c:pt>
                <c:pt idx="372">
                  <c:v>1.882552E-3</c:v>
                </c:pt>
                <c:pt idx="373">
                  <c:v>1.8440702000000002E-3</c:v>
                </c:pt>
                <c:pt idx="374">
                  <c:v>1.8238699E-3</c:v>
                </c:pt>
                <c:pt idx="375">
                  <c:v>1.4198030000000001E-3</c:v>
                </c:pt>
                <c:pt idx="376">
                  <c:v>0</c:v>
                </c:pt>
                <c:pt idx="377">
                  <c:v>7.3150190000000005E-4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6.1317399999999997E-5</c:v>
                </c:pt>
                <c:pt idx="383">
                  <c:v>5.5602200000000001E-5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0.96773525760000001</c:v>
                </c:pt>
                <c:pt idx="398">
                  <c:v>0.95662482240000002</c:v>
                </c:pt>
                <c:pt idx="399">
                  <c:v>3.6109559999999996E-4</c:v>
                </c:pt>
                <c:pt idx="400">
                  <c:v>3.4018710000000002E-4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0.91180757339999996</c:v>
                </c:pt>
                <c:pt idx="409">
                  <c:v>0.89735601710000001</c:v>
                </c:pt>
                <c:pt idx="410">
                  <c:v>0.83225440230000003</c:v>
                </c:pt>
                <c:pt idx="411">
                  <c:v>0.68221910109999995</c:v>
                </c:pt>
                <c:pt idx="412">
                  <c:v>0.67708556379999996</c:v>
                </c:pt>
                <c:pt idx="413">
                  <c:v>9.0985881000000005E-2</c:v>
                </c:pt>
                <c:pt idx="414">
                  <c:v>8.3738041200000002E-2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3.19365749E-2</c:v>
                </c:pt>
                <c:pt idx="426">
                  <c:v>1.29410889E-2</c:v>
                </c:pt>
                <c:pt idx="427">
                  <c:v>9.4261399999999998E-5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0.49230690290000001</c:v>
                </c:pt>
                <c:pt idx="460">
                  <c:v>0.31789701500000001</c:v>
                </c:pt>
                <c:pt idx="461">
                  <c:v>0.25890370559999998</c:v>
                </c:pt>
                <c:pt idx="462">
                  <c:v>0</c:v>
                </c:pt>
              </c:numCache>
            </c:numRef>
          </c:val>
        </c:ser>
        <c:ser>
          <c:idx val="2"/>
          <c:order val="3"/>
          <c:tx>
            <c:strRef>
              <c:f>Query!$L$2</c:f>
              <c:strCache>
                <c:ptCount val="1"/>
                <c:pt idx="0">
                  <c:v>12 Weeks Scenario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</c:spPr>
          <c:invertIfNegative val="0"/>
          <c:dPt>
            <c:idx val="132"/>
            <c:invertIfNegative val="0"/>
            <c:bubble3D val="0"/>
            <c:spPr>
              <a:solidFill>
                <a:schemeClr val="accent3">
                  <a:lumMod val="20000"/>
                  <a:lumOff val="80000"/>
                </a:schemeClr>
              </a:solidFill>
              <a:ln>
                <a:solidFill>
                  <a:srgbClr val="C7732D"/>
                </a:solidFill>
              </a:ln>
            </c:spPr>
          </c:dPt>
          <c:cat>
            <c:numRef>
              <c:f>Query!$I$3:$I$465</c:f>
              <c:numCache>
                <c:formatCode>m/d/yyyy</c:formatCode>
                <c:ptCount val="463"/>
                <c:pt idx="0">
                  <c:v>42691</c:v>
                </c:pt>
                <c:pt idx="1">
                  <c:v>42684</c:v>
                </c:pt>
                <c:pt idx="2">
                  <c:v>42677</c:v>
                </c:pt>
                <c:pt idx="3">
                  <c:v>42670</c:v>
                </c:pt>
                <c:pt idx="4">
                  <c:v>42663</c:v>
                </c:pt>
                <c:pt idx="5">
                  <c:v>42649</c:v>
                </c:pt>
                <c:pt idx="6">
                  <c:v>42642</c:v>
                </c:pt>
                <c:pt idx="7">
                  <c:v>42635</c:v>
                </c:pt>
                <c:pt idx="8">
                  <c:v>42628</c:v>
                </c:pt>
                <c:pt idx="9">
                  <c:v>42621</c:v>
                </c:pt>
                <c:pt idx="10">
                  <c:v>42614</c:v>
                </c:pt>
                <c:pt idx="11">
                  <c:v>42606</c:v>
                </c:pt>
                <c:pt idx="12">
                  <c:v>42600</c:v>
                </c:pt>
                <c:pt idx="13">
                  <c:v>42593</c:v>
                </c:pt>
                <c:pt idx="14">
                  <c:v>42586</c:v>
                </c:pt>
                <c:pt idx="15">
                  <c:v>42579</c:v>
                </c:pt>
                <c:pt idx="16">
                  <c:v>42572</c:v>
                </c:pt>
                <c:pt idx="17">
                  <c:v>42565</c:v>
                </c:pt>
                <c:pt idx="18">
                  <c:v>42558</c:v>
                </c:pt>
                <c:pt idx="19">
                  <c:v>42551</c:v>
                </c:pt>
                <c:pt idx="20">
                  <c:v>42544</c:v>
                </c:pt>
                <c:pt idx="21">
                  <c:v>42537</c:v>
                </c:pt>
                <c:pt idx="22">
                  <c:v>42530</c:v>
                </c:pt>
                <c:pt idx="23">
                  <c:v>42523</c:v>
                </c:pt>
                <c:pt idx="24">
                  <c:v>42516</c:v>
                </c:pt>
                <c:pt idx="25">
                  <c:v>42509</c:v>
                </c:pt>
                <c:pt idx="26">
                  <c:v>42502</c:v>
                </c:pt>
                <c:pt idx="27">
                  <c:v>42495</c:v>
                </c:pt>
                <c:pt idx="28">
                  <c:v>42488</c:v>
                </c:pt>
                <c:pt idx="29">
                  <c:v>42481</c:v>
                </c:pt>
                <c:pt idx="30">
                  <c:v>42474</c:v>
                </c:pt>
                <c:pt idx="31">
                  <c:v>42467</c:v>
                </c:pt>
                <c:pt idx="32">
                  <c:v>42460</c:v>
                </c:pt>
                <c:pt idx="33">
                  <c:v>42453</c:v>
                </c:pt>
                <c:pt idx="34">
                  <c:v>42446</c:v>
                </c:pt>
                <c:pt idx="35">
                  <c:v>42439</c:v>
                </c:pt>
                <c:pt idx="36">
                  <c:v>42432</c:v>
                </c:pt>
                <c:pt idx="37">
                  <c:v>42425</c:v>
                </c:pt>
                <c:pt idx="38">
                  <c:v>42418</c:v>
                </c:pt>
                <c:pt idx="39">
                  <c:v>42411</c:v>
                </c:pt>
                <c:pt idx="40">
                  <c:v>42404</c:v>
                </c:pt>
                <c:pt idx="41">
                  <c:v>42397</c:v>
                </c:pt>
                <c:pt idx="42">
                  <c:v>42390</c:v>
                </c:pt>
                <c:pt idx="43">
                  <c:v>42383</c:v>
                </c:pt>
                <c:pt idx="44">
                  <c:v>42376</c:v>
                </c:pt>
                <c:pt idx="45">
                  <c:v>42369</c:v>
                </c:pt>
                <c:pt idx="46">
                  <c:v>42362</c:v>
                </c:pt>
                <c:pt idx="47">
                  <c:v>42355</c:v>
                </c:pt>
                <c:pt idx="48">
                  <c:v>42348</c:v>
                </c:pt>
                <c:pt idx="49">
                  <c:v>42341</c:v>
                </c:pt>
                <c:pt idx="50">
                  <c:v>42333</c:v>
                </c:pt>
                <c:pt idx="51">
                  <c:v>42327</c:v>
                </c:pt>
                <c:pt idx="52">
                  <c:v>42320</c:v>
                </c:pt>
                <c:pt idx="53">
                  <c:v>42313</c:v>
                </c:pt>
                <c:pt idx="54">
                  <c:v>42306</c:v>
                </c:pt>
                <c:pt idx="55">
                  <c:v>42299</c:v>
                </c:pt>
                <c:pt idx="56">
                  <c:v>42292</c:v>
                </c:pt>
                <c:pt idx="57">
                  <c:v>42285</c:v>
                </c:pt>
                <c:pt idx="58">
                  <c:v>42278</c:v>
                </c:pt>
                <c:pt idx="59">
                  <c:v>42271</c:v>
                </c:pt>
                <c:pt idx="60">
                  <c:v>42264</c:v>
                </c:pt>
                <c:pt idx="61">
                  <c:v>42257</c:v>
                </c:pt>
                <c:pt idx="62">
                  <c:v>42250</c:v>
                </c:pt>
                <c:pt idx="63">
                  <c:v>42243</c:v>
                </c:pt>
                <c:pt idx="64">
                  <c:v>42236</c:v>
                </c:pt>
                <c:pt idx="65">
                  <c:v>42229</c:v>
                </c:pt>
                <c:pt idx="66">
                  <c:v>42222</c:v>
                </c:pt>
                <c:pt idx="67">
                  <c:v>42215</c:v>
                </c:pt>
                <c:pt idx="68">
                  <c:v>42208</c:v>
                </c:pt>
                <c:pt idx="69">
                  <c:v>42201</c:v>
                </c:pt>
                <c:pt idx="70">
                  <c:v>42194</c:v>
                </c:pt>
                <c:pt idx="71">
                  <c:v>42187</c:v>
                </c:pt>
                <c:pt idx="72">
                  <c:v>42180</c:v>
                </c:pt>
                <c:pt idx="73">
                  <c:v>42173</c:v>
                </c:pt>
                <c:pt idx="74">
                  <c:v>42166</c:v>
                </c:pt>
                <c:pt idx="75">
                  <c:v>42159</c:v>
                </c:pt>
                <c:pt idx="76">
                  <c:v>42152</c:v>
                </c:pt>
                <c:pt idx="77">
                  <c:v>42145</c:v>
                </c:pt>
                <c:pt idx="78">
                  <c:v>42138</c:v>
                </c:pt>
                <c:pt idx="79">
                  <c:v>42131</c:v>
                </c:pt>
                <c:pt idx="80">
                  <c:v>42124</c:v>
                </c:pt>
                <c:pt idx="81">
                  <c:v>42117</c:v>
                </c:pt>
                <c:pt idx="82">
                  <c:v>42110</c:v>
                </c:pt>
                <c:pt idx="83">
                  <c:v>42103</c:v>
                </c:pt>
                <c:pt idx="84">
                  <c:v>42096</c:v>
                </c:pt>
                <c:pt idx="85">
                  <c:v>42089</c:v>
                </c:pt>
                <c:pt idx="86">
                  <c:v>42082</c:v>
                </c:pt>
                <c:pt idx="87">
                  <c:v>42075</c:v>
                </c:pt>
                <c:pt idx="88">
                  <c:v>42068</c:v>
                </c:pt>
                <c:pt idx="89">
                  <c:v>42061</c:v>
                </c:pt>
                <c:pt idx="90">
                  <c:v>42054</c:v>
                </c:pt>
                <c:pt idx="91">
                  <c:v>42047</c:v>
                </c:pt>
                <c:pt idx="92">
                  <c:v>42040</c:v>
                </c:pt>
                <c:pt idx="93">
                  <c:v>42033</c:v>
                </c:pt>
                <c:pt idx="94">
                  <c:v>42026</c:v>
                </c:pt>
                <c:pt idx="95">
                  <c:v>42019</c:v>
                </c:pt>
                <c:pt idx="96">
                  <c:v>42012</c:v>
                </c:pt>
                <c:pt idx="97">
                  <c:v>42004</c:v>
                </c:pt>
                <c:pt idx="98">
                  <c:v>41997</c:v>
                </c:pt>
                <c:pt idx="99">
                  <c:v>41991</c:v>
                </c:pt>
                <c:pt idx="100">
                  <c:v>41984</c:v>
                </c:pt>
                <c:pt idx="101">
                  <c:v>41977</c:v>
                </c:pt>
                <c:pt idx="102">
                  <c:v>41969</c:v>
                </c:pt>
                <c:pt idx="103">
                  <c:v>41963</c:v>
                </c:pt>
                <c:pt idx="104">
                  <c:v>41956</c:v>
                </c:pt>
                <c:pt idx="105">
                  <c:v>41949</c:v>
                </c:pt>
                <c:pt idx="106">
                  <c:v>41942</c:v>
                </c:pt>
                <c:pt idx="107">
                  <c:v>41935</c:v>
                </c:pt>
                <c:pt idx="108">
                  <c:v>41928</c:v>
                </c:pt>
                <c:pt idx="109">
                  <c:v>41921</c:v>
                </c:pt>
                <c:pt idx="110">
                  <c:v>41914</c:v>
                </c:pt>
                <c:pt idx="111">
                  <c:v>41907</c:v>
                </c:pt>
                <c:pt idx="112">
                  <c:v>41900</c:v>
                </c:pt>
                <c:pt idx="113">
                  <c:v>41893</c:v>
                </c:pt>
                <c:pt idx="114">
                  <c:v>41886</c:v>
                </c:pt>
                <c:pt idx="115">
                  <c:v>41879</c:v>
                </c:pt>
                <c:pt idx="116">
                  <c:v>41872</c:v>
                </c:pt>
                <c:pt idx="117">
                  <c:v>41865</c:v>
                </c:pt>
                <c:pt idx="118">
                  <c:v>41858</c:v>
                </c:pt>
                <c:pt idx="119">
                  <c:v>41851</c:v>
                </c:pt>
                <c:pt idx="120">
                  <c:v>41844</c:v>
                </c:pt>
                <c:pt idx="121">
                  <c:v>41837</c:v>
                </c:pt>
                <c:pt idx="122">
                  <c:v>41830</c:v>
                </c:pt>
                <c:pt idx="123">
                  <c:v>41823</c:v>
                </c:pt>
                <c:pt idx="124">
                  <c:v>41816</c:v>
                </c:pt>
                <c:pt idx="125">
                  <c:v>41809</c:v>
                </c:pt>
                <c:pt idx="126">
                  <c:v>41802</c:v>
                </c:pt>
                <c:pt idx="127">
                  <c:v>41795</c:v>
                </c:pt>
                <c:pt idx="128">
                  <c:v>41788</c:v>
                </c:pt>
                <c:pt idx="129">
                  <c:v>41781</c:v>
                </c:pt>
                <c:pt idx="130">
                  <c:v>41774</c:v>
                </c:pt>
                <c:pt idx="131">
                  <c:v>41767</c:v>
                </c:pt>
                <c:pt idx="132">
                  <c:v>41760</c:v>
                </c:pt>
                <c:pt idx="133">
                  <c:v>41753</c:v>
                </c:pt>
                <c:pt idx="134">
                  <c:v>41746</c:v>
                </c:pt>
                <c:pt idx="135">
                  <c:v>41739</c:v>
                </c:pt>
                <c:pt idx="136">
                  <c:v>41732</c:v>
                </c:pt>
                <c:pt idx="137">
                  <c:v>41725</c:v>
                </c:pt>
                <c:pt idx="138">
                  <c:v>41718</c:v>
                </c:pt>
                <c:pt idx="139">
                  <c:v>41711</c:v>
                </c:pt>
                <c:pt idx="140">
                  <c:v>41704</c:v>
                </c:pt>
                <c:pt idx="141">
                  <c:v>41697</c:v>
                </c:pt>
                <c:pt idx="142">
                  <c:v>41690</c:v>
                </c:pt>
                <c:pt idx="143">
                  <c:v>41683</c:v>
                </c:pt>
                <c:pt idx="144">
                  <c:v>41676</c:v>
                </c:pt>
                <c:pt idx="145">
                  <c:v>41669</c:v>
                </c:pt>
                <c:pt idx="146">
                  <c:v>41662</c:v>
                </c:pt>
                <c:pt idx="147">
                  <c:v>41655</c:v>
                </c:pt>
                <c:pt idx="148">
                  <c:v>41648</c:v>
                </c:pt>
                <c:pt idx="149">
                  <c:v>41641</c:v>
                </c:pt>
                <c:pt idx="150">
                  <c:v>41634</c:v>
                </c:pt>
                <c:pt idx="151">
                  <c:v>41627</c:v>
                </c:pt>
                <c:pt idx="152">
                  <c:v>41620</c:v>
                </c:pt>
                <c:pt idx="153">
                  <c:v>41613</c:v>
                </c:pt>
                <c:pt idx="154">
                  <c:v>41605</c:v>
                </c:pt>
                <c:pt idx="155">
                  <c:v>41599</c:v>
                </c:pt>
                <c:pt idx="156">
                  <c:v>41592</c:v>
                </c:pt>
                <c:pt idx="157">
                  <c:v>41585</c:v>
                </c:pt>
                <c:pt idx="158">
                  <c:v>41578</c:v>
                </c:pt>
                <c:pt idx="159">
                  <c:v>41571</c:v>
                </c:pt>
                <c:pt idx="160">
                  <c:v>41564</c:v>
                </c:pt>
                <c:pt idx="161">
                  <c:v>41557</c:v>
                </c:pt>
                <c:pt idx="162">
                  <c:v>41550</c:v>
                </c:pt>
                <c:pt idx="163">
                  <c:v>41543</c:v>
                </c:pt>
                <c:pt idx="164">
                  <c:v>41536</c:v>
                </c:pt>
                <c:pt idx="165">
                  <c:v>41529</c:v>
                </c:pt>
                <c:pt idx="166">
                  <c:v>41522</c:v>
                </c:pt>
                <c:pt idx="167">
                  <c:v>41515</c:v>
                </c:pt>
                <c:pt idx="168">
                  <c:v>41508</c:v>
                </c:pt>
                <c:pt idx="169">
                  <c:v>41501</c:v>
                </c:pt>
                <c:pt idx="170">
                  <c:v>41494</c:v>
                </c:pt>
                <c:pt idx="171">
                  <c:v>41487</c:v>
                </c:pt>
                <c:pt idx="172">
                  <c:v>41480</c:v>
                </c:pt>
                <c:pt idx="173">
                  <c:v>41473</c:v>
                </c:pt>
                <c:pt idx="174">
                  <c:v>41466</c:v>
                </c:pt>
                <c:pt idx="175">
                  <c:v>41458</c:v>
                </c:pt>
                <c:pt idx="176">
                  <c:v>41452</c:v>
                </c:pt>
                <c:pt idx="177">
                  <c:v>41445</c:v>
                </c:pt>
                <c:pt idx="178">
                  <c:v>41438</c:v>
                </c:pt>
                <c:pt idx="179">
                  <c:v>41431</c:v>
                </c:pt>
                <c:pt idx="180">
                  <c:v>41424</c:v>
                </c:pt>
                <c:pt idx="181">
                  <c:v>41417</c:v>
                </c:pt>
                <c:pt idx="182">
                  <c:v>41410</c:v>
                </c:pt>
                <c:pt idx="183">
                  <c:v>41403</c:v>
                </c:pt>
                <c:pt idx="184">
                  <c:v>41396</c:v>
                </c:pt>
                <c:pt idx="185">
                  <c:v>41389</c:v>
                </c:pt>
                <c:pt idx="186">
                  <c:v>41382</c:v>
                </c:pt>
                <c:pt idx="187">
                  <c:v>41375</c:v>
                </c:pt>
                <c:pt idx="188">
                  <c:v>41368</c:v>
                </c:pt>
                <c:pt idx="189">
                  <c:v>41361</c:v>
                </c:pt>
                <c:pt idx="190">
                  <c:v>41354</c:v>
                </c:pt>
                <c:pt idx="191">
                  <c:v>41347</c:v>
                </c:pt>
                <c:pt idx="192">
                  <c:v>41340</c:v>
                </c:pt>
                <c:pt idx="193">
                  <c:v>41333</c:v>
                </c:pt>
                <c:pt idx="194">
                  <c:v>41326</c:v>
                </c:pt>
                <c:pt idx="195">
                  <c:v>41319</c:v>
                </c:pt>
                <c:pt idx="196">
                  <c:v>41312</c:v>
                </c:pt>
                <c:pt idx="197">
                  <c:v>41305</c:v>
                </c:pt>
                <c:pt idx="198">
                  <c:v>41298</c:v>
                </c:pt>
                <c:pt idx="199">
                  <c:v>41291</c:v>
                </c:pt>
                <c:pt idx="200">
                  <c:v>41284</c:v>
                </c:pt>
                <c:pt idx="201">
                  <c:v>41277</c:v>
                </c:pt>
                <c:pt idx="202">
                  <c:v>41270</c:v>
                </c:pt>
                <c:pt idx="203">
                  <c:v>41263</c:v>
                </c:pt>
                <c:pt idx="204">
                  <c:v>41256</c:v>
                </c:pt>
                <c:pt idx="205">
                  <c:v>41249</c:v>
                </c:pt>
                <c:pt idx="206">
                  <c:v>41242</c:v>
                </c:pt>
                <c:pt idx="207">
                  <c:v>41234</c:v>
                </c:pt>
                <c:pt idx="208">
                  <c:v>41228</c:v>
                </c:pt>
                <c:pt idx="209">
                  <c:v>41221</c:v>
                </c:pt>
                <c:pt idx="210">
                  <c:v>41214</c:v>
                </c:pt>
                <c:pt idx="211">
                  <c:v>41207</c:v>
                </c:pt>
                <c:pt idx="212">
                  <c:v>41200</c:v>
                </c:pt>
                <c:pt idx="213">
                  <c:v>41193</c:v>
                </c:pt>
                <c:pt idx="214">
                  <c:v>41186</c:v>
                </c:pt>
                <c:pt idx="215">
                  <c:v>41179</c:v>
                </c:pt>
                <c:pt idx="216">
                  <c:v>41172</c:v>
                </c:pt>
                <c:pt idx="217">
                  <c:v>41165</c:v>
                </c:pt>
                <c:pt idx="218">
                  <c:v>41158</c:v>
                </c:pt>
                <c:pt idx="219">
                  <c:v>41151</c:v>
                </c:pt>
                <c:pt idx="220">
                  <c:v>41144</c:v>
                </c:pt>
                <c:pt idx="221">
                  <c:v>41137</c:v>
                </c:pt>
                <c:pt idx="222">
                  <c:v>41130</c:v>
                </c:pt>
                <c:pt idx="223">
                  <c:v>41123</c:v>
                </c:pt>
                <c:pt idx="224">
                  <c:v>41116</c:v>
                </c:pt>
                <c:pt idx="225">
                  <c:v>41109</c:v>
                </c:pt>
                <c:pt idx="226">
                  <c:v>41102</c:v>
                </c:pt>
                <c:pt idx="227">
                  <c:v>41095</c:v>
                </c:pt>
                <c:pt idx="228">
                  <c:v>41088</c:v>
                </c:pt>
                <c:pt idx="229">
                  <c:v>41081</c:v>
                </c:pt>
                <c:pt idx="230">
                  <c:v>41074</c:v>
                </c:pt>
                <c:pt idx="231">
                  <c:v>41067</c:v>
                </c:pt>
                <c:pt idx="232">
                  <c:v>41060</c:v>
                </c:pt>
                <c:pt idx="233">
                  <c:v>41053</c:v>
                </c:pt>
                <c:pt idx="234">
                  <c:v>41046</c:v>
                </c:pt>
                <c:pt idx="235">
                  <c:v>41039</c:v>
                </c:pt>
                <c:pt idx="236">
                  <c:v>41032</c:v>
                </c:pt>
                <c:pt idx="237">
                  <c:v>41025</c:v>
                </c:pt>
                <c:pt idx="238">
                  <c:v>41018</c:v>
                </c:pt>
                <c:pt idx="239">
                  <c:v>41011</c:v>
                </c:pt>
                <c:pt idx="240">
                  <c:v>41004</c:v>
                </c:pt>
                <c:pt idx="241">
                  <c:v>40997</c:v>
                </c:pt>
                <c:pt idx="242">
                  <c:v>40990</c:v>
                </c:pt>
                <c:pt idx="243">
                  <c:v>40983</c:v>
                </c:pt>
                <c:pt idx="244">
                  <c:v>40976</c:v>
                </c:pt>
                <c:pt idx="245">
                  <c:v>40969</c:v>
                </c:pt>
                <c:pt idx="246">
                  <c:v>40962</c:v>
                </c:pt>
                <c:pt idx="247">
                  <c:v>40955</c:v>
                </c:pt>
                <c:pt idx="248">
                  <c:v>40948</c:v>
                </c:pt>
                <c:pt idx="249">
                  <c:v>40941</c:v>
                </c:pt>
                <c:pt idx="250">
                  <c:v>40934</c:v>
                </c:pt>
                <c:pt idx="251">
                  <c:v>40927</c:v>
                </c:pt>
                <c:pt idx="252">
                  <c:v>40920</c:v>
                </c:pt>
                <c:pt idx="253">
                  <c:v>40913</c:v>
                </c:pt>
                <c:pt idx="254">
                  <c:v>40906</c:v>
                </c:pt>
                <c:pt idx="255">
                  <c:v>40899</c:v>
                </c:pt>
                <c:pt idx="256">
                  <c:v>40892</c:v>
                </c:pt>
                <c:pt idx="257">
                  <c:v>40885</c:v>
                </c:pt>
                <c:pt idx="258">
                  <c:v>40878</c:v>
                </c:pt>
                <c:pt idx="259">
                  <c:v>40870</c:v>
                </c:pt>
                <c:pt idx="260">
                  <c:v>40864</c:v>
                </c:pt>
                <c:pt idx="261">
                  <c:v>40857</c:v>
                </c:pt>
                <c:pt idx="262">
                  <c:v>40850</c:v>
                </c:pt>
                <c:pt idx="263">
                  <c:v>40843</c:v>
                </c:pt>
                <c:pt idx="264">
                  <c:v>40836</c:v>
                </c:pt>
                <c:pt idx="265">
                  <c:v>40829</c:v>
                </c:pt>
                <c:pt idx="266">
                  <c:v>40822</c:v>
                </c:pt>
                <c:pt idx="267">
                  <c:v>40815</c:v>
                </c:pt>
                <c:pt idx="268">
                  <c:v>40808</c:v>
                </c:pt>
                <c:pt idx="269">
                  <c:v>40801</c:v>
                </c:pt>
                <c:pt idx="270">
                  <c:v>40794</c:v>
                </c:pt>
                <c:pt idx="271">
                  <c:v>40787</c:v>
                </c:pt>
                <c:pt idx="272">
                  <c:v>40780</c:v>
                </c:pt>
                <c:pt idx="273">
                  <c:v>40773</c:v>
                </c:pt>
                <c:pt idx="274">
                  <c:v>40766</c:v>
                </c:pt>
                <c:pt idx="275">
                  <c:v>40759</c:v>
                </c:pt>
                <c:pt idx="276">
                  <c:v>40752</c:v>
                </c:pt>
                <c:pt idx="277">
                  <c:v>40745</c:v>
                </c:pt>
                <c:pt idx="278">
                  <c:v>40738</c:v>
                </c:pt>
                <c:pt idx="279">
                  <c:v>40731</c:v>
                </c:pt>
                <c:pt idx="280">
                  <c:v>40724</c:v>
                </c:pt>
                <c:pt idx="281">
                  <c:v>40717</c:v>
                </c:pt>
                <c:pt idx="282">
                  <c:v>40710</c:v>
                </c:pt>
                <c:pt idx="283">
                  <c:v>40703</c:v>
                </c:pt>
                <c:pt idx="284">
                  <c:v>40696</c:v>
                </c:pt>
                <c:pt idx="285">
                  <c:v>40689</c:v>
                </c:pt>
                <c:pt idx="286">
                  <c:v>40682</c:v>
                </c:pt>
                <c:pt idx="287">
                  <c:v>40675</c:v>
                </c:pt>
                <c:pt idx="288">
                  <c:v>40668</c:v>
                </c:pt>
                <c:pt idx="289">
                  <c:v>40661</c:v>
                </c:pt>
                <c:pt idx="290">
                  <c:v>40654</c:v>
                </c:pt>
                <c:pt idx="291">
                  <c:v>40647</c:v>
                </c:pt>
                <c:pt idx="292">
                  <c:v>40640</c:v>
                </c:pt>
                <c:pt idx="293">
                  <c:v>40633</c:v>
                </c:pt>
                <c:pt idx="294">
                  <c:v>40626</c:v>
                </c:pt>
                <c:pt idx="295">
                  <c:v>40619</c:v>
                </c:pt>
                <c:pt idx="296">
                  <c:v>40612</c:v>
                </c:pt>
                <c:pt idx="297">
                  <c:v>40605</c:v>
                </c:pt>
                <c:pt idx="298">
                  <c:v>40598</c:v>
                </c:pt>
                <c:pt idx="299">
                  <c:v>40591</c:v>
                </c:pt>
                <c:pt idx="300">
                  <c:v>40584</c:v>
                </c:pt>
                <c:pt idx="301">
                  <c:v>40577</c:v>
                </c:pt>
                <c:pt idx="302">
                  <c:v>40570</c:v>
                </c:pt>
                <c:pt idx="303">
                  <c:v>40563</c:v>
                </c:pt>
                <c:pt idx="304">
                  <c:v>40556</c:v>
                </c:pt>
                <c:pt idx="305">
                  <c:v>40549</c:v>
                </c:pt>
                <c:pt idx="306">
                  <c:v>40542</c:v>
                </c:pt>
                <c:pt idx="307">
                  <c:v>40535</c:v>
                </c:pt>
                <c:pt idx="308">
                  <c:v>40528</c:v>
                </c:pt>
                <c:pt idx="309">
                  <c:v>40521</c:v>
                </c:pt>
                <c:pt idx="310">
                  <c:v>40514</c:v>
                </c:pt>
                <c:pt idx="311">
                  <c:v>40506</c:v>
                </c:pt>
                <c:pt idx="312">
                  <c:v>40500</c:v>
                </c:pt>
                <c:pt idx="313">
                  <c:v>40493</c:v>
                </c:pt>
                <c:pt idx="314">
                  <c:v>40486</c:v>
                </c:pt>
                <c:pt idx="315">
                  <c:v>40479</c:v>
                </c:pt>
                <c:pt idx="316">
                  <c:v>40472</c:v>
                </c:pt>
                <c:pt idx="317">
                  <c:v>40465</c:v>
                </c:pt>
                <c:pt idx="318">
                  <c:v>40458</c:v>
                </c:pt>
                <c:pt idx="319">
                  <c:v>40451</c:v>
                </c:pt>
                <c:pt idx="320">
                  <c:v>40444</c:v>
                </c:pt>
                <c:pt idx="321">
                  <c:v>40437</c:v>
                </c:pt>
                <c:pt idx="322">
                  <c:v>40430</c:v>
                </c:pt>
                <c:pt idx="323">
                  <c:v>40423</c:v>
                </c:pt>
                <c:pt idx="324">
                  <c:v>40416</c:v>
                </c:pt>
                <c:pt idx="325">
                  <c:v>40409</c:v>
                </c:pt>
                <c:pt idx="326">
                  <c:v>40402</c:v>
                </c:pt>
                <c:pt idx="327">
                  <c:v>40395</c:v>
                </c:pt>
                <c:pt idx="328">
                  <c:v>40388</c:v>
                </c:pt>
                <c:pt idx="329">
                  <c:v>40381</c:v>
                </c:pt>
                <c:pt idx="330">
                  <c:v>40374</c:v>
                </c:pt>
                <c:pt idx="331">
                  <c:v>40367</c:v>
                </c:pt>
                <c:pt idx="332">
                  <c:v>40360</c:v>
                </c:pt>
                <c:pt idx="333">
                  <c:v>40353</c:v>
                </c:pt>
                <c:pt idx="334">
                  <c:v>40346</c:v>
                </c:pt>
                <c:pt idx="335">
                  <c:v>40339</c:v>
                </c:pt>
                <c:pt idx="336">
                  <c:v>40332</c:v>
                </c:pt>
                <c:pt idx="337">
                  <c:v>40325</c:v>
                </c:pt>
                <c:pt idx="338">
                  <c:v>40318</c:v>
                </c:pt>
                <c:pt idx="339">
                  <c:v>40311</c:v>
                </c:pt>
                <c:pt idx="340">
                  <c:v>40304</c:v>
                </c:pt>
                <c:pt idx="341">
                  <c:v>40297</c:v>
                </c:pt>
                <c:pt idx="342">
                  <c:v>40290</c:v>
                </c:pt>
                <c:pt idx="343">
                  <c:v>40283</c:v>
                </c:pt>
                <c:pt idx="344">
                  <c:v>40276</c:v>
                </c:pt>
                <c:pt idx="345">
                  <c:v>40269</c:v>
                </c:pt>
                <c:pt idx="346">
                  <c:v>40262</c:v>
                </c:pt>
                <c:pt idx="347">
                  <c:v>40255</c:v>
                </c:pt>
                <c:pt idx="348">
                  <c:v>40248</c:v>
                </c:pt>
                <c:pt idx="349">
                  <c:v>40241</c:v>
                </c:pt>
                <c:pt idx="350">
                  <c:v>40234</c:v>
                </c:pt>
                <c:pt idx="351">
                  <c:v>40227</c:v>
                </c:pt>
                <c:pt idx="352">
                  <c:v>40220</c:v>
                </c:pt>
                <c:pt idx="353">
                  <c:v>40213</c:v>
                </c:pt>
                <c:pt idx="354">
                  <c:v>40206</c:v>
                </c:pt>
                <c:pt idx="355">
                  <c:v>40199</c:v>
                </c:pt>
                <c:pt idx="356">
                  <c:v>40192</c:v>
                </c:pt>
                <c:pt idx="357">
                  <c:v>40185</c:v>
                </c:pt>
                <c:pt idx="358">
                  <c:v>40178</c:v>
                </c:pt>
                <c:pt idx="359">
                  <c:v>40171</c:v>
                </c:pt>
                <c:pt idx="360">
                  <c:v>40164</c:v>
                </c:pt>
                <c:pt idx="361">
                  <c:v>40157</c:v>
                </c:pt>
                <c:pt idx="362">
                  <c:v>40150</c:v>
                </c:pt>
                <c:pt idx="363">
                  <c:v>40142</c:v>
                </c:pt>
                <c:pt idx="364">
                  <c:v>40136</c:v>
                </c:pt>
                <c:pt idx="365">
                  <c:v>40129</c:v>
                </c:pt>
                <c:pt idx="366">
                  <c:v>40122</c:v>
                </c:pt>
                <c:pt idx="367">
                  <c:v>40115</c:v>
                </c:pt>
                <c:pt idx="368">
                  <c:v>40108</c:v>
                </c:pt>
                <c:pt idx="369">
                  <c:v>40101</c:v>
                </c:pt>
                <c:pt idx="370">
                  <c:v>40094</c:v>
                </c:pt>
                <c:pt idx="371">
                  <c:v>40087</c:v>
                </c:pt>
                <c:pt idx="372">
                  <c:v>40080</c:v>
                </c:pt>
                <c:pt idx="373">
                  <c:v>40073</c:v>
                </c:pt>
                <c:pt idx="374">
                  <c:v>40066</c:v>
                </c:pt>
                <c:pt idx="375">
                  <c:v>40059</c:v>
                </c:pt>
                <c:pt idx="376">
                  <c:v>40052</c:v>
                </c:pt>
                <c:pt idx="377">
                  <c:v>40045</c:v>
                </c:pt>
                <c:pt idx="378">
                  <c:v>40038</c:v>
                </c:pt>
                <c:pt idx="379">
                  <c:v>40031</c:v>
                </c:pt>
                <c:pt idx="380">
                  <c:v>40024</c:v>
                </c:pt>
                <c:pt idx="381">
                  <c:v>40017</c:v>
                </c:pt>
                <c:pt idx="382">
                  <c:v>40010</c:v>
                </c:pt>
                <c:pt idx="383">
                  <c:v>40003</c:v>
                </c:pt>
                <c:pt idx="384">
                  <c:v>39996</c:v>
                </c:pt>
                <c:pt idx="385">
                  <c:v>39989</c:v>
                </c:pt>
                <c:pt idx="386">
                  <c:v>39982</c:v>
                </c:pt>
                <c:pt idx="387">
                  <c:v>39975</c:v>
                </c:pt>
                <c:pt idx="388">
                  <c:v>39968</c:v>
                </c:pt>
                <c:pt idx="389">
                  <c:v>39961</c:v>
                </c:pt>
                <c:pt idx="390">
                  <c:v>39954</c:v>
                </c:pt>
                <c:pt idx="391">
                  <c:v>39947</c:v>
                </c:pt>
                <c:pt idx="392">
                  <c:v>39940</c:v>
                </c:pt>
                <c:pt idx="393">
                  <c:v>39933</c:v>
                </c:pt>
                <c:pt idx="394">
                  <c:v>39926</c:v>
                </c:pt>
                <c:pt idx="395">
                  <c:v>39919</c:v>
                </c:pt>
                <c:pt idx="396">
                  <c:v>39912</c:v>
                </c:pt>
                <c:pt idx="397">
                  <c:v>39905</c:v>
                </c:pt>
                <c:pt idx="398">
                  <c:v>39898</c:v>
                </c:pt>
                <c:pt idx="399">
                  <c:v>39891</c:v>
                </c:pt>
                <c:pt idx="400">
                  <c:v>39884</c:v>
                </c:pt>
                <c:pt idx="401">
                  <c:v>39877</c:v>
                </c:pt>
                <c:pt idx="402">
                  <c:v>39870</c:v>
                </c:pt>
                <c:pt idx="403">
                  <c:v>39863</c:v>
                </c:pt>
                <c:pt idx="404">
                  <c:v>39856</c:v>
                </c:pt>
                <c:pt idx="405">
                  <c:v>39849</c:v>
                </c:pt>
                <c:pt idx="406">
                  <c:v>39842</c:v>
                </c:pt>
                <c:pt idx="407">
                  <c:v>39835</c:v>
                </c:pt>
                <c:pt idx="408">
                  <c:v>39828</c:v>
                </c:pt>
                <c:pt idx="409">
                  <c:v>39821</c:v>
                </c:pt>
                <c:pt idx="410">
                  <c:v>39813</c:v>
                </c:pt>
                <c:pt idx="411">
                  <c:v>39806</c:v>
                </c:pt>
                <c:pt idx="412">
                  <c:v>39800</c:v>
                </c:pt>
                <c:pt idx="413">
                  <c:v>39793</c:v>
                </c:pt>
                <c:pt idx="414">
                  <c:v>39786</c:v>
                </c:pt>
                <c:pt idx="415">
                  <c:v>39778</c:v>
                </c:pt>
                <c:pt idx="416">
                  <c:v>39772</c:v>
                </c:pt>
                <c:pt idx="417">
                  <c:v>39765</c:v>
                </c:pt>
                <c:pt idx="418">
                  <c:v>39758</c:v>
                </c:pt>
                <c:pt idx="419">
                  <c:v>39751</c:v>
                </c:pt>
                <c:pt idx="420">
                  <c:v>39744</c:v>
                </c:pt>
                <c:pt idx="421">
                  <c:v>39737</c:v>
                </c:pt>
                <c:pt idx="422">
                  <c:v>39730</c:v>
                </c:pt>
                <c:pt idx="423">
                  <c:v>39723</c:v>
                </c:pt>
                <c:pt idx="424">
                  <c:v>39716</c:v>
                </c:pt>
                <c:pt idx="425">
                  <c:v>39709</c:v>
                </c:pt>
                <c:pt idx="426">
                  <c:v>39702</c:v>
                </c:pt>
                <c:pt idx="427">
                  <c:v>39695</c:v>
                </c:pt>
                <c:pt idx="428">
                  <c:v>39688</c:v>
                </c:pt>
                <c:pt idx="429">
                  <c:v>39681</c:v>
                </c:pt>
                <c:pt idx="430">
                  <c:v>39674</c:v>
                </c:pt>
                <c:pt idx="431">
                  <c:v>39667</c:v>
                </c:pt>
                <c:pt idx="432">
                  <c:v>39660</c:v>
                </c:pt>
                <c:pt idx="433">
                  <c:v>39653</c:v>
                </c:pt>
                <c:pt idx="434">
                  <c:v>39646</c:v>
                </c:pt>
                <c:pt idx="435">
                  <c:v>39639</c:v>
                </c:pt>
                <c:pt idx="436">
                  <c:v>39632</c:v>
                </c:pt>
                <c:pt idx="437">
                  <c:v>39625</c:v>
                </c:pt>
                <c:pt idx="438">
                  <c:v>39618</c:v>
                </c:pt>
                <c:pt idx="439">
                  <c:v>39611</c:v>
                </c:pt>
                <c:pt idx="440">
                  <c:v>39604</c:v>
                </c:pt>
                <c:pt idx="441">
                  <c:v>39597</c:v>
                </c:pt>
                <c:pt idx="442">
                  <c:v>39590</c:v>
                </c:pt>
                <c:pt idx="443">
                  <c:v>39583</c:v>
                </c:pt>
                <c:pt idx="444">
                  <c:v>39576</c:v>
                </c:pt>
                <c:pt idx="445">
                  <c:v>39569</c:v>
                </c:pt>
                <c:pt idx="446">
                  <c:v>39562</c:v>
                </c:pt>
                <c:pt idx="447">
                  <c:v>39555</c:v>
                </c:pt>
                <c:pt idx="448">
                  <c:v>39548</c:v>
                </c:pt>
                <c:pt idx="449">
                  <c:v>39541</c:v>
                </c:pt>
                <c:pt idx="450">
                  <c:v>39534</c:v>
                </c:pt>
                <c:pt idx="451">
                  <c:v>39527</c:v>
                </c:pt>
                <c:pt idx="452">
                  <c:v>39520</c:v>
                </c:pt>
                <c:pt idx="453">
                  <c:v>39513</c:v>
                </c:pt>
                <c:pt idx="454">
                  <c:v>39506</c:v>
                </c:pt>
                <c:pt idx="455">
                  <c:v>39499</c:v>
                </c:pt>
                <c:pt idx="456">
                  <c:v>39492</c:v>
                </c:pt>
                <c:pt idx="457">
                  <c:v>39485</c:v>
                </c:pt>
                <c:pt idx="458">
                  <c:v>39478</c:v>
                </c:pt>
                <c:pt idx="459">
                  <c:v>39471</c:v>
                </c:pt>
                <c:pt idx="460">
                  <c:v>39464</c:v>
                </c:pt>
                <c:pt idx="461">
                  <c:v>39457</c:v>
                </c:pt>
                <c:pt idx="462">
                  <c:v>39450</c:v>
                </c:pt>
              </c:numCache>
            </c:numRef>
          </c:cat>
          <c:val>
            <c:numRef>
              <c:f>Query!$L$3:$L$465</c:f>
              <c:numCache>
                <c:formatCode>0%</c:formatCode>
                <c:ptCount val="463"/>
                <c:pt idx="0">
                  <c:v>0</c:v>
                </c:pt>
                <c:pt idx="1">
                  <c:v>0</c:v>
                </c:pt>
                <c:pt idx="2">
                  <c:v>4.2075057000000001E-3</c:v>
                </c:pt>
                <c:pt idx="3">
                  <c:v>7.8617854999999993E-3</c:v>
                </c:pt>
                <c:pt idx="4">
                  <c:v>6.2051012000000003E-3</c:v>
                </c:pt>
                <c:pt idx="5">
                  <c:v>0.41034721800000001</c:v>
                </c:pt>
                <c:pt idx="6">
                  <c:v>0.39018605709999998</c:v>
                </c:pt>
                <c:pt idx="7">
                  <c:v>0.30217912299999999</c:v>
                </c:pt>
                <c:pt idx="8">
                  <c:v>0.32322800000000002</c:v>
                </c:pt>
                <c:pt idx="9">
                  <c:v>0.34740422609999999</c:v>
                </c:pt>
                <c:pt idx="10">
                  <c:v>0.36009890300000003</c:v>
                </c:pt>
                <c:pt idx="11">
                  <c:v>0.35762316199999999</c:v>
                </c:pt>
                <c:pt idx="12">
                  <c:v>0.38668737850000001</c:v>
                </c:pt>
                <c:pt idx="13">
                  <c:v>0.36346232249999999</c:v>
                </c:pt>
                <c:pt idx="14">
                  <c:v>0.39867826690000002</c:v>
                </c:pt>
                <c:pt idx="15">
                  <c:v>0.35342993379999998</c:v>
                </c:pt>
                <c:pt idx="16">
                  <c:v>0.3641181121</c:v>
                </c:pt>
                <c:pt idx="17">
                  <c:v>0.73452463619999997</c:v>
                </c:pt>
                <c:pt idx="18">
                  <c:v>0.74659079689999996</c:v>
                </c:pt>
                <c:pt idx="19">
                  <c:v>0.36450145699999997</c:v>
                </c:pt>
                <c:pt idx="20">
                  <c:v>0.29603398609999998</c:v>
                </c:pt>
                <c:pt idx="21">
                  <c:v>0.3231848464</c:v>
                </c:pt>
                <c:pt idx="22">
                  <c:v>0.29154228319999997</c:v>
                </c:pt>
                <c:pt idx="23">
                  <c:v>0.24658262720000002</c:v>
                </c:pt>
                <c:pt idx="24">
                  <c:v>0.25614855920000001</c:v>
                </c:pt>
                <c:pt idx="25">
                  <c:v>0.28823591269999999</c:v>
                </c:pt>
                <c:pt idx="26">
                  <c:v>0.29953785770000002</c:v>
                </c:pt>
                <c:pt idx="27">
                  <c:v>0.26121759630000002</c:v>
                </c:pt>
                <c:pt idx="28">
                  <c:v>6.7427045199999994E-2</c:v>
                </c:pt>
                <c:pt idx="29">
                  <c:v>0.27404515070000002</c:v>
                </c:pt>
                <c:pt idx="30">
                  <c:v>0.28374614799999998</c:v>
                </c:pt>
                <c:pt idx="31">
                  <c:v>0.27836232100000002</c:v>
                </c:pt>
                <c:pt idx="32">
                  <c:v>4.9843355999999998E-2</c:v>
                </c:pt>
                <c:pt idx="33">
                  <c:v>0.2031771</c:v>
                </c:pt>
                <c:pt idx="34">
                  <c:v>4.2037071199999998E-2</c:v>
                </c:pt>
                <c:pt idx="35">
                  <c:v>0.2267590142</c:v>
                </c:pt>
                <c:pt idx="36">
                  <c:v>0.23816616020000003</c:v>
                </c:pt>
                <c:pt idx="37">
                  <c:v>0.23417131099999999</c:v>
                </c:pt>
                <c:pt idx="38">
                  <c:v>0.23187807120000001</c:v>
                </c:pt>
                <c:pt idx="39">
                  <c:v>0.23383256720000001</c:v>
                </c:pt>
                <c:pt idx="40">
                  <c:v>0.1952732136</c:v>
                </c:pt>
                <c:pt idx="41">
                  <c:v>1.7591301199999999E-2</c:v>
                </c:pt>
                <c:pt idx="42">
                  <c:v>1.7296221699999999E-2</c:v>
                </c:pt>
                <c:pt idx="43">
                  <c:v>6.2010661000000003E-3</c:v>
                </c:pt>
                <c:pt idx="44">
                  <c:v>3.0047211000000002E-3</c:v>
                </c:pt>
                <c:pt idx="45">
                  <c:v>4.7134729999999999E-4</c:v>
                </c:pt>
                <c:pt idx="46">
                  <c:v>3.7034997000000001E-3</c:v>
                </c:pt>
                <c:pt idx="47">
                  <c:v>2.1328380000000002E-3</c:v>
                </c:pt>
                <c:pt idx="48">
                  <c:v>3.7282702000000002E-3</c:v>
                </c:pt>
                <c:pt idx="49">
                  <c:v>3.8999424000000001E-3</c:v>
                </c:pt>
                <c:pt idx="50">
                  <c:v>2.5040428E-3</c:v>
                </c:pt>
                <c:pt idx="51">
                  <c:v>2.5053662999999999E-3</c:v>
                </c:pt>
                <c:pt idx="52">
                  <c:v>1.9502083E-3</c:v>
                </c:pt>
                <c:pt idx="53">
                  <c:v>6.5558735999999996E-3</c:v>
                </c:pt>
                <c:pt idx="54">
                  <c:v>1.6887394600000001E-2</c:v>
                </c:pt>
                <c:pt idx="55">
                  <c:v>1.2722163599999999E-2</c:v>
                </c:pt>
                <c:pt idx="56">
                  <c:v>8.9844881000000001E-3</c:v>
                </c:pt>
                <c:pt idx="57">
                  <c:v>1.6887394600000001E-2</c:v>
                </c:pt>
                <c:pt idx="58">
                  <c:v>8.5607423000000002E-3</c:v>
                </c:pt>
                <c:pt idx="59">
                  <c:v>2.6883557000000002E-3</c:v>
                </c:pt>
                <c:pt idx="60">
                  <c:v>2.1280814000000001E-3</c:v>
                </c:pt>
                <c:pt idx="61">
                  <c:v>2.6022055E-3</c:v>
                </c:pt>
                <c:pt idx="62">
                  <c:v>2.5424555000000001E-3</c:v>
                </c:pt>
                <c:pt idx="63">
                  <c:v>3.8897602E-3</c:v>
                </c:pt>
                <c:pt idx="64">
                  <c:v>1.2478017E-3</c:v>
                </c:pt>
                <c:pt idx="65">
                  <c:v>1.2033200999999999E-3</c:v>
                </c:pt>
                <c:pt idx="66">
                  <c:v>1.7238742999999999E-3</c:v>
                </c:pt>
                <c:pt idx="67">
                  <c:v>6.1178580000000005E-4</c:v>
                </c:pt>
                <c:pt idx="68">
                  <c:v>2.7958969999999998E-4</c:v>
                </c:pt>
                <c:pt idx="69">
                  <c:v>2.279929E-4</c:v>
                </c:pt>
                <c:pt idx="70">
                  <c:v>4.2772040000000001E-4</c:v>
                </c:pt>
                <c:pt idx="71">
                  <c:v>2.3109220000000003E-4</c:v>
                </c:pt>
                <c:pt idx="72">
                  <c:v>2.4672490000000001E-4</c:v>
                </c:pt>
                <c:pt idx="73">
                  <c:v>3.3476369999999999E-4</c:v>
                </c:pt>
                <c:pt idx="74">
                  <c:v>2.4672490000000001E-4</c:v>
                </c:pt>
                <c:pt idx="75">
                  <c:v>6.7233240000000001E-4</c:v>
                </c:pt>
                <c:pt idx="76">
                  <c:v>9.922666000000001E-4</c:v>
                </c:pt>
                <c:pt idx="77">
                  <c:v>9.9403300000000007E-4</c:v>
                </c:pt>
                <c:pt idx="78">
                  <c:v>1.3725467999999999E-3</c:v>
                </c:pt>
                <c:pt idx="79">
                  <c:v>3.6102309000000002E-3</c:v>
                </c:pt>
                <c:pt idx="80">
                  <c:v>0.1684494299</c:v>
                </c:pt>
                <c:pt idx="81">
                  <c:v>0.18959361860000001</c:v>
                </c:pt>
                <c:pt idx="82">
                  <c:v>0.16713277909999999</c:v>
                </c:pt>
                <c:pt idx="83">
                  <c:v>0.1873139328</c:v>
                </c:pt>
                <c:pt idx="84">
                  <c:v>0.16610413060000001</c:v>
                </c:pt>
                <c:pt idx="85">
                  <c:v>0.16740534970000001</c:v>
                </c:pt>
                <c:pt idx="86">
                  <c:v>0.1449887732</c:v>
                </c:pt>
                <c:pt idx="87">
                  <c:v>0.1083162191</c:v>
                </c:pt>
                <c:pt idx="88">
                  <c:v>0.14748581329999999</c:v>
                </c:pt>
                <c:pt idx="89">
                  <c:v>0.1283141562</c:v>
                </c:pt>
                <c:pt idx="90">
                  <c:v>0.1446313645</c:v>
                </c:pt>
                <c:pt idx="91">
                  <c:v>0.16619450729999999</c:v>
                </c:pt>
                <c:pt idx="92">
                  <c:v>0.18792449059999999</c:v>
                </c:pt>
                <c:pt idx="93">
                  <c:v>0.1572286852</c:v>
                </c:pt>
                <c:pt idx="94">
                  <c:v>0.15858242340000001</c:v>
                </c:pt>
                <c:pt idx="95">
                  <c:v>0.1584462643</c:v>
                </c:pt>
                <c:pt idx="96">
                  <c:v>0.1273646118</c:v>
                </c:pt>
                <c:pt idx="97">
                  <c:v>8.6651293800000001E-2</c:v>
                </c:pt>
                <c:pt idx="98">
                  <c:v>0.10126768060000001</c:v>
                </c:pt>
                <c:pt idx="99">
                  <c:v>0.10451944790000001</c:v>
                </c:pt>
                <c:pt idx="100">
                  <c:v>8.4487762800000005E-2</c:v>
                </c:pt>
                <c:pt idx="101">
                  <c:v>8.6751430899999996E-2</c:v>
                </c:pt>
                <c:pt idx="102">
                  <c:v>6.7707112400000005E-2</c:v>
                </c:pt>
                <c:pt idx="103">
                  <c:v>6.6589140500000005E-2</c:v>
                </c:pt>
                <c:pt idx="104">
                  <c:v>5.5975736900000003E-2</c:v>
                </c:pt>
                <c:pt idx="105">
                  <c:v>5.4808828800000001E-2</c:v>
                </c:pt>
                <c:pt idx="106">
                  <c:v>6.58072299E-2</c:v>
                </c:pt>
                <c:pt idx="107">
                  <c:v>8.0790795400000004E-2</c:v>
                </c:pt>
                <c:pt idx="108">
                  <c:v>6.6342163999999995E-2</c:v>
                </c:pt>
                <c:pt idx="109">
                  <c:v>3.7750656600000002E-2</c:v>
                </c:pt>
                <c:pt idx="110">
                  <c:v>4.4517187000000001E-3</c:v>
                </c:pt>
                <c:pt idx="111">
                  <c:v>1.0817228000000001E-3</c:v>
                </c:pt>
                <c:pt idx="112">
                  <c:v>1.0672454E-3</c:v>
                </c:pt>
                <c:pt idx="113">
                  <c:v>3.5835296099999997E-2</c:v>
                </c:pt>
                <c:pt idx="114">
                  <c:v>3.6285921499999998E-2</c:v>
                </c:pt>
                <c:pt idx="115">
                  <c:v>3.3991505900000003E-2</c:v>
                </c:pt>
                <c:pt idx="116">
                  <c:v>3.4152590300000001E-2</c:v>
                </c:pt>
                <c:pt idx="117">
                  <c:v>2.55482595E-2</c:v>
                </c:pt>
                <c:pt idx="118">
                  <c:v>1.7283762099999999E-2</c:v>
                </c:pt>
                <c:pt idx="119">
                  <c:v>2.30179571E-2</c:v>
                </c:pt>
                <c:pt idx="120">
                  <c:v>2.2488169999999998E-2</c:v>
                </c:pt>
                <c:pt idx="121">
                  <c:v>2.2488169999999998E-2</c:v>
                </c:pt>
                <c:pt idx="122">
                  <c:v>1.53662698E-2</c:v>
                </c:pt>
                <c:pt idx="123">
                  <c:v>3.0136103599999998E-2</c:v>
                </c:pt>
                <c:pt idx="124">
                  <c:v>1.9671418699999998E-2</c:v>
                </c:pt>
                <c:pt idx="125">
                  <c:v>1.32202901E-2</c:v>
                </c:pt>
                <c:pt idx="126">
                  <c:v>1.2623503499999999E-2</c:v>
                </c:pt>
                <c:pt idx="127">
                  <c:v>1.96890295E-2</c:v>
                </c:pt>
                <c:pt idx="128">
                  <c:v>1.60394271E-2</c:v>
                </c:pt>
                <c:pt idx="129">
                  <c:v>1.5686025700000002E-2</c:v>
                </c:pt>
                <c:pt idx="130">
                  <c:v>1.05214531E-2</c:v>
                </c:pt>
                <c:pt idx="131">
                  <c:v>1.0483459699999999E-2</c:v>
                </c:pt>
                <c:pt idx="132">
                  <c:v>4.4909529000000002E-3</c:v>
                </c:pt>
                <c:pt idx="133">
                  <c:v>2.7504809999999999E-3</c:v>
                </c:pt>
                <c:pt idx="134">
                  <c:v>4.0369202999999999E-3</c:v>
                </c:pt>
                <c:pt idx="135">
                  <c:v>1.9011290000000001E-3</c:v>
                </c:pt>
                <c:pt idx="136">
                  <c:v>8.6125899999999996E-4</c:v>
                </c:pt>
                <c:pt idx="137">
                  <c:v>1.5209316000000001E-3</c:v>
                </c:pt>
                <c:pt idx="138">
                  <c:v>3.1422589000000001E-3</c:v>
                </c:pt>
                <c:pt idx="139">
                  <c:v>1.5497656E-3</c:v>
                </c:pt>
                <c:pt idx="140">
                  <c:v>3.1871104000000001E-3</c:v>
                </c:pt>
                <c:pt idx="141">
                  <c:v>1.2179790999999999E-3</c:v>
                </c:pt>
                <c:pt idx="142">
                  <c:v>1.7492553E-3</c:v>
                </c:pt>
                <c:pt idx="143">
                  <c:v>2.7459873999999998E-3</c:v>
                </c:pt>
                <c:pt idx="144">
                  <c:v>4.1986916999999999E-3</c:v>
                </c:pt>
                <c:pt idx="145">
                  <c:v>2.1653044E-3</c:v>
                </c:pt>
                <c:pt idx="146">
                  <c:v>1.0005254999999999E-3</c:v>
                </c:pt>
                <c:pt idx="147">
                  <c:v>9.4387099999999999E-4</c:v>
                </c:pt>
                <c:pt idx="148">
                  <c:v>4.2450890000000002E-4</c:v>
                </c:pt>
                <c:pt idx="149">
                  <c:v>2.8858790000000002E-4</c:v>
                </c:pt>
                <c:pt idx="150">
                  <c:v>3.251269E-4</c:v>
                </c:pt>
                <c:pt idx="151">
                  <c:v>4.0954339999999998E-4</c:v>
                </c:pt>
                <c:pt idx="152">
                  <c:v>5.8953909999999996E-4</c:v>
                </c:pt>
                <c:pt idx="153">
                  <c:v>5.6739439999999996E-4</c:v>
                </c:pt>
                <c:pt idx="154">
                  <c:v>7.5008080000000003E-4</c:v>
                </c:pt>
                <c:pt idx="155">
                  <c:v>1.2986059999999999E-3</c:v>
                </c:pt>
                <c:pt idx="156">
                  <c:v>4.2373589999999999E-4</c:v>
                </c:pt>
                <c:pt idx="157">
                  <c:v>1.9713356E-3</c:v>
                </c:pt>
                <c:pt idx="158">
                  <c:v>1.2472223E-3</c:v>
                </c:pt>
                <c:pt idx="159">
                  <c:v>7.9651050000000001E-4</c:v>
                </c:pt>
                <c:pt idx="160">
                  <c:v>2.6763429999999999E-4</c:v>
                </c:pt>
                <c:pt idx="161">
                  <c:v>4.333532E-4</c:v>
                </c:pt>
                <c:pt idx="162">
                  <c:v>4.1454790000000001E-4</c:v>
                </c:pt>
                <c:pt idx="163">
                  <c:v>4.4069100000000008E-5</c:v>
                </c:pt>
                <c:pt idx="164">
                  <c:v>7.8880999999999999E-6</c:v>
                </c:pt>
                <c:pt idx="165">
                  <c:v>1.6727999999999999E-6</c:v>
                </c:pt>
                <c:pt idx="166">
                  <c:v>6.0324E-6</c:v>
                </c:pt>
                <c:pt idx="167">
                  <c:v>5.6934000000000004E-6</c:v>
                </c:pt>
                <c:pt idx="168">
                  <c:v>2.9668000000000001E-6</c:v>
                </c:pt>
                <c:pt idx="169">
                  <c:v>9.7079999999999992E-6</c:v>
                </c:pt>
                <c:pt idx="170">
                  <c:v>1.6226999999999999E-5</c:v>
                </c:pt>
                <c:pt idx="171">
                  <c:v>1.6114199999999999E-5</c:v>
                </c:pt>
                <c:pt idx="172">
                  <c:v>1.3372400000000001E-5</c:v>
                </c:pt>
                <c:pt idx="173">
                  <c:v>1.1374700000000001E-5</c:v>
                </c:pt>
                <c:pt idx="174">
                  <c:v>2.6485999999999999E-6</c:v>
                </c:pt>
                <c:pt idx="175">
                  <c:v>2.4788900000000002E-5</c:v>
                </c:pt>
                <c:pt idx="176">
                  <c:v>1.731E-6</c:v>
                </c:pt>
                <c:pt idx="177">
                  <c:v>1.097799E-4</c:v>
                </c:pt>
                <c:pt idx="178">
                  <c:v>1.0584839999999999E-4</c:v>
                </c:pt>
                <c:pt idx="179">
                  <c:v>1.4563609999999999E-4</c:v>
                </c:pt>
                <c:pt idx="180">
                  <c:v>1.8729679999999999E-4</c:v>
                </c:pt>
                <c:pt idx="181">
                  <c:v>8.693657E-4</c:v>
                </c:pt>
                <c:pt idx="182">
                  <c:v>3.7372027E-3</c:v>
                </c:pt>
                <c:pt idx="183">
                  <c:v>9.1322767000000006E-3</c:v>
                </c:pt>
                <c:pt idx="184">
                  <c:v>0.79671017649999998</c:v>
                </c:pt>
                <c:pt idx="185">
                  <c:v>6.9385708000000001E-3</c:v>
                </c:pt>
                <c:pt idx="186">
                  <c:v>1.0720968000000001E-2</c:v>
                </c:pt>
                <c:pt idx="187">
                  <c:v>4.8411004999999998E-3</c:v>
                </c:pt>
                <c:pt idx="188">
                  <c:v>1.8700698000000001E-3</c:v>
                </c:pt>
                <c:pt idx="189">
                  <c:v>8.0177180000000001E-4</c:v>
                </c:pt>
                <c:pt idx="190">
                  <c:v>1.1878606E-3</c:v>
                </c:pt>
                <c:pt idx="191">
                  <c:v>5.728234E-4</c:v>
                </c:pt>
                <c:pt idx="192">
                  <c:v>2.7074109999999998E-3</c:v>
                </c:pt>
                <c:pt idx="193">
                  <c:v>1.8279983000000001E-3</c:v>
                </c:pt>
                <c:pt idx="194">
                  <c:v>1.1744309000000001E-3</c:v>
                </c:pt>
                <c:pt idx="195">
                  <c:v>1.8188139000000002E-3</c:v>
                </c:pt>
                <c:pt idx="196">
                  <c:v>1.8016234000000002E-3</c:v>
                </c:pt>
                <c:pt idx="197">
                  <c:v>1.2356666000000001E-3</c:v>
                </c:pt>
                <c:pt idx="198">
                  <c:v>5.6133948999999997E-3</c:v>
                </c:pt>
                <c:pt idx="199">
                  <c:v>0.86332672129999999</c:v>
                </c:pt>
                <c:pt idx="200">
                  <c:v>5.7415477999999999E-3</c:v>
                </c:pt>
                <c:pt idx="201">
                  <c:v>0.86713239769999995</c:v>
                </c:pt>
                <c:pt idx="202">
                  <c:v>0.89223126149999998</c:v>
                </c:pt>
                <c:pt idx="203">
                  <c:v>0.89028689569999997</c:v>
                </c:pt>
                <c:pt idx="204">
                  <c:v>0.90754307509999999</c:v>
                </c:pt>
                <c:pt idx="205">
                  <c:v>0.89290404879999996</c:v>
                </c:pt>
                <c:pt idx="206">
                  <c:v>0.91339134359999996</c:v>
                </c:pt>
                <c:pt idx="207">
                  <c:v>0.9281076654</c:v>
                </c:pt>
                <c:pt idx="208">
                  <c:v>0.9140931699</c:v>
                </c:pt>
                <c:pt idx="209">
                  <c:v>0.89563676619999999</c:v>
                </c:pt>
                <c:pt idx="210">
                  <c:v>0.89593566410000003</c:v>
                </c:pt>
                <c:pt idx="211">
                  <c:v>0.90785050069999995</c:v>
                </c:pt>
                <c:pt idx="212">
                  <c:v>0.92467963080000004</c:v>
                </c:pt>
                <c:pt idx="213">
                  <c:v>0.91033834270000002</c:v>
                </c:pt>
                <c:pt idx="214">
                  <c:v>0.92807978840000005</c:v>
                </c:pt>
                <c:pt idx="215">
                  <c:v>0.935348391</c:v>
                </c:pt>
                <c:pt idx="216">
                  <c:v>0.90078150499999998</c:v>
                </c:pt>
                <c:pt idx="217">
                  <c:v>0.88552599899999995</c:v>
                </c:pt>
                <c:pt idx="218">
                  <c:v>0.88326700709999995</c:v>
                </c:pt>
                <c:pt idx="219">
                  <c:v>0.89042659729999996</c:v>
                </c:pt>
                <c:pt idx="220">
                  <c:v>0.86383307760000005</c:v>
                </c:pt>
                <c:pt idx="221">
                  <c:v>0.87699596440000005</c:v>
                </c:pt>
                <c:pt idx="222">
                  <c:v>0.89042659729999996</c:v>
                </c:pt>
                <c:pt idx="223">
                  <c:v>0.89163810899999996</c:v>
                </c:pt>
                <c:pt idx="224">
                  <c:v>0.91595412320000003</c:v>
                </c:pt>
                <c:pt idx="225">
                  <c:v>0.90462039660000004</c:v>
                </c:pt>
                <c:pt idx="226">
                  <c:v>0.90261395929999999</c:v>
                </c:pt>
                <c:pt idx="227">
                  <c:v>0.87826553819999997</c:v>
                </c:pt>
                <c:pt idx="228">
                  <c:v>0.87680139130000012</c:v>
                </c:pt>
                <c:pt idx="229">
                  <c:v>0.87680139130000012</c:v>
                </c:pt>
                <c:pt idx="230">
                  <c:v>0.86089525339999995</c:v>
                </c:pt>
                <c:pt idx="231">
                  <c:v>0.87641126130000013</c:v>
                </c:pt>
                <c:pt idx="232">
                  <c:v>0.83983334480000005</c:v>
                </c:pt>
                <c:pt idx="233">
                  <c:v>0.8368782226</c:v>
                </c:pt>
                <c:pt idx="234">
                  <c:v>0.83830150820000005</c:v>
                </c:pt>
                <c:pt idx="235">
                  <c:v>0.81730839639999997</c:v>
                </c:pt>
                <c:pt idx="236">
                  <c:v>0.81120579599999998</c:v>
                </c:pt>
                <c:pt idx="237">
                  <c:v>0.80339735970000004</c:v>
                </c:pt>
                <c:pt idx="238">
                  <c:v>0.7867426193</c:v>
                </c:pt>
                <c:pt idx="239">
                  <c:v>0.80339735970000004</c:v>
                </c:pt>
                <c:pt idx="240">
                  <c:v>1.7660772999999999E-3</c:v>
                </c:pt>
                <c:pt idx="241">
                  <c:v>1.0400513000000001E-3</c:v>
                </c:pt>
                <c:pt idx="242">
                  <c:v>4.8803479999999998E-4</c:v>
                </c:pt>
                <c:pt idx="243">
                  <c:v>0.79234198489999996</c:v>
                </c:pt>
                <c:pt idx="244">
                  <c:v>0.79522232680000005</c:v>
                </c:pt>
                <c:pt idx="245">
                  <c:v>0.79401839910000005</c:v>
                </c:pt>
                <c:pt idx="246">
                  <c:v>0.78675289839999996</c:v>
                </c:pt>
                <c:pt idx="247">
                  <c:v>0.81679852819999998</c:v>
                </c:pt>
                <c:pt idx="248">
                  <c:v>0.81679852819999998</c:v>
                </c:pt>
                <c:pt idx="249">
                  <c:v>0.81672062599999995</c:v>
                </c:pt>
                <c:pt idx="250">
                  <c:v>0.79480169020000002</c:v>
                </c:pt>
                <c:pt idx="251">
                  <c:v>0.81587214029999999</c:v>
                </c:pt>
                <c:pt idx="252">
                  <c:v>0.82555159239999998</c:v>
                </c:pt>
                <c:pt idx="253">
                  <c:v>0.81306843449999999</c:v>
                </c:pt>
                <c:pt idx="254">
                  <c:v>0.82759405100000005</c:v>
                </c:pt>
                <c:pt idx="255">
                  <c:v>0.830488738</c:v>
                </c:pt>
                <c:pt idx="256">
                  <c:v>0.81138436970000005</c:v>
                </c:pt>
                <c:pt idx="257">
                  <c:v>0.80660984030000005</c:v>
                </c:pt>
                <c:pt idx="258">
                  <c:v>0.80600962949999999</c:v>
                </c:pt>
                <c:pt idx="259">
                  <c:v>0.82428877489999997</c:v>
                </c:pt>
                <c:pt idx="260">
                  <c:v>0.82076592839999996</c:v>
                </c:pt>
                <c:pt idx="261">
                  <c:v>0.82124413969999999</c:v>
                </c:pt>
                <c:pt idx="262">
                  <c:v>0.82057806970000002</c:v>
                </c:pt>
                <c:pt idx="263">
                  <c:v>0.79036593970000002</c:v>
                </c:pt>
                <c:pt idx="264">
                  <c:v>0.79023149569999995</c:v>
                </c:pt>
                <c:pt idx="265">
                  <c:v>0.77494347910000005</c:v>
                </c:pt>
                <c:pt idx="266">
                  <c:v>0.83641698470000003</c:v>
                </c:pt>
                <c:pt idx="267">
                  <c:v>0.83290245399999996</c:v>
                </c:pt>
                <c:pt idx="268">
                  <c:v>0.79840746299999998</c:v>
                </c:pt>
                <c:pt idx="269">
                  <c:v>0.79840746299999998</c:v>
                </c:pt>
                <c:pt idx="270">
                  <c:v>0.79336326020000003</c:v>
                </c:pt>
                <c:pt idx="271">
                  <c:v>0.74648771319999996</c:v>
                </c:pt>
                <c:pt idx="272">
                  <c:v>0.74829940930000005</c:v>
                </c:pt>
                <c:pt idx="273">
                  <c:v>0.77916685399999996</c:v>
                </c:pt>
                <c:pt idx="274">
                  <c:v>0.71224306630000001</c:v>
                </c:pt>
                <c:pt idx="275">
                  <c:v>0.6369486822</c:v>
                </c:pt>
                <c:pt idx="276">
                  <c:v>5.0448213999999998E-3</c:v>
                </c:pt>
                <c:pt idx="277">
                  <c:v>5.2483534999999996E-3</c:v>
                </c:pt>
                <c:pt idx="278">
                  <c:v>7.4002171000000002E-3</c:v>
                </c:pt>
                <c:pt idx="279">
                  <c:v>3.8639739E-3</c:v>
                </c:pt>
                <c:pt idx="280">
                  <c:v>5.4026478000000003E-3</c:v>
                </c:pt>
                <c:pt idx="281">
                  <c:v>4.2508548000000004E-3</c:v>
                </c:pt>
                <c:pt idx="282">
                  <c:v>5.4689739000000001E-3</c:v>
                </c:pt>
                <c:pt idx="283">
                  <c:v>5.4808193000000002E-3</c:v>
                </c:pt>
                <c:pt idx="284">
                  <c:v>4.2099418999999999E-3</c:v>
                </c:pt>
                <c:pt idx="285">
                  <c:v>1.7436814999999999E-3</c:v>
                </c:pt>
                <c:pt idx="286">
                  <c:v>1.7274497000000001E-3</c:v>
                </c:pt>
                <c:pt idx="287">
                  <c:v>1.7191680999999999E-3</c:v>
                </c:pt>
                <c:pt idx="288">
                  <c:v>8.1981839999999996E-4</c:v>
                </c:pt>
                <c:pt idx="289">
                  <c:v>2.459594E-4</c:v>
                </c:pt>
                <c:pt idx="290">
                  <c:v>2.441136E-4</c:v>
                </c:pt>
                <c:pt idx="291">
                  <c:v>7.0255399999999998E-5</c:v>
                </c:pt>
                <c:pt idx="292">
                  <c:v>6.8381599999999996E-5</c:v>
                </c:pt>
                <c:pt idx="293">
                  <c:v>6.8061700000000006E-5</c:v>
                </c:pt>
                <c:pt idx="294">
                  <c:v>1.752143E-4</c:v>
                </c:pt>
                <c:pt idx="295">
                  <c:v>4.507925E-4</c:v>
                </c:pt>
                <c:pt idx="296">
                  <c:v>6.7790400000000001E-5</c:v>
                </c:pt>
                <c:pt idx="297">
                  <c:v>6.8061700000000006E-5</c:v>
                </c:pt>
                <c:pt idx="298">
                  <c:v>3.87933E-5</c:v>
                </c:pt>
                <c:pt idx="299">
                  <c:v>2.3976100000000002E-5</c:v>
                </c:pt>
                <c:pt idx="300">
                  <c:v>1.7607900000000001E-5</c:v>
                </c:pt>
                <c:pt idx="301">
                  <c:v>1.0595339999999999E-4</c:v>
                </c:pt>
                <c:pt idx="302">
                  <c:v>1.2575109999999999E-4</c:v>
                </c:pt>
                <c:pt idx="303">
                  <c:v>2.7941290000000002E-4</c:v>
                </c:pt>
                <c:pt idx="304">
                  <c:v>4.067427E-4</c:v>
                </c:pt>
                <c:pt idx="305">
                  <c:v>2.7164890000000002E-4</c:v>
                </c:pt>
                <c:pt idx="306">
                  <c:v>1.1514540000000001E-4</c:v>
                </c:pt>
                <c:pt idx="307">
                  <c:v>2.180665E-4</c:v>
                </c:pt>
                <c:pt idx="308">
                  <c:v>1.217348E-4</c:v>
                </c:pt>
                <c:pt idx="309">
                  <c:v>6.9437969999999998E-4</c:v>
                </c:pt>
                <c:pt idx="310">
                  <c:v>1.3575178E-3</c:v>
                </c:pt>
                <c:pt idx="311">
                  <c:v>4.1857947000000003E-3</c:v>
                </c:pt>
                <c:pt idx="312">
                  <c:v>4.1800915000000001E-3</c:v>
                </c:pt>
                <c:pt idx="313">
                  <c:v>0.87849900790000013</c:v>
                </c:pt>
                <c:pt idx="314">
                  <c:v>0.83158081500000003</c:v>
                </c:pt>
                <c:pt idx="315">
                  <c:v>0.87352285470000002</c:v>
                </c:pt>
                <c:pt idx="316">
                  <c:v>0.87405301849999995</c:v>
                </c:pt>
                <c:pt idx="317">
                  <c:v>0.87668126219999998</c:v>
                </c:pt>
                <c:pt idx="318">
                  <c:v>0.84601650620000002</c:v>
                </c:pt>
                <c:pt idx="319">
                  <c:v>0.82255319569999996</c:v>
                </c:pt>
                <c:pt idx="320">
                  <c:v>0.82065378529999999</c:v>
                </c:pt>
                <c:pt idx="321">
                  <c:v>0.82065378529999999</c:v>
                </c:pt>
                <c:pt idx="322">
                  <c:v>0.82249875709999998</c:v>
                </c:pt>
                <c:pt idx="323">
                  <c:v>0.8595783092</c:v>
                </c:pt>
                <c:pt idx="324">
                  <c:v>0.83767788539999999</c:v>
                </c:pt>
                <c:pt idx="325">
                  <c:v>0.80875793200000001</c:v>
                </c:pt>
                <c:pt idx="326">
                  <c:v>0.80814178439999995</c:v>
                </c:pt>
                <c:pt idx="327">
                  <c:v>0.77103122199999996</c:v>
                </c:pt>
                <c:pt idx="328">
                  <c:v>0.76295205990000003</c:v>
                </c:pt>
                <c:pt idx="329">
                  <c:v>0.76214313</c:v>
                </c:pt>
                <c:pt idx="330">
                  <c:v>0.76127916539999996</c:v>
                </c:pt>
                <c:pt idx="331">
                  <c:v>0.76127916539999996</c:v>
                </c:pt>
                <c:pt idx="332">
                  <c:v>0.74095838449999996</c:v>
                </c:pt>
                <c:pt idx="333">
                  <c:v>0.72360327089999998</c:v>
                </c:pt>
                <c:pt idx="334">
                  <c:v>0.7033472181</c:v>
                </c:pt>
                <c:pt idx="335">
                  <c:v>0.70511369130000001</c:v>
                </c:pt>
                <c:pt idx="336">
                  <c:v>0.68294508980000002</c:v>
                </c:pt>
                <c:pt idx="337">
                  <c:v>0.69746715989999997</c:v>
                </c:pt>
                <c:pt idx="338">
                  <c:v>0.67392174719999998</c:v>
                </c:pt>
                <c:pt idx="339">
                  <c:v>1.7426468099999998E-2</c:v>
                </c:pt>
                <c:pt idx="340">
                  <c:v>1.2717029000000001E-3</c:v>
                </c:pt>
                <c:pt idx="341">
                  <c:v>2.9468639999999998E-4</c:v>
                </c:pt>
                <c:pt idx="342">
                  <c:v>2.9192680000000003E-4</c:v>
                </c:pt>
                <c:pt idx="343">
                  <c:v>6.7993339999999989E-4</c:v>
                </c:pt>
                <c:pt idx="344">
                  <c:v>3.2240799999999998E-5</c:v>
                </c:pt>
                <c:pt idx="345">
                  <c:v>1.615617E-4</c:v>
                </c:pt>
                <c:pt idx="346">
                  <c:v>1.8597026000000002E-3</c:v>
                </c:pt>
                <c:pt idx="347">
                  <c:v>8.1109384E-3</c:v>
                </c:pt>
                <c:pt idx="348">
                  <c:v>1.18532042E-2</c:v>
                </c:pt>
                <c:pt idx="349">
                  <c:v>8.0942342999999993E-3</c:v>
                </c:pt>
                <c:pt idx="350">
                  <c:v>2.6490880000000001E-4</c:v>
                </c:pt>
                <c:pt idx="351">
                  <c:v>1.5519953899999999E-2</c:v>
                </c:pt>
                <c:pt idx="352">
                  <c:v>7.9416000999999996E-3</c:v>
                </c:pt>
                <c:pt idx="353">
                  <c:v>1.5017113999999999E-3</c:v>
                </c:pt>
                <c:pt idx="354">
                  <c:v>7.3673740000000003E-3</c:v>
                </c:pt>
                <c:pt idx="355">
                  <c:v>7.3323073999999999E-3</c:v>
                </c:pt>
                <c:pt idx="356">
                  <c:v>5.125997E-4</c:v>
                </c:pt>
                <c:pt idx="357">
                  <c:v>3.354365E-4</c:v>
                </c:pt>
                <c:pt idx="358">
                  <c:v>1.3941899999999999E-5</c:v>
                </c:pt>
                <c:pt idx="359">
                  <c:v>7.6324699999999999E-4</c:v>
                </c:pt>
                <c:pt idx="360">
                  <c:v>1.26402865E-2</c:v>
                </c:pt>
                <c:pt idx="361">
                  <c:v>0.77487696129999994</c:v>
                </c:pt>
                <c:pt idx="362">
                  <c:v>0.79182101829999996</c:v>
                </c:pt>
                <c:pt idx="363">
                  <c:v>0.78926948910000005</c:v>
                </c:pt>
                <c:pt idx="364">
                  <c:v>0.77043178379999999</c:v>
                </c:pt>
                <c:pt idx="365">
                  <c:v>0.747663572</c:v>
                </c:pt>
                <c:pt idx="366">
                  <c:v>9.4062940000000008E-3</c:v>
                </c:pt>
                <c:pt idx="367">
                  <c:v>4.9326667000000003E-3</c:v>
                </c:pt>
                <c:pt idx="368">
                  <c:v>8.2292375999999997E-3</c:v>
                </c:pt>
                <c:pt idx="369">
                  <c:v>0.76839137859999995</c:v>
                </c:pt>
                <c:pt idx="370">
                  <c:v>0.79045908549999999</c:v>
                </c:pt>
                <c:pt idx="371">
                  <c:v>0.76420351740000003</c:v>
                </c:pt>
                <c:pt idx="372">
                  <c:v>1.51329173E-2</c:v>
                </c:pt>
                <c:pt idx="373">
                  <c:v>9.0398625000000007E-3</c:v>
                </c:pt>
                <c:pt idx="374">
                  <c:v>9.0105779000000004E-3</c:v>
                </c:pt>
                <c:pt idx="375">
                  <c:v>7.4750987999999997E-3</c:v>
                </c:pt>
                <c:pt idx="376">
                  <c:v>3.8280061000000002E-3</c:v>
                </c:pt>
                <c:pt idx="377">
                  <c:v>6.7441365000000001E-3</c:v>
                </c:pt>
                <c:pt idx="378">
                  <c:v>1.407658E-3</c:v>
                </c:pt>
                <c:pt idx="379">
                  <c:v>3.6532496000000001E-3</c:v>
                </c:pt>
                <c:pt idx="380">
                  <c:v>2.0640286000000001E-3</c:v>
                </c:pt>
                <c:pt idx="381">
                  <c:v>2.4396846999999999E-3</c:v>
                </c:pt>
                <c:pt idx="382">
                  <c:v>4.5963966000000002E-3</c:v>
                </c:pt>
                <c:pt idx="383">
                  <c:v>2.4396846999999999E-3</c:v>
                </c:pt>
                <c:pt idx="384">
                  <c:v>1.6449741E-3</c:v>
                </c:pt>
                <c:pt idx="385">
                  <c:v>4.422645E-4</c:v>
                </c:pt>
                <c:pt idx="386">
                  <c:v>5.4072379999999995E-4</c:v>
                </c:pt>
                <c:pt idx="387">
                  <c:v>2.6793020000000001E-4</c:v>
                </c:pt>
                <c:pt idx="388">
                  <c:v>6.9875139999999998E-4</c:v>
                </c:pt>
                <c:pt idx="389">
                  <c:v>0.91703471479999998</c:v>
                </c:pt>
                <c:pt idx="390">
                  <c:v>0.95023078650000004</c:v>
                </c:pt>
                <c:pt idx="391">
                  <c:v>0.9382895819</c:v>
                </c:pt>
                <c:pt idx="392">
                  <c:v>0.93819680849999998</c:v>
                </c:pt>
                <c:pt idx="393">
                  <c:v>0.96773525760000001</c:v>
                </c:pt>
                <c:pt idx="394">
                  <c:v>0.96668307070000004</c:v>
                </c:pt>
                <c:pt idx="395">
                  <c:v>0.96711362749999996</c:v>
                </c:pt>
                <c:pt idx="396">
                  <c:v>0.9513298858</c:v>
                </c:pt>
                <c:pt idx="397">
                  <c:v>0.96773525760000001</c:v>
                </c:pt>
                <c:pt idx="398">
                  <c:v>0.95662482240000002</c:v>
                </c:pt>
                <c:pt idx="399">
                  <c:v>0.89907836969999999</c:v>
                </c:pt>
                <c:pt idx="400">
                  <c:v>0.86873115099999998</c:v>
                </c:pt>
                <c:pt idx="401">
                  <c:v>0.78969731409999999</c:v>
                </c:pt>
                <c:pt idx="402">
                  <c:v>0.85325570760000002</c:v>
                </c:pt>
                <c:pt idx="403">
                  <c:v>0.86630603630000003</c:v>
                </c:pt>
                <c:pt idx="404">
                  <c:v>0.78832157729999996</c:v>
                </c:pt>
                <c:pt idx="405">
                  <c:v>0.69663565689999996</c:v>
                </c:pt>
                <c:pt idx="406">
                  <c:v>0.83093630070000002</c:v>
                </c:pt>
                <c:pt idx="407">
                  <c:v>0.82580071769999996</c:v>
                </c:pt>
                <c:pt idx="408">
                  <c:v>0.91180757339999996</c:v>
                </c:pt>
                <c:pt idx="409">
                  <c:v>0.89735601710000001</c:v>
                </c:pt>
                <c:pt idx="410">
                  <c:v>0.83225440230000003</c:v>
                </c:pt>
                <c:pt idx="411">
                  <c:v>0.78993674390000002</c:v>
                </c:pt>
                <c:pt idx="412">
                  <c:v>0.78361411790000002</c:v>
                </c:pt>
                <c:pt idx="413">
                  <c:v>0.54517550680000004</c:v>
                </c:pt>
                <c:pt idx="414">
                  <c:v>0.4238442993</c:v>
                </c:pt>
                <c:pt idx="415">
                  <c:v>2.9545367900000001E-2</c:v>
                </c:pt>
                <c:pt idx="416">
                  <c:v>2.1773385499999999E-2</c:v>
                </c:pt>
                <c:pt idx="417">
                  <c:v>1.49714459E-2</c:v>
                </c:pt>
                <c:pt idx="418">
                  <c:v>1.3662998900000001E-2</c:v>
                </c:pt>
                <c:pt idx="419">
                  <c:v>2.0620106000000002E-3</c:v>
                </c:pt>
                <c:pt idx="420">
                  <c:v>1.7940324800000001E-2</c:v>
                </c:pt>
                <c:pt idx="421">
                  <c:v>2.1092658000000002E-3</c:v>
                </c:pt>
                <c:pt idx="422">
                  <c:v>4.1625742200000003E-2</c:v>
                </c:pt>
                <c:pt idx="423">
                  <c:v>1.6478596700000001E-2</c:v>
                </c:pt>
                <c:pt idx="424">
                  <c:v>1.33154169E-2</c:v>
                </c:pt>
                <c:pt idx="425">
                  <c:v>0.29699088080000002</c:v>
                </c:pt>
                <c:pt idx="426">
                  <c:v>0.2034955198</c:v>
                </c:pt>
                <c:pt idx="427">
                  <c:v>5.6994957000000004E-3</c:v>
                </c:pt>
                <c:pt idx="428">
                  <c:v>4.3470202000000001E-3</c:v>
                </c:pt>
                <c:pt idx="429">
                  <c:v>3.5366915E-3</c:v>
                </c:pt>
                <c:pt idx="430">
                  <c:v>1.1530172E-3</c:v>
                </c:pt>
                <c:pt idx="431">
                  <c:v>1.1530172E-3</c:v>
                </c:pt>
                <c:pt idx="432">
                  <c:v>1.5464712000000001E-3</c:v>
                </c:pt>
                <c:pt idx="433">
                  <c:v>1.2603665999999999E-3</c:v>
                </c:pt>
                <c:pt idx="434">
                  <c:v>5.1440979000000001E-3</c:v>
                </c:pt>
                <c:pt idx="435">
                  <c:v>4.1558315999999998E-3</c:v>
                </c:pt>
                <c:pt idx="436">
                  <c:v>4.3317863000000003E-3</c:v>
                </c:pt>
                <c:pt idx="437">
                  <c:v>1.0353853999999999E-3</c:v>
                </c:pt>
                <c:pt idx="438">
                  <c:v>1.0355873E-3</c:v>
                </c:pt>
                <c:pt idx="439">
                  <c:v>1.3281057E-3</c:v>
                </c:pt>
                <c:pt idx="440">
                  <c:v>6.5142758999999998E-3</c:v>
                </c:pt>
                <c:pt idx="441">
                  <c:v>3.8501543999999999E-3</c:v>
                </c:pt>
                <c:pt idx="442">
                  <c:v>2.1854756900000001E-2</c:v>
                </c:pt>
                <c:pt idx="443">
                  <c:v>1.1820247799999999E-2</c:v>
                </c:pt>
                <c:pt idx="444">
                  <c:v>2.1851759599999999E-2</c:v>
                </c:pt>
                <c:pt idx="445">
                  <c:v>1.1809742200000001E-2</c:v>
                </c:pt>
                <c:pt idx="446">
                  <c:v>0.20767634430000001</c:v>
                </c:pt>
                <c:pt idx="447">
                  <c:v>0.26324610580000002</c:v>
                </c:pt>
                <c:pt idx="448">
                  <c:v>0.26324610580000002</c:v>
                </c:pt>
                <c:pt idx="449">
                  <c:v>0.24287441949999999</c:v>
                </c:pt>
                <c:pt idx="450">
                  <c:v>0.27855394999999999</c:v>
                </c:pt>
                <c:pt idx="451">
                  <c:v>0.27596594369999999</c:v>
                </c:pt>
                <c:pt idx="452">
                  <c:v>1.49967391E-2</c:v>
                </c:pt>
                <c:pt idx="453">
                  <c:v>0.20492897060000001</c:v>
                </c:pt>
                <c:pt idx="454">
                  <c:v>5.5073624999999998E-3</c:v>
                </c:pt>
                <c:pt idx="455">
                  <c:v>0.17051092370000004</c:v>
                </c:pt>
                <c:pt idx="456">
                  <c:v>0.33635192619999998</c:v>
                </c:pt>
                <c:pt idx="457">
                  <c:v>0.41170641790000001</c:v>
                </c:pt>
                <c:pt idx="458">
                  <c:v>0.38285928120000001</c:v>
                </c:pt>
                <c:pt idx="459">
                  <c:v>0.66163350180000002</c:v>
                </c:pt>
                <c:pt idx="460">
                  <c:v>0.32976146579999999</c:v>
                </c:pt>
                <c:pt idx="461">
                  <c:v>0.26151994560000003</c:v>
                </c:pt>
                <c:pt idx="462">
                  <c:v>0.16352889400000001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7916288"/>
        <c:axId val="317917824"/>
      </c:barChart>
      <c:lineChart>
        <c:grouping val="standard"/>
        <c:varyColors val="0"/>
        <c:ser>
          <c:idx val="0"/>
          <c:order val="0"/>
          <c:tx>
            <c:v>Refinanceable %</c:v>
          </c:tx>
          <c:spPr>
            <a:ln w="19050"/>
          </c:spPr>
          <c:marker>
            <c:symbol val="none"/>
          </c:marker>
          <c:cat>
            <c:numRef>
              <c:f>Query!$I$3:$I$465</c:f>
              <c:numCache>
                <c:formatCode>m/d/yyyy</c:formatCode>
                <c:ptCount val="463"/>
                <c:pt idx="0">
                  <c:v>42691</c:v>
                </c:pt>
                <c:pt idx="1">
                  <c:v>42684</c:v>
                </c:pt>
                <c:pt idx="2">
                  <c:v>42677</c:v>
                </c:pt>
                <c:pt idx="3">
                  <c:v>42670</c:v>
                </c:pt>
                <c:pt idx="4">
                  <c:v>42663</c:v>
                </c:pt>
                <c:pt idx="5">
                  <c:v>42649</c:v>
                </c:pt>
                <c:pt idx="6">
                  <c:v>42642</c:v>
                </c:pt>
                <c:pt idx="7">
                  <c:v>42635</c:v>
                </c:pt>
                <c:pt idx="8">
                  <c:v>42628</c:v>
                </c:pt>
                <c:pt idx="9">
                  <c:v>42621</c:v>
                </c:pt>
                <c:pt idx="10">
                  <c:v>42614</c:v>
                </c:pt>
                <c:pt idx="11">
                  <c:v>42606</c:v>
                </c:pt>
                <c:pt idx="12">
                  <c:v>42600</c:v>
                </c:pt>
                <c:pt idx="13">
                  <c:v>42593</c:v>
                </c:pt>
                <c:pt idx="14">
                  <c:v>42586</c:v>
                </c:pt>
                <c:pt idx="15">
                  <c:v>42579</c:v>
                </c:pt>
                <c:pt idx="16">
                  <c:v>42572</c:v>
                </c:pt>
                <c:pt idx="17">
                  <c:v>42565</c:v>
                </c:pt>
                <c:pt idx="18">
                  <c:v>42558</c:v>
                </c:pt>
                <c:pt idx="19">
                  <c:v>42551</c:v>
                </c:pt>
                <c:pt idx="20">
                  <c:v>42544</c:v>
                </c:pt>
                <c:pt idx="21">
                  <c:v>42537</c:v>
                </c:pt>
                <c:pt idx="22">
                  <c:v>42530</c:v>
                </c:pt>
                <c:pt idx="23">
                  <c:v>42523</c:v>
                </c:pt>
                <c:pt idx="24">
                  <c:v>42516</c:v>
                </c:pt>
                <c:pt idx="25">
                  <c:v>42509</c:v>
                </c:pt>
                <c:pt idx="26">
                  <c:v>42502</c:v>
                </c:pt>
                <c:pt idx="27">
                  <c:v>42495</c:v>
                </c:pt>
                <c:pt idx="28">
                  <c:v>42488</c:v>
                </c:pt>
                <c:pt idx="29">
                  <c:v>42481</c:v>
                </c:pt>
                <c:pt idx="30">
                  <c:v>42474</c:v>
                </c:pt>
                <c:pt idx="31">
                  <c:v>42467</c:v>
                </c:pt>
                <c:pt idx="32">
                  <c:v>42460</c:v>
                </c:pt>
                <c:pt idx="33">
                  <c:v>42453</c:v>
                </c:pt>
                <c:pt idx="34">
                  <c:v>42446</c:v>
                </c:pt>
                <c:pt idx="35">
                  <c:v>42439</c:v>
                </c:pt>
                <c:pt idx="36">
                  <c:v>42432</c:v>
                </c:pt>
                <c:pt idx="37">
                  <c:v>42425</c:v>
                </c:pt>
                <c:pt idx="38">
                  <c:v>42418</c:v>
                </c:pt>
                <c:pt idx="39">
                  <c:v>42411</c:v>
                </c:pt>
                <c:pt idx="40">
                  <c:v>42404</c:v>
                </c:pt>
                <c:pt idx="41">
                  <c:v>42397</c:v>
                </c:pt>
                <c:pt idx="42">
                  <c:v>42390</c:v>
                </c:pt>
                <c:pt idx="43">
                  <c:v>42383</c:v>
                </c:pt>
                <c:pt idx="44">
                  <c:v>42376</c:v>
                </c:pt>
                <c:pt idx="45">
                  <c:v>42369</c:v>
                </c:pt>
                <c:pt idx="46">
                  <c:v>42362</c:v>
                </c:pt>
                <c:pt idx="47">
                  <c:v>42355</c:v>
                </c:pt>
                <c:pt idx="48">
                  <c:v>42348</c:v>
                </c:pt>
                <c:pt idx="49">
                  <c:v>42341</c:v>
                </c:pt>
                <c:pt idx="50">
                  <c:v>42333</c:v>
                </c:pt>
                <c:pt idx="51">
                  <c:v>42327</c:v>
                </c:pt>
                <c:pt idx="52">
                  <c:v>42320</c:v>
                </c:pt>
                <c:pt idx="53">
                  <c:v>42313</c:v>
                </c:pt>
                <c:pt idx="54">
                  <c:v>42306</c:v>
                </c:pt>
                <c:pt idx="55">
                  <c:v>42299</c:v>
                </c:pt>
                <c:pt idx="56">
                  <c:v>42292</c:v>
                </c:pt>
                <c:pt idx="57">
                  <c:v>42285</c:v>
                </c:pt>
                <c:pt idx="58">
                  <c:v>42278</c:v>
                </c:pt>
                <c:pt idx="59">
                  <c:v>42271</c:v>
                </c:pt>
                <c:pt idx="60">
                  <c:v>42264</c:v>
                </c:pt>
                <c:pt idx="61">
                  <c:v>42257</c:v>
                </c:pt>
                <c:pt idx="62">
                  <c:v>42250</c:v>
                </c:pt>
                <c:pt idx="63">
                  <c:v>42243</c:v>
                </c:pt>
                <c:pt idx="64">
                  <c:v>42236</c:v>
                </c:pt>
                <c:pt idx="65">
                  <c:v>42229</c:v>
                </c:pt>
                <c:pt idx="66">
                  <c:v>42222</c:v>
                </c:pt>
                <c:pt idx="67">
                  <c:v>42215</c:v>
                </c:pt>
                <c:pt idx="68">
                  <c:v>42208</c:v>
                </c:pt>
                <c:pt idx="69">
                  <c:v>42201</c:v>
                </c:pt>
                <c:pt idx="70">
                  <c:v>42194</c:v>
                </c:pt>
                <c:pt idx="71">
                  <c:v>42187</c:v>
                </c:pt>
                <c:pt idx="72">
                  <c:v>42180</c:v>
                </c:pt>
                <c:pt idx="73">
                  <c:v>42173</c:v>
                </c:pt>
                <c:pt idx="74">
                  <c:v>42166</c:v>
                </c:pt>
                <c:pt idx="75">
                  <c:v>42159</c:v>
                </c:pt>
                <c:pt idx="76">
                  <c:v>42152</c:v>
                </c:pt>
                <c:pt idx="77">
                  <c:v>42145</c:v>
                </c:pt>
                <c:pt idx="78">
                  <c:v>42138</c:v>
                </c:pt>
                <c:pt idx="79">
                  <c:v>42131</c:v>
                </c:pt>
                <c:pt idx="80">
                  <c:v>42124</c:v>
                </c:pt>
                <c:pt idx="81">
                  <c:v>42117</c:v>
                </c:pt>
                <c:pt idx="82">
                  <c:v>42110</c:v>
                </c:pt>
                <c:pt idx="83">
                  <c:v>42103</c:v>
                </c:pt>
                <c:pt idx="84">
                  <c:v>42096</c:v>
                </c:pt>
                <c:pt idx="85">
                  <c:v>42089</c:v>
                </c:pt>
                <c:pt idx="86">
                  <c:v>42082</c:v>
                </c:pt>
                <c:pt idx="87">
                  <c:v>42075</c:v>
                </c:pt>
                <c:pt idx="88">
                  <c:v>42068</c:v>
                </c:pt>
                <c:pt idx="89">
                  <c:v>42061</c:v>
                </c:pt>
                <c:pt idx="90">
                  <c:v>42054</c:v>
                </c:pt>
                <c:pt idx="91">
                  <c:v>42047</c:v>
                </c:pt>
                <c:pt idx="92">
                  <c:v>42040</c:v>
                </c:pt>
                <c:pt idx="93">
                  <c:v>42033</c:v>
                </c:pt>
                <c:pt idx="94">
                  <c:v>42026</c:v>
                </c:pt>
                <c:pt idx="95">
                  <c:v>42019</c:v>
                </c:pt>
                <c:pt idx="96">
                  <c:v>42012</c:v>
                </c:pt>
                <c:pt idx="97">
                  <c:v>42004</c:v>
                </c:pt>
                <c:pt idx="98">
                  <c:v>41997</c:v>
                </c:pt>
                <c:pt idx="99">
                  <c:v>41991</c:v>
                </c:pt>
                <c:pt idx="100">
                  <c:v>41984</c:v>
                </c:pt>
                <c:pt idx="101">
                  <c:v>41977</c:v>
                </c:pt>
                <c:pt idx="102">
                  <c:v>41969</c:v>
                </c:pt>
                <c:pt idx="103">
                  <c:v>41963</c:v>
                </c:pt>
                <c:pt idx="104">
                  <c:v>41956</c:v>
                </c:pt>
                <c:pt idx="105">
                  <c:v>41949</c:v>
                </c:pt>
                <c:pt idx="106">
                  <c:v>41942</c:v>
                </c:pt>
                <c:pt idx="107">
                  <c:v>41935</c:v>
                </c:pt>
                <c:pt idx="108">
                  <c:v>41928</c:v>
                </c:pt>
                <c:pt idx="109">
                  <c:v>41921</c:v>
                </c:pt>
                <c:pt idx="110">
                  <c:v>41914</c:v>
                </c:pt>
                <c:pt idx="111">
                  <c:v>41907</c:v>
                </c:pt>
                <c:pt idx="112">
                  <c:v>41900</c:v>
                </c:pt>
                <c:pt idx="113">
                  <c:v>41893</c:v>
                </c:pt>
                <c:pt idx="114">
                  <c:v>41886</c:v>
                </c:pt>
                <c:pt idx="115">
                  <c:v>41879</c:v>
                </c:pt>
                <c:pt idx="116">
                  <c:v>41872</c:v>
                </c:pt>
                <c:pt idx="117">
                  <c:v>41865</c:v>
                </c:pt>
                <c:pt idx="118">
                  <c:v>41858</c:v>
                </c:pt>
                <c:pt idx="119">
                  <c:v>41851</c:v>
                </c:pt>
                <c:pt idx="120">
                  <c:v>41844</c:v>
                </c:pt>
                <c:pt idx="121">
                  <c:v>41837</c:v>
                </c:pt>
                <c:pt idx="122">
                  <c:v>41830</c:v>
                </c:pt>
                <c:pt idx="123">
                  <c:v>41823</c:v>
                </c:pt>
                <c:pt idx="124">
                  <c:v>41816</c:v>
                </c:pt>
                <c:pt idx="125">
                  <c:v>41809</c:v>
                </c:pt>
                <c:pt idx="126">
                  <c:v>41802</c:v>
                </c:pt>
                <c:pt idx="127">
                  <c:v>41795</c:v>
                </c:pt>
                <c:pt idx="128">
                  <c:v>41788</c:v>
                </c:pt>
                <c:pt idx="129">
                  <c:v>41781</c:v>
                </c:pt>
                <c:pt idx="130">
                  <c:v>41774</c:v>
                </c:pt>
                <c:pt idx="131">
                  <c:v>41767</c:v>
                </c:pt>
                <c:pt idx="132">
                  <c:v>41760</c:v>
                </c:pt>
                <c:pt idx="133">
                  <c:v>41753</c:v>
                </c:pt>
                <c:pt idx="134">
                  <c:v>41746</c:v>
                </c:pt>
                <c:pt idx="135">
                  <c:v>41739</c:v>
                </c:pt>
                <c:pt idx="136">
                  <c:v>41732</c:v>
                </c:pt>
                <c:pt idx="137">
                  <c:v>41725</c:v>
                </c:pt>
                <c:pt idx="138">
                  <c:v>41718</c:v>
                </c:pt>
                <c:pt idx="139">
                  <c:v>41711</c:v>
                </c:pt>
                <c:pt idx="140">
                  <c:v>41704</c:v>
                </c:pt>
                <c:pt idx="141">
                  <c:v>41697</c:v>
                </c:pt>
                <c:pt idx="142">
                  <c:v>41690</c:v>
                </c:pt>
                <c:pt idx="143">
                  <c:v>41683</c:v>
                </c:pt>
                <c:pt idx="144">
                  <c:v>41676</c:v>
                </c:pt>
                <c:pt idx="145">
                  <c:v>41669</c:v>
                </c:pt>
                <c:pt idx="146">
                  <c:v>41662</c:v>
                </c:pt>
                <c:pt idx="147">
                  <c:v>41655</c:v>
                </c:pt>
                <c:pt idx="148">
                  <c:v>41648</c:v>
                </c:pt>
                <c:pt idx="149">
                  <c:v>41641</c:v>
                </c:pt>
                <c:pt idx="150">
                  <c:v>41634</c:v>
                </c:pt>
                <c:pt idx="151">
                  <c:v>41627</c:v>
                </c:pt>
                <c:pt idx="152">
                  <c:v>41620</c:v>
                </c:pt>
                <c:pt idx="153">
                  <c:v>41613</c:v>
                </c:pt>
                <c:pt idx="154">
                  <c:v>41605</c:v>
                </c:pt>
                <c:pt idx="155">
                  <c:v>41599</c:v>
                </c:pt>
                <c:pt idx="156">
                  <c:v>41592</c:v>
                </c:pt>
                <c:pt idx="157">
                  <c:v>41585</c:v>
                </c:pt>
                <c:pt idx="158">
                  <c:v>41578</c:v>
                </c:pt>
                <c:pt idx="159">
                  <c:v>41571</c:v>
                </c:pt>
                <c:pt idx="160">
                  <c:v>41564</c:v>
                </c:pt>
                <c:pt idx="161">
                  <c:v>41557</c:v>
                </c:pt>
                <c:pt idx="162">
                  <c:v>41550</c:v>
                </c:pt>
                <c:pt idx="163">
                  <c:v>41543</c:v>
                </c:pt>
                <c:pt idx="164">
                  <c:v>41536</c:v>
                </c:pt>
                <c:pt idx="165">
                  <c:v>41529</c:v>
                </c:pt>
                <c:pt idx="166">
                  <c:v>41522</c:v>
                </c:pt>
                <c:pt idx="167">
                  <c:v>41515</c:v>
                </c:pt>
                <c:pt idx="168">
                  <c:v>41508</c:v>
                </c:pt>
                <c:pt idx="169">
                  <c:v>41501</c:v>
                </c:pt>
                <c:pt idx="170">
                  <c:v>41494</c:v>
                </c:pt>
                <c:pt idx="171">
                  <c:v>41487</c:v>
                </c:pt>
                <c:pt idx="172">
                  <c:v>41480</c:v>
                </c:pt>
                <c:pt idx="173">
                  <c:v>41473</c:v>
                </c:pt>
                <c:pt idx="174">
                  <c:v>41466</c:v>
                </c:pt>
                <c:pt idx="175">
                  <c:v>41458</c:v>
                </c:pt>
                <c:pt idx="176">
                  <c:v>41452</c:v>
                </c:pt>
                <c:pt idx="177">
                  <c:v>41445</c:v>
                </c:pt>
                <c:pt idx="178">
                  <c:v>41438</c:v>
                </c:pt>
                <c:pt idx="179">
                  <c:v>41431</c:v>
                </c:pt>
                <c:pt idx="180">
                  <c:v>41424</c:v>
                </c:pt>
                <c:pt idx="181">
                  <c:v>41417</c:v>
                </c:pt>
                <c:pt idx="182">
                  <c:v>41410</c:v>
                </c:pt>
                <c:pt idx="183">
                  <c:v>41403</c:v>
                </c:pt>
                <c:pt idx="184">
                  <c:v>41396</c:v>
                </c:pt>
                <c:pt idx="185">
                  <c:v>41389</c:v>
                </c:pt>
                <c:pt idx="186">
                  <c:v>41382</c:v>
                </c:pt>
                <c:pt idx="187">
                  <c:v>41375</c:v>
                </c:pt>
                <c:pt idx="188">
                  <c:v>41368</c:v>
                </c:pt>
                <c:pt idx="189">
                  <c:v>41361</c:v>
                </c:pt>
                <c:pt idx="190">
                  <c:v>41354</c:v>
                </c:pt>
                <c:pt idx="191">
                  <c:v>41347</c:v>
                </c:pt>
                <c:pt idx="192">
                  <c:v>41340</c:v>
                </c:pt>
                <c:pt idx="193">
                  <c:v>41333</c:v>
                </c:pt>
                <c:pt idx="194">
                  <c:v>41326</c:v>
                </c:pt>
                <c:pt idx="195">
                  <c:v>41319</c:v>
                </c:pt>
                <c:pt idx="196">
                  <c:v>41312</c:v>
                </c:pt>
                <c:pt idx="197">
                  <c:v>41305</c:v>
                </c:pt>
                <c:pt idx="198">
                  <c:v>41298</c:v>
                </c:pt>
                <c:pt idx="199">
                  <c:v>41291</c:v>
                </c:pt>
                <c:pt idx="200">
                  <c:v>41284</c:v>
                </c:pt>
                <c:pt idx="201">
                  <c:v>41277</c:v>
                </c:pt>
                <c:pt idx="202">
                  <c:v>41270</c:v>
                </c:pt>
                <c:pt idx="203">
                  <c:v>41263</c:v>
                </c:pt>
                <c:pt idx="204">
                  <c:v>41256</c:v>
                </c:pt>
                <c:pt idx="205">
                  <c:v>41249</c:v>
                </c:pt>
                <c:pt idx="206">
                  <c:v>41242</c:v>
                </c:pt>
                <c:pt idx="207">
                  <c:v>41234</c:v>
                </c:pt>
                <c:pt idx="208">
                  <c:v>41228</c:v>
                </c:pt>
                <c:pt idx="209">
                  <c:v>41221</c:v>
                </c:pt>
                <c:pt idx="210">
                  <c:v>41214</c:v>
                </c:pt>
                <c:pt idx="211">
                  <c:v>41207</c:v>
                </c:pt>
                <c:pt idx="212">
                  <c:v>41200</c:v>
                </c:pt>
                <c:pt idx="213">
                  <c:v>41193</c:v>
                </c:pt>
                <c:pt idx="214">
                  <c:v>41186</c:v>
                </c:pt>
                <c:pt idx="215">
                  <c:v>41179</c:v>
                </c:pt>
                <c:pt idx="216">
                  <c:v>41172</c:v>
                </c:pt>
                <c:pt idx="217">
                  <c:v>41165</c:v>
                </c:pt>
                <c:pt idx="218">
                  <c:v>41158</c:v>
                </c:pt>
                <c:pt idx="219">
                  <c:v>41151</c:v>
                </c:pt>
                <c:pt idx="220">
                  <c:v>41144</c:v>
                </c:pt>
                <c:pt idx="221">
                  <c:v>41137</c:v>
                </c:pt>
                <c:pt idx="222">
                  <c:v>41130</c:v>
                </c:pt>
                <c:pt idx="223">
                  <c:v>41123</c:v>
                </c:pt>
                <c:pt idx="224">
                  <c:v>41116</c:v>
                </c:pt>
                <c:pt idx="225">
                  <c:v>41109</c:v>
                </c:pt>
                <c:pt idx="226">
                  <c:v>41102</c:v>
                </c:pt>
                <c:pt idx="227">
                  <c:v>41095</c:v>
                </c:pt>
                <c:pt idx="228">
                  <c:v>41088</c:v>
                </c:pt>
                <c:pt idx="229">
                  <c:v>41081</c:v>
                </c:pt>
                <c:pt idx="230">
                  <c:v>41074</c:v>
                </c:pt>
                <c:pt idx="231">
                  <c:v>41067</c:v>
                </c:pt>
                <c:pt idx="232">
                  <c:v>41060</c:v>
                </c:pt>
                <c:pt idx="233">
                  <c:v>41053</c:v>
                </c:pt>
                <c:pt idx="234">
                  <c:v>41046</c:v>
                </c:pt>
                <c:pt idx="235">
                  <c:v>41039</c:v>
                </c:pt>
                <c:pt idx="236">
                  <c:v>41032</c:v>
                </c:pt>
                <c:pt idx="237">
                  <c:v>41025</c:v>
                </c:pt>
                <c:pt idx="238">
                  <c:v>41018</c:v>
                </c:pt>
                <c:pt idx="239">
                  <c:v>41011</c:v>
                </c:pt>
                <c:pt idx="240">
                  <c:v>41004</c:v>
                </c:pt>
                <c:pt idx="241">
                  <c:v>40997</c:v>
                </c:pt>
                <c:pt idx="242">
                  <c:v>40990</c:v>
                </c:pt>
                <c:pt idx="243">
                  <c:v>40983</c:v>
                </c:pt>
                <c:pt idx="244">
                  <c:v>40976</c:v>
                </c:pt>
                <c:pt idx="245">
                  <c:v>40969</c:v>
                </c:pt>
                <c:pt idx="246">
                  <c:v>40962</c:v>
                </c:pt>
                <c:pt idx="247">
                  <c:v>40955</c:v>
                </c:pt>
                <c:pt idx="248">
                  <c:v>40948</c:v>
                </c:pt>
                <c:pt idx="249">
                  <c:v>40941</c:v>
                </c:pt>
                <c:pt idx="250">
                  <c:v>40934</c:v>
                </c:pt>
                <c:pt idx="251">
                  <c:v>40927</c:v>
                </c:pt>
                <c:pt idx="252">
                  <c:v>40920</c:v>
                </c:pt>
                <c:pt idx="253">
                  <c:v>40913</c:v>
                </c:pt>
                <c:pt idx="254">
                  <c:v>40906</c:v>
                </c:pt>
                <c:pt idx="255">
                  <c:v>40899</c:v>
                </c:pt>
                <c:pt idx="256">
                  <c:v>40892</c:v>
                </c:pt>
                <c:pt idx="257">
                  <c:v>40885</c:v>
                </c:pt>
                <c:pt idx="258">
                  <c:v>40878</c:v>
                </c:pt>
                <c:pt idx="259">
                  <c:v>40870</c:v>
                </c:pt>
                <c:pt idx="260">
                  <c:v>40864</c:v>
                </c:pt>
                <c:pt idx="261">
                  <c:v>40857</c:v>
                </c:pt>
                <c:pt idx="262">
                  <c:v>40850</c:v>
                </c:pt>
                <c:pt idx="263">
                  <c:v>40843</c:v>
                </c:pt>
                <c:pt idx="264">
                  <c:v>40836</c:v>
                </c:pt>
                <c:pt idx="265">
                  <c:v>40829</c:v>
                </c:pt>
                <c:pt idx="266">
                  <c:v>40822</c:v>
                </c:pt>
                <c:pt idx="267">
                  <c:v>40815</c:v>
                </c:pt>
                <c:pt idx="268">
                  <c:v>40808</c:v>
                </c:pt>
                <c:pt idx="269">
                  <c:v>40801</c:v>
                </c:pt>
                <c:pt idx="270">
                  <c:v>40794</c:v>
                </c:pt>
                <c:pt idx="271">
                  <c:v>40787</c:v>
                </c:pt>
                <c:pt idx="272">
                  <c:v>40780</c:v>
                </c:pt>
                <c:pt idx="273">
                  <c:v>40773</c:v>
                </c:pt>
                <c:pt idx="274">
                  <c:v>40766</c:v>
                </c:pt>
                <c:pt idx="275">
                  <c:v>40759</c:v>
                </c:pt>
                <c:pt idx="276">
                  <c:v>40752</c:v>
                </c:pt>
                <c:pt idx="277">
                  <c:v>40745</c:v>
                </c:pt>
                <c:pt idx="278">
                  <c:v>40738</c:v>
                </c:pt>
                <c:pt idx="279">
                  <c:v>40731</c:v>
                </c:pt>
                <c:pt idx="280">
                  <c:v>40724</c:v>
                </c:pt>
                <c:pt idx="281">
                  <c:v>40717</c:v>
                </c:pt>
                <c:pt idx="282">
                  <c:v>40710</c:v>
                </c:pt>
                <c:pt idx="283">
                  <c:v>40703</c:v>
                </c:pt>
                <c:pt idx="284">
                  <c:v>40696</c:v>
                </c:pt>
                <c:pt idx="285">
                  <c:v>40689</c:v>
                </c:pt>
                <c:pt idx="286">
                  <c:v>40682</c:v>
                </c:pt>
                <c:pt idx="287">
                  <c:v>40675</c:v>
                </c:pt>
                <c:pt idx="288">
                  <c:v>40668</c:v>
                </c:pt>
                <c:pt idx="289">
                  <c:v>40661</c:v>
                </c:pt>
                <c:pt idx="290">
                  <c:v>40654</c:v>
                </c:pt>
                <c:pt idx="291">
                  <c:v>40647</c:v>
                </c:pt>
                <c:pt idx="292">
                  <c:v>40640</c:v>
                </c:pt>
                <c:pt idx="293">
                  <c:v>40633</c:v>
                </c:pt>
                <c:pt idx="294">
                  <c:v>40626</c:v>
                </c:pt>
                <c:pt idx="295">
                  <c:v>40619</c:v>
                </c:pt>
                <c:pt idx="296">
                  <c:v>40612</c:v>
                </c:pt>
                <c:pt idx="297">
                  <c:v>40605</c:v>
                </c:pt>
                <c:pt idx="298">
                  <c:v>40598</c:v>
                </c:pt>
                <c:pt idx="299">
                  <c:v>40591</c:v>
                </c:pt>
                <c:pt idx="300">
                  <c:v>40584</c:v>
                </c:pt>
                <c:pt idx="301">
                  <c:v>40577</c:v>
                </c:pt>
                <c:pt idx="302">
                  <c:v>40570</c:v>
                </c:pt>
                <c:pt idx="303">
                  <c:v>40563</c:v>
                </c:pt>
                <c:pt idx="304">
                  <c:v>40556</c:v>
                </c:pt>
                <c:pt idx="305">
                  <c:v>40549</c:v>
                </c:pt>
                <c:pt idx="306">
                  <c:v>40542</c:v>
                </c:pt>
                <c:pt idx="307">
                  <c:v>40535</c:v>
                </c:pt>
                <c:pt idx="308">
                  <c:v>40528</c:v>
                </c:pt>
                <c:pt idx="309">
                  <c:v>40521</c:v>
                </c:pt>
                <c:pt idx="310">
                  <c:v>40514</c:v>
                </c:pt>
                <c:pt idx="311">
                  <c:v>40506</c:v>
                </c:pt>
                <c:pt idx="312">
                  <c:v>40500</c:v>
                </c:pt>
                <c:pt idx="313">
                  <c:v>40493</c:v>
                </c:pt>
                <c:pt idx="314">
                  <c:v>40486</c:v>
                </c:pt>
                <c:pt idx="315">
                  <c:v>40479</c:v>
                </c:pt>
                <c:pt idx="316">
                  <c:v>40472</c:v>
                </c:pt>
                <c:pt idx="317">
                  <c:v>40465</c:v>
                </c:pt>
                <c:pt idx="318">
                  <c:v>40458</c:v>
                </c:pt>
                <c:pt idx="319">
                  <c:v>40451</c:v>
                </c:pt>
                <c:pt idx="320">
                  <c:v>40444</c:v>
                </c:pt>
                <c:pt idx="321">
                  <c:v>40437</c:v>
                </c:pt>
                <c:pt idx="322">
                  <c:v>40430</c:v>
                </c:pt>
                <c:pt idx="323">
                  <c:v>40423</c:v>
                </c:pt>
                <c:pt idx="324">
                  <c:v>40416</c:v>
                </c:pt>
                <c:pt idx="325">
                  <c:v>40409</c:v>
                </c:pt>
                <c:pt idx="326">
                  <c:v>40402</c:v>
                </c:pt>
                <c:pt idx="327">
                  <c:v>40395</c:v>
                </c:pt>
                <c:pt idx="328">
                  <c:v>40388</c:v>
                </c:pt>
                <c:pt idx="329">
                  <c:v>40381</c:v>
                </c:pt>
                <c:pt idx="330">
                  <c:v>40374</c:v>
                </c:pt>
                <c:pt idx="331">
                  <c:v>40367</c:v>
                </c:pt>
                <c:pt idx="332">
                  <c:v>40360</c:v>
                </c:pt>
                <c:pt idx="333">
                  <c:v>40353</c:v>
                </c:pt>
                <c:pt idx="334">
                  <c:v>40346</c:v>
                </c:pt>
                <c:pt idx="335">
                  <c:v>40339</c:v>
                </c:pt>
                <c:pt idx="336">
                  <c:v>40332</c:v>
                </c:pt>
                <c:pt idx="337">
                  <c:v>40325</c:v>
                </c:pt>
                <c:pt idx="338">
                  <c:v>40318</c:v>
                </c:pt>
                <c:pt idx="339">
                  <c:v>40311</c:v>
                </c:pt>
                <c:pt idx="340">
                  <c:v>40304</c:v>
                </c:pt>
                <c:pt idx="341">
                  <c:v>40297</c:v>
                </c:pt>
                <c:pt idx="342">
                  <c:v>40290</c:v>
                </c:pt>
                <c:pt idx="343">
                  <c:v>40283</c:v>
                </c:pt>
                <c:pt idx="344">
                  <c:v>40276</c:v>
                </c:pt>
                <c:pt idx="345">
                  <c:v>40269</c:v>
                </c:pt>
                <c:pt idx="346">
                  <c:v>40262</c:v>
                </c:pt>
                <c:pt idx="347">
                  <c:v>40255</c:v>
                </c:pt>
                <c:pt idx="348">
                  <c:v>40248</c:v>
                </c:pt>
                <c:pt idx="349">
                  <c:v>40241</c:v>
                </c:pt>
                <c:pt idx="350">
                  <c:v>40234</c:v>
                </c:pt>
                <c:pt idx="351">
                  <c:v>40227</c:v>
                </c:pt>
                <c:pt idx="352">
                  <c:v>40220</c:v>
                </c:pt>
                <c:pt idx="353">
                  <c:v>40213</c:v>
                </c:pt>
                <c:pt idx="354">
                  <c:v>40206</c:v>
                </c:pt>
                <c:pt idx="355">
                  <c:v>40199</c:v>
                </c:pt>
                <c:pt idx="356">
                  <c:v>40192</c:v>
                </c:pt>
                <c:pt idx="357">
                  <c:v>40185</c:v>
                </c:pt>
                <c:pt idx="358">
                  <c:v>40178</c:v>
                </c:pt>
                <c:pt idx="359">
                  <c:v>40171</c:v>
                </c:pt>
                <c:pt idx="360">
                  <c:v>40164</c:v>
                </c:pt>
                <c:pt idx="361">
                  <c:v>40157</c:v>
                </c:pt>
                <c:pt idx="362">
                  <c:v>40150</c:v>
                </c:pt>
                <c:pt idx="363">
                  <c:v>40142</c:v>
                </c:pt>
                <c:pt idx="364">
                  <c:v>40136</c:v>
                </c:pt>
                <c:pt idx="365">
                  <c:v>40129</c:v>
                </c:pt>
                <c:pt idx="366">
                  <c:v>40122</c:v>
                </c:pt>
                <c:pt idx="367">
                  <c:v>40115</c:v>
                </c:pt>
                <c:pt idx="368">
                  <c:v>40108</c:v>
                </c:pt>
                <c:pt idx="369">
                  <c:v>40101</c:v>
                </c:pt>
                <c:pt idx="370">
                  <c:v>40094</c:v>
                </c:pt>
                <c:pt idx="371">
                  <c:v>40087</c:v>
                </c:pt>
                <c:pt idx="372">
                  <c:v>40080</c:v>
                </c:pt>
                <c:pt idx="373">
                  <c:v>40073</c:v>
                </c:pt>
                <c:pt idx="374">
                  <c:v>40066</c:v>
                </c:pt>
                <c:pt idx="375">
                  <c:v>40059</c:v>
                </c:pt>
                <c:pt idx="376">
                  <c:v>40052</c:v>
                </c:pt>
                <c:pt idx="377">
                  <c:v>40045</c:v>
                </c:pt>
                <c:pt idx="378">
                  <c:v>40038</c:v>
                </c:pt>
                <c:pt idx="379">
                  <c:v>40031</c:v>
                </c:pt>
                <c:pt idx="380">
                  <c:v>40024</c:v>
                </c:pt>
                <c:pt idx="381">
                  <c:v>40017</c:v>
                </c:pt>
                <c:pt idx="382">
                  <c:v>40010</c:v>
                </c:pt>
                <c:pt idx="383">
                  <c:v>40003</c:v>
                </c:pt>
                <c:pt idx="384">
                  <c:v>39996</c:v>
                </c:pt>
                <c:pt idx="385">
                  <c:v>39989</c:v>
                </c:pt>
                <c:pt idx="386">
                  <c:v>39982</c:v>
                </c:pt>
                <c:pt idx="387">
                  <c:v>39975</c:v>
                </c:pt>
                <c:pt idx="388">
                  <c:v>39968</c:v>
                </c:pt>
                <c:pt idx="389">
                  <c:v>39961</c:v>
                </c:pt>
                <c:pt idx="390">
                  <c:v>39954</c:v>
                </c:pt>
                <c:pt idx="391">
                  <c:v>39947</c:v>
                </c:pt>
                <c:pt idx="392">
                  <c:v>39940</c:v>
                </c:pt>
                <c:pt idx="393">
                  <c:v>39933</c:v>
                </c:pt>
                <c:pt idx="394">
                  <c:v>39926</c:v>
                </c:pt>
                <c:pt idx="395">
                  <c:v>39919</c:v>
                </c:pt>
                <c:pt idx="396">
                  <c:v>39912</c:v>
                </c:pt>
                <c:pt idx="397">
                  <c:v>39905</c:v>
                </c:pt>
                <c:pt idx="398">
                  <c:v>39898</c:v>
                </c:pt>
                <c:pt idx="399">
                  <c:v>39891</c:v>
                </c:pt>
                <c:pt idx="400">
                  <c:v>39884</c:v>
                </c:pt>
                <c:pt idx="401">
                  <c:v>39877</c:v>
                </c:pt>
                <c:pt idx="402">
                  <c:v>39870</c:v>
                </c:pt>
                <c:pt idx="403">
                  <c:v>39863</c:v>
                </c:pt>
                <c:pt idx="404">
                  <c:v>39856</c:v>
                </c:pt>
                <c:pt idx="405">
                  <c:v>39849</c:v>
                </c:pt>
                <c:pt idx="406">
                  <c:v>39842</c:v>
                </c:pt>
                <c:pt idx="407">
                  <c:v>39835</c:v>
                </c:pt>
                <c:pt idx="408">
                  <c:v>39828</c:v>
                </c:pt>
                <c:pt idx="409">
                  <c:v>39821</c:v>
                </c:pt>
                <c:pt idx="410">
                  <c:v>39813</c:v>
                </c:pt>
                <c:pt idx="411">
                  <c:v>39806</c:v>
                </c:pt>
                <c:pt idx="412">
                  <c:v>39800</c:v>
                </c:pt>
                <c:pt idx="413">
                  <c:v>39793</c:v>
                </c:pt>
                <c:pt idx="414">
                  <c:v>39786</c:v>
                </c:pt>
                <c:pt idx="415">
                  <c:v>39778</c:v>
                </c:pt>
                <c:pt idx="416">
                  <c:v>39772</c:v>
                </c:pt>
                <c:pt idx="417">
                  <c:v>39765</c:v>
                </c:pt>
                <c:pt idx="418">
                  <c:v>39758</c:v>
                </c:pt>
                <c:pt idx="419">
                  <c:v>39751</c:v>
                </c:pt>
                <c:pt idx="420">
                  <c:v>39744</c:v>
                </c:pt>
                <c:pt idx="421">
                  <c:v>39737</c:v>
                </c:pt>
                <c:pt idx="422">
                  <c:v>39730</c:v>
                </c:pt>
                <c:pt idx="423">
                  <c:v>39723</c:v>
                </c:pt>
                <c:pt idx="424">
                  <c:v>39716</c:v>
                </c:pt>
                <c:pt idx="425">
                  <c:v>39709</c:v>
                </c:pt>
                <c:pt idx="426">
                  <c:v>39702</c:v>
                </c:pt>
                <c:pt idx="427">
                  <c:v>39695</c:v>
                </c:pt>
                <c:pt idx="428">
                  <c:v>39688</c:v>
                </c:pt>
                <c:pt idx="429">
                  <c:v>39681</c:v>
                </c:pt>
                <c:pt idx="430">
                  <c:v>39674</c:v>
                </c:pt>
                <c:pt idx="431">
                  <c:v>39667</c:v>
                </c:pt>
                <c:pt idx="432">
                  <c:v>39660</c:v>
                </c:pt>
                <c:pt idx="433">
                  <c:v>39653</c:v>
                </c:pt>
                <c:pt idx="434">
                  <c:v>39646</c:v>
                </c:pt>
                <c:pt idx="435">
                  <c:v>39639</c:v>
                </c:pt>
                <c:pt idx="436">
                  <c:v>39632</c:v>
                </c:pt>
                <c:pt idx="437">
                  <c:v>39625</c:v>
                </c:pt>
                <c:pt idx="438">
                  <c:v>39618</c:v>
                </c:pt>
                <c:pt idx="439">
                  <c:v>39611</c:v>
                </c:pt>
                <c:pt idx="440">
                  <c:v>39604</c:v>
                </c:pt>
                <c:pt idx="441">
                  <c:v>39597</c:v>
                </c:pt>
                <c:pt idx="442">
                  <c:v>39590</c:v>
                </c:pt>
                <c:pt idx="443">
                  <c:v>39583</c:v>
                </c:pt>
                <c:pt idx="444">
                  <c:v>39576</c:v>
                </c:pt>
                <c:pt idx="445">
                  <c:v>39569</c:v>
                </c:pt>
                <c:pt idx="446">
                  <c:v>39562</c:v>
                </c:pt>
                <c:pt idx="447">
                  <c:v>39555</c:v>
                </c:pt>
                <c:pt idx="448">
                  <c:v>39548</c:v>
                </c:pt>
                <c:pt idx="449">
                  <c:v>39541</c:v>
                </c:pt>
                <c:pt idx="450">
                  <c:v>39534</c:v>
                </c:pt>
                <c:pt idx="451">
                  <c:v>39527</c:v>
                </c:pt>
                <c:pt idx="452">
                  <c:v>39520</c:v>
                </c:pt>
                <c:pt idx="453">
                  <c:v>39513</c:v>
                </c:pt>
                <c:pt idx="454">
                  <c:v>39506</c:v>
                </c:pt>
                <c:pt idx="455">
                  <c:v>39499</c:v>
                </c:pt>
                <c:pt idx="456">
                  <c:v>39492</c:v>
                </c:pt>
                <c:pt idx="457">
                  <c:v>39485</c:v>
                </c:pt>
                <c:pt idx="458">
                  <c:v>39478</c:v>
                </c:pt>
                <c:pt idx="459">
                  <c:v>39471</c:v>
                </c:pt>
                <c:pt idx="460">
                  <c:v>39464</c:v>
                </c:pt>
                <c:pt idx="461">
                  <c:v>39457</c:v>
                </c:pt>
                <c:pt idx="462">
                  <c:v>39450</c:v>
                </c:pt>
              </c:numCache>
            </c:numRef>
          </c:cat>
          <c:val>
            <c:numRef>
              <c:f>Query!$J$3:$J$465</c:f>
              <c:numCache>
                <c:formatCode>0%</c:formatCode>
                <c:ptCount val="463"/>
                <c:pt idx="0">
                  <c:v>4.6051586200000001E-2</c:v>
                </c:pt>
                <c:pt idx="1">
                  <c:v>4.6056585999999997E-2</c:v>
                </c:pt>
                <c:pt idx="2">
                  <c:v>0.62265392249999996</c:v>
                </c:pt>
                <c:pt idx="3">
                  <c:v>0.67716679310000005</c:v>
                </c:pt>
                <c:pt idx="4">
                  <c:v>0.63126871360000003</c:v>
                </c:pt>
                <c:pt idx="5">
                  <c:v>0.72945166819999996</c:v>
                </c:pt>
                <c:pt idx="6">
                  <c:v>0.711462025</c:v>
                </c:pt>
                <c:pt idx="7">
                  <c:v>0.62713272269999998</c:v>
                </c:pt>
                <c:pt idx="8">
                  <c:v>0.66793477970000004</c:v>
                </c:pt>
                <c:pt idx="9">
                  <c:v>0.67819776600000004</c:v>
                </c:pt>
                <c:pt idx="10">
                  <c:v>0.6936459734</c:v>
                </c:pt>
                <c:pt idx="11">
                  <c:v>0.69577032059999999</c:v>
                </c:pt>
                <c:pt idx="12">
                  <c:v>0.72532072140000003</c:v>
                </c:pt>
                <c:pt idx="13">
                  <c:v>0.69626844590000003</c:v>
                </c:pt>
                <c:pt idx="14">
                  <c:v>0.73618995320000002</c:v>
                </c:pt>
                <c:pt idx="15">
                  <c:v>0.69905227930000002</c:v>
                </c:pt>
                <c:pt idx="16">
                  <c:v>0.70523317829999999</c:v>
                </c:pt>
                <c:pt idx="17">
                  <c:v>0.73454719339999996</c:v>
                </c:pt>
                <c:pt idx="18">
                  <c:v>0.74702706419999998</c:v>
                </c:pt>
                <c:pt idx="19">
                  <c:v>0.71919100329999996</c:v>
                </c:pt>
                <c:pt idx="20">
                  <c:v>0.63229653730000002</c:v>
                </c:pt>
                <c:pt idx="21">
                  <c:v>0.66402058939999997</c:v>
                </c:pt>
                <c:pt idx="22">
                  <c:v>0.62663630719999996</c:v>
                </c:pt>
                <c:pt idx="23">
                  <c:v>0.57432003080000005</c:v>
                </c:pt>
                <c:pt idx="24">
                  <c:v>0.58925100679999998</c:v>
                </c:pt>
                <c:pt idx="25">
                  <c:v>0.63334655910000004</c:v>
                </c:pt>
                <c:pt idx="26">
                  <c:v>0.64169792280000004</c:v>
                </c:pt>
                <c:pt idx="27">
                  <c:v>0.59027324530000003</c:v>
                </c:pt>
                <c:pt idx="28">
                  <c:v>0.56738570980000003</c:v>
                </c:pt>
                <c:pt idx="29">
                  <c:v>0.62234100039999996</c:v>
                </c:pt>
                <c:pt idx="30">
                  <c:v>0.63080109149999997</c:v>
                </c:pt>
                <c:pt idx="31">
                  <c:v>0.62820417880000001</c:v>
                </c:pt>
                <c:pt idx="32">
                  <c:v>0.54440567340000001</c:v>
                </c:pt>
                <c:pt idx="33">
                  <c:v>0.54440567340000001</c:v>
                </c:pt>
                <c:pt idx="34">
                  <c:v>0.53878857629999999</c:v>
                </c:pt>
                <c:pt idx="35">
                  <c:v>0.56981847109999995</c:v>
                </c:pt>
                <c:pt idx="36">
                  <c:v>0.57935099440000004</c:v>
                </c:pt>
                <c:pt idx="37">
                  <c:v>0.58209872399999996</c:v>
                </c:pt>
                <c:pt idx="38">
                  <c:v>0.58166015199999999</c:v>
                </c:pt>
                <c:pt idx="39">
                  <c:v>0.58166015199999999</c:v>
                </c:pt>
                <c:pt idx="40">
                  <c:v>0.54131622769999999</c:v>
                </c:pt>
                <c:pt idx="41">
                  <c:v>0.48172130040000005</c:v>
                </c:pt>
                <c:pt idx="42">
                  <c:v>0.47928735750000007</c:v>
                </c:pt>
                <c:pt idx="43">
                  <c:v>0.41526002010000002</c:v>
                </c:pt>
                <c:pt idx="44">
                  <c:v>0.40781420359999998</c:v>
                </c:pt>
                <c:pt idx="45">
                  <c:v>0.3831685655</c:v>
                </c:pt>
                <c:pt idx="46">
                  <c:v>0.41543361070000001</c:v>
                </c:pt>
                <c:pt idx="47">
                  <c:v>0.41475858059999998</c:v>
                </c:pt>
                <c:pt idx="48">
                  <c:v>0.41671533789999998</c:v>
                </c:pt>
                <c:pt idx="49">
                  <c:v>0.42119163279999999</c:v>
                </c:pt>
                <c:pt idx="50">
                  <c:v>0.42287417910000002</c:v>
                </c:pt>
                <c:pt idx="51">
                  <c:v>0.42345495970000002</c:v>
                </c:pt>
                <c:pt idx="52">
                  <c:v>0.39698461699999998</c:v>
                </c:pt>
                <c:pt idx="53">
                  <c:v>0.45637168340000001</c:v>
                </c:pt>
                <c:pt idx="54">
                  <c:v>0.53284943490000003</c:v>
                </c:pt>
                <c:pt idx="55">
                  <c:v>0.50641637490000002</c:v>
                </c:pt>
                <c:pt idx="56">
                  <c:v>0.50022693870000001</c:v>
                </c:pt>
                <c:pt idx="57">
                  <c:v>0.53284943490000003</c:v>
                </c:pt>
                <c:pt idx="58">
                  <c:v>0.49720172820000003</c:v>
                </c:pt>
                <c:pt idx="59">
                  <c:v>0.4667430393</c:v>
                </c:pt>
                <c:pt idx="60">
                  <c:v>0.46378838439999998</c:v>
                </c:pt>
                <c:pt idx="61">
                  <c:v>0.46538467929999999</c:v>
                </c:pt>
                <c:pt idx="62">
                  <c:v>0.46628192260000001</c:v>
                </c:pt>
                <c:pt idx="63">
                  <c:v>0.50782718149999995</c:v>
                </c:pt>
                <c:pt idx="64">
                  <c:v>0.4481756871</c:v>
                </c:pt>
                <c:pt idx="65">
                  <c:v>0.44692809999999999</c:v>
                </c:pt>
                <c:pt idx="66">
                  <c:v>0.47307575430000004</c:v>
                </c:pt>
                <c:pt idx="67">
                  <c:v>0.42803975230000002</c:v>
                </c:pt>
                <c:pt idx="68">
                  <c:v>0.3977182071</c:v>
                </c:pt>
                <c:pt idx="69">
                  <c:v>0.39016922900000001</c:v>
                </c:pt>
                <c:pt idx="70">
                  <c:v>0.3977182071</c:v>
                </c:pt>
                <c:pt idx="71">
                  <c:v>0.39205869529999998</c:v>
                </c:pt>
                <c:pt idx="72">
                  <c:v>0.40187540360000001</c:v>
                </c:pt>
                <c:pt idx="73">
                  <c:v>0.42709455569999999</c:v>
                </c:pt>
                <c:pt idx="74">
                  <c:v>0.40253946489999998</c:v>
                </c:pt>
                <c:pt idx="75">
                  <c:v>0.4947158505</c:v>
                </c:pt>
                <c:pt idx="76">
                  <c:v>0.50042601269999998</c:v>
                </c:pt>
                <c:pt idx="77">
                  <c:v>0.50117343599999997</c:v>
                </c:pt>
                <c:pt idx="78">
                  <c:v>0.53059425589999998</c:v>
                </c:pt>
                <c:pt idx="79">
                  <c:v>0.53834307189999997</c:v>
                </c:pt>
                <c:pt idx="80">
                  <c:v>0.60320264899999998</c:v>
                </c:pt>
                <c:pt idx="81">
                  <c:v>0.63060989000000001</c:v>
                </c:pt>
                <c:pt idx="82">
                  <c:v>0.6009824386</c:v>
                </c:pt>
                <c:pt idx="83">
                  <c:v>0.62876545900000003</c:v>
                </c:pt>
                <c:pt idx="84">
                  <c:v>0.59976270369999996</c:v>
                </c:pt>
                <c:pt idx="85">
                  <c:v>0.61008927769999999</c:v>
                </c:pt>
                <c:pt idx="86">
                  <c:v>0.57408284430000001</c:v>
                </c:pt>
                <c:pt idx="87">
                  <c:v>0.51014898689999999</c:v>
                </c:pt>
                <c:pt idx="88">
                  <c:v>0.57815914199999996</c:v>
                </c:pt>
                <c:pt idx="89">
                  <c:v>0.5537142075</c:v>
                </c:pt>
                <c:pt idx="90">
                  <c:v>0.58276120539999998</c:v>
                </c:pt>
                <c:pt idx="91">
                  <c:v>0.61553641429999995</c:v>
                </c:pt>
                <c:pt idx="92">
                  <c:v>0.64767949680000003</c:v>
                </c:pt>
                <c:pt idx="93">
                  <c:v>0.61924009550000003</c:v>
                </c:pt>
                <c:pt idx="94">
                  <c:v>0.61962164819999999</c:v>
                </c:pt>
                <c:pt idx="95">
                  <c:v>0.61924009550000003</c:v>
                </c:pt>
                <c:pt idx="96">
                  <c:v>0.56867868060000004</c:v>
                </c:pt>
                <c:pt idx="97">
                  <c:v>0.50653217370000003</c:v>
                </c:pt>
                <c:pt idx="98">
                  <c:v>0.53702438590000001</c:v>
                </c:pt>
                <c:pt idx="99">
                  <c:v>0.5408396526</c:v>
                </c:pt>
                <c:pt idx="100">
                  <c:v>0.50243916320000004</c:v>
                </c:pt>
                <c:pt idx="101">
                  <c:v>0.50697530140000002</c:v>
                </c:pt>
                <c:pt idx="102">
                  <c:v>0.48229909360000001</c:v>
                </c:pt>
                <c:pt idx="103">
                  <c:v>0.48084575689999998</c:v>
                </c:pt>
                <c:pt idx="104">
                  <c:v>0.45502691080000002</c:v>
                </c:pt>
                <c:pt idx="105">
                  <c:v>0.45356757110000001</c:v>
                </c:pt>
                <c:pt idx="106">
                  <c:v>0.49063416859999998</c:v>
                </c:pt>
                <c:pt idx="107">
                  <c:v>0.52082276189999999</c:v>
                </c:pt>
                <c:pt idx="108">
                  <c:v>0.49136233779999999</c:v>
                </c:pt>
                <c:pt idx="109">
                  <c:v>0.43077950129999998</c:v>
                </c:pt>
                <c:pt idx="110">
                  <c:v>0.40648641540000002</c:v>
                </c:pt>
                <c:pt idx="111">
                  <c:v>0.39404085370000003</c:v>
                </c:pt>
                <c:pt idx="112">
                  <c:v>0.39207927710000001</c:v>
                </c:pt>
                <c:pt idx="113">
                  <c:v>0.43877924870000001</c:v>
                </c:pt>
                <c:pt idx="114">
                  <c:v>0.4400792899</c:v>
                </c:pt>
                <c:pt idx="115">
                  <c:v>0.44570419890000001</c:v>
                </c:pt>
                <c:pt idx="116">
                  <c:v>0.44570419890000001</c:v>
                </c:pt>
                <c:pt idx="117">
                  <c:v>0.42251047959999999</c:v>
                </c:pt>
                <c:pt idx="118">
                  <c:v>0.40082625799999999</c:v>
                </c:pt>
                <c:pt idx="119">
                  <c:v>0.42743833689999999</c:v>
                </c:pt>
                <c:pt idx="120">
                  <c:v>0.42661541759999999</c:v>
                </c:pt>
                <c:pt idx="121">
                  <c:v>0.42661541759999999</c:v>
                </c:pt>
                <c:pt idx="122">
                  <c:v>0.4059467591</c:v>
                </c:pt>
                <c:pt idx="123">
                  <c:v>0.44867642769999999</c:v>
                </c:pt>
                <c:pt idx="124">
                  <c:v>0.42867166039999999</c:v>
                </c:pt>
                <c:pt idx="125">
                  <c:v>0.40777675969999999</c:v>
                </c:pt>
                <c:pt idx="126">
                  <c:v>0.40622358260000002</c:v>
                </c:pt>
                <c:pt idx="127">
                  <c:v>0.42867166039999999</c:v>
                </c:pt>
                <c:pt idx="128">
                  <c:v>0.42749998970000003</c:v>
                </c:pt>
                <c:pt idx="129">
                  <c:v>0.42656838860000001</c:v>
                </c:pt>
                <c:pt idx="130">
                  <c:v>0.40649016360000001</c:v>
                </c:pt>
                <c:pt idx="131">
                  <c:v>0.40578681059999999</c:v>
                </c:pt>
                <c:pt idx="132">
                  <c:v>0.36400559960000001</c:v>
                </c:pt>
                <c:pt idx="133">
                  <c:v>0.36234091489999998</c:v>
                </c:pt>
                <c:pt idx="134">
                  <c:v>0.36364135050000002</c:v>
                </c:pt>
                <c:pt idx="135">
                  <c:v>0.33916080189999998</c:v>
                </c:pt>
                <c:pt idx="136">
                  <c:v>0.31220021279999999</c:v>
                </c:pt>
                <c:pt idx="137">
                  <c:v>0.34336021719999998</c:v>
                </c:pt>
                <c:pt idx="138">
                  <c:v>0.36887988770000002</c:v>
                </c:pt>
                <c:pt idx="139">
                  <c:v>0.34496826310000001</c:v>
                </c:pt>
                <c:pt idx="140">
                  <c:v>0.36942482259999998</c:v>
                </c:pt>
                <c:pt idx="141">
                  <c:v>0.35133351429999998</c:v>
                </c:pt>
                <c:pt idx="142">
                  <c:v>0.35336059069999998</c:v>
                </c:pt>
                <c:pt idx="143">
                  <c:v>0.37664429049999998</c:v>
                </c:pt>
                <c:pt idx="144">
                  <c:v>0.40240560060000002</c:v>
                </c:pt>
                <c:pt idx="145">
                  <c:v>0.38332880260000002</c:v>
                </c:pt>
                <c:pt idx="146">
                  <c:v>0.33320664849999998</c:v>
                </c:pt>
                <c:pt idx="147">
                  <c:v>0.33271002300000002</c:v>
                </c:pt>
                <c:pt idx="148">
                  <c:v>0.3057643518</c:v>
                </c:pt>
                <c:pt idx="149">
                  <c:v>0.29098791769999999</c:v>
                </c:pt>
                <c:pt idx="150">
                  <c:v>0.32358042170000001</c:v>
                </c:pt>
                <c:pt idx="151">
                  <c:v>0.32405487960000001</c:v>
                </c:pt>
                <c:pt idx="152">
                  <c:v>0.34946915589999999</c:v>
                </c:pt>
                <c:pt idx="153">
                  <c:v>0.34983606179999999</c:v>
                </c:pt>
                <c:pt idx="154">
                  <c:v>0.41345442960000001</c:v>
                </c:pt>
                <c:pt idx="155">
                  <c:v>0.43926277450000001</c:v>
                </c:pt>
                <c:pt idx="156">
                  <c:v>0.3881478364</c:v>
                </c:pt>
                <c:pt idx="157">
                  <c:v>0.45419206680000002</c:v>
                </c:pt>
                <c:pt idx="158">
                  <c:v>0.48311372540000008</c:v>
                </c:pt>
                <c:pt idx="159">
                  <c:v>0.46681751339999999</c:v>
                </c:pt>
                <c:pt idx="160">
                  <c:v>0.42500863700000002</c:v>
                </c:pt>
                <c:pt idx="161">
                  <c:v>0.45036933280000002</c:v>
                </c:pt>
                <c:pt idx="162">
                  <c:v>0.4507968094</c:v>
                </c:pt>
                <c:pt idx="163">
                  <c:v>0.43720376859999999</c:v>
                </c:pt>
                <c:pt idx="164">
                  <c:v>0.35393778970000001</c:v>
                </c:pt>
                <c:pt idx="165">
                  <c:v>0.32245062009999997</c:v>
                </c:pt>
                <c:pt idx="166">
                  <c:v>0.33545963779999999</c:v>
                </c:pt>
                <c:pt idx="167">
                  <c:v>0.36572713959999997</c:v>
                </c:pt>
                <c:pt idx="168">
                  <c:v>0.33414567940000001</c:v>
                </c:pt>
                <c:pt idx="169">
                  <c:v>0.39641450410000001</c:v>
                </c:pt>
                <c:pt idx="170">
                  <c:v>0.39641450410000001</c:v>
                </c:pt>
                <c:pt idx="171">
                  <c:v>0.39677024059999999</c:v>
                </c:pt>
                <c:pt idx="172">
                  <c:v>0.4442214464</c:v>
                </c:pt>
                <c:pt idx="173">
                  <c:v>0.44205305090000002</c:v>
                </c:pt>
                <c:pt idx="174">
                  <c:v>0.36389579640000003</c:v>
                </c:pt>
                <c:pt idx="175">
                  <c:v>0.47101926550000006</c:v>
                </c:pt>
                <c:pt idx="176">
                  <c:v>0.39165461709999999</c:v>
                </c:pt>
                <c:pt idx="177">
                  <c:v>0.58487392220000001</c:v>
                </c:pt>
                <c:pt idx="178">
                  <c:v>0.58336114490000002</c:v>
                </c:pt>
                <c:pt idx="179">
                  <c:v>0.60264990890000003</c:v>
                </c:pt>
                <c:pt idx="180">
                  <c:v>0.64136812509999996</c:v>
                </c:pt>
                <c:pt idx="181">
                  <c:v>0.70907111909999998</c:v>
                </c:pt>
                <c:pt idx="182">
                  <c:v>0.74298206099999997</c:v>
                </c:pt>
                <c:pt idx="183">
                  <c:v>0.77243230529999996</c:v>
                </c:pt>
                <c:pt idx="184">
                  <c:v>0.79686832949999997</c:v>
                </c:pt>
                <c:pt idx="185">
                  <c:v>0.78999699400000001</c:v>
                </c:pt>
                <c:pt idx="186">
                  <c:v>0.79094335059999998</c:v>
                </c:pt>
                <c:pt idx="187">
                  <c:v>0.76837408689999998</c:v>
                </c:pt>
                <c:pt idx="188">
                  <c:v>0.74351076270000005</c:v>
                </c:pt>
                <c:pt idx="189">
                  <c:v>0.74832071290000002</c:v>
                </c:pt>
                <c:pt idx="190">
                  <c:v>0.76428627579999997</c:v>
                </c:pt>
                <c:pt idx="191">
                  <c:v>0.73420571180000005</c:v>
                </c:pt>
                <c:pt idx="192">
                  <c:v>0.76834204949999996</c:v>
                </c:pt>
                <c:pt idx="193">
                  <c:v>0.7869967283</c:v>
                </c:pt>
                <c:pt idx="194">
                  <c:v>0.76942029720000005</c:v>
                </c:pt>
                <c:pt idx="195">
                  <c:v>0.78596707669999999</c:v>
                </c:pt>
                <c:pt idx="196">
                  <c:v>0.78596707669999999</c:v>
                </c:pt>
                <c:pt idx="197">
                  <c:v>0.80135399939999996</c:v>
                </c:pt>
                <c:pt idx="198">
                  <c:v>0.84448029719999995</c:v>
                </c:pt>
                <c:pt idx="199">
                  <c:v>0.86335462829999998</c:v>
                </c:pt>
                <c:pt idx="200">
                  <c:v>0.84701127040000002</c:v>
                </c:pt>
                <c:pt idx="201">
                  <c:v>0.8673857989</c:v>
                </c:pt>
                <c:pt idx="202">
                  <c:v>0.89225158500000001</c:v>
                </c:pt>
                <c:pt idx="203">
                  <c:v>0.89030787629999997</c:v>
                </c:pt>
                <c:pt idx="204">
                  <c:v>0.90756086059999996</c:v>
                </c:pt>
                <c:pt idx="205">
                  <c:v>0.89308967149999996</c:v>
                </c:pt>
                <c:pt idx="206">
                  <c:v>0.91340603359999994</c:v>
                </c:pt>
                <c:pt idx="207">
                  <c:v>0.92811980329999999</c:v>
                </c:pt>
                <c:pt idx="208">
                  <c:v>0.91410815519999999</c:v>
                </c:pt>
                <c:pt idx="209">
                  <c:v>0.89565651040000005</c:v>
                </c:pt>
                <c:pt idx="210">
                  <c:v>0.8960141707</c:v>
                </c:pt>
                <c:pt idx="211">
                  <c:v>0.90786686940000005</c:v>
                </c:pt>
                <c:pt idx="212">
                  <c:v>0.92469153400000004</c:v>
                </c:pt>
                <c:pt idx="213">
                  <c:v>0.91035407680000002</c:v>
                </c:pt>
                <c:pt idx="214">
                  <c:v>0.92832683660000004</c:v>
                </c:pt>
                <c:pt idx="215">
                  <c:v>0.93535924380000002</c:v>
                </c:pt>
                <c:pt idx="216">
                  <c:v>0.90080109230000005</c:v>
                </c:pt>
                <c:pt idx="217">
                  <c:v>0.88554902749999997</c:v>
                </c:pt>
                <c:pt idx="218">
                  <c:v>0.88336087799999996</c:v>
                </c:pt>
                <c:pt idx="219">
                  <c:v>0.89044873329999996</c:v>
                </c:pt>
                <c:pt idx="220">
                  <c:v>0.86385856969999997</c:v>
                </c:pt>
                <c:pt idx="221">
                  <c:v>0.87702114900000017</c:v>
                </c:pt>
                <c:pt idx="222">
                  <c:v>0.89044873329999996</c:v>
                </c:pt>
                <c:pt idx="223">
                  <c:v>0.89176466350000005</c:v>
                </c:pt>
                <c:pt idx="224">
                  <c:v>0.9159699536</c:v>
                </c:pt>
                <c:pt idx="225">
                  <c:v>0.90463870229999999</c:v>
                </c:pt>
                <c:pt idx="226">
                  <c:v>0.90263301100000004</c:v>
                </c:pt>
                <c:pt idx="227">
                  <c:v>0.87835773870000011</c:v>
                </c:pt>
                <c:pt idx="228">
                  <c:v>0.87682347260000015</c:v>
                </c:pt>
                <c:pt idx="229">
                  <c:v>0.87682347260000015</c:v>
                </c:pt>
                <c:pt idx="230">
                  <c:v>0.86092016650000003</c:v>
                </c:pt>
                <c:pt idx="231">
                  <c:v>0.87650509779999997</c:v>
                </c:pt>
                <c:pt idx="232">
                  <c:v>0.83986035569999995</c:v>
                </c:pt>
                <c:pt idx="233">
                  <c:v>0.83690507839999995</c:v>
                </c:pt>
                <c:pt idx="234">
                  <c:v>0.83832866309999998</c:v>
                </c:pt>
                <c:pt idx="235">
                  <c:v>0.81733943220000005</c:v>
                </c:pt>
                <c:pt idx="236">
                  <c:v>0.81132074830000001</c:v>
                </c:pt>
                <c:pt idx="237">
                  <c:v>0.8034289067</c:v>
                </c:pt>
                <c:pt idx="238">
                  <c:v>0.78677306449999995</c:v>
                </c:pt>
                <c:pt idx="239">
                  <c:v>0.8034289067</c:v>
                </c:pt>
                <c:pt idx="240">
                  <c:v>0.76447569309999996</c:v>
                </c:pt>
                <c:pt idx="241">
                  <c:v>0.76999415959999995</c:v>
                </c:pt>
                <c:pt idx="242">
                  <c:v>0.72909925509999995</c:v>
                </c:pt>
                <c:pt idx="243">
                  <c:v>0.79237017499999995</c:v>
                </c:pt>
                <c:pt idx="244">
                  <c:v>0.79525017919999996</c:v>
                </c:pt>
                <c:pt idx="245">
                  <c:v>0.79406819989999999</c:v>
                </c:pt>
                <c:pt idx="246">
                  <c:v>0.78677879350000002</c:v>
                </c:pt>
                <c:pt idx="247">
                  <c:v>0.81682312189999995</c:v>
                </c:pt>
                <c:pt idx="248">
                  <c:v>0.81682312189999995</c:v>
                </c:pt>
                <c:pt idx="249">
                  <c:v>0.81682312189999995</c:v>
                </c:pt>
                <c:pt idx="250">
                  <c:v>0.79482617889999996</c:v>
                </c:pt>
                <c:pt idx="251">
                  <c:v>0.81589622309999998</c:v>
                </c:pt>
                <c:pt idx="252">
                  <c:v>0.82557419580000002</c:v>
                </c:pt>
                <c:pt idx="253">
                  <c:v>0.81311794920000002</c:v>
                </c:pt>
                <c:pt idx="254">
                  <c:v>0.82761677320000004</c:v>
                </c:pt>
                <c:pt idx="255">
                  <c:v>0.83051129830000003</c:v>
                </c:pt>
                <c:pt idx="256">
                  <c:v>0.81140619059999997</c:v>
                </c:pt>
                <c:pt idx="257">
                  <c:v>0.8066320361</c:v>
                </c:pt>
                <c:pt idx="258">
                  <c:v>0.8061458252</c:v>
                </c:pt>
                <c:pt idx="259">
                  <c:v>0.82430845949999998</c:v>
                </c:pt>
                <c:pt idx="260">
                  <c:v>0.82078579289999998</c:v>
                </c:pt>
                <c:pt idx="261">
                  <c:v>0.82126380830000001</c:v>
                </c:pt>
                <c:pt idx="262">
                  <c:v>0.82078579289999998</c:v>
                </c:pt>
                <c:pt idx="263">
                  <c:v>0.7903811664</c:v>
                </c:pt>
                <c:pt idx="264">
                  <c:v>0.79024660690000004</c:v>
                </c:pt>
                <c:pt idx="265">
                  <c:v>0.77495922829999997</c:v>
                </c:pt>
                <c:pt idx="266">
                  <c:v>0.83660536610000003</c:v>
                </c:pt>
                <c:pt idx="267">
                  <c:v>0.83291884810000005</c:v>
                </c:pt>
                <c:pt idx="268">
                  <c:v>0.79842057590000004</c:v>
                </c:pt>
                <c:pt idx="269">
                  <c:v>0.79842057590000004</c:v>
                </c:pt>
                <c:pt idx="270">
                  <c:v>0.79337813010000002</c:v>
                </c:pt>
                <c:pt idx="271">
                  <c:v>0.74656444600000005</c:v>
                </c:pt>
                <c:pt idx="272">
                  <c:v>0.74831768210000005</c:v>
                </c:pt>
                <c:pt idx="273">
                  <c:v>0.77918159070000004</c:v>
                </c:pt>
                <c:pt idx="274">
                  <c:v>0.71226119700000001</c:v>
                </c:pt>
                <c:pt idx="275">
                  <c:v>0.63704711950000004</c:v>
                </c:pt>
                <c:pt idx="276">
                  <c:v>0.58384791359999999</c:v>
                </c:pt>
                <c:pt idx="277">
                  <c:v>0.58834884700000001</c:v>
                </c:pt>
                <c:pt idx="278">
                  <c:v>0.60388450410000005</c:v>
                </c:pt>
                <c:pt idx="279">
                  <c:v>0.56570427590000005</c:v>
                </c:pt>
                <c:pt idx="280">
                  <c:v>0.60588870009999996</c:v>
                </c:pt>
                <c:pt idx="281">
                  <c:v>0.59097363839999995</c:v>
                </c:pt>
                <c:pt idx="282">
                  <c:v>0.60674265890000001</c:v>
                </c:pt>
                <c:pt idx="283">
                  <c:v>0.60698646280000002</c:v>
                </c:pt>
                <c:pt idx="284">
                  <c:v>0.59097363839999995</c:v>
                </c:pt>
                <c:pt idx="285">
                  <c:v>0.57397086610000003</c:v>
                </c:pt>
                <c:pt idx="286">
                  <c:v>0.57236589810000005</c:v>
                </c:pt>
                <c:pt idx="287">
                  <c:v>0.57084324220000005</c:v>
                </c:pt>
                <c:pt idx="288">
                  <c:v>0.54152063220000002</c:v>
                </c:pt>
                <c:pt idx="289">
                  <c:v>0.53058626149999999</c:v>
                </c:pt>
                <c:pt idx="290">
                  <c:v>0.529569964</c:v>
                </c:pt>
                <c:pt idx="291">
                  <c:v>0.50893139949999999</c:v>
                </c:pt>
                <c:pt idx="292">
                  <c:v>0.51267998920000002</c:v>
                </c:pt>
                <c:pt idx="293">
                  <c:v>0.52857622039999996</c:v>
                </c:pt>
                <c:pt idx="294">
                  <c:v>0.54507029809999996</c:v>
                </c:pt>
                <c:pt idx="295">
                  <c:v>0.56219164870000005</c:v>
                </c:pt>
                <c:pt idx="296">
                  <c:v>0.52634717639999995</c:v>
                </c:pt>
                <c:pt idx="297">
                  <c:v>0.5279836094</c:v>
                </c:pt>
                <c:pt idx="298">
                  <c:v>0.51712340239999999</c:v>
                </c:pt>
                <c:pt idx="299">
                  <c:v>0.48985835570000003</c:v>
                </c:pt>
                <c:pt idx="300">
                  <c:v>0.46490756020000001</c:v>
                </c:pt>
                <c:pt idx="301">
                  <c:v>0.54654675470000003</c:v>
                </c:pt>
                <c:pt idx="302">
                  <c:v>0.58133855670000001</c:v>
                </c:pt>
                <c:pt idx="303">
                  <c:v>0.58325702479999997</c:v>
                </c:pt>
                <c:pt idx="304">
                  <c:v>0.60116222669999997</c:v>
                </c:pt>
                <c:pt idx="305">
                  <c:v>0.58148518429999996</c:v>
                </c:pt>
                <c:pt idx="306">
                  <c:v>0.57125989649999998</c:v>
                </c:pt>
                <c:pt idx="307">
                  <c:v>0.59675222760000002</c:v>
                </c:pt>
                <c:pt idx="308">
                  <c:v>0.57757226409999995</c:v>
                </c:pt>
                <c:pt idx="309">
                  <c:v>0.65605300519999998</c:v>
                </c:pt>
                <c:pt idx="310">
                  <c:v>0.69918673009999999</c:v>
                </c:pt>
                <c:pt idx="311">
                  <c:v>0.75475562129999996</c:v>
                </c:pt>
                <c:pt idx="312">
                  <c:v>0.75447953670000001</c:v>
                </c:pt>
                <c:pt idx="313">
                  <c:v>0.8785058455000001</c:v>
                </c:pt>
                <c:pt idx="314">
                  <c:v>0.83169925109999998</c:v>
                </c:pt>
                <c:pt idx="315">
                  <c:v>0.87353389479999999</c:v>
                </c:pt>
                <c:pt idx="316">
                  <c:v>0.87406466520000015</c:v>
                </c:pt>
                <c:pt idx="317">
                  <c:v>0.87669213730000006</c:v>
                </c:pt>
                <c:pt idx="318">
                  <c:v>0.84608171109999997</c:v>
                </c:pt>
                <c:pt idx="319">
                  <c:v>0.82257295500000005</c:v>
                </c:pt>
                <c:pt idx="320">
                  <c:v>0.82067381179999999</c:v>
                </c:pt>
                <c:pt idx="321">
                  <c:v>0.82067381179999999</c:v>
                </c:pt>
                <c:pt idx="322">
                  <c:v>0.82251853900000005</c:v>
                </c:pt>
                <c:pt idx="323">
                  <c:v>0.85995861939999996</c:v>
                </c:pt>
                <c:pt idx="324">
                  <c:v>0.83768871420000002</c:v>
                </c:pt>
                <c:pt idx="325">
                  <c:v>0.80876442169999996</c:v>
                </c:pt>
                <c:pt idx="326">
                  <c:v>0.80814767710000002</c:v>
                </c:pt>
                <c:pt idx="327">
                  <c:v>0.77128568099999995</c:v>
                </c:pt>
                <c:pt idx="328">
                  <c:v>0.76292758309999997</c:v>
                </c:pt>
                <c:pt idx="329">
                  <c:v>0.76211849809999999</c:v>
                </c:pt>
                <c:pt idx="330">
                  <c:v>0.76124590260000002</c:v>
                </c:pt>
                <c:pt idx="331">
                  <c:v>0.76124590260000002</c:v>
                </c:pt>
                <c:pt idx="332">
                  <c:v>0.74099265550000004</c:v>
                </c:pt>
                <c:pt idx="333">
                  <c:v>0.7235605061</c:v>
                </c:pt>
                <c:pt idx="334">
                  <c:v>0.70330276270000003</c:v>
                </c:pt>
                <c:pt idx="335">
                  <c:v>0.70507020519999997</c:v>
                </c:pt>
                <c:pt idx="336">
                  <c:v>0.68308270429999995</c:v>
                </c:pt>
                <c:pt idx="337">
                  <c:v>0.69742454840000001</c:v>
                </c:pt>
                <c:pt idx="338">
                  <c:v>0.67388407520000004</c:v>
                </c:pt>
                <c:pt idx="339">
                  <c:v>0.6466666673</c:v>
                </c:pt>
                <c:pt idx="340">
                  <c:v>0.60828599319999999</c:v>
                </c:pt>
                <c:pt idx="341">
                  <c:v>0.59002327259999998</c:v>
                </c:pt>
                <c:pt idx="342">
                  <c:v>0.58672429169999996</c:v>
                </c:pt>
                <c:pt idx="343">
                  <c:v>0.5951682895</c:v>
                </c:pt>
                <c:pt idx="344">
                  <c:v>0.53152003339999998</c:v>
                </c:pt>
                <c:pt idx="345">
                  <c:v>0.57205809490000004</c:v>
                </c:pt>
                <c:pt idx="346">
                  <c:v>0.65739584390000005</c:v>
                </c:pt>
                <c:pt idx="347">
                  <c:v>0.65825550310000003</c:v>
                </c:pt>
                <c:pt idx="348">
                  <c:v>0.67713837769999996</c:v>
                </c:pt>
                <c:pt idx="349">
                  <c:v>0.6548459458</c:v>
                </c:pt>
                <c:pt idx="350">
                  <c:v>0.6355630457</c:v>
                </c:pt>
                <c:pt idx="351">
                  <c:v>0.70305248779999996</c:v>
                </c:pt>
                <c:pt idx="352">
                  <c:v>0.67221846299999999</c:v>
                </c:pt>
                <c:pt idx="353">
                  <c:v>0.66032668179999998</c:v>
                </c:pt>
                <c:pt idx="354">
                  <c:v>0.69423377870000003</c:v>
                </c:pt>
                <c:pt idx="355">
                  <c:v>0.68028804070000004</c:v>
                </c:pt>
                <c:pt idx="356">
                  <c:v>0.64568973490000003</c:v>
                </c:pt>
                <c:pt idx="357">
                  <c:v>0.62467013979999997</c:v>
                </c:pt>
                <c:pt idx="358">
                  <c:v>0.60269502220000004</c:v>
                </c:pt>
                <c:pt idx="359">
                  <c:v>0.66173262710000003</c:v>
                </c:pt>
                <c:pt idx="360">
                  <c:v>0.72694464729999997</c:v>
                </c:pt>
                <c:pt idx="361">
                  <c:v>0.77484347180000002</c:v>
                </c:pt>
                <c:pt idx="362">
                  <c:v>0.79178966220000002</c:v>
                </c:pt>
                <c:pt idx="363">
                  <c:v>0.78923868119999996</c:v>
                </c:pt>
                <c:pt idx="364">
                  <c:v>0.77040720750000002</c:v>
                </c:pt>
                <c:pt idx="365">
                  <c:v>0.74775831650000002</c:v>
                </c:pt>
                <c:pt idx="366">
                  <c:v>0.70960038569999995</c:v>
                </c:pt>
                <c:pt idx="367">
                  <c:v>0.70441895249999997</c:v>
                </c:pt>
                <c:pt idx="368">
                  <c:v>0.72756030579999997</c:v>
                </c:pt>
                <c:pt idx="369">
                  <c:v>0.768372108</c:v>
                </c:pt>
                <c:pt idx="370">
                  <c:v>0.79042688480000001</c:v>
                </c:pt>
                <c:pt idx="371">
                  <c:v>0.76424793329999996</c:v>
                </c:pt>
                <c:pt idx="372">
                  <c:v>0.73044929209999998</c:v>
                </c:pt>
                <c:pt idx="373">
                  <c:v>0.72287040550000004</c:v>
                </c:pt>
                <c:pt idx="374">
                  <c:v>0.71195266859999995</c:v>
                </c:pt>
                <c:pt idx="375">
                  <c:v>0.69597172249999995</c:v>
                </c:pt>
                <c:pt idx="376">
                  <c:v>0.68787756899999997</c:v>
                </c:pt>
                <c:pt idx="377">
                  <c:v>0.71911560149999998</c:v>
                </c:pt>
                <c:pt idx="378">
                  <c:v>0.5942714322</c:v>
                </c:pt>
                <c:pt idx="379">
                  <c:v>0.67630454740000001</c:v>
                </c:pt>
                <c:pt idx="380">
                  <c:v>0.67072310170000005</c:v>
                </c:pt>
                <c:pt idx="381">
                  <c:v>0.69678739609999996</c:v>
                </c:pt>
                <c:pt idx="382">
                  <c:v>0.71116433310000005</c:v>
                </c:pt>
                <c:pt idx="383">
                  <c:v>0.69678739609999996</c:v>
                </c:pt>
                <c:pt idx="384">
                  <c:v>0.60429288550000004</c:v>
                </c:pt>
                <c:pt idx="385">
                  <c:v>0.53936109320000003</c:v>
                </c:pt>
                <c:pt idx="386">
                  <c:v>0.58454767249999995</c:v>
                </c:pt>
                <c:pt idx="387">
                  <c:v>0.42999902099999998</c:v>
                </c:pt>
                <c:pt idx="388">
                  <c:v>0.63826923999999996</c:v>
                </c:pt>
                <c:pt idx="389">
                  <c:v>0.91704575720000003</c:v>
                </c:pt>
                <c:pt idx="390">
                  <c:v>0.95044574390000003</c:v>
                </c:pt>
                <c:pt idx="391">
                  <c:v>0.9382914872</c:v>
                </c:pt>
                <c:pt idx="392">
                  <c:v>0.93819874619999999</c:v>
                </c:pt>
                <c:pt idx="393">
                  <c:v>0.96780518839999996</c:v>
                </c:pt>
                <c:pt idx="394">
                  <c:v>0.96668737410000005</c:v>
                </c:pt>
                <c:pt idx="395">
                  <c:v>0.96711777980000002</c:v>
                </c:pt>
                <c:pt idx="396">
                  <c:v>0.95133847890000001</c:v>
                </c:pt>
                <c:pt idx="397">
                  <c:v>0.96780518839999996</c:v>
                </c:pt>
                <c:pt idx="398">
                  <c:v>0.95662948010000004</c:v>
                </c:pt>
                <c:pt idx="399">
                  <c:v>0.89917207740000005</c:v>
                </c:pt>
                <c:pt idx="400">
                  <c:v>0.86878816510000001</c:v>
                </c:pt>
                <c:pt idx="401">
                  <c:v>0.78972320240000005</c:v>
                </c:pt>
                <c:pt idx="402">
                  <c:v>0.85338869260000005</c:v>
                </c:pt>
                <c:pt idx="403">
                  <c:v>0.86644801189999998</c:v>
                </c:pt>
                <c:pt idx="404">
                  <c:v>0.78839131539999996</c:v>
                </c:pt>
                <c:pt idx="405">
                  <c:v>0.69670158640000002</c:v>
                </c:pt>
                <c:pt idx="406">
                  <c:v>0.83111971529999995</c:v>
                </c:pt>
                <c:pt idx="407">
                  <c:v>0.82597915460000004</c:v>
                </c:pt>
                <c:pt idx="408">
                  <c:v>0.91185734159999998</c:v>
                </c:pt>
                <c:pt idx="409">
                  <c:v>0.89741246799999996</c:v>
                </c:pt>
                <c:pt idx="410">
                  <c:v>0.83232317040000003</c:v>
                </c:pt>
                <c:pt idx="411">
                  <c:v>0.78997047850000002</c:v>
                </c:pt>
                <c:pt idx="412">
                  <c:v>0.78364763900000001</c:v>
                </c:pt>
                <c:pt idx="413">
                  <c:v>0.54519970390000005</c:v>
                </c:pt>
                <c:pt idx="414">
                  <c:v>0.49866364270000002</c:v>
                </c:pt>
                <c:pt idx="415">
                  <c:v>0.2508332667</c:v>
                </c:pt>
                <c:pt idx="416">
                  <c:v>0.22284174370000001</c:v>
                </c:pt>
                <c:pt idx="417">
                  <c:v>0.18451025460000001</c:v>
                </c:pt>
                <c:pt idx="418">
                  <c:v>0.17519442060000001</c:v>
                </c:pt>
                <c:pt idx="419">
                  <c:v>0.1075199713</c:v>
                </c:pt>
                <c:pt idx="420">
                  <c:v>0.22609301970000001</c:v>
                </c:pt>
                <c:pt idx="421">
                  <c:v>0.11266400109999999</c:v>
                </c:pt>
                <c:pt idx="422">
                  <c:v>0.27029255289999998</c:v>
                </c:pt>
                <c:pt idx="423">
                  <c:v>0.21754198629999999</c:v>
                </c:pt>
                <c:pt idx="424">
                  <c:v>0.20644072420000001</c:v>
                </c:pt>
                <c:pt idx="425">
                  <c:v>0.37922658250000002</c:v>
                </c:pt>
                <c:pt idx="426">
                  <c:v>0.26874650979999998</c:v>
                </c:pt>
                <c:pt idx="427">
                  <c:v>0.13095243039999999</c:v>
                </c:pt>
                <c:pt idx="428">
                  <c:v>0.13144158189999999</c:v>
                </c:pt>
                <c:pt idx="429">
                  <c:v>0.1090236047</c:v>
                </c:pt>
                <c:pt idx="430">
                  <c:v>0.1005900445</c:v>
                </c:pt>
                <c:pt idx="431">
                  <c:v>0.1005900445</c:v>
                </c:pt>
                <c:pt idx="432">
                  <c:v>0.10192862680000001</c:v>
                </c:pt>
                <c:pt idx="433">
                  <c:v>8.7809564199999995E-2</c:v>
                </c:pt>
                <c:pt idx="434">
                  <c:v>0.16845758860000001</c:v>
                </c:pt>
                <c:pt idx="435">
                  <c:v>0.13544823440000001</c:v>
                </c:pt>
                <c:pt idx="436">
                  <c:v>0.1433975629</c:v>
                </c:pt>
                <c:pt idx="437">
                  <c:v>0.11833090540000002</c:v>
                </c:pt>
                <c:pt idx="438">
                  <c:v>0.11861937350000001</c:v>
                </c:pt>
                <c:pt idx="439">
                  <c:v>0.1445849994</c:v>
                </c:pt>
                <c:pt idx="440">
                  <c:v>0.22676943159999999</c:v>
                </c:pt>
                <c:pt idx="441">
                  <c:v>0.23222284730000001</c:v>
                </c:pt>
                <c:pt idx="442">
                  <c:v>0.28332307470000001</c:v>
                </c:pt>
                <c:pt idx="443">
                  <c:v>0.26083298939999999</c:v>
                </c:pt>
                <c:pt idx="444">
                  <c:v>0.28104430899999999</c:v>
                </c:pt>
                <c:pt idx="445">
                  <c:v>0.25964371089999999</c:v>
                </c:pt>
                <c:pt idx="446">
                  <c:v>0.28493703599999998</c:v>
                </c:pt>
                <c:pt idx="447">
                  <c:v>0.35483239049999998</c:v>
                </c:pt>
                <c:pt idx="448">
                  <c:v>0.35483239049999998</c:v>
                </c:pt>
                <c:pt idx="449">
                  <c:v>0.3298734116</c:v>
                </c:pt>
                <c:pt idx="450">
                  <c:v>0.38061787419999998</c:v>
                </c:pt>
                <c:pt idx="451">
                  <c:v>0.37372234529999998</c:v>
                </c:pt>
                <c:pt idx="452">
                  <c:v>0.23448839260000004</c:v>
                </c:pt>
                <c:pt idx="453">
                  <c:v>0.28391662909999998</c:v>
                </c:pt>
                <c:pt idx="454">
                  <c:v>0.19139630090000001</c:v>
                </c:pt>
                <c:pt idx="455">
                  <c:v>0.24600385410000003</c:v>
                </c:pt>
                <c:pt idx="456">
                  <c:v>0.45493623130000005</c:v>
                </c:pt>
                <c:pt idx="457">
                  <c:v>0.51056741819999996</c:v>
                </c:pt>
                <c:pt idx="458">
                  <c:v>0.49749608789999999</c:v>
                </c:pt>
                <c:pt idx="459">
                  <c:v>0.66180762579999997</c:v>
                </c:pt>
                <c:pt idx="460">
                  <c:v>0.4496011513</c:v>
                </c:pt>
                <c:pt idx="461">
                  <c:v>0.36646240920000001</c:v>
                </c:pt>
                <c:pt idx="462">
                  <c:v>0.23986342090000001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916288"/>
        <c:axId val="317917824"/>
      </c:lineChart>
      <c:lineChart>
        <c:grouping val="standard"/>
        <c:varyColors val="0"/>
        <c:ser>
          <c:idx val="3"/>
          <c:order val="1"/>
          <c:tx>
            <c:strRef>
              <c:f>Query!$M$2</c:f>
              <c:strCache>
                <c:ptCount val="1"/>
                <c:pt idx="0">
                  <c:v>Refi Index</c:v>
                </c:pt>
              </c:strCache>
            </c:strRef>
          </c:tx>
          <c:spPr>
            <a:ln w="19050">
              <a:solidFill>
                <a:srgbClr val="C00000"/>
              </a:solidFill>
            </a:ln>
          </c:spPr>
          <c:marker>
            <c:symbol val="none"/>
          </c:marker>
          <c:cat>
            <c:numRef>
              <c:f>Query!$I$3:$I$465</c:f>
              <c:numCache>
                <c:formatCode>m/d/yyyy</c:formatCode>
                <c:ptCount val="463"/>
                <c:pt idx="0">
                  <c:v>42691</c:v>
                </c:pt>
                <c:pt idx="1">
                  <c:v>42684</c:v>
                </c:pt>
                <c:pt idx="2">
                  <c:v>42677</c:v>
                </c:pt>
                <c:pt idx="3">
                  <c:v>42670</c:v>
                </c:pt>
                <c:pt idx="4">
                  <c:v>42663</c:v>
                </c:pt>
                <c:pt idx="5">
                  <c:v>42649</c:v>
                </c:pt>
                <c:pt idx="6">
                  <c:v>42642</c:v>
                </c:pt>
                <c:pt idx="7">
                  <c:v>42635</c:v>
                </c:pt>
                <c:pt idx="8">
                  <c:v>42628</c:v>
                </c:pt>
                <c:pt idx="9">
                  <c:v>42621</c:v>
                </c:pt>
                <c:pt idx="10">
                  <c:v>42614</c:v>
                </c:pt>
                <c:pt idx="11">
                  <c:v>42606</c:v>
                </c:pt>
                <c:pt idx="12">
                  <c:v>42600</c:v>
                </c:pt>
                <c:pt idx="13">
                  <c:v>42593</c:v>
                </c:pt>
                <c:pt idx="14">
                  <c:v>42586</c:v>
                </c:pt>
                <c:pt idx="15">
                  <c:v>42579</c:v>
                </c:pt>
                <c:pt idx="16">
                  <c:v>42572</c:v>
                </c:pt>
                <c:pt idx="17">
                  <c:v>42565</c:v>
                </c:pt>
                <c:pt idx="18">
                  <c:v>42558</c:v>
                </c:pt>
                <c:pt idx="19">
                  <c:v>42551</c:v>
                </c:pt>
                <c:pt idx="20">
                  <c:v>42544</c:v>
                </c:pt>
                <c:pt idx="21">
                  <c:v>42537</c:v>
                </c:pt>
                <c:pt idx="22">
                  <c:v>42530</c:v>
                </c:pt>
                <c:pt idx="23">
                  <c:v>42523</c:v>
                </c:pt>
                <c:pt idx="24">
                  <c:v>42516</c:v>
                </c:pt>
                <c:pt idx="25">
                  <c:v>42509</c:v>
                </c:pt>
                <c:pt idx="26">
                  <c:v>42502</c:v>
                </c:pt>
                <c:pt idx="27">
                  <c:v>42495</c:v>
                </c:pt>
                <c:pt idx="28">
                  <c:v>42488</c:v>
                </c:pt>
                <c:pt idx="29">
                  <c:v>42481</c:v>
                </c:pt>
                <c:pt idx="30">
                  <c:v>42474</c:v>
                </c:pt>
                <c:pt idx="31">
                  <c:v>42467</c:v>
                </c:pt>
                <c:pt idx="32">
                  <c:v>42460</c:v>
                </c:pt>
                <c:pt idx="33">
                  <c:v>42453</c:v>
                </c:pt>
                <c:pt idx="34">
                  <c:v>42446</c:v>
                </c:pt>
                <c:pt idx="35">
                  <c:v>42439</c:v>
                </c:pt>
                <c:pt idx="36">
                  <c:v>42432</c:v>
                </c:pt>
                <c:pt idx="37">
                  <c:v>42425</c:v>
                </c:pt>
                <c:pt idx="38">
                  <c:v>42418</c:v>
                </c:pt>
                <c:pt idx="39">
                  <c:v>42411</c:v>
                </c:pt>
                <c:pt idx="40">
                  <c:v>42404</c:v>
                </c:pt>
                <c:pt idx="41">
                  <c:v>42397</c:v>
                </c:pt>
                <c:pt idx="42">
                  <c:v>42390</c:v>
                </c:pt>
                <c:pt idx="43">
                  <c:v>42383</c:v>
                </c:pt>
                <c:pt idx="44">
                  <c:v>42376</c:v>
                </c:pt>
                <c:pt idx="45">
                  <c:v>42369</c:v>
                </c:pt>
                <c:pt idx="46">
                  <c:v>42362</c:v>
                </c:pt>
                <c:pt idx="47">
                  <c:v>42355</c:v>
                </c:pt>
                <c:pt idx="48">
                  <c:v>42348</c:v>
                </c:pt>
                <c:pt idx="49">
                  <c:v>42341</c:v>
                </c:pt>
                <c:pt idx="50">
                  <c:v>42333</c:v>
                </c:pt>
                <c:pt idx="51">
                  <c:v>42327</c:v>
                </c:pt>
                <c:pt idx="52">
                  <c:v>42320</c:v>
                </c:pt>
                <c:pt idx="53">
                  <c:v>42313</c:v>
                </c:pt>
                <c:pt idx="54">
                  <c:v>42306</c:v>
                </c:pt>
                <c:pt idx="55">
                  <c:v>42299</c:v>
                </c:pt>
                <c:pt idx="56">
                  <c:v>42292</c:v>
                </c:pt>
                <c:pt idx="57">
                  <c:v>42285</c:v>
                </c:pt>
                <c:pt idx="58">
                  <c:v>42278</c:v>
                </c:pt>
                <c:pt idx="59">
                  <c:v>42271</c:v>
                </c:pt>
                <c:pt idx="60">
                  <c:v>42264</c:v>
                </c:pt>
                <c:pt idx="61">
                  <c:v>42257</c:v>
                </c:pt>
                <c:pt idx="62">
                  <c:v>42250</c:v>
                </c:pt>
                <c:pt idx="63">
                  <c:v>42243</c:v>
                </c:pt>
                <c:pt idx="64">
                  <c:v>42236</c:v>
                </c:pt>
                <c:pt idx="65">
                  <c:v>42229</c:v>
                </c:pt>
                <c:pt idx="66">
                  <c:v>42222</c:v>
                </c:pt>
                <c:pt idx="67">
                  <c:v>42215</c:v>
                </c:pt>
                <c:pt idx="68">
                  <c:v>42208</c:v>
                </c:pt>
                <c:pt idx="69">
                  <c:v>42201</c:v>
                </c:pt>
                <c:pt idx="70">
                  <c:v>42194</c:v>
                </c:pt>
                <c:pt idx="71">
                  <c:v>42187</c:v>
                </c:pt>
                <c:pt idx="72">
                  <c:v>42180</c:v>
                </c:pt>
                <c:pt idx="73">
                  <c:v>42173</c:v>
                </c:pt>
                <c:pt idx="74">
                  <c:v>42166</c:v>
                </c:pt>
                <c:pt idx="75">
                  <c:v>42159</c:v>
                </c:pt>
                <c:pt idx="76">
                  <c:v>42152</c:v>
                </c:pt>
                <c:pt idx="77">
                  <c:v>42145</c:v>
                </c:pt>
                <c:pt idx="78">
                  <c:v>42138</c:v>
                </c:pt>
                <c:pt idx="79">
                  <c:v>42131</c:v>
                </c:pt>
                <c:pt idx="80">
                  <c:v>42124</c:v>
                </c:pt>
                <c:pt idx="81">
                  <c:v>42117</c:v>
                </c:pt>
                <c:pt idx="82">
                  <c:v>42110</c:v>
                </c:pt>
                <c:pt idx="83">
                  <c:v>42103</c:v>
                </c:pt>
                <c:pt idx="84">
                  <c:v>42096</c:v>
                </c:pt>
                <c:pt idx="85">
                  <c:v>42089</c:v>
                </c:pt>
                <c:pt idx="86">
                  <c:v>42082</c:v>
                </c:pt>
                <c:pt idx="87">
                  <c:v>42075</c:v>
                </c:pt>
                <c:pt idx="88">
                  <c:v>42068</c:v>
                </c:pt>
                <c:pt idx="89">
                  <c:v>42061</c:v>
                </c:pt>
                <c:pt idx="90">
                  <c:v>42054</c:v>
                </c:pt>
                <c:pt idx="91">
                  <c:v>42047</c:v>
                </c:pt>
                <c:pt idx="92">
                  <c:v>42040</c:v>
                </c:pt>
                <c:pt idx="93">
                  <c:v>42033</c:v>
                </c:pt>
                <c:pt idx="94">
                  <c:v>42026</c:v>
                </c:pt>
                <c:pt idx="95">
                  <c:v>42019</c:v>
                </c:pt>
                <c:pt idx="96">
                  <c:v>42012</c:v>
                </c:pt>
                <c:pt idx="97">
                  <c:v>42004</c:v>
                </c:pt>
                <c:pt idx="98">
                  <c:v>41997</c:v>
                </c:pt>
                <c:pt idx="99">
                  <c:v>41991</c:v>
                </c:pt>
                <c:pt idx="100">
                  <c:v>41984</c:v>
                </c:pt>
                <c:pt idx="101">
                  <c:v>41977</c:v>
                </c:pt>
                <c:pt idx="102">
                  <c:v>41969</c:v>
                </c:pt>
                <c:pt idx="103">
                  <c:v>41963</c:v>
                </c:pt>
                <c:pt idx="104">
                  <c:v>41956</c:v>
                </c:pt>
                <c:pt idx="105">
                  <c:v>41949</c:v>
                </c:pt>
                <c:pt idx="106">
                  <c:v>41942</c:v>
                </c:pt>
                <c:pt idx="107">
                  <c:v>41935</c:v>
                </c:pt>
                <c:pt idx="108">
                  <c:v>41928</c:v>
                </c:pt>
                <c:pt idx="109">
                  <c:v>41921</c:v>
                </c:pt>
                <c:pt idx="110">
                  <c:v>41914</c:v>
                </c:pt>
                <c:pt idx="111">
                  <c:v>41907</c:v>
                </c:pt>
                <c:pt idx="112">
                  <c:v>41900</c:v>
                </c:pt>
                <c:pt idx="113">
                  <c:v>41893</c:v>
                </c:pt>
                <c:pt idx="114">
                  <c:v>41886</c:v>
                </c:pt>
                <c:pt idx="115">
                  <c:v>41879</c:v>
                </c:pt>
                <c:pt idx="116">
                  <c:v>41872</c:v>
                </c:pt>
                <c:pt idx="117">
                  <c:v>41865</c:v>
                </c:pt>
                <c:pt idx="118">
                  <c:v>41858</c:v>
                </c:pt>
                <c:pt idx="119">
                  <c:v>41851</c:v>
                </c:pt>
                <c:pt idx="120">
                  <c:v>41844</c:v>
                </c:pt>
                <c:pt idx="121">
                  <c:v>41837</c:v>
                </c:pt>
                <c:pt idx="122">
                  <c:v>41830</c:v>
                </c:pt>
                <c:pt idx="123">
                  <c:v>41823</c:v>
                </c:pt>
                <c:pt idx="124">
                  <c:v>41816</c:v>
                </c:pt>
                <c:pt idx="125">
                  <c:v>41809</c:v>
                </c:pt>
                <c:pt idx="126">
                  <c:v>41802</c:v>
                </c:pt>
                <c:pt idx="127">
                  <c:v>41795</c:v>
                </c:pt>
                <c:pt idx="128">
                  <c:v>41788</c:v>
                </c:pt>
                <c:pt idx="129">
                  <c:v>41781</c:v>
                </c:pt>
                <c:pt idx="130">
                  <c:v>41774</c:v>
                </c:pt>
                <c:pt idx="131">
                  <c:v>41767</c:v>
                </c:pt>
                <c:pt idx="132">
                  <c:v>41760</c:v>
                </c:pt>
                <c:pt idx="133">
                  <c:v>41753</c:v>
                </c:pt>
                <c:pt idx="134">
                  <c:v>41746</c:v>
                </c:pt>
                <c:pt idx="135">
                  <c:v>41739</c:v>
                </c:pt>
                <c:pt idx="136">
                  <c:v>41732</c:v>
                </c:pt>
                <c:pt idx="137">
                  <c:v>41725</c:v>
                </c:pt>
                <c:pt idx="138">
                  <c:v>41718</c:v>
                </c:pt>
                <c:pt idx="139">
                  <c:v>41711</c:v>
                </c:pt>
                <c:pt idx="140">
                  <c:v>41704</c:v>
                </c:pt>
                <c:pt idx="141">
                  <c:v>41697</c:v>
                </c:pt>
                <c:pt idx="142">
                  <c:v>41690</c:v>
                </c:pt>
                <c:pt idx="143">
                  <c:v>41683</c:v>
                </c:pt>
                <c:pt idx="144">
                  <c:v>41676</c:v>
                </c:pt>
                <c:pt idx="145">
                  <c:v>41669</c:v>
                </c:pt>
                <c:pt idx="146">
                  <c:v>41662</c:v>
                </c:pt>
                <c:pt idx="147">
                  <c:v>41655</c:v>
                </c:pt>
                <c:pt idx="148">
                  <c:v>41648</c:v>
                </c:pt>
                <c:pt idx="149">
                  <c:v>41641</c:v>
                </c:pt>
                <c:pt idx="150">
                  <c:v>41634</c:v>
                </c:pt>
                <c:pt idx="151">
                  <c:v>41627</c:v>
                </c:pt>
                <c:pt idx="152">
                  <c:v>41620</c:v>
                </c:pt>
                <c:pt idx="153">
                  <c:v>41613</c:v>
                </c:pt>
                <c:pt idx="154">
                  <c:v>41605</c:v>
                </c:pt>
                <c:pt idx="155">
                  <c:v>41599</c:v>
                </c:pt>
                <c:pt idx="156">
                  <c:v>41592</c:v>
                </c:pt>
                <c:pt idx="157">
                  <c:v>41585</c:v>
                </c:pt>
                <c:pt idx="158">
                  <c:v>41578</c:v>
                </c:pt>
                <c:pt idx="159">
                  <c:v>41571</c:v>
                </c:pt>
                <c:pt idx="160">
                  <c:v>41564</c:v>
                </c:pt>
                <c:pt idx="161">
                  <c:v>41557</c:v>
                </c:pt>
                <c:pt idx="162">
                  <c:v>41550</c:v>
                </c:pt>
                <c:pt idx="163">
                  <c:v>41543</c:v>
                </c:pt>
                <c:pt idx="164">
                  <c:v>41536</c:v>
                </c:pt>
                <c:pt idx="165">
                  <c:v>41529</c:v>
                </c:pt>
                <c:pt idx="166">
                  <c:v>41522</c:v>
                </c:pt>
                <c:pt idx="167">
                  <c:v>41515</c:v>
                </c:pt>
                <c:pt idx="168">
                  <c:v>41508</c:v>
                </c:pt>
                <c:pt idx="169">
                  <c:v>41501</c:v>
                </c:pt>
                <c:pt idx="170">
                  <c:v>41494</c:v>
                </c:pt>
                <c:pt idx="171">
                  <c:v>41487</c:v>
                </c:pt>
                <c:pt idx="172">
                  <c:v>41480</c:v>
                </c:pt>
                <c:pt idx="173">
                  <c:v>41473</c:v>
                </c:pt>
                <c:pt idx="174">
                  <c:v>41466</c:v>
                </c:pt>
                <c:pt idx="175">
                  <c:v>41458</c:v>
                </c:pt>
                <c:pt idx="176">
                  <c:v>41452</c:v>
                </c:pt>
                <c:pt idx="177">
                  <c:v>41445</c:v>
                </c:pt>
                <c:pt idx="178">
                  <c:v>41438</c:v>
                </c:pt>
                <c:pt idx="179">
                  <c:v>41431</c:v>
                </c:pt>
                <c:pt idx="180">
                  <c:v>41424</c:v>
                </c:pt>
                <c:pt idx="181">
                  <c:v>41417</c:v>
                </c:pt>
                <c:pt idx="182">
                  <c:v>41410</c:v>
                </c:pt>
                <c:pt idx="183">
                  <c:v>41403</c:v>
                </c:pt>
                <c:pt idx="184">
                  <c:v>41396</c:v>
                </c:pt>
                <c:pt idx="185">
                  <c:v>41389</c:v>
                </c:pt>
                <c:pt idx="186">
                  <c:v>41382</c:v>
                </c:pt>
                <c:pt idx="187">
                  <c:v>41375</c:v>
                </c:pt>
                <c:pt idx="188">
                  <c:v>41368</c:v>
                </c:pt>
                <c:pt idx="189">
                  <c:v>41361</c:v>
                </c:pt>
                <c:pt idx="190">
                  <c:v>41354</c:v>
                </c:pt>
                <c:pt idx="191">
                  <c:v>41347</c:v>
                </c:pt>
                <c:pt idx="192">
                  <c:v>41340</c:v>
                </c:pt>
                <c:pt idx="193">
                  <c:v>41333</c:v>
                </c:pt>
                <c:pt idx="194">
                  <c:v>41326</c:v>
                </c:pt>
                <c:pt idx="195">
                  <c:v>41319</c:v>
                </c:pt>
                <c:pt idx="196">
                  <c:v>41312</c:v>
                </c:pt>
                <c:pt idx="197">
                  <c:v>41305</c:v>
                </c:pt>
                <c:pt idx="198">
                  <c:v>41298</c:v>
                </c:pt>
                <c:pt idx="199">
                  <c:v>41291</c:v>
                </c:pt>
                <c:pt idx="200">
                  <c:v>41284</c:v>
                </c:pt>
                <c:pt idx="201">
                  <c:v>41277</c:v>
                </c:pt>
                <c:pt idx="202">
                  <c:v>41270</c:v>
                </c:pt>
                <c:pt idx="203">
                  <c:v>41263</c:v>
                </c:pt>
                <c:pt idx="204">
                  <c:v>41256</c:v>
                </c:pt>
                <c:pt idx="205">
                  <c:v>41249</c:v>
                </c:pt>
                <c:pt idx="206">
                  <c:v>41242</c:v>
                </c:pt>
                <c:pt idx="207">
                  <c:v>41234</c:v>
                </c:pt>
                <c:pt idx="208">
                  <c:v>41228</c:v>
                </c:pt>
                <c:pt idx="209">
                  <c:v>41221</c:v>
                </c:pt>
                <c:pt idx="210">
                  <c:v>41214</c:v>
                </c:pt>
                <c:pt idx="211">
                  <c:v>41207</c:v>
                </c:pt>
                <c:pt idx="212">
                  <c:v>41200</c:v>
                </c:pt>
                <c:pt idx="213">
                  <c:v>41193</c:v>
                </c:pt>
                <c:pt idx="214">
                  <c:v>41186</c:v>
                </c:pt>
                <c:pt idx="215">
                  <c:v>41179</c:v>
                </c:pt>
                <c:pt idx="216">
                  <c:v>41172</c:v>
                </c:pt>
                <c:pt idx="217">
                  <c:v>41165</c:v>
                </c:pt>
                <c:pt idx="218">
                  <c:v>41158</c:v>
                </c:pt>
                <c:pt idx="219">
                  <c:v>41151</c:v>
                </c:pt>
                <c:pt idx="220">
                  <c:v>41144</c:v>
                </c:pt>
                <c:pt idx="221">
                  <c:v>41137</c:v>
                </c:pt>
                <c:pt idx="222">
                  <c:v>41130</c:v>
                </c:pt>
                <c:pt idx="223">
                  <c:v>41123</c:v>
                </c:pt>
                <c:pt idx="224">
                  <c:v>41116</c:v>
                </c:pt>
                <c:pt idx="225">
                  <c:v>41109</c:v>
                </c:pt>
                <c:pt idx="226">
                  <c:v>41102</c:v>
                </c:pt>
                <c:pt idx="227">
                  <c:v>41095</c:v>
                </c:pt>
                <c:pt idx="228">
                  <c:v>41088</c:v>
                </c:pt>
                <c:pt idx="229">
                  <c:v>41081</c:v>
                </c:pt>
                <c:pt idx="230">
                  <c:v>41074</c:v>
                </c:pt>
                <c:pt idx="231">
                  <c:v>41067</c:v>
                </c:pt>
                <c:pt idx="232">
                  <c:v>41060</c:v>
                </c:pt>
                <c:pt idx="233">
                  <c:v>41053</c:v>
                </c:pt>
                <c:pt idx="234">
                  <c:v>41046</c:v>
                </c:pt>
                <c:pt idx="235">
                  <c:v>41039</c:v>
                </c:pt>
                <c:pt idx="236">
                  <c:v>41032</c:v>
                </c:pt>
                <c:pt idx="237">
                  <c:v>41025</c:v>
                </c:pt>
                <c:pt idx="238">
                  <c:v>41018</c:v>
                </c:pt>
                <c:pt idx="239">
                  <c:v>41011</c:v>
                </c:pt>
                <c:pt idx="240">
                  <c:v>41004</c:v>
                </c:pt>
                <c:pt idx="241">
                  <c:v>40997</c:v>
                </c:pt>
                <c:pt idx="242">
                  <c:v>40990</c:v>
                </c:pt>
                <c:pt idx="243">
                  <c:v>40983</c:v>
                </c:pt>
                <c:pt idx="244">
                  <c:v>40976</c:v>
                </c:pt>
                <c:pt idx="245">
                  <c:v>40969</c:v>
                </c:pt>
                <c:pt idx="246">
                  <c:v>40962</c:v>
                </c:pt>
                <c:pt idx="247">
                  <c:v>40955</c:v>
                </c:pt>
                <c:pt idx="248">
                  <c:v>40948</c:v>
                </c:pt>
                <c:pt idx="249">
                  <c:v>40941</c:v>
                </c:pt>
                <c:pt idx="250">
                  <c:v>40934</c:v>
                </c:pt>
                <c:pt idx="251">
                  <c:v>40927</c:v>
                </c:pt>
                <c:pt idx="252">
                  <c:v>40920</c:v>
                </c:pt>
                <c:pt idx="253">
                  <c:v>40913</c:v>
                </c:pt>
                <c:pt idx="254">
                  <c:v>40906</c:v>
                </c:pt>
                <c:pt idx="255">
                  <c:v>40899</c:v>
                </c:pt>
                <c:pt idx="256">
                  <c:v>40892</c:v>
                </c:pt>
                <c:pt idx="257">
                  <c:v>40885</c:v>
                </c:pt>
                <c:pt idx="258">
                  <c:v>40878</c:v>
                </c:pt>
                <c:pt idx="259">
                  <c:v>40870</c:v>
                </c:pt>
                <c:pt idx="260">
                  <c:v>40864</c:v>
                </c:pt>
                <c:pt idx="261">
                  <c:v>40857</c:v>
                </c:pt>
                <c:pt idx="262">
                  <c:v>40850</c:v>
                </c:pt>
                <c:pt idx="263">
                  <c:v>40843</c:v>
                </c:pt>
                <c:pt idx="264">
                  <c:v>40836</c:v>
                </c:pt>
                <c:pt idx="265">
                  <c:v>40829</c:v>
                </c:pt>
                <c:pt idx="266">
                  <c:v>40822</c:v>
                </c:pt>
                <c:pt idx="267">
                  <c:v>40815</c:v>
                </c:pt>
                <c:pt idx="268">
                  <c:v>40808</c:v>
                </c:pt>
                <c:pt idx="269">
                  <c:v>40801</c:v>
                </c:pt>
                <c:pt idx="270">
                  <c:v>40794</c:v>
                </c:pt>
                <c:pt idx="271">
                  <c:v>40787</c:v>
                </c:pt>
                <c:pt idx="272">
                  <c:v>40780</c:v>
                </c:pt>
                <c:pt idx="273">
                  <c:v>40773</c:v>
                </c:pt>
                <c:pt idx="274">
                  <c:v>40766</c:v>
                </c:pt>
                <c:pt idx="275">
                  <c:v>40759</c:v>
                </c:pt>
                <c:pt idx="276">
                  <c:v>40752</c:v>
                </c:pt>
                <c:pt idx="277">
                  <c:v>40745</c:v>
                </c:pt>
                <c:pt idx="278">
                  <c:v>40738</c:v>
                </c:pt>
                <c:pt idx="279">
                  <c:v>40731</c:v>
                </c:pt>
                <c:pt idx="280">
                  <c:v>40724</c:v>
                </c:pt>
                <c:pt idx="281">
                  <c:v>40717</c:v>
                </c:pt>
                <c:pt idx="282">
                  <c:v>40710</c:v>
                </c:pt>
                <c:pt idx="283">
                  <c:v>40703</c:v>
                </c:pt>
                <c:pt idx="284">
                  <c:v>40696</c:v>
                </c:pt>
                <c:pt idx="285">
                  <c:v>40689</c:v>
                </c:pt>
                <c:pt idx="286">
                  <c:v>40682</c:v>
                </c:pt>
                <c:pt idx="287">
                  <c:v>40675</c:v>
                </c:pt>
                <c:pt idx="288">
                  <c:v>40668</c:v>
                </c:pt>
                <c:pt idx="289">
                  <c:v>40661</c:v>
                </c:pt>
                <c:pt idx="290">
                  <c:v>40654</c:v>
                </c:pt>
                <c:pt idx="291">
                  <c:v>40647</c:v>
                </c:pt>
                <c:pt idx="292">
                  <c:v>40640</c:v>
                </c:pt>
                <c:pt idx="293">
                  <c:v>40633</c:v>
                </c:pt>
                <c:pt idx="294">
                  <c:v>40626</c:v>
                </c:pt>
                <c:pt idx="295">
                  <c:v>40619</c:v>
                </c:pt>
                <c:pt idx="296">
                  <c:v>40612</c:v>
                </c:pt>
                <c:pt idx="297">
                  <c:v>40605</c:v>
                </c:pt>
                <c:pt idx="298">
                  <c:v>40598</c:v>
                </c:pt>
                <c:pt idx="299">
                  <c:v>40591</c:v>
                </c:pt>
                <c:pt idx="300">
                  <c:v>40584</c:v>
                </c:pt>
                <c:pt idx="301">
                  <c:v>40577</c:v>
                </c:pt>
                <c:pt idx="302">
                  <c:v>40570</c:v>
                </c:pt>
                <c:pt idx="303">
                  <c:v>40563</c:v>
                </c:pt>
                <c:pt idx="304">
                  <c:v>40556</c:v>
                </c:pt>
                <c:pt idx="305">
                  <c:v>40549</c:v>
                </c:pt>
                <c:pt idx="306">
                  <c:v>40542</c:v>
                </c:pt>
                <c:pt idx="307">
                  <c:v>40535</c:v>
                </c:pt>
                <c:pt idx="308">
                  <c:v>40528</c:v>
                </c:pt>
                <c:pt idx="309">
                  <c:v>40521</c:v>
                </c:pt>
                <c:pt idx="310">
                  <c:v>40514</c:v>
                </c:pt>
                <c:pt idx="311">
                  <c:v>40506</c:v>
                </c:pt>
                <c:pt idx="312">
                  <c:v>40500</c:v>
                </c:pt>
                <c:pt idx="313">
                  <c:v>40493</c:v>
                </c:pt>
                <c:pt idx="314">
                  <c:v>40486</c:v>
                </c:pt>
                <c:pt idx="315">
                  <c:v>40479</c:v>
                </c:pt>
                <c:pt idx="316">
                  <c:v>40472</c:v>
                </c:pt>
                <c:pt idx="317">
                  <c:v>40465</c:v>
                </c:pt>
                <c:pt idx="318">
                  <c:v>40458</c:v>
                </c:pt>
                <c:pt idx="319">
                  <c:v>40451</c:v>
                </c:pt>
                <c:pt idx="320">
                  <c:v>40444</c:v>
                </c:pt>
                <c:pt idx="321">
                  <c:v>40437</c:v>
                </c:pt>
                <c:pt idx="322">
                  <c:v>40430</c:v>
                </c:pt>
                <c:pt idx="323">
                  <c:v>40423</c:v>
                </c:pt>
                <c:pt idx="324">
                  <c:v>40416</c:v>
                </c:pt>
                <c:pt idx="325">
                  <c:v>40409</c:v>
                </c:pt>
                <c:pt idx="326">
                  <c:v>40402</c:v>
                </c:pt>
                <c:pt idx="327">
                  <c:v>40395</c:v>
                </c:pt>
                <c:pt idx="328">
                  <c:v>40388</c:v>
                </c:pt>
                <c:pt idx="329">
                  <c:v>40381</c:v>
                </c:pt>
                <c:pt idx="330">
                  <c:v>40374</c:v>
                </c:pt>
                <c:pt idx="331">
                  <c:v>40367</c:v>
                </c:pt>
                <c:pt idx="332">
                  <c:v>40360</c:v>
                </c:pt>
                <c:pt idx="333">
                  <c:v>40353</c:v>
                </c:pt>
                <c:pt idx="334">
                  <c:v>40346</c:v>
                </c:pt>
                <c:pt idx="335">
                  <c:v>40339</c:v>
                </c:pt>
                <c:pt idx="336">
                  <c:v>40332</c:v>
                </c:pt>
                <c:pt idx="337">
                  <c:v>40325</c:v>
                </c:pt>
                <c:pt idx="338">
                  <c:v>40318</c:v>
                </c:pt>
                <c:pt idx="339">
                  <c:v>40311</c:v>
                </c:pt>
                <c:pt idx="340">
                  <c:v>40304</c:v>
                </c:pt>
                <c:pt idx="341">
                  <c:v>40297</c:v>
                </c:pt>
                <c:pt idx="342">
                  <c:v>40290</c:v>
                </c:pt>
                <c:pt idx="343">
                  <c:v>40283</c:v>
                </c:pt>
                <c:pt idx="344">
                  <c:v>40276</c:v>
                </c:pt>
                <c:pt idx="345">
                  <c:v>40269</c:v>
                </c:pt>
                <c:pt idx="346">
                  <c:v>40262</c:v>
                </c:pt>
                <c:pt idx="347">
                  <c:v>40255</c:v>
                </c:pt>
                <c:pt idx="348">
                  <c:v>40248</c:v>
                </c:pt>
                <c:pt idx="349">
                  <c:v>40241</c:v>
                </c:pt>
                <c:pt idx="350">
                  <c:v>40234</c:v>
                </c:pt>
                <c:pt idx="351">
                  <c:v>40227</c:v>
                </c:pt>
                <c:pt idx="352">
                  <c:v>40220</c:v>
                </c:pt>
                <c:pt idx="353">
                  <c:v>40213</c:v>
                </c:pt>
                <c:pt idx="354">
                  <c:v>40206</c:v>
                </c:pt>
                <c:pt idx="355">
                  <c:v>40199</c:v>
                </c:pt>
                <c:pt idx="356">
                  <c:v>40192</c:v>
                </c:pt>
                <c:pt idx="357">
                  <c:v>40185</c:v>
                </c:pt>
                <c:pt idx="358">
                  <c:v>40178</c:v>
                </c:pt>
                <c:pt idx="359">
                  <c:v>40171</c:v>
                </c:pt>
                <c:pt idx="360">
                  <c:v>40164</c:v>
                </c:pt>
                <c:pt idx="361">
                  <c:v>40157</c:v>
                </c:pt>
                <c:pt idx="362">
                  <c:v>40150</c:v>
                </c:pt>
                <c:pt idx="363">
                  <c:v>40142</c:v>
                </c:pt>
                <c:pt idx="364">
                  <c:v>40136</c:v>
                </c:pt>
                <c:pt idx="365">
                  <c:v>40129</c:v>
                </c:pt>
                <c:pt idx="366">
                  <c:v>40122</c:v>
                </c:pt>
                <c:pt idx="367">
                  <c:v>40115</c:v>
                </c:pt>
                <c:pt idx="368">
                  <c:v>40108</c:v>
                </c:pt>
                <c:pt idx="369">
                  <c:v>40101</c:v>
                </c:pt>
                <c:pt idx="370">
                  <c:v>40094</c:v>
                </c:pt>
                <c:pt idx="371">
                  <c:v>40087</c:v>
                </c:pt>
                <c:pt idx="372">
                  <c:v>40080</c:v>
                </c:pt>
                <c:pt idx="373">
                  <c:v>40073</c:v>
                </c:pt>
                <c:pt idx="374">
                  <c:v>40066</c:v>
                </c:pt>
                <c:pt idx="375">
                  <c:v>40059</c:v>
                </c:pt>
                <c:pt idx="376">
                  <c:v>40052</c:v>
                </c:pt>
                <c:pt idx="377">
                  <c:v>40045</c:v>
                </c:pt>
                <c:pt idx="378">
                  <c:v>40038</c:v>
                </c:pt>
                <c:pt idx="379">
                  <c:v>40031</c:v>
                </c:pt>
                <c:pt idx="380">
                  <c:v>40024</c:v>
                </c:pt>
                <c:pt idx="381">
                  <c:v>40017</c:v>
                </c:pt>
                <c:pt idx="382">
                  <c:v>40010</c:v>
                </c:pt>
                <c:pt idx="383">
                  <c:v>40003</c:v>
                </c:pt>
                <c:pt idx="384">
                  <c:v>39996</c:v>
                </c:pt>
                <c:pt idx="385">
                  <c:v>39989</c:v>
                </c:pt>
                <c:pt idx="386">
                  <c:v>39982</c:v>
                </c:pt>
                <c:pt idx="387">
                  <c:v>39975</c:v>
                </c:pt>
                <c:pt idx="388">
                  <c:v>39968</c:v>
                </c:pt>
                <c:pt idx="389">
                  <c:v>39961</c:v>
                </c:pt>
                <c:pt idx="390">
                  <c:v>39954</c:v>
                </c:pt>
                <c:pt idx="391">
                  <c:v>39947</c:v>
                </c:pt>
                <c:pt idx="392">
                  <c:v>39940</c:v>
                </c:pt>
                <c:pt idx="393">
                  <c:v>39933</c:v>
                </c:pt>
                <c:pt idx="394">
                  <c:v>39926</c:v>
                </c:pt>
                <c:pt idx="395">
                  <c:v>39919</c:v>
                </c:pt>
                <c:pt idx="396">
                  <c:v>39912</c:v>
                </c:pt>
                <c:pt idx="397">
                  <c:v>39905</c:v>
                </c:pt>
                <c:pt idx="398">
                  <c:v>39898</c:v>
                </c:pt>
                <c:pt idx="399">
                  <c:v>39891</c:v>
                </c:pt>
                <c:pt idx="400">
                  <c:v>39884</c:v>
                </c:pt>
                <c:pt idx="401">
                  <c:v>39877</c:v>
                </c:pt>
                <c:pt idx="402">
                  <c:v>39870</c:v>
                </c:pt>
                <c:pt idx="403">
                  <c:v>39863</c:v>
                </c:pt>
                <c:pt idx="404">
                  <c:v>39856</c:v>
                </c:pt>
                <c:pt idx="405">
                  <c:v>39849</c:v>
                </c:pt>
                <c:pt idx="406">
                  <c:v>39842</c:v>
                </c:pt>
                <c:pt idx="407">
                  <c:v>39835</c:v>
                </c:pt>
                <c:pt idx="408">
                  <c:v>39828</c:v>
                </c:pt>
                <c:pt idx="409">
                  <c:v>39821</c:v>
                </c:pt>
                <c:pt idx="410">
                  <c:v>39813</c:v>
                </c:pt>
                <c:pt idx="411">
                  <c:v>39806</c:v>
                </c:pt>
                <c:pt idx="412">
                  <c:v>39800</c:v>
                </c:pt>
                <c:pt idx="413">
                  <c:v>39793</c:v>
                </c:pt>
                <c:pt idx="414">
                  <c:v>39786</c:v>
                </c:pt>
                <c:pt idx="415">
                  <c:v>39778</c:v>
                </c:pt>
                <c:pt idx="416">
                  <c:v>39772</c:v>
                </c:pt>
                <c:pt idx="417">
                  <c:v>39765</c:v>
                </c:pt>
                <c:pt idx="418">
                  <c:v>39758</c:v>
                </c:pt>
                <c:pt idx="419">
                  <c:v>39751</c:v>
                </c:pt>
                <c:pt idx="420">
                  <c:v>39744</c:v>
                </c:pt>
                <c:pt idx="421">
                  <c:v>39737</c:v>
                </c:pt>
                <c:pt idx="422">
                  <c:v>39730</c:v>
                </c:pt>
                <c:pt idx="423">
                  <c:v>39723</c:v>
                </c:pt>
                <c:pt idx="424">
                  <c:v>39716</c:v>
                </c:pt>
                <c:pt idx="425">
                  <c:v>39709</c:v>
                </c:pt>
                <c:pt idx="426">
                  <c:v>39702</c:v>
                </c:pt>
                <c:pt idx="427">
                  <c:v>39695</c:v>
                </c:pt>
                <c:pt idx="428">
                  <c:v>39688</c:v>
                </c:pt>
                <c:pt idx="429">
                  <c:v>39681</c:v>
                </c:pt>
                <c:pt idx="430">
                  <c:v>39674</c:v>
                </c:pt>
                <c:pt idx="431">
                  <c:v>39667</c:v>
                </c:pt>
                <c:pt idx="432">
                  <c:v>39660</c:v>
                </c:pt>
                <c:pt idx="433">
                  <c:v>39653</c:v>
                </c:pt>
                <c:pt idx="434">
                  <c:v>39646</c:v>
                </c:pt>
                <c:pt idx="435">
                  <c:v>39639</c:v>
                </c:pt>
                <c:pt idx="436">
                  <c:v>39632</c:v>
                </c:pt>
                <c:pt idx="437">
                  <c:v>39625</c:v>
                </c:pt>
                <c:pt idx="438">
                  <c:v>39618</c:v>
                </c:pt>
                <c:pt idx="439">
                  <c:v>39611</c:v>
                </c:pt>
                <c:pt idx="440">
                  <c:v>39604</c:v>
                </c:pt>
                <c:pt idx="441">
                  <c:v>39597</c:v>
                </c:pt>
                <c:pt idx="442">
                  <c:v>39590</c:v>
                </c:pt>
                <c:pt idx="443">
                  <c:v>39583</c:v>
                </c:pt>
                <c:pt idx="444">
                  <c:v>39576</c:v>
                </c:pt>
                <c:pt idx="445">
                  <c:v>39569</c:v>
                </c:pt>
                <c:pt idx="446">
                  <c:v>39562</c:v>
                </c:pt>
                <c:pt idx="447">
                  <c:v>39555</c:v>
                </c:pt>
                <c:pt idx="448">
                  <c:v>39548</c:v>
                </c:pt>
                <c:pt idx="449">
                  <c:v>39541</c:v>
                </c:pt>
                <c:pt idx="450">
                  <c:v>39534</c:v>
                </c:pt>
                <c:pt idx="451">
                  <c:v>39527</c:v>
                </c:pt>
                <c:pt idx="452">
                  <c:v>39520</c:v>
                </c:pt>
                <c:pt idx="453">
                  <c:v>39513</c:v>
                </c:pt>
                <c:pt idx="454">
                  <c:v>39506</c:v>
                </c:pt>
                <c:pt idx="455">
                  <c:v>39499</c:v>
                </c:pt>
                <c:pt idx="456">
                  <c:v>39492</c:v>
                </c:pt>
                <c:pt idx="457">
                  <c:v>39485</c:v>
                </c:pt>
                <c:pt idx="458">
                  <c:v>39478</c:v>
                </c:pt>
                <c:pt idx="459">
                  <c:v>39471</c:v>
                </c:pt>
                <c:pt idx="460">
                  <c:v>39464</c:v>
                </c:pt>
                <c:pt idx="461">
                  <c:v>39457</c:v>
                </c:pt>
                <c:pt idx="462">
                  <c:v>39450</c:v>
                </c:pt>
              </c:numCache>
            </c:numRef>
          </c:cat>
          <c:val>
            <c:numRef>
              <c:f>Query!$M$3:$M$465</c:f>
              <c:numCache>
                <c:formatCode>General</c:formatCode>
                <c:ptCount val="463"/>
                <c:pt idx="0">
                  <c:v>1620.2</c:v>
                </c:pt>
                <c:pt idx="1">
                  <c:v>1648</c:v>
                </c:pt>
                <c:pt idx="2">
                  <c:v>1883</c:v>
                </c:pt>
                <c:pt idx="3">
                  <c:v>1937.8</c:v>
                </c:pt>
                <c:pt idx="4">
                  <c:v>1972.5</c:v>
                </c:pt>
                <c:pt idx="5">
                  <c:v>2075.9</c:v>
                </c:pt>
                <c:pt idx="6">
                  <c:v>2301.9</c:v>
                </c:pt>
                <c:pt idx="7">
                  <c:v>2170.3000000000002</c:v>
                </c:pt>
                <c:pt idx="8">
                  <c:v>2217.4</c:v>
                </c:pt>
                <c:pt idx="9">
                  <c:v>2424.5</c:v>
                </c:pt>
                <c:pt idx="10">
                  <c:v>2382.1999999999998</c:v>
                </c:pt>
                <c:pt idx="11">
                  <c:v>#N/A</c:v>
                </c:pt>
                <c:pt idx="12">
                  <c:v>2296.5</c:v>
                </c:pt>
                <c:pt idx="13">
                  <c:v>2302.4</c:v>
                </c:pt>
                <c:pt idx="14">
                  <c:v>2386.3000000000002</c:v>
                </c:pt>
                <c:pt idx="15">
                  <c:v>2254.9</c:v>
                </c:pt>
                <c:pt idx="16">
                  <c:v>2333.1999999999998</c:v>
                </c:pt>
                <c:pt idx="17">
                  <c:v>2783.1</c:v>
                </c:pt>
                <c:pt idx="18">
                  <c:v>2771.6</c:v>
                </c:pt>
                <c:pt idx="19">
                  <c:v>2474.3000000000002</c:v>
                </c:pt>
                <c:pt idx="20">
                  <c:v>2037</c:v>
                </c:pt>
                <c:pt idx="21">
                  <c:v>2081.1999999999998</c:v>
                </c:pt>
                <c:pt idx="22">
                  <c:v>1967.5</c:v>
                </c:pt>
                <c:pt idx="23">
                  <c:v>1922.8</c:v>
                </c:pt>
                <c:pt idx="24">
                  <c:v>1770.1</c:v>
                </c:pt>
                <c:pt idx="25">
                  <c:v>1866.3</c:v>
                </c:pt>
                <c:pt idx="26">
                  <c:v>1849.7</c:v>
                </c:pt>
                <c:pt idx="27">
                  <c:v>1812</c:v>
                </c:pt>
                <c:pt idx="28">
                  <c:v>1791.9</c:v>
                </c:pt>
                <c:pt idx="29">
                  <c:v>1910.1</c:v>
                </c:pt>
                <c:pt idx="30">
                  <c:v>2072.6</c:v>
                </c:pt>
                <c:pt idx="31">
                  <c:v>2061.1</c:v>
                </c:pt>
                <c:pt idx="32">
                  <c:v>1815.4</c:v>
                </c:pt>
                <c:pt idx="33">
                  <c:v>1671.6</c:v>
                </c:pt>
                <c:pt idx="34">
                  <c:v>1743.3</c:v>
                </c:pt>
                <c:pt idx="35">
                  <c:v>1841.2</c:v>
                </c:pt>
                <c:pt idx="36">
                  <c:v>1928</c:v>
                </c:pt>
                <c:pt idx="37">
                  <c:v>1992.9</c:v>
                </c:pt>
                <c:pt idx="38">
                  <c:v>2099.9</c:v>
                </c:pt>
                <c:pt idx="39">
                  <c:v>2341.5</c:v>
                </c:pt>
                <c:pt idx="40">
                  <c:v>2015.4</c:v>
                </c:pt>
                <c:pt idx="41">
                  <c:v>1726.6</c:v>
                </c:pt>
                <c:pt idx="42">
                  <c:v>1734.4</c:v>
                </c:pt>
                <c:pt idx="43">
                  <c:v>1544.6</c:v>
                </c:pt>
                <c:pt idx="44">
                  <c:v>1273.8</c:v>
                </c:pt>
                <c:pt idx="45">
                  <c:v>1020.5</c:v>
                </c:pt>
                <c:pt idx="46">
                  <c:v>1174.0999999999999</c:v>
                </c:pt>
                <c:pt idx="47">
                  <c:v>1667.4</c:v>
                </c:pt>
                <c:pt idx="48">
                  <c:v>1470.6</c:v>
                </c:pt>
                <c:pt idx="49">
                  <c:v>1451.5</c:v>
                </c:pt>
                <c:pt idx="50">
                  <c:v>1410.2</c:v>
                </c:pt>
                <c:pt idx="51">
                  <c:v>1489</c:v>
                </c:pt>
                <c:pt idx="52">
                  <c:v>1528.7</c:v>
                </c:pt>
                <c:pt idx="53">
                  <c:v>1514.1</c:v>
                </c:pt>
                <c:pt idx="54">
                  <c:v>1548.6</c:v>
                </c:pt>
                <c:pt idx="55">
                  <c:v>1544.8</c:v>
                </c:pt>
                <c:pt idx="56">
                  <c:v>1575.3</c:v>
                </c:pt>
                <c:pt idx="57">
                  <c:v>1534.5</c:v>
                </c:pt>
                <c:pt idx="58">
                  <c:v>2071.6</c:v>
                </c:pt>
                <c:pt idx="59">
                  <c:v>1589.5</c:v>
                </c:pt>
                <c:pt idx="60">
                  <c:v>1759.9</c:v>
                </c:pt>
                <c:pt idx="61">
                  <c:v>1473.7</c:v>
                </c:pt>
                <c:pt idx="62">
                  <c:v>1626.9</c:v>
                </c:pt>
                <c:pt idx="63">
                  <c:v>1857.7</c:v>
                </c:pt>
                <c:pt idx="64">
                  <c:v>1545.5</c:v>
                </c:pt>
                <c:pt idx="65">
                  <c:v>1561.2</c:v>
                </c:pt>
                <c:pt idx="66">
                  <c:v>1455.2</c:v>
                </c:pt>
                <c:pt idx="67">
                  <c:v>1418</c:v>
                </c:pt>
                <c:pt idx="68">
                  <c:v>1339.9</c:v>
                </c:pt>
                <c:pt idx="69">
                  <c:v>1305.5999999999999</c:v>
                </c:pt>
                <c:pt idx="70">
                  <c:v>1332.4</c:v>
                </c:pt>
                <c:pt idx="71">
                  <c:v>1299.9000000000001</c:v>
                </c:pt>
                <c:pt idx="72">
                  <c:v>1246.0999999999999</c:v>
                </c:pt>
                <c:pt idx="73">
                  <c:v>1318.3</c:v>
                </c:pt>
                <c:pt idx="74">
                  <c:v>1273.4000000000001</c:v>
                </c:pt>
                <c:pt idx="75">
                  <c:v>1342.4</c:v>
                </c:pt>
                <c:pt idx="76">
                  <c:v>1233.9000000000001</c:v>
                </c:pt>
                <c:pt idx="77">
                  <c:v>1408.1</c:v>
                </c:pt>
                <c:pt idx="78">
                  <c:v>1448.8</c:v>
                </c:pt>
                <c:pt idx="79">
                  <c:v>1477.8</c:v>
                </c:pt>
                <c:pt idx="80">
                  <c:v>1559.4</c:v>
                </c:pt>
                <c:pt idx="81">
                  <c:v>1723</c:v>
                </c:pt>
                <c:pt idx="82">
                  <c:v>1817</c:v>
                </c:pt>
                <c:pt idx="83">
                  <c:v>1804.6</c:v>
                </c:pt>
                <c:pt idx="84">
                  <c:v>1854.7</c:v>
                </c:pt>
                <c:pt idx="85">
                  <c:v>1941.6</c:v>
                </c:pt>
                <c:pt idx="86">
                  <c:v>1860.8</c:v>
                </c:pt>
                <c:pt idx="87">
                  <c:v>1623.6</c:v>
                </c:pt>
                <c:pt idx="88">
                  <c:v>1685.7</c:v>
                </c:pt>
                <c:pt idx="89">
                  <c:v>1740.3</c:v>
                </c:pt>
                <c:pt idx="90">
                  <c:v>1703.1</c:v>
                </c:pt>
                <c:pt idx="91">
                  <c:v>1904.2</c:v>
                </c:pt>
                <c:pt idx="92">
                  <c:v>2291.3000000000002</c:v>
                </c:pt>
                <c:pt idx="93">
                  <c:v>2584.8000000000002</c:v>
                </c:pt>
                <c:pt idx="94">
                  <c:v>2572.3000000000002</c:v>
                </c:pt>
                <c:pt idx="95">
                  <c:v>2799.3</c:v>
                </c:pt>
                <c:pt idx="96">
                  <c:v>2271.5</c:v>
                </c:pt>
                <c:pt idx="97">
                  <c:v>1347.6</c:v>
                </c:pt>
                <c:pt idx="98">
                  <c:v>1164.2</c:v>
                </c:pt>
                <c:pt idx="99">
                  <c:v>1538.7</c:v>
                </c:pt>
                <c:pt idx="100">
                  <c:v>1518.8</c:v>
                </c:pt>
                <c:pt idx="101">
                  <c:v>1548.6</c:v>
                </c:pt>
                <c:pt idx="102">
                  <c:v>#N/A</c:v>
                </c:pt>
                <c:pt idx="103">
                  <c:v>1547.9</c:v>
                </c:pt>
                <c:pt idx="104">
                  <c:v>1563.2</c:v>
                </c:pt>
                <c:pt idx="105">
                  <c:v>1565.3</c:v>
                </c:pt>
                <c:pt idx="106">
                  <c:v>1604.8</c:v>
                </c:pt>
                <c:pt idx="107">
                  <c:v>1713.6</c:v>
                </c:pt>
                <c:pt idx="108">
                  <c:v>1898.2</c:v>
                </c:pt>
                <c:pt idx="109">
                  <c:v>1560.6</c:v>
                </c:pt>
                <c:pt idx="110">
                  <c:v>1387.1</c:v>
                </c:pt>
                <c:pt idx="111">
                  <c:v>1326.2</c:v>
                </c:pt>
                <c:pt idx="112">
                  <c:v>1335.1</c:v>
                </c:pt>
                <c:pt idx="113">
                  <c:v>1398.4</c:v>
                </c:pt>
                <c:pt idx="114">
                  <c:v>1275.8</c:v>
                </c:pt>
                <c:pt idx="115">
                  <c:v>1436</c:v>
                </c:pt>
                <c:pt idx="116">
                  <c:v>1439.4</c:v>
                </c:pt>
                <c:pt idx="117">
                  <c:v>1404.9</c:v>
                </c:pt>
                <c:pt idx="118">
                  <c:v>1342.6</c:v>
                </c:pt>
                <c:pt idx="119">
                  <c:v>1373.9</c:v>
                </c:pt>
                <c:pt idx="120">
                  <c:v>1327.5</c:v>
                </c:pt>
                <c:pt idx="121">
                  <c:v>1400.7</c:v>
                </c:pt>
                <c:pt idx="122">
                  <c:v>1329.7</c:v>
                </c:pt>
                <c:pt idx="123">
                  <c:v>1346.8</c:v>
                </c:pt>
                <c:pt idx="124">
                  <c:v>1341.8</c:v>
                </c:pt>
                <c:pt idx="125">
                  <c:v>1333.5</c:v>
                </c:pt>
                <c:pt idx="126">
                  <c:v>1321.3</c:v>
                </c:pt>
                <c:pt idx="127">
                  <c:v>1516.9</c:v>
                </c:pt>
                <c:pt idx="128">
                  <c:v>1382.6</c:v>
                </c:pt>
                <c:pt idx="129">
                  <c:v>1453.4</c:v>
                </c:pt>
                <c:pt idx="130">
                  <c:v>1460.6</c:v>
                </c:pt>
                <c:pt idx="131">
                  <c:v>1400.9</c:v>
                </c:pt>
                <c:pt idx="132">
                  <c:v>1323.9</c:v>
                </c:pt>
                <c:pt idx="133">
                  <c:v>1298.0999999999999</c:v>
                </c:pt>
                <c:pt idx="134">
                  <c:v>1370.9</c:v>
                </c:pt>
                <c:pt idx="135">
                  <c:v>1429.9</c:v>
                </c:pt>
                <c:pt idx="136">
                  <c:v>1324.7</c:v>
                </c:pt>
                <c:pt idx="137">
                  <c:v>1383.5</c:v>
                </c:pt>
                <c:pt idx="138">
                  <c:v>1426.3</c:v>
                </c:pt>
                <c:pt idx="139">
                  <c:v>1552.1</c:v>
                </c:pt>
                <c:pt idx="140">
                  <c:v>1528</c:v>
                </c:pt>
                <c:pt idx="141">
                  <c:v>1600.6</c:v>
                </c:pt>
                <c:pt idx="142">
                  <c:v>1442.3</c:v>
                </c:pt>
                <c:pt idx="143">
                  <c:v>1650.6</c:v>
                </c:pt>
                <c:pt idx="144">
                  <c:v>1674.2</c:v>
                </c:pt>
                <c:pt idx="145">
                  <c:v>1667.5</c:v>
                </c:pt>
                <c:pt idx="146">
                  <c:v>1601.2</c:v>
                </c:pt>
                <c:pt idx="147">
                  <c:v>1675.8</c:v>
                </c:pt>
                <c:pt idx="148">
                  <c:v>1507</c:v>
                </c:pt>
                <c:pt idx="149">
                  <c:v>1352.7</c:v>
                </c:pt>
                <c:pt idx="150">
                  <c:v>1277.8</c:v>
                </c:pt>
                <c:pt idx="151">
                  <c:v>1426.7</c:v>
                </c:pt>
                <c:pt idx="152">
                  <c:v>1529.8</c:v>
                </c:pt>
                <c:pt idx="153">
                  <c:v>1599.4</c:v>
                </c:pt>
                <c:pt idx="154">
                  <c:v>#N/A</c:v>
                </c:pt>
                <c:pt idx="155">
                  <c:v>1917.2</c:v>
                </c:pt>
                <c:pt idx="156">
                  <c:v>1903.5</c:v>
                </c:pt>
                <c:pt idx="157">
                  <c:v>2056.9</c:v>
                </c:pt>
                <c:pt idx="158">
                  <c:v>2105.6</c:v>
                </c:pt>
                <c:pt idx="159">
                  <c:v>2211.8000000000002</c:v>
                </c:pt>
                <c:pt idx="160">
                  <c:v>2033.7</c:v>
                </c:pt>
                <c:pt idx="161">
                  <c:v>2102.6999999999998</c:v>
                </c:pt>
                <c:pt idx="162">
                  <c:v>2025.3</c:v>
                </c:pt>
                <c:pt idx="163">
                  <c:v>1956.6</c:v>
                </c:pt>
                <c:pt idx="164">
                  <c:v>1922.9</c:v>
                </c:pt>
                <c:pt idx="165">
                  <c:v>1814</c:v>
                </c:pt>
                <c:pt idx="166">
                  <c:v>1512.9</c:v>
                </c:pt>
                <c:pt idx="167">
                  <c:v>1909</c:v>
                </c:pt>
                <c:pt idx="168">
                  <c:v>1842.6</c:v>
                </c:pt>
                <c:pt idx="169">
                  <c:v>1935.1</c:v>
                </c:pt>
                <c:pt idx="170">
                  <c:v>2110.6</c:v>
                </c:pt>
                <c:pt idx="171">
                  <c:v>2228.9</c:v>
                </c:pt>
                <c:pt idx="172">
                  <c:v>2218.3000000000002</c:v>
                </c:pt>
                <c:pt idx="173">
                  <c:v>2288</c:v>
                </c:pt>
                <c:pt idx="174">
                  <c:v>2242.1999999999998</c:v>
                </c:pt>
                <c:pt idx="175">
                  <c:v>#N/A</c:v>
                </c:pt>
                <c:pt idx="176">
                  <c:v>2573.4</c:v>
                </c:pt>
                <c:pt idx="177">
                  <c:v>3040.1</c:v>
                </c:pt>
                <c:pt idx="178">
                  <c:v>3214.4</c:v>
                </c:pt>
                <c:pt idx="179">
                  <c:v>3339.8</c:v>
                </c:pt>
                <c:pt idx="180">
                  <c:v>3163.6</c:v>
                </c:pt>
                <c:pt idx="181">
                  <c:v>3709.4</c:v>
                </c:pt>
                <c:pt idx="182">
                  <c:v>4241.5</c:v>
                </c:pt>
                <c:pt idx="183">
                  <c:v>4797.2</c:v>
                </c:pt>
                <c:pt idx="184">
                  <c:v>5279.9</c:v>
                </c:pt>
                <c:pt idx="185">
                  <c:v>4854.1000000000004</c:v>
                </c:pt>
                <c:pt idx="186">
                  <c:v>4672.1000000000004</c:v>
                </c:pt>
                <c:pt idx="187">
                  <c:v>4726.8999999999996</c:v>
                </c:pt>
                <c:pt idx="188">
                  <c:v>4528.8999999999996</c:v>
                </c:pt>
                <c:pt idx="189">
                  <c:v>4119.2</c:v>
                </c:pt>
                <c:pt idx="190">
                  <c:v>4412.8999999999996</c:v>
                </c:pt>
                <c:pt idx="191">
                  <c:v>4111.3</c:v>
                </c:pt>
                <c:pt idx="192">
                  <c:v>4485.2</c:v>
                </c:pt>
                <c:pt idx="193">
                  <c:v>4724.8999999999996</c:v>
                </c:pt>
                <c:pt idx="194">
                  <c:v>4136.3</c:v>
                </c:pt>
                <c:pt idx="195">
                  <c:v>4261.8</c:v>
                </c:pt>
                <c:pt idx="196">
                  <c:v>4284.3</c:v>
                </c:pt>
                <c:pt idx="197">
                  <c:v>4579</c:v>
                </c:pt>
                <c:pt idx="198">
                  <c:v>4433.6000000000004</c:v>
                </c:pt>
                <c:pt idx="199">
                  <c:v>4937.3999999999996</c:v>
                </c:pt>
                <c:pt idx="200">
                  <c:v>4554.3999999999996</c:v>
                </c:pt>
                <c:pt idx="201">
                  <c:v>3896.4</c:v>
                </c:pt>
                <c:pt idx="202">
                  <c:v>3488.9</c:v>
                </c:pt>
                <c:pt idx="203">
                  <c:v>3983.2</c:v>
                </c:pt>
                <c:pt idx="204">
                  <c:v>4564.3999999999996</c:v>
                </c:pt>
                <c:pt idx="205">
                  <c:v>5368.1</c:v>
                </c:pt>
                <c:pt idx="206">
                  <c:v>4943</c:v>
                </c:pt>
                <c:pt idx="207">
                  <c:v>#N/A</c:v>
                </c:pt>
                <c:pt idx="208">
                  <c:v>4702.3999999999996</c:v>
                </c:pt>
                <c:pt idx="209">
                  <c:v>4856.1000000000004</c:v>
                </c:pt>
                <c:pt idx="210">
                  <c:v>4297.7</c:v>
                </c:pt>
                <c:pt idx="211">
                  <c:v>4550.7</c:v>
                </c:pt>
                <c:pt idx="212">
                  <c:v>4847.2</c:v>
                </c:pt>
                <c:pt idx="213">
                  <c:v>5572.2</c:v>
                </c:pt>
                <c:pt idx="214">
                  <c:v>5892.5</c:v>
                </c:pt>
                <c:pt idx="215">
                  <c:v>5965.5</c:v>
                </c:pt>
                <c:pt idx="216">
                  <c:v>4979</c:v>
                </c:pt>
                <c:pt idx="217">
                  <c:v>4823.3</c:v>
                </c:pt>
                <c:pt idx="218">
                  <c:v>4779.1000000000004</c:v>
                </c:pt>
                <c:pt idx="219">
                  <c:v>4274.8</c:v>
                </c:pt>
                <c:pt idx="220">
                  <c:v>4414.6000000000004</c:v>
                </c:pt>
                <c:pt idx="221">
                  <c:v>4671.1000000000004</c:v>
                </c:pt>
                <c:pt idx="222">
                  <c:v>5172.2</c:v>
                </c:pt>
                <c:pt idx="223">
                  <c:v>5444.3</c:v>
                </c:pt>
                <c:pt idx="224">
                  <c:v>5492.1</c:v>
                </c:pt>
                <c:pt idx="225">
                  <c:v>5383.1</c:v>
                </c:pt>
                <c:pt idx="226">
                  <c:v>5246.8</c:v>
                </c:pt>
                <c:pt idx="227">
                  <c:v>4267.8999999999996</c:v>
                </c:pt>
                <c:pt idx="228">
                  <c:v>4372.2</c:v>
                </c:pt>
                <c:pt idx="229">
                  <c:v>4585.8</c:v>
                </c:pt>
                <c:pt idx="230">
                  <c:v>4719.6000000000004</c:v>
                </c:pt>
                <c:pt idx="231">
                  <c:v>5590</c:v>
                </c:pt>
                <c:pt idx="232">
                  <c:v>4736</c:v>
                </c:pt>
                <c:pt idx="233">
                  <c:v>4675.8999999999996</c:v>
                </c:pt>
                <c:pt idx="234">
                  <c:v>4732</c:v>
                </c:pt>
                <c:pt idx="235">
                  <c:v>4482</c:v>
                </c:pt>
                <c:pt idx="236">
                  <c:v>3924.4</c:v>
                </c:pt>
                <c:pt idx="237">
                  <c:v>3856</c:v>
                </c:pt>
                <c:pt idx="238">
                  <c:v>3892.2</c:v>
                </c:pt>
                <c:pt idx="239">
                  <c:v>4144.3</c:v>
                </c:pt>
                <c:pt idx="240">
                  <c:v>3549.3</c:v>
                </c:pt>
                <c:pt idx="241">
                  <c:v>3699.5</c:v>
                </c:pt>
                <c:pt idx="242">
                  <c:v>3588.4</c:v>
                </c:pt>
                <c:pt idx="243">
                  <c:v>3715.2</c:v>
                </c:pt>
                <c:pt idx="244">
                  <c:v>4063.4</c:v>
                </c:pt>
                <c:pt idx="245">
                  <c:v>4277.6000000000004</c:v>
                </c:pt>
                <c:pt idx="246">
                  <c:v>4379.1000000000004</c:v>
                </c:pt>
                <c:pt idx="247">
                  <c:v>4466.8999999999996</c:v>
                </c:pt>
                <c:pt idx="248">
                  <c:v>4716.1000000000004</c:v>
                </c:pt>
                <c:pt idx="249">
                  <c:v>4617.1000000000004</c:v>
                </c:pt>
                <c:pt idx="250">
                  <c:v>4184.3</c:v>
                </c:pt>
                <c:pt idx="251">
                  <c:v>4326.3999999999996</c:v>
                </c:pt>
                <c:pt idx="252">
                  <c:v>4626.5</c:v>
                </c:pt>
                <c:pt idx="253">
                  <c:v>3668.3</c:v>
                </c:pt>
                <c:pt idx="254">
                  <c:v>3608.1</c:v>
                </c:pt>
                <c:pt idx="255">
                  <c:v>3684.5</c:v>
                </c:pt>
                <c:pt idx="256">
                  <c:v>3676.1</c:v>
                </c:pt>
                <c:pt idx="257">
                  <c:v>3708.6</c:v>
                </c:pt>
                <c:pt idx="258">
                  <c:v>3394.7</c:v>
                </c:pt>
                <c:pt idx="259">
                  <c:v>#N/A</c:v>
                </c:pt>
                <c:pt idx="260">
                  <c:v>3466.8</c:v>
                </c:pt>
                <c:pt idx="261">
                  <c:v>3664.5</c:v>
                </c:pt>
                <c:pt idx="262">
                  <c:v>4137.6000000000004</c:v>
                </c:pt>
                <c:pt idx="263">
                  <c:v>3695</c:v>
                </c:pt>
                <c:pt idx="264">
                  <c:v>3719.3</c:v>
                </c:pt>
                <c:pt idx="265">
                  <c:v>3553.2</c:v>
                </c:pt>
                <c:pt idx="266">
                  <c:v>4251.1000000000004</c:v>
                </c:pt>
                <c:pt idx="267">
                  <c:v>4241.8</c:v>
                </c:pt>
                <c:pt idx="268">
                  <c:v>4512.1000000000004</c:v>
                </c:pt>
                <c:pt idx="269">
                  <c:v>4033.8</c:v>
                </c:pt>
                <c:pt idx="270">
                  <c:v>3571.7</c:v>
                </c:pt>
                <c:pt idx="271">
                  <c:v>3372</c:v>
                </c:pt>
                <c:pt idx="272">
                  <c:v>3601.3</c:v>
                </c:pt>
                <c:pt idx="273">
                  <c:v>4110.8</c:v>
                </c:pt>
                <c:pt idx="274">
                  <c:v>4184.3999999999996</c:v>
                </c:pt>
                <c:pt idx="275">
                  <c:v>3880.9</c:v>
                </c:pt>
                <c:pt idx="276">
                  <c:v>2974.1</c:v>
                </c:pt>
                <c:pt idx="277">
                  <c:v>2769.6</c:v>
                </c:pt>
                <c:pt idx="278">
                  <c:v>2923.8</c:v>
                </c:pt>
                <c:pt idx="279">
                  <c:v>2362.6999999999998</c:v>
                </c:pt>
                <c:pt idx="280">
                  <c:v>2527.5</c:v>
                </c:pt>
                <c:pt idx="281">
                  <c:v>2809.5</c:v>
                </c:pt>
                <c:pt idx="282">
                  <c:v>2857.9</c:v>
                </c:pt>
                <c:pt idx="283">
                  <c:v>3101.7</c:v>
                </c:pt>
                <c:pt idx="284">
                  <c:v>2648</c:v>
                </c:pt>
                <c:pt idx="285">
                  <c:v>2619.6999999999998</c:v>
                </c:pt>
                <c:pt idx="286">
                  <c:v>2764.6</c:v>
                </c:pt>
                <c:pt idx="287">
                  <c:v>2742.2</c:v>
                </c:pt>
                <c:pt idx="288">
                  <c:v>2414.9</c:v>
                </c:pt>
                <c:pt idx="289">
                  <c:v>2220.1</c:v>
                </c:pt>
                <c:pt idx="290">
                  <c:v>2091.4</c:v>
                </c:pt>
                <c:pt idx="291">
                  <c:v>2065.3000000000002</c:v>
                </c:pt>
                <c:pt idx="292">
                  <c:v>2010.6</c:v>
                </c:pt>
                <c:pt idx="293">
                  <c:v>2194.4</c:v>
                </c:pt>
                <c:pt idx="294">
                  <c:v>2350.6999999999998</c:v>
                </c:pt>
                <c:pt idx="295">
                  <c:v>2620.8000000000002</c:v>
                </c:pt>
                <c:pt idx="296">
                  <c:v>2563.6</c:v>
                </c:pt>
                <c:pt idx="297">
                  <c:v>2539.4</c:v>
                </c:pt>
                <c:pt idx="298">
                  <c:v>2155.5</c:v>
                </c:pt>
                <c:pt idx="299">
                  <c:v>2325.3000000000002</c:v>
                </c:pt>
                <c:pt idx="300">
                  <c:v>1953.2</c:v>
                </c:pt>
                <c:pt idx="301">
                  <c:v>2190.4</c:v>
                </c:pt>
                <c:pt idx="302">
                  <c:v>2371.1</c:v>
                </c:pt>
                <c:pt idx="303">
                  <c:v>2129.6999999999998</c:v>
                </c:pt>
                <c:pt idx="304">
                  <c:v>2528.6999999999998</c:v>
                </c:pt>
                <c:pt idx="305">
                  <c:v>2344.3000000000002</c:v>
                </c:pt>
                <c:pt idx="306">
                  <c:v>2249.6</c:v>
                </c:pt>
                <c:pt idx="307">
                  <c:v>2185.5</c:v>
                </c:pt>
                <c:pt idx="308">
                  <c:v>2319.9</c:v>
                </c:pt>
                <c:pt idx="309">
                  <c:v>3067.3</c:v>
                </c:pt>
                <c:pt idx="310">
                  <c:v>3066.2</c:v>
                </c:pt>
                <c:pt idx="311">
                  <c:v>#N/A</c:v>
                </c:pt>
                <c:pt idx="312">
                  <c:v>4009.2</c:v>
                </c:pt>
                <c:pt idx="313">
                  <c:v>4015.2</c:v>
                </c:pt>
                <c:pt idx="314">
                  <c:v>4836.3999999999996</c:v>
                </c:pt>
                <c:pt idx="315">
                  <c:v>4568.1000000000004</c:v>
                </c:pt>
                <c:pt idx="316">
                  <c:v>4904.2</c:v>
                </c:pt>
                <c:pt idx="317">
                  <c:v>4768.6000000000004</c:v>
                </c:pt>
                <c:pt idx="318">
                  <c:v>5455.4</c:v>
                </c:pt>
                <c:pt idx="319">
                  <c:v>4395.5</c:v>
                </c:pt>
                <c:pt idx="320">
                  <c:v>4549.3</c:v>
                </c:pt>
                <c:pt idx="321">
                  <c:v>4624.6000000000004</c:v>
                </c:pt>
                <c:pt idx="322">
                  <c:v>4663.8</c:v>
                </c:pt>
                <c:pt idx="323">
                  <c:v>5214.6000000000004</c:v>
                </c:pt>
                <c:pt idx="324">
                  <c:v>5431.5</c:v>
                </c:pt>
                <c:pt idx="325">
                  <c:v>5260.7</c:v>
                </c:pt>
                <c:pt idx="326">
                  <c:v>4940.8999999999996</c:v>
                </c:pt>
                <c:pt idx="327">
                  <c:v>4147.1000000000004</c:v>
                </c:pt>
                <c:pt idx="328">
                  <c:v>4155.5</c:v>
                </c:pt>
                <c:pt idx="329">
                  <c:v>4097.3</c:v>
                </c:pt>
                <c:pt idx="330">
                  <c:v>4345.3999999999996</c:v>
                </c:pt>
                <c:pt idx="331">
                  <c:v>3925.8</c:v>
                </c:pt>
                <c:pt idx="332">
                  <c:v>3925.9</c:v>
                </c:pt>
                <c:pt idx="333">
                  <c:v>3546.2</c:v>
                </c:pt>
                <c:pt idx="334">
                  <c:v>3107.1</c:v>
                </c:pt>
                <c:pt idx="335">
                  <c:v>3387.8</c:v>
                </c:pt>
                <c:pt idx="336">
                  <c:v>2781.6</c:v>
                </c:pt>
                <c:pt idx="337">
                  <c:v>3239.2</c:v>
                </c:pt>
                <c:pt idx="338">
                  <c:v>3154.9</c:v>
                </c:pt>
                <c:pt idx="339">
                  <c:v>2668.6</c:v>
                </c:pt>
                <c:pt idx="340">
                  <c:v>2303.6</c:v>
                </c:pt>
                <c:pt idx="341">
                  <c:v>1953.3</c:v>
                </c:pt>
                <c:pt idx="342">
                  <c:v>1984.5</c:v>
                </c:pt>
                <c:pt idx="343">
                  <c:v>2217</c:v>
                </c:pt>
                <c:pt idx="344">
                  <c:v>1892.5</c:v>
                </c:pt>
                <c:pt idx="345">
                  <c:v>2051.3000000000002</c:v>
                </c:pt>
                <c:pt idx="346">
                  <c:v>2577.1999999999998</c:v>
                </c:pt>
                <c:pt idx="347">
                  <c:v>2617.6999999999998</c:v>
                </c:pt>
                <c:pt idx="348">
                  <c:v>2847.2</c:v>
                </c:pt>
                <c:pt idx="349">
                  <c:v>2937.6</c:v>
                </c:pt>
                <c:pt idx="350">
                  <c:v>2971.5</c:v>
                </c:pt>
                <c:pt idx="351">
                  <c:v>2474.9</c:v>
                </c:pt>
                <c:pt idx="352">
                  <c:v>2781.2</c:v>
                </c:pt>
                <c:pt idx="353">
                  <c:v>2807.8</c:v>
                </c:pt>
                <c:pt idx="354">
                  <c:v>2763.6</c:v>
                </c:pt>
                <c:pt idx="355">
                  <c:v>2192.1</c:v>
                </c:pt>
                <c:pt idx="356">
                  <c:v>2638.2</c:v>
                </c:pt>
                <c:pt idx="357">
                  <c:v>2430</c:v>
                </c:pt>
                <c:pt idx="358">
                  <c:v>2021.1</c:v>
                </c:pt>
                <c:pt idx="359">
                  <c:v>2038.4</c:v>
                </c:pt>
                <c:pt idx="360">
                  <c:v>2988.7</c:v>
                </c:pt>
                <c:pt idx="361">
                  <c:v>3354</c:v>
                </c:pt>
                <c:pt idx="362">
                  <c:v>3312.7</c:v>
                </c:pt>
                <c:pt idx="363">
                  <c:v>#N/A</c:v>
                </c:pt>
                <c:pt idx="364">
                  <c:v>2815.1</c:v>
                </c:pt>
                <c:pt idx="365">
                  <c:v>3117</c:v>
                </c:pt>
                <c:pt idx="366">
                  <c:v>2996</c:v>
                </c:pt>
                <c:pt idx="367">
                  <c:v>2715.2</c:v>
                </c:pt>
                <c:pt idx="368">
                  <c:v>2304</c:v>
                </c:pt>
                <c:pt idx="369">
                  <c:v>2774.7</c:v>
                </c:pt>
                <c:pt idx="370">
                  <c:v>3280.3</c:v>
                </c:pt>
                <c:pt idx="371">
                  <c:v>3230.9</c:v>
                </c:pt>
                <c:pt idx="372">
                  <c:v>2655.8</c:v>
                </c:pt>
                <c:pt idx="373">
                  <c:v>2632.2</c:v>
                </c:pt>
                <c:pt idx="374">
                  <c:v>2216.3000000000002</c:v>
                </c:pt>
                <c:pt idx="375">
                  <c:v>2383.6999999999998</c:v>
                </c:pt>
                <c:pt idx="376">
                  <c:v>1955.9</c:v>
                </c:pt>
                <c:pt idx="377">
                  <c:v>1983.2</c:v>
                </c:pt>
                <c:pt idx="378">
                  <c:v>1782.2</c:v>
                </c:pt>
                <c:pt idx="379">
                  <c:v>1659.1</c:v>
                </c:pt>
                <c:pt idx="380">
                  <c:v>1826</c:v>
                </c:pt>
                <c:pt idx="381">
                  <c:v>1702.7</c:v>
                </c:pt>
                <c:pt idx="382">
                  <c:v>1982.8</c:v>
                </c:pt>
                <c:pt idx="383">
                  <c:v>1915.5</c:v>
                </c:pt>
                <c:pt idx="384">
                  <c:v>1583.5</c:v>
                </c:pt>
                <c:pt idx="385">
                  <c:v>1328.1</c:v>
                </c:pt>
                <c:pt idx="386">
                  <c:v>1504.6</c:v>
                </c:pt>
                <c:pt idx="387">
                  <c:v>1482.7</c:v>
                </c:pt>
                <c:pt idx="388">
                  <c:v>2156.5</c:v>
                </c:pt>
                <c:pt idx="389">
                  <c:v>2583</c:v>
                </c:pt>
                <c:pt idx="390">
                  <c:v>3590.1</c:v>
                </c:pt>
                <c:pt idx="391">
                  <c:v>4586.2</c:v>
                </c:pt>
                <c:pt idx="392">
                  <c:v>4353.1000000000004</c:v>
                </c:pt>
                <c:pt idx="393">
                  <c:v>5084.2</c:v>
                </c:pt>
                <c:pt idx="394">
                  <c:v>4957.8999999999996</c:v>
                </c:pt>
                <c:pt idx="395">
                  <c:v>6547.2</c:v>
                </c:pt>
                <c:pt idx="396">
                  <c:v>6127.3</c:v>
                </c:pt>
                <c:pt idx="397">
                  <c:v>6734.2</c:v>
                </c:pt>
                <c:pt idx="398">
                  <c:v>6522</c:v>
                </c:pt>
                <c:pt idx="399">
                  <c:v>6374.7</c:v>
                </c:pt>
                <c:pt idx="400">
                  <c:v>4428.1000000000004</c:v>
                </c:pt>
                <c:pt idx="401">
                  <c:v>3352.8</c:v>
                </c:pt>
                <c:pt idx="402">
                  <c:v>2945.5</c:v>
                </c:pt>
                <c:pt idx="403">
                  <c:v>3531.5</c:v>
                </c:pt>
                <c:pt idx="404">
                  <c:v>4564.5</c:v>
                </c:pt>
                <c:pt idx="405">
                  <c:v>2611.1</c:v>
                </c:pt>
                <c:pt idx="406">
                  <c:v>3871.3</c:v>
                </c:pt>
                <c:pt idx="407">
                  <c:v>3300.6</c:v>
                </c:pt>
                <c:pt idx="408">
                  <c:v>6768.6</c:v>
                </c:pt>
                <c:pt idx="409">
                  <c:v>7842.7</c:v>
                </c:pt>
                <c:pt idx="410">
                  <c:v>#N/A</c:v>
                </c:pt>
                <c:pt idx="411">
                  <c:v>#N/A</c:v>
                </c:pt>
                <c:pt idx="412">
                  <c:v>7098.9</c:v>
                </c:pt>
                <c:pt idx="413">
                  <c:v>4013.2</c:v>
                </c:pt>
                <c:pt idx="414">
                  <c:v>3746.9</c:v>
                </c:pt>
                <c:pt idx="415">
                  <c:v>#N/A</c:v>
                </c:pt>
                <c:pt idx="416">
                  <c:v>896.8</c:v>
                </c:pt>
                <c:pt idx="417">
                  <c:v>927.3</c:v>
                </c:pt>
                <c:pt idx="418">
                  <c:v>907.7</c:v>
                </c:pt>
                <c:pt idx="419">
                  <c:v>688.8</c:v>
                </c:pt>
                <c:pt idx="420">
                  <c:v>1135.5999999999999</c:v>
                </c:pt>
                <c:pt idx="421">
                  <c:v>798</c:v>
                </c:pt>
                <c:pt idx="422">
                  <c:v>1190.8</c:v>
                </c:pt>
                <c:pt idx="423">
                  <c:v>999.6</c:v>
                </c:pt>
                <c:pt idx="424">
                  <c:v>1026</c:v>
                </c:pt>
                <c:pt idx="425">
                  <c:v>1756.8</c:v>
                </c:pt>
                <c:pt idx="426">
                  <c:v>2068.5</c:v>
                </c:pt>
                <c:pt idx="427">
                  <c:v>998.3</c:v>
                </c:pt>
                <c:pt idx="428">
                  <c:v>825</c:v>
                </c:pt>
                <c:pt idx="429">
                  <c:v>793.9</c:v>
                </c:pt>
                <c:pt idx="430">
                  <c:v>815.2</c:v>
                </c:pt>
                <c:pt idx="431">
                  <c:v>853.1</c:v>
                </c:pt>
                <c:pt idx="432">
                  <c:v>897.7</c:v>
                </c:pt>
                <c:pt idx="433">
                  <c:v>874.1</c:v>
                </c:pt>
                <c:pt idx="434">
                  <c:v>1213.9000000000001</c:v>
                </c:pt>
                <c:pt idx="435">
                  <c:v>1270.5999999999999</c:v>
                </c:pt>
                <c:pt idx="436">
                  <c:v>1166.5</c:v>
                </c:pt>
                <c:pt idx="437">
                  <c:v>1111.3</c:v>
                </c:pt>
                <c:pt idx="438">
                  <c:v>1044.5999999999999</c:v>
                </c:pt>
                <c:pt idx="439">
                  <c:v>1219.7</c:v>
                </c:pt>
                <c:pt idx="440">
                  <c:v>1477.5</c:v>
                </c:pt>
                <c:pt idx="441">
                  <c:v>1387.8</c:v>
                </c:pt>
                <c:pt idx="442">
                  <c:v>1930.4</c:v>
                </c:pt>
                <c:pt idx="443">
                  <c:v>2135.8000000000002</c:v>
                </c:pt>
                <c:pt idx="444">
                  <c:v>2388.8000000000002</c:v>
                </c:pt>
                <c:pt idx="445">
                  <c:v>2195</c:v>
                </c:pt>
                <c:pt idx="446">
                  <c:v>1809.5</c:v>
                </c:pt>
                <c:pt idx="447">
                  <c:v>2215.6999999999998</c:v>
                </c:pt>
                <c:pt idx="448">
                  <c:v>2880.7</c:v>
                </c:pt>
                <c:pt idx="449">
                  <c:v>2709.1</c:v>
                </c:pt>
                <c:pt idx="450">
                  <c:v>2653.2</c:v>
                </c:pt>
                <c:pt idx="451">
                  <c:v>4468.3999999999996</c:v>
                </c:pt>
                <c:pt idx="452">
                  <c:v>2338.8000000000002</c:v>
                </c:pt>
                <c:pt idx="453">
                  <c:v>2519.4</c:v>
                </c:pt>
                <c:pt idx="454">
                  <c:v>2667.8</c:v>
                </c:pt>
                <c:pt idx="455">
                  <c:v>2571.6</c:v>
                </c:pt>
                <c:pt idx="456">
                  <c:v>3784.1</c:v>
                </c:pt>
                <c:pt idx="457">
                  <c:v>5362.6</c:v>
                </c:pt>
                <c:pt idx="458">
                  <c:v>5523.9</c:v>
                </c:pt>
                <c:pt idx="459">
                  <c:v>5682.2</c:v>
                </c:pt>
                <c:pt idx="460">
                  <c:v>4588.3999999999996</c:v>
                </c:pt>
                <c:pt idx="461">
                  <c:v>3923.5</c:v>
                </c:pt>
                <c:pt idx="462">
                  <c:v>2729.3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952000"/>
        <c:axId val="317921152"/>
      </c:lineChart>
      <c:dateAx>
        <c:axId val="3179162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17917824"/>
        <c:crosses val="autoZero"/>
        <c:auto val="1"/>
        <c:lblOffset val="100"/>
        <c:baseTimeUnit val="days"/>
        <c:majorUnit val="12"/>
        <c:majorTimeUnit val="months"/>
      </c:dateAx>
      <c:valAx>
        <c:axId val="317917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Refinancible Percentage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317916288"/>
        <c:crosses val="autoZero"/>
        <c:crossBetween val="between"/>
      </c:valAx>
      <c:valAx>
        <c:axId val="31792115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 Index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317952000"/>
        <c:crosses val="max"/>
        <c:crossBetween val="between"/>
      </c:valAx>
      <c:dateAx>
        <c:axId val="31795200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17921152"/>
        <c:crosses val="autoZero"/>
        <c:auto val="1"/>
        <c:lblOffset val="100"/>
        <c:baseTimeUnit val="days"/>
      </c:date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'Function Of Rate'!$E$17</c:f>
              <c:strCache>
                <c:ptCount val="1"/>
                <c:pt idx="0">
                  <c:v>Loan Level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circle"/>
            <c:size val="5"/>
            <c:spPr>
              <a:solidFill>
                <a:srgbClr val="2E398A"/>
              </a:solidFill>
            </c:spPr>
          </c:marker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3.93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Rate'!$F$17:$P$17</c:f>
              <c:numCache>
                <c:formatCode>0.00%</c:formatCode>
                <c:ptCount val="11"/>
                <c:pt idx="0">
                  <c:v>0.62189467943359122</c:v>
                </c:pt>
                <c:pt idx="1">
                  <c:v>0.51596464926495167</c:v>
                </c:pt>
                <c:pt idx="2">
                  <c:v>0.43621860494286335</c:v>
                </c:pt>
                <c:pt idx="3">
                  <c:v>0.39126981743213618</c:v>
                </c:pt>
                <c:pt idx="4">
                  <c:v>0.34937282511225631</c:v>
                </c:pt>
                <c:pt idx="5">
                  <c:v>0.30733940235390333</c:v>
                </c:pt>
                <c:pt idx="6">
                  <c:v>0.2628303136301563</c:v>
                </c:pt>
                <c:pt idx="7">
                  <c:v>0.22202897421272344</c:v>
                </c:pt>
                <c:pt idx="8">
                  <c:v>0.19751458384245796</c:v>
                </c:pt>
                <c:pt idx="9">
                  <c:v>0.17714388506437129</c:v>
                </c:pt>
                <c:pt idx="10">
                  <c:v>0.14104794586159894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'Function Of Rate'!$E$18</c:f>
              <c:strCache>
                <c:ptCount val="1"/>
                <c:pt idx="0">
                  <c:v>With Lowest Rate</c:v>
                </c:pt>
              </c:strCache>
            </c:strRef>
          </c:tx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3.93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Rate'!$F$18:$P$18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'Function Of Rate'!$E$19</c:f>
              <c:strCache>
                <c:ptCount val="1"/>
                <c:pt idx="0">
                  <c:v>12 Weeks Scenario</c:v>
                </c:pt>
              </c:strCache>
            </c:strRef>
          </c:tx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3.93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Rate'!$F$19:$P$19</c:f>
              <c:numCache>
                <c:formatCode>0.00%</c:formatCode>
                <c:ptCount val="11"/>
                <c:pt idx="0">
                  <c:v>1.0469369956980943E-3</c:v>
                </c:pt>
                <c:pt idx="1">
                  <c:v>5.0161297528015744E-4</c:v>
                </c:pt>
                <c:pt idx="2">
                  <c:v>2.539778299511381E-4</c:v>
                </c:pt>
                <c:pt idx="3">
                  <c:v>1.764316138983977E-4</c:v>
                </c:pt>
                <c:pt idx="4">
                  <c:v>6.8737407271820695E-5</c:v>
                </c:pt>
                <c:pt idx="5">
                  <c:v>4.4705730322494124E-5</c:v>
                </c:pt>
                <c:pt idx="6">
                  <c:v>3.1247354702148059E-5</c:v>
                </c:pt>
                <c:pt idx="7">
                  <c:v>1.5709468943600092E-5</c:v>
                </c:pt>
                <c:pt idx="8">
                  <c:v>1.2062081290111748E-5</c:v>
                </c:pt>
                <c:pt idx="9">
                  <c:v>2.9760866395791746E-6</c:v>
                </c:pt>
                <c:pt idx="10">
                  <c:v>2.9760866395791746E-6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449408"/>
        <c:axId val="326451200"/>
      </c:lineChart>
      <c:catAx>
        <c:axId val="32644940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326451200"/>
        <c:crosses val="autoZero"/>
        <c:auto val="1"/>
        <c:lblAlgn val="ctr"/>
        <c:lblOffset val="100"/>
        <c:noMultiLvlLbl val="0"/>
      </c:catAx>
      <c:valAx>
        <c:axId val="326451200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326449408"/>
        <c:crosses val="autoZero"/>
        <c:crossBetween val="midCat"/>
      </c:valAx>
      <c:spPr>
        <a:ln w="12700">
          <a:solidFill>
            <a:schemeClr val="tx1"/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57150</xdr:colOff>
      <xdr:row>5</xdr:row>
      <xdr:rowOff>76201</xdr:rowOff>
    </xdr:from>
    <xdr:to>
      <xdr:col>26</xdr:col>
      <xdr:colOff>2695575</xdr:colOff>
      <xdr:row>7</xdr:row>
      <xdr:rowOff>80011</xdr:rowOff>
    </xdr:to>
    <xdr:sp macro="[0]!RunRefinancibleUniverse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27</xdr:col>
      <xdr:colOff>295276</xdr:colOff>
      <xdr:row>5</xdr:row>
      <xdr:rowOff>85726</xdr:rowOff>
    </xdr:from>
    <xdr:to>
      <xdr:col>29</xdr:col>
      <xdr:colOff>66676</xdr:colOff>
      <xdr:row>7</xdr:row>
      <xdr:rowOff>89536</xdr:rowOff>
    </xdr:to>
    <xdr:sp macro="[0]!CreatePDFReport" textlink="">
      <xdr:nvSpPr>
        <xdr:cNvPr id="3" name="Rounded Rectangle 2"/>
        <xdr:cNvSpPr/>
      </xdr:nvSpPr>
      <xdr:spPr>
        <a:xfrm>
          <a:off x="20402551" y="895351"/>
          <a:ext cx="1371600" cy="3276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24</xdr:col>
      <xdr:colOff>514350</xdr:colOff>
      <xdr:row>17</xdr:row>
      <xdr:rowOff>104775</xdr:rowOff>
    </xdr:from>
    <xdr:to>
      <xdr:col>26</xdr:col>
      <xdr:colOff>1657350</xdr:colOff>
      <xdr:row>28</xdr:row>
      <xdr:rowOff>66675</xdr:rowOff>
    </xdr:to>
    <xdr:sp macro="" textlink="">
      <xdr:nvSpPr>
        <xdr:cNvPr id="5" name="TextBox 4"/>
        <xdr:cNvSpPr txBox="1"/>
      </xdr:nvSpPr>
      <xdr:spPr>
        <a:xfrm>
          <a:off x="16344900" y="2857500"/>
          <a:ext cx="2695575" cy="1743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Bloomberg Index: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(Update on Wednesday)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S:\Research\Cello\Refi Index\Historical MBA Refi Index Projections.xlsx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Tag: MBAVCMRS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Column: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Use Actual</a:t>
          </a:r>
        </a:p>
      </xdr:txBody>
    </xdr:sp>
    <xdr:clientData/>
  </xdr:twoCellAnchor>
  <xdr:twoCellAnchor>
    <xdr:from>
      <xdr:col>13</xdr:col>
      <xdr:colOff>600076</xdr:colOff>
      <xdr:row>10</xdr:row>
      <xdr:rowOff>146049</xdr:rowOff>
    </xdr:from>
    <xdr:to>
      <xdr:col>20</xdr:col>
      <xdr:colOff>31750</xdr:colOff>
      <xdr:row>36</xdr:row>
      <xdr:rowOff>57150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371475</xdr:colOff>
      <xdr:row>10</xdr:row>
      <xdr:rowOff>133350</xdr:rowOff>
    </xdr:from>
    <xdr:to>
      <xdr:col>13</xdr:col>
      <xdr:colOff>381000</xdr:colOff>
      <xdr:row>35</xdr:row>
      <xdr:rowOff>104775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171449</xdr:colOff>
      <xdr:row>34</xdr:row>
      <xdr:rowOff>161924</xdr:rowOff>
    </xdr:from>
    <xdr:to>
      <xdr:col>13</xdr:col>
      <xdr:colOff>9525</xdr:colOff>
      <xdr:row>37</xdr:row>
      <xdr:rowOff>114300</xdr:rowOff>
    </xdr:to>
    <xdr:sp macro="" textlink="">
      <xdr:nvSpPr>
        <xdr:cNvPr id="4" name="TextBox 3"/>
        <xdr:cNvSpPr txBox="1"/>
      </xdr:nvSpPr>
      <xdr:spPr>
        <a:xfrm>
          <a:off x="5448299" y="5667374"/>
          <a:ext cx="3219451" cy="4381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 Fannie</a:t>
          </a:r>
          <a:r>
            <a:rPr lang="en-US" sz="900" baseline="0"/>
            <a:t> Mae; Freddie Mac;  Bloomberg; Cello Database</a:t>
          </a:r>
          <a:endParaRPr lang="en-US" sz="9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47624</xdr:colOff>
      <xdr:row>14</xdr:row>
      <xdr:rowOff>14287</xdr:rowOff>
    </xdr:from>
    <xdr:to>
      <xdr:col>27</xdr:col>
      <xdr:colOff>266699</xdr:colOff>
      <xdr:row>30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Rate - 0318"/>
    </sheetNames>
    <sheetDataSet>
      <sheetData sheetId="0">
        <row r="2">
          <cell r="V2">
            <v>42083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name="Query from Agency_6" backgroundRefresh="0" adjustColumnWidth="0" connectionId="17" autoFormatId="16" applyNumberFormats="0" applyBorderFormats="0" applyFontFormats="0" applyPatternFormats="0" applyAlignmentFormats="0" applyWidthHeightFormats="0">
  <queryTableRefresh nextId="80" unboundColumnsRight="3">
    <queryTableFields count="5">
      <queryTableField id="62" name="AsOfDate" tableColumnId="1"/>
      <queryTableField id="79" name="SeriesNumValue" tableColumnId="3"/>
      <queryTableField id="76" dataBound="0" tableColumnId="5"/>
      <queryTableField id="78" dataBound="0" tableColumnId="2"/>
      <queryTableField id="77" dataBound="0" tableColumnId="6"/>
    </queryTableFields>
    <queryTableDeletedFields count="1">
      <deletedField name="refinancible_satoAdj"/>
    </queryTableDeletedFields>
  </queryTableRefresh>
</queryTable>
</file>

<file path=xl/queryTables/queryTable2.xml><?xml version="1.0" encoding="utf-8"?>
<queryTable xmlns="http://schemas.openxmlformats.org/spreadsheetml/2006/main" name="Query from Agency_13" backgroundRefresh="0" adjustColumnWidth="0" connectionId="9" autoFormatId="16" applyNumberFormats="0" applyBorderFormats="0" applyFontFormats="0" applyPatternFormats="0" applyAlignmentFormats="0" applyWidthHeightFormats="0">
  <queryTableRefresh nextId="82" unboundColumnsRight="3">
    <queryTableFields count="5">
      <queryTableField id="62" name="AsOfDate" tableColumnId="1"/>
      <queryTableField id="78" name="SeriesNumValue" tableColumnId="2"/>
      <queryTableField id="80" dataBound="0" tableColumnId="3"/>
      <queryTableField id="81" dataBound="0" tableColumnId="5"/>
      <queryTableField id="79" dataBound="0" tableColumnId="4"/>
    </queryTableFields>
    <queryTableDeletedFields count="1">
      <deletedField name="refinancible_satoAdj"/>
    </queryTableDeletedFields>
  </queryTableRefresh>
</queryTable>
</file>

<file path=xl/queryTables/queryTable3.xml><?xml version="1.0" encoding="utf-8"?>
<queryTable xmlns="http://schemas.openxmlformats.org/spreadsheetml/2006/main" name="Query from Agency_14" backgroundRefresh="0" adjustColumnWidth="0" connectionId="8" autoFormatId="16" applyNumberFormats="0" applyBorderFormats="0" applyFontFormats="0" applyPatternFormats="0" applyAlignmentFormats="0" applyWidthHeightFormats="0">
  <queryTableRefresh nextId="81">
    <queryTableFields count="2">
      <queryTableField id="62" name="AsOfDate" tableColumnId="1"/>
      <queryTableField id="78" name="SeriesNumValue" tableColumnId="2"/>
    </queryTableFields>
    <queryTableDeletedFields count="1">
      <deletedField name="refinancible_satoAdj"/>
    </queryTableDeletedFields>
  </queryTableRefresh>
</queryTable>
</file>

<file path=xl/queryTables/queryTable4.xml><?xml version="1.0" encoding="utf-8"?>
<queryTable xmlns="http://schemas.openxmlformats.org/spreadsheetml/2006/main" name="Query from Agency_15" backgroundRefresh="0" adjustColumnWidth="0" connectionId="7" autoFormatId="16" applyNumberFormats="0" applyBorderFormats="0" applyFontFormats="0" applyPatternFormats="0" applyAlignmentFormats="0" applyWidthHeightFormats="0">
  <queryTableRefresh nextId="79">
    <queryTableFields count="2">
      <queryTableField id="62" name="AsOfDate" tableColumnId="1"/>
      <queryTableField id="78" name="SeriesNumValue" tableColumnId="2"/>
    </queryTableFields>
    <queryTableDeletedFields count="1">
      <deletedField name="refinancible_satoAdj"/>
    </queryTableDeletedFields>
  </queryTableRefresh>
</queryTable>
</file>

<file path=xl/queryTables/queryTable5.xml><?xml version="1.0" encoding="utf-8"?>
<queryTable xmlns="http://schemas.openxmlformats.org/spreadsheetml/2006/main" name="Query from Agency_11" backgroundRefresh="0" adjustColumnWidth="0" connectionId="16" autoFormatId="16" applyNumberFormats="0" applyBorderFormats="0" applyFontFormats="0" applyPatternFormats="0" applyAlignmentFormats="0" applyWidthHeightFormats="0">
  <queryTableRefresh nextId="78">
    <queryTableFields count="2">
      <queryTableField id="62" name="AsOfDate" tableColumnId="1"/>
      <queryTableField id="77" name="SeriesNumValue" tableColumnId="6"/>
    </queryTableFields>
    <queryTableDeletedFields count="1">
      <deletedField name="refinancible_satoAdj"/>
    </queryTableDeletedFields>
  </queryTableRefresh>
</queryTable>
</file>

<file path=xl/queryTables/queryTable6.xml><?xml version="1.0" encoding="utf-8"?>
<queryTable xmlns="http://schemas.openxmlformats.org/spreadsheetml/2006/main" name="Query from Agency_12" backgroundRefresh="0" adjustColumnWidth="0" connectionId="6" autoFormatId="16" applyNumberFormats="0" applyBorderFormats="0" applyFontFormats="0" applyPatternFormats="0" applyAlignmentFormats="0" applyWidthHeightFormats="0">
  <queryTableRefresh nextId="89">
    <queryTableFields count="11">
      <queryTableField id="78" name="refinancible1" tableColumnId="7"/>
      <queryTableField id="79" name="refinancible2" tableColumnId="8"/>
      <queryTableField id="80" name="refinancible3" tableColumnId="9"/>
      <queryTableField id="81" name="refinancible4" tableColumnId="10"/>
      <queryTableField id="82" name="refinancible5" tableColumnId="11"/>
      <queryTableField id="83" name="refinancible6" tableColumnId="12"/>
      <queryTableField id="84" name="refinancible7" tableColumnId="13"/>
      <queryTableField id="85" name="refinancible8" tableColumnId="14"/>
      <queryTableField id="86" name="refinancible9" tableColumnId="15"/>
      <queryTableField id="87" name="refinancible10" tableColumnId="16"/>
      <queryTableField id="88" name="refinancible11" tableColumnId="17"/>
    </queryTableFields>
    <queryTableDeletedFields count="1">
      <deletedField name="refinancible_satoAdj"/>
    </queryTableDeletedFields>
  </queryTableRefresh>
</queryTable>
</file>

<file path=xl/queryTables/queryTable7.xml><?xml version="1.0" encoding="utf-8"?>
<queryTable xmlns="http://schemas.openxmlformats.org/spreadsheetml/2006/main" name="Query from Agency_13" backgroundRefresh="0" adjustColumnWidth="0" connectionId="3" autoFormatId="16" applyNumberFormats="0" applyBorderFormats="0" applyFontFormats="0" applyPatternFormats="0" applyAlignmentFormats="0" applyWidthHeightFormats="0">
  <queryTableRefresh nextId="112">
    <queryTableFields count="11">
      <queryTableField id="101" name="refinancible1" tableColumnId="1"/>
      <queryTableField id="102" name="refinancible2" tableColumnId="2"/>
      <queryTableField id="103" name="refinancible3" tableColumnId="3"/>
      <queryTableField id="104" name="refinancible4" tableColumnId="4"/>
      <queryTableField id="105" name="refinancible5" tableColumnId="5"/>
      <queryTableField id="106" name="refinancible6" tableColumnId="6"/>
      <queryTableField id="107" name="refinancible7" tableColumnId="7"/>
      <queryTableField id="108" name="refinancible8" tableColumnId="8"/>
      <queryTableField id="109" name="refinancible9" tableColumnId="9"/>
      <queryTableField id="110" name="refinancible10" tableColumnId="10"/>
      <queryTableField id="111" name="refinancible11" tableColumnId="11"/>
    </queryTableFields>
    <queryTableDeletedFields count="1">
      <deletedField name="refinancible_satoAdj"/>
    </queryTableDeletedFields>
  </queryTableRefresh>
</queryTable>
</file>

<file path=xl/queryTables/queryTable8.xml><?xml version="1.0" encoding="utf-8"?>
<queryTable xmlns="http://schemas.openxmlformats.org/spreadsheetml/2006/main" name="Query from Agency_14" backgroundRefresh="0" adjustColumnWidth="0" connectionId="4" autoFormatId="16" applyNumberFormats="0" applyBorderFormats="0" applyFontFormats="0" applyPatternFormats="0" applyAlignmentFormats="0" applyWidthHeightFormats="0">
  <queryTableRefresh nextId="123">
    <queryTableFields count="11">
      <queryTableField id="112" name="refinanceable1" tableColumnId="1"/>
      <queryTableField id="113" name="refinanceable2" tableColumnId="2"/>
      <queryTableField id="114" name="refinanceable3" tableColumnId="3"/>
      <queryTableField id="115" name="refinanceable4" tableColumnId="4"/>
      <queryTableField id="116" name="refinanceable5" tableColumnId="5"/>
      <queryTableField id="117" name="refinanceable6" tableColumnId="6"/>
      <queryTableField id="118" name="refinanceable7" tableColumnId="7"/>
      <queryTableField id="119" name="refinanceable8" tableColumnId="8"/>
      <queryTableField id="120" name="refinanceable9" tableColumnId="9"/>
      <queryTableField id="121" name="refinanceable10" tableColumnId="10"/>
      <queryTableField id="122" name="refinanceable11" tableColumnId="11"/>
    </queryTableFields>
    <queryTableDeletedFields count="1">
      <deletedField name="refinancible_satoAdj"/>
    </queryTableDeletedFields>
  </queryTableRefresh>
</queryTable>
</file>

<file path=xl/queryTables/queryTable9.xml><?xml version="1.0" encoding="utf-8"?>
<queryTable xmlns="http://schemas.openxmlformats.org/spreadsheetml/2006/main" name="Query from Agency_15" backgroundRefresh="0" adjustColumnWidth="0" connectionId="5" autoFormatId="16" applyNumberFormats="0" applyBorderFormats="0" applyFontFormats="0" applyPatternFormats="0" applyAlignmentFormats="0" applyWidthHeightFormats="0">
  <queryTableRefresh nextId="123">
    <queryTableFields count="11">
      <queryTableField id="112" name="refinanceable1" tableColumnId="1"/>
      <queryTableField id="113" name="refinanceable2" tableColumnId="2"/>
      <queryTableField id="114" name="refinanceable3" tableColumnId="3"/>
      <queryTableField id="115" name="refinanceable4" tableColumnId="4"/>
      <queryTableField id="116" name="refinanceable5" tableColumnId="5"/>
      <queryTableField id="117" name="refinanceable6" tableColumnId="6"/>
      <queryTableField id="118" name="refinanceable7" tableColumnId="7"/>
      <queryTableField id="119" name="refinanceable8" tableColumnId="8"/>
      <queryTableField id="120" name="refinanceable9" tableColumnId="9"/>
      <queryTableField id="121" name="refinanceable10" tableColumnId="10"/>
      <queryTableField id="122" name="refinanceable11" tableColumnId="11"/>
    </queryTableFields>
    <queryTableDeletedFields count="1">
      <deletedField name="refinancible_satoAdj"/>
    </queryTableDeletedFields>
  </queryTableRefresh>
</queryTable>
</file>

<file path=xl/queryTables/queryTable10.xml><?xml version="1.0" encoding="utf-8"?>
<queryTable xmlns="http://schemas.openxmlformats.org/spreadsheetml/2006/main" name="Query from Agency_7" backgroundRefresh="0" adjustColumnWidth="0" connectionId="2" autoFormatId="16" applyNumberFormats="0" applyBorderFormats="0" applyFontFormats="0" applyPatternFormats="0" applyAlignmentFormats="0" applyWidthHeightFormats="0">
  <queryTableRefresh nextId="83">
    <queryTableFields count="3">
      <queryTableField id="51" name="AsOfDate" tableColumnId="10"/>
      <queryTableField id="68" name="SeriesNumValue" tableColumnId="5"/>
      <queryTableField id="82" name="TickerName" tableColumnId="1"/>
    </queryTableFields>
    <queryTableDeletedFields count="1">
      <deletedField name="Rate"/>
    </queryTableDeletedFields>
  </queryTableRefresh>
</queryTable>
</file>

<file path=xl/queryTables/queryTable11.xml><?xml version="1.0" encoding="utf-8"?>
<queryTable xmlns="http://schemas.openxmlformats.org/spreadsheetml/2006/main" name="Query from Agency_8" backgroundRefresh="0" adjustColumnWidth="0" connectionId="1" autoFormatId="16" applyNumberFormats="0" applyBorderFormats="0" applyFontFormats="0" applyPatternFormats="0" applyAlignmentFormats="0" applyWidthHeightFormats="0">
  <queryTableRefresh nextId="82" unboundColumnsRight="10">
    <queryTableFields count="13">
      <queryTableField id="51" name="AsOfDate" tableColumnId="10"/>
      <queryTableField id="68" name="SeriesNumValue" tableColumnId="5"/>
      <queryTableField id="69" name="Rate" tableColumnId="1"/>
      <queryTableField id="70" dataBound="0" tableColumnId="2"/>
      <queryTableField id="75" dataBound="0" tableColumnId="3"/>
      <queryTableField id="74" dataBound="0" tableColumnId="4"/>
      <queryTableField id="73" dataBound="0" tableColumnId="6"/>
      <queryTableField id="72" dataBound="0" tableColumnId="7"/>
      <queryTableField id="71" dataBound="0" tableColumnId="8"/>
      <queryTableField id="76" dataBound="0" tableColumnId="9"/>
      <queryTableField id="77" dataBound="0" tableColumnId="11"/>
      <queryTableField id="78" dataBound="0" tableColumnId="12"/>
      <queryTableField id="81" dataBound="0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id="4" name="CurrentMtgRatesDataTable825" displayName="CurrentMtgRatesDataTable825" ref="B2:F465" tableType="queryTable" totalsRowShown="0" headerRowDxfId="123" dataDxfId="122">
  <tableColumns count="5">
    <tableColumn id="1" uniqueName="1" name="asofdate" queryTableFieldId="62" dataDxfId="121"/>
    <tableColumn id="3" uniqueName="3" name="SeriesNumValue" queryTableFieldId="79" dataDxfId="120" dataCellStyle="Percent"/>
    <tableColumn id="5" uniqueName="5" name="Loan Level" queryTableFieldId="76" dataDxfId="119" dataCellStyle="Percent">
      <calculatedColumnFormula>VLOOKUP(CurrentMtgRatesDataTable825[[#This Row],[asofdate]],I:J,2,0)</calculatedColumnFormula>
    </tableColumn>
    <tableColumn id="2" uniqueName="2" name="With Lowest Rate" queryTableFieldId="78" dataDxfId="118" dataCellStyle="Percent">
      <calculatedColumnFormula>VLOOKUP(CurrentMtgRatesDataTable825[[#This Row],[asofdate]],O:P,2,0)</calculatedColumnFormula>
    </tableColumn>
    <tableColumn id="6" uniqueName="6" name="Refi Index" queryTableFieldId="77" dataDxfId="117" dataCellStyle="Percent">
      <calculatedColumnFormula>VLOOKUP(CurrentMtgRatesDataTable825[[#This Row],[asofdate]]+1,Bloomberg!B:C,2,0)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7" name="CurrentMtgRatesDataTable82527141518" displayName="CurrentMtgRatesDataTable82527141518" ref="I2:M465" tableType="queryTable" totalsRowShown="0" headerRowDxfId="116" dataDxfId="115">
  <tableColumns count="5">
    <tableColumn id="1" uniqueName="1" name="asofdate" queryTableFieldId="62" dataDxfId="68"/>
    <tableColumn id="2" uniqueName="2" name="SeriesNumValue" queryTableFieldId="78" dataDxfId="67" dataCellStyle="Percent"/>
    <tableColumn id="3" uniqueName="3" name="With Lowest Rate" queryTableFieldId="80" dataDxfId="66" dataCellStyle="Percent">
      <calculatedColumnFormula>VLOOKUP(CurrentMtgRatesDataTable82527141518[[#This Row],[asofdate]],O:P,2,0)</calculatedColumnFormula>
    </tableColumn>
    <tableColumn id="5" uniqueName="5" name="12 Weeks Scenario" queryTableFieldId="81" dataDxfId="65" dataCellStyle="Percent">
      <calculatedColumnFormula>VLOOKUP(CurrentMtgRatesDataTable82527141518[[#This Row],[asofdate]],S:T,2,0)</calculatedColumnFormula>
    </tableColumn>
    <tableColumn id="4" uniqueName="4" name="Refi Index" queryTableFieldId="79" dataDxfId="64">
      <calculatedColumnFormula>VLOOKUP(CurrentMtgRatesDataTable82527141518[[#This Row],[asofdate]]+1,Bloomberg!B:C,2,0)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18" name="CurrentMtgRatesDataTable82527141619" displayName="CurrentMtgRatesDataTable82527141619" ref="O2:P464" tableType="queryTable" totalsRowShown="0" headerRowDxfId="114" dataDxfId="113">
  <tableColumns count="2">
    <tableColumn id="1" uniqueName="1" name="asofdate" queryTableFieldId="62" dataDxfId="63"/>
    <tableColumn id="2" uniqueName="2" name="SeriesNumValue" queryTableFieldId="78" dataDxfId="62" dataCellStyle="Percent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19" name="CurrentMtgRatesDataTable82527141720" displayName="CurrentMtgRatesDataTable82527141720" ref="S2:T465" tableType="queryTable" totalsRowShown="0" headerRowDxfId="112" dataDxfId="111">
  <tableColumns count="2">
    <tableColumn id="1" uniqueName="1" name="asofdate" queryTableFieldId="62" dataDxfId="34"/>
    <tableColumn id="2" uniqueName="2" name="SeriesNumValue" queryTableFieldId="78" dataDxfId="33" dataCellStyle="Percent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2" name="CurrentMtgRatesDataTable82523" displayName="CurrentMtgRatesDataTable82523" ref="B2:C3" tableType="queryTable" totalsRowShown="0" headerRowDxfId="110" dataDxfId="109">
  <tableColumns count="2">
    <tableColumn id="1" uniqueName="1" name="AsOfDate" queryTableFieldId="62" dataDxfId="86"/>
    <tableColumn id="6" uniqueName="6" name="SeriesNumValue" queryTableFieldId="77" dataDxfId="85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3" name="CurrentMtgRatesDataTable825234" displayName="CurrentMtgRatesDataTable825234" ref="F2:P3" tableType="queryTable" totalsRowShown="0" headerRowDxfId="108" dataDxfId="107">
  <tableColumns count="11">
    <tableColumn id="7" uniqueName="7" name="refinancible1" queryTableFieldId="78" dataDxfId="106"/>
    <tableColumn id="8" uniqueName="8" name="refinancible2" queryTableFieldId="79" dataDxfId="105"/>
    <tableColumn id="9" uniqueName="9" name="refinancible3" queryTableFieldId="80" dataDxfId="104"/>
    <tableColumn id="10" uniqueName="10" name="refinancible4" queryTableFieldId="81" dataDxfId="103"/>
    <tableColumn id="11" uniqueName="11" name="refinancible5" queryTableFieldId="82" dataDxfId="102"/>
    <tableColumn id="12" uniqueName="12" name="refinancible6" queryTableFieldId="83" dataDxfId="101"/>
    <tableColumn id="13" uniqueName="13" name="refinancible7" queryTableFieldId="84" dataDxfId="100"/>
    <tableColumn id="14" uniqueName="14" name="refinancible8" queryTableFieldId="85" dataDxfId="99"/>
    <tableColumn id="15" uniqueName="15" name="refinancible9" queryTableFieldId="86" dataDxfId="98"/>
    <tableColumn id="16" uniqueName="16" name="refinancible10" queryTableFieldId="87" dataDxfId="97"/>
    <tableColumn id="17" uniqueName="17" name="refinancible11" queryTableFieldId="88" dataDxfId="96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5" name="CurrentMtgRatesDataTable8252346" displayName="CurrentMtgRatesDataTable8252346" ref="F7:P8" tableType="queryTable" totalsRowShown="0" headerRowDxfId="95" dataDxfId="94">
  <tableColumns count="11">
    <tableColumn id="1" uniqueName="1" name="refinancible1" queryTableFieldId="101" dataDxfId="32"/>
    <tableColumn id="2" uniqueName="2" name="refinancible2" queryTableFieldId="102" dataDxfId="31"/>
    <tableColumn id="3" uniqueName="3" name="refinancible3" queryTableFieldId="103" dataDxfId="30"/>
    <tableColumn id="4" uniqueName="4" name="refinancible4" queryTableFieldId="104" dataDxfId="29"/>
    <tableColumn id="5" uniqueName="5" name="refinancible5" queryTableFieldId="105" dataDxfId="28"/>
    <tableColumn id="6" uniqueName="6" name="refinancible6" queryTableFieldId="106" dataDxfId="27"/>
    <tableColumn id="7" uniqueName="7" name="refinancible7" queryTableFieldId="107" dataDxfId="26"/>
    <tableColumn id="8" uniqueName="8" name="refinancible8" queryTableFieldId="108" dataDxfId="25"/>
    <tableColumn id="9" uniqueName="9" name="refinancible9" queryTableFieldId="109" dataDxfId="24"/>
    <tableColumn id="10" uniqueName="10" name="refinancible10" queryTableFieldId="110" dataDxfId="23"/>
    <tableColumn id="11" uniqueName="11" name="refinancible11" queryTableFieldId="111" dataDxfId="22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7" name="CurrentMtgRatesDataTable82523468" displayName="CurrentMtgRatesDataTable82523468" ref="F11:P12" tableType="queryTable" totalsRowShown="0" headerRowDxfId="93" dataDxfId="92">
  <tableColumns count="11">
    <tableColumn id="1" uniqueName="1" name="refinanceable1" queryTableFieldId="112" dataDxfId="21"/>
    <tableColumn id="2" uniqueName="2" name="refinanceable2" queryTableFieldId="113" dataDxfId="20"/>
    <tableColumn id="3" uniqueName="3" name="refinanceable3" queryTableFieldId="114" dataDxfId="19"/>
    <tableColumn id="4" uniqueName="4" name="refinanceable4" queryTableFieldId="115" dataDxfId="18"/>
    <tableColumn id="5" uniqueName="5" name="refinanceable5" queryTableFieldId="116" dataDxfId="17"/>
    <tableColumn id="6" uniqueName="6" name="refinanceable6" queryTableFieldId="117" dataDxfId="16"/>
    <tableColumn id="7" uniqueName="7" name="refinanceable7" queryTableFieldId="118" dataDxfId="15"/>
    <tableColumn id="8" uniqueName="8" name="refinanceable8" queryTableFieldId="119" dataDxfId="14"/>
    <tableColumn id="9" uniqueName="9" name="refinanceable9" queryTableFieldId="120" dataDxfId="13"/>
    <tableColumn id="10" uniqueName="10" name="refinanceable10" queryTableFieldId="121" dataDxfId="12"/>
    <tableColumn id="11" uniqueName="11" name="refinanceable11" queryTableFieldId="122" dataDxfId="11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id="11" name="CurrentMtgRatesDataTable825234682" displayName="CurrentMtgRatesDataTable825234682" ref="F31:P32" tableType="queryTable" totalsRowShown="0" headerRowDxfId="91">
  <tableColumns count="11">
    <tableColumn id="1" uniqueName="1" name="refinanceable1" queryTableFieldId="112" dataDxfId="10"/>
    <tableColumn id="2" uniqueName="2" name="refinanceable2" queryTableFieldId="113" dataDxfId="9"/>
    <tableColumn id="3" uniqueName="3" name="refinanceable3" queryTableFieldId="114" dataDxfId="8"/>
    <tableColumn id="4" uniqueName="4" name="refinanceable4" queryTableFieldId="115" dataDxfId="7"/>
    <tableColumn id="5" uniqueName="5" name="refinanceable5" queryTableFieldId="116" dataDxfId="6"/>
    <tableColumn id="6" uniqueName="6" name="refinanceable6" queryTableFieldId="117" dataDxfId="5"/>
    <tableColumn id="7" uniqueName="7" name="refinanceable7" queryTableFieldId="118" dataDxfId="4"/>
    <tableColumn id="8" uniqueName="8" name="refinanceable8" queryTableFieldId="119" dataDxfId="3"/>
    <tableColumn id="9" uniqueName="9" name="refinanceable9" queryTableFieldId="120" dataDxfId="2"/>
    <tableColumn id="10" uniqueName="10" name="refinanceable10" queryTableFieldId="121" dataDxfId="1"/>
    <tableColumn id="11" uniqueName="11" name="refinanceable11" queryTableFieldId="122" dataDxfId="0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id="9" name="CurrentMtgRatesDataTable810" displayName="CurrentMtgRatesDataTable810" ref="S4:U7" tableType="queryTable" totalsRowShown="0" headerRowDxfId="90" dataDxfId="89">
  <tableColumns count="3">
    <tableColumn id="10" uniqueName="10" name="AsOfDate" queryTableFieldId="51" dataDxfId="71" dataCellStyle="Normal 2 7"/>
    <tableColumn id="5" uniqueName="5" name="SeriesNumValue" queryTableFieldId="68" dataDxfId="70" dataCellStyle="Normal 2 7"/>
    <tableColumn id="1" uniqueName="1" name="TickerName" queryTableFieldId="82" dataDxfId="69" dataCellStyle="Normal 2 7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id="10" name="CurrentMtgRatesDataTable811" displayName="CurrentMtgRatesDataTable811" ref="A4:M40" tableType="queryTable" totalsRowShown="0" headerRowDxfId="88" dataDxfId="87">
  <tableColumns count="13">
    <tableColumn id="10" uniqueName="10" name="AsOfDate" queryTableFieldId="51" dataDxfId="84" dataCellStyle="Normal 2 7"/>
    <tableColumn id="5" uniqueName="5" name="SeriesNumValue" queryTableFieldId="68" dataDxfId="83"/>
    <tableColumn id="1" uniqueName="1" name="Rate" queryTableFieldId="69" dataDxfId="82"/>
    <tableColumn id="2" uniqueName="2" name="Weekday" queryTableFieldId="70" dataDxfId="81" dataCellStyle="Normal 2 7">
      <calculatedColumnFormula>WEEKDAY(A5,14)</calculatedColumnFormula>
    </tableColumn>
    <tableColumn id="3" uniqueName="3" name="Weight" queryTableFieldId="75" dataDxfId="80" dataCellStyle="Normal 2 7">
      <calculatedColumnFormula>VLOOKUP(D5,P$5:Q$11,2,FALSE)</calculatedColumnFormula>
    </tableColumn>
    <tableColumn id="4" uniqueName="4" name="Counter" queryTableFieldId="74" dataDxfId="79" dataCellStyle="Normal 2 7">
      <calculatedColumnFormula>IF(AND(D5&gt;D4,F4&lt;6),F4+1,1)</calculatedColumnFormula>
    </tableColumn>
    <tableColumn id="6" uniqueName="6" name="Accumulated Weighted CC" queryTableFieldId="73" dataDxfId="78" dataCellStyle="Normal 2 7">
      <calculatedColumnFormula>IF(F5&gt;F4,G4+B5*E5,B5*E5)</calculatedColumnFormula>
    </tableColumn>
    <tableColumn id="7" uniqueName="7" name="AccumulatedWeight" queryTableFieldId="72" dataDxfId="77" dataCellStyle="Normal 2 7">
      <calculatedColumnFormula>IF(AND(F5&lt;6,F5&gt;F4),E5+H4,E5)</calculatedColumnFormula>
    </tableColumn>
    <tableColumn id="8" uniqueName="8" name="WA CC" queryTableFieldId="71" dataDxfId="76" dataCellStyle="Normal 2 7">
      <calculatedColumnFormula>IF(F5&gt;F6,G5/H5,0)</calculatedColumnFormula>
    </tableColumn>
    <tableColumn id="9" uniqueName="9" name="Servicing Spread" queryTableFieldId="76" dataDxfId="75" dataCellStyle="Normal 2 7">
      <calculatedColumnFormula>IF(CurrentMtgRatesDataTable811[[#This Row],[WA CC]]&lt;&gt;0,C4-CurrentMtgRatesDataTable811[[#This Row],[WA CC]],0)</calculatedColumnFormula>
    </tableColumn>
    <tableColumn id="11" uniqueName="11" name="Servicing Spread Non-Zero" queryTableFieldId="77" dataDxfId="74" dataCellStyle="Normal 2 7">
      <calculatedColumnFormula>IF(CurrentMtgRatesDataTable811[[#This Row],[Servicing Spread]]&lt;=0,K4,CurrentMtgRatesDataTable811[[#This Row],[Servicing Spread]])</calculatedColumnFormula>
    </tableColumn>
    <tableColumn id="12" uniqueName="12" name="Servicing Spread 1m chg" queryTableFieldId="78" dataDxfId="73" dataCellStyle="Normal 2 7">
      <calculatedColumnFormula>CurrentMtgRatesDataTable811[[#This Row],[Servicing Spread Non-Zero]]-K4</calculatedColumnFormula>
    </tableColumn>
    <tableColumn id="15" uniqueName="15" name="Survey Rate 1m chg" queryTableFieldId="81" dataDxfId="72" dataCellStyle="Normal 2 7">
      <calculatedColumnFormula>IF(I4&lt;&gt;0,CurrentMtgRatesDataTable811[[#This Row],[Rate]]-C4,M4)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quickenloans.com/home-loans/30-year-fixed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AC92"/>
  <sheetViews>
    <sheetView showGridLines="0" tabSelected="1" zoomScaleNormal="100" workbookViewId="0">
      <selection activeCell="X40" sqref="X40"/>
    </sheetView>
  </sheetViews>
  <sheetFormatPr defaultRowHeight="12.75"/>
  <cols>
    <col min="1" max="1" width="9.140625" style="6" customWidth="1"/>
    <col min="2" max="2" width="9.140625" style="6"/>
    <col min="3" max="13" width="10.140625" style="6" customWidth="1"/>
    <col min="14" max="14" width="10.28515625" style="6" customWidth="1"/>
    <col min="15" max="15" width="8.42578125" style="6" customWidth="1"/>
    <col min="16" max="16" width="8.7109375" style="6" customWidth="1"/>
    <col min="17" max="19" width="8.42578125" style="6" customWidth="1"/>
    <col min="20" max="20" width="10.7109375" style="6" bestFit="1" customWidth="1"/>
    <col min="21" max="21" width="5.140625" style="6" customWidth="1"/>
    <col min="22" max="23" width="7.5703125" style="6" customWidth="1"/>
    <col min="24" max="24" width="10.28515625" style="6" customWidth="1"/>
    <col min="25" max="25" width="9.140625" style="6"/>
    <col min="26" max="26" width="14.140625" style="6" customWidth="1"/>
    <col min="27" max="27" width="40.85546875" style="6" bestFit="1" customWidth="1"/>
    <col min="28" max="28" width="14.85546875" style="6" bestFit="1" customWidth="1"/>
    <col min="29" max="16384" width="9.140625" style="6"/>
  </cols>
  <sheetData>
    <row r="1" spans="3:29">
      <c r="Z1" s="2" t="s">
        <v>1</v>
      </c>
      <c r="AA1" s="3" t="s">
        <v>2</v>
      </c>
      <c r="AB1" s="6" t="s">
        <v>3</v>
      </c>
      <c r="AC1" s="3" t="s">
        <v>4</v>
      </c>
    </row>
    <row r="2" spans="3:29">
      <c r="Z2" s="2" t="s">
        <v>5</v>
      </c>
      <c r="AA2" s="4">
        <v>42702</v>
      </c>
    </row>
    <row r="3" spans="3:29">
      <c r="Z3" s="2" t="s">
        <v>19</v>
      </c>
      <c r="AA3" s="19" t="s">
        <v>119</v>
      </c>
    </row>
    <row r="4" spans="3:29">
      <c r="Z4" s="2" t="s">
        <v>6</v>
      </c>
      <c r="AA4" s="3" t="str">
        <f>PDFReportDir&amp;"Refinancible Universe " &amp; TEXT(CurrentCloseDate, "yyyy-mm-dd") &amp; ".pdf"</f>
        <v>S:\IT\Production\Daily Reports\Primary Market\2016-11\Refinancible Universe 2016-11-28.pdf</v>
      </c>
    </row>
    <row r="5" spans="3:29">
      <c r="Z5" s="7"/>
    </row>
    <row r="6" spans="3:29">
      <c r="Z6" s="7"/>
    </row>
    <row r="9" spans="3:29" s="8" customFormat="1"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R9" s="6"/>
      <c r="S9" s="6"/>
      <c r="T9" s="6"/>
      <c r="U9" s="6"/>
      <c r="V9" s="6"/>
      <c r="W9" s="6"/>
      <c r="X9" s="6"/>
      <c r="Z9" s="8" t="s">
        <v>15</v>
      </c>
      <c r="AA9" s="13">
        <f>IF(DAY(CurrentCloseDate)&lt;0,(CurrentCloseDate-DAY(CurrentCloseDate))-DAY((CurrentCloseDate-DAY(CurrentCloseDate)))+1,CurrentCloseDate-DAY(CurrentCloseDate)+1)</f>
        <v>42675</v>
      </c>
      <c r="AB9" s="66" t="s">
        <v>67</v>
      </c>
    </row>
    <row r="10" spans="3:29" s="9" customFormat="1"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R10" s="6"/>
      <c r="S10" s="6"/>
      <c r="T10" s="6"/>
      <c r="U10" s="6"/>
      <c r="V10" s="6"/>
      <c r="W10" s="6"/>
      <c r="X10" s="6"/>
      <c r="Z10" s="9" t="s">
        <v>16</v>
      </c>
      <c r="AA10" s="14">
        <f>(AA9-1)-DAY((AA9-1))+1</f>
        <v>42644</v>
      </c>
    </row>
    <row r="11" spans="3:29" s="9" customFormat="1"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R11" s="6"/>
      <c r="S11" s="6"/>
      <c r="T11" s="6"/>
      <c r="U11" s="6"/>
      <c r="V11" s="6"/>
      <c r="W11" s="6"/>
      <c r="X11" s="6"/>
    </row>
    <row r="12" spans="3:29" s="9" customFormat="1"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R12" s="6"/>
      <c r="S12" s="6"/>
      <c r="T12" s="6"/>
      <c r="U12" s="6"/>
      <c r="V12" s="6"/>
      <c r="W12" s="6"/>
      <c r="X12" s="6"/>
      <c r="AA12" s="14"/>
    </row>
    <row r="13" spans="3:29" s="9" customFormat="1"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R13" s="6"/>
      <c r="S13" s="6"/>
      <c r="T13" s="6"/>
      <c r="U13" s="6"/>
      <c r="V13" s="6"/>
      <c r="W13" s="6"/>
      <c r="X13" s="6"/>
      <c r="Z13" s="9" t="s">
        <v>146</v>
      </c>
      <c r="AA13" s="14">
        <f>CurrentMtgRatesDataTable82523[AsOfDate]</f>
        <v>42697</v>
      </c>
    </row>
    <row r="14" spans="3:29" s="9" customFormat="1"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R14" s="6"/>
      <c r="S14" s="6"/>
      <c r="T14" s="6"/>
      <c r="U14" s="6"/>
      <c r="V14" s="6"/>
      <c r="W14" s="6"/>
      <c r="X14" s="6"/>
    </row>
    <row r="15" spans="3:29" s="9" customFormat="1"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R15" s="6"/>
      <c r="S15" s="6"/>
      <c r="T15" s="6"/>
      <c r="U15" s="6"/>
      <c r="V15" s="6"/>
      <c r="W15" s="6"/>
      <c r="X15" s="6"/>
    </row>
    <row r="16" spans="3:29" s="9" customFormat="1"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R16" s="6"/>
      <c r="S16" s="6"/>
      <c r="T16" s="6"/>
      <c r="U16" s="6"/>
      <c r="V16" s="6"/>
      <c r="W16" s="6"/>
      <c r="X16" s="6"/>
    </row>
    <row r="17" spans="3:24" s="9" customFormat="1"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R17" s="6"/>
      <c r="S17" s="6"/>
      <c r="T17" s="6"/>
      <c r="U17" s="6"/>
      <c r="V17" s="6"/>
      <c r="W17" s="6"/>
      <c r="X17" s="6"/>
    </row>
    <row r="18" spans="3:24" s="9" customFormat="1"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R18" s="6"/>
      <c r="S18" s="6"/>
      <c r="T18" s="6"/>
      <c r="U18" s="6"/>
      <c r="V18" s="6"/>
      <c r="W18" s="6"/>
      <c r="X18" s="6"/>
    </row>
    <row r="19" spans="3:24" s="9" customFormat="1"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R19" s="6"/>
      <c r="S19" s="6"/>
      <c r="T19" s="6"/>
      <c r="U19" s="6"/>
      <c r="V19" s="6"/>
      <c r="W19" s="6"/>
      <c r="X19" s="6"/>
    </row>
    <row r="20" spans="3:24" s="9" customFormat="1"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R20" s="6"/>
      <c r="S20" s="6"/>
      <c r="T20" s="6"/>
      <c r="U20" s="6"/>
      <c r="V20" s="6"/>
      <c r="W20" s="6"/>
      <c r="X20" s="6"/>
    </row>
    <row r="21" spans="3:24" s="9" customFormat="1"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R21" s="6"/>
      <c r="S21" s="6"/>
      <c r="T21" s="6"/>
      <c r="U21" s="6"/>
      <c r="V21" s="6"/>
      <c r="W21" s="6"/>
      <c r="X21" s="6"/>
    </row>
    <row r="35" spans="3:28">
      <c r="AA35" s="18"/>
      <c r="AB35" s="32"/>
    </row>
    <row r="38" spans="3:28">
      <c r="O38" s="37" t="s">
        <v>93</v>
      </c>
      <c r="P38" s="37"/>
      <c r="Q38" s="78">
        <f>'Function Of Rate'!C8</f>
        <v>3.0232721749517699</v>
      </c>
      <c r="S38" s="38" t="s">
        <v>94</v>
      </c>
      <c r="T38" s="78">
        <f>'Function Of Rate'!C9</f>
        <v>0.90773422124067249</v>
      </c>
    </row>
    <row r="39" spans="3:28" ht="15.75" thickBot="1">
      <c r="C39" s="5" t="s">
        <v>30</v>
      </c>
      <c r="E39" s="26"/>
      <c r="F39" s="27"/>
      <c r="J39" s="38" t="s">
        <v>68</v>
      </c>
      <c r="K39" s="80">
        <f>CurrentMtgRatesDataTable82523[SeriesNumValue]</f>
        <v>3.9050000000000002</v>
      </c>
      <c r="L39" s="38" t="s">
        <v>58</v>
      </c>
      <c r="M39" s="59">
        <f>CurrentMtgRatesDataTable82523[AsOfDate]</f>
        <v>42697</v>
      </c>
      <c r="O39" s="37" t="s">
        <v>95</v>
      </c>
      <c r="P39" s="37"/>
      <c r="Q39" s="79">
        <f>ImpliedRate</f>
        <v>3.9310063961924424</v>
      </c>
      <c r="S39" s="38" t="s">
        <v>58</v>
      </c>
      <c r="T39" s="67">
        <f>CurrentCloseDate</f>
        <v>42702</v>
      </c>
    </row>
    <row r="40" spans="3:28" s="33" customFormat="1" ht="13.5" customHeight="1">
      <c r="C40" s="44"/>
      <c r="D40" s="131" t="s">
        <v>150</v>
      </c>
      <c r="E40" s="132"/>
      <c r="F40" s="133"/>
      <c r="G40" s="134" t="s">
        <v>96</v>
      </c>
      <c r="H40" s="135"/>
      <c r="I40" s="136"/>
      <c r="J40" s="60" t="s">
        <v>65</v>
      </c>
      <c r="K40" s="137" t="s">
        <v>28</v>
      </c>
      <c r="L40" s="135"/>
      <c r="M40" s="136"/>
      <c r="O40" s="140"/>
      <c r="P40" s="137" t="s">
        <v>150</v>
      </c>
      <c r="Q40" s="136"/>
      <c r="R40" s="137" t="s">
        <v>96</v>
      </c>
      <c r="S40" s="136"/>
      <c r="T40" s="129" t="s">
        <v>65</v>
      </c>
    </row>
    <row r="41" spans="3:28" s="33" customFormat="1" ht="13.5" customHeight="1">
      <c r="C41" s="45" t="s">
        <v>29</v>
      </c>
      <c r="D41" s="39" t="s">
        <v>27</v>
      </c>
      <c r="E41" s="28" t="s">
        <v>12</v>
      </c>
      <c r="F41" s="40" t="s">
        <v>13</v>
      </c>
      <c r="G41" s="82" t="s">
        <v>27</v>
      </c>
      <c r="H41" s="28" t="s">
        <v>12</v>
      </c>
      <c r="I41" s="40" t="s">
        <v>13</v>
      </c>
      <c r="J41" s="61" t="s">
        <v>66</v>
      </c>
      <c r="K41" s="39" t="s">
        <v>27</v>
      </c>
      <c r="L41" s="28" t="s">
        <v>12</v>
      </c>
      <c r="M41" s="40" t="s">
        <v>13</v>
      </c>
      <c r="O41" s="39" t="s">
        <v>54</v>
      </c>
      <c r="P41" s="39" t="s">
        <v>55</v>
      </c>
      <c r="Q41" s="40" t="s">
        <v>56</v>
      </c>
      <c r="R41" s="39" t="s">
        <v>55</v>
      </c>
      <c r="S41" s="40" t="s">
        <v>56</v>
      </c>
      <c r="T41" s="130"/>
    </row>
    <row r="42" spans="3:28" s="33" customFormat="1" ht="13.5" customHeight="1">
      <c r="C42" s="46">
        <f>Query!I3</f>
        <v>42691</v>
      </c>
      <c r="D42" s="48">
        <f>Query!J3</f>
        <v>4.6051586200000001E-2</v>
      </c>
      <c r="E42" s="34">
        <f>Query!J3-Query!J7</f>
        <v>-0.58521712739999998</v>
      </c>
      <c r="F42" s="49">
        <f>Query!J3-Query!J15</f>
        <v>-0.67926913519999998</v>
      </c>
      <c r="G42" s="83">
        <f>Query!L3</f>
        <v>0</v>
      </c>
      <c r="H42" s="34">
        <f>Query!L3-Query!L7</f>
        <v>-6.2051012000000003E-3</v>
      </c>
      <c r="I42" s="49">
        <f>Query!L3-Query!L15</f>
        <v>-0.38668737850000001</v>
      </c>
      <c r="J42" s="49">
        <f>Query!K3</f>
        <v>0</v>
      </c>
      <c r="K42" s="52">
        <f ca="1">Query!M3</f>
        <v>1620.2</v>
      </c>
      <c r="L42" s="34">
        <f ca="1">(Query!M7-Query!M3)/Query!M3</f>
        <v>0.21744229107517588</v>
      </c>
      <c r="M42" s="49">
        <f ca="1">(Query!M16-Query!M3)/Query!M3</f>
        <v>0.42105912850265403</v>
      </c>
      <c r="O42" s="41" t="s">
        <v>48</v>
      </c>
      <c r="P42" s="56">
        <f>'Function Of Rate'!F$17</f>
        <v>0.62189467943359122</v>
      </c>
      <c r="Q42" s="49">
        <f>P42-$P$47</f>
        <v>0.31455527707968789</v>
      </c>
      <c r="R42" s="56">
        <f>CurrentMtgRatesDataTable825234682[refinanceable1]</f>
        <v>1.0469369956980943E-3</v>
      </c>
      <c r="S42" s="49">
        <f>P42-$P$47</f>
        <v>0.31455527707968789</v>
      </c>
      <c r="T42" s="49">
        <f>'Function Of Rate'!F18</f>
        <v>0</v>
      </c>
    </row>
    <row r="43" spans="3:28" s="33" customFormat="1" ht="13.5" customHeight="1">
      <c r="C43" s="46">
        <f>Query!I4</f>
        <v>42684</v>
      </c>
      <c r="D43" s="48">
        <f>Query!J4</f>
        <v>4.6056585999999997E-2</v>
      </c>
      <c r="E43" s="34">
        <f>Query!J4-Query!J8</f>
        <v>-0.6833950822</v>
      </c>
      <c r="F43" s="49">
        <f>Query!J4-Query!J16</f>
        <v>-0.65021185990000008</v>
      </c>
      <c r="G43" s="83">
        <f>Query!L4</f>
        <v>0</v>
      </c>
      <c r="H43" s="34">
        <f>Query!L4-Query!L8</f>
        <v>-0.41034721800000001</v>
      </c>
      <c r="I43" s="49">
        <f>Query!L4-Query!L16</f>
        <v>-0.36346232249999999</v>
      </c>
      <c r="J43" s="62">
        <f>Query!K4</f>
        <v>0</v>
      </c>
      <c r="K43" s="52">
        <f ca="1">Query!M4</f>
        <v>1648</v>
      </c>
      <c r="L43" s="34">
        <f ca="1">(Query!M8-Query!M4)/Query!M4</f>
        <v>0.25964805825242726</v>
      </c>
      <c r="M43" s="49">
        <f ca="1">(Query!M17-Query!M4)/Query!M4</f>
        <v>0.4479975728155341</v>
      </c>
      <c r="O43" s="41" t="s">
        <v>47</v>
      </c>
      <c r="P43" s="56">
        <f>'Function Of Rate'!G$17</f>
        <v>0.51596464926495167</v>
      </c>
      <c r="Q43" s="49">
        <f t="shared" ref="Q43:Q46" si="0">P43-$P$47</f>
        <v>0.20862524691104833</v>
      </c>
      <c r="R43" s="56">
        <f>CurrentMtgRatesDataTable825234682[refinanceable2]</f>
        <v>5.0161297528015744E-4</v>
      </c>
      <c r="S43" s="49">
        <f>P43-$P$47</f>
        <v>0.20862524691104833</v>
      </c>
      <c r="T43" s="49">
        <f>'Function Of Rate'!G18</f>
        <v>0</v>
      </c>
    </row>
    <row r="44" spans="3:28" s="33" customFormat="1" ht="13.5" customHeight="1">
      <c r="C44" s="46">
        <f>Query!I5</f>
        <v>42677</v>
      </c>
      <c r="D44" s="48">
        <f>Query!J5</f>
        <v>0.62265392249999996</v>
      </c>
      <c r="E44" s="34">
        <f>Query!J5-Query!J9</f>
        <v>-8.8808102500000041E-2</v>
      </c>
      <c r="F44" s="49">
        <f>Query!J5-Query!J17</f>
        <v>-0.11353603070000007</v>
      </c>
      <c r="G44" s="83">
        <f>Query!L5</f>
        <v>4.2075057000000001E-3</v>
      </c>
      <c r="H44" s="34">
        <f>Query!L5-Query!L9</f>
        <v>-0.38597855139999998</v>
      </c>
      <c r="I44" s="49">
        <f>Query!L5-Query!L17</f>
        <v>-0.39447076120000002</v>
      </c>
      <c r="J44" s="62">
        <f>Query!K5</f>
        <v>0</v>
      </c>
      <c r="K44" s="52">
        <f ca="1">Query!M5</f>
        <v>1883</v>
      </c>
      <c r="L44" s="34">
        <f ca="1">(Query!M9-Query!M5)/Query!M5</f>
        <v>0.22246415294742436</v>
      </c>
      <c r="M44" s="49">
        <f ca="1">(Query!M18-Query!M5)/Query!M5</f>
        <v>0.19750398300584179</v>
      </c>
      <c r="O44" s="41" t="s">
        <v>46</v>
      </c>
      <c r="P44" s="56">
        <f>'Function Of Rate'!H$17</f>
        <v>0.43621860494286335</v>
      </c>
      <c r="Q44" s="49">
        <f t="shared" si="0"/>
        <v>0.12887920258896002</v>
      </c>
      <c r="R44" s="56">
        <f>CurrentMtgRatesDataTable825234682[refinanceable3]</f>
        <v>2.539778299511381E-4</v>
      </c>
      <c r="S44" s="49">
        <f>P44-$P$47</f>
        <v>0.12887920258896002</v>
      </c>
      <c r="T44" s="49">
        <f>'Function Of Rate'!H18</f>
        <v>0</v>
      </c>
    </row>
    <row r="45" spans="3:28" s="33" customFormat="1" ht="13.5" customHeight="1">
      <c r="C45" s="46">
        <f>Query!I6</f>
        <v>42670</v>
      </c>
      <c r="D45" s="48">
        <f>Query!J6</f>
        <v>0.67716679310000005</v>
      </c>
      <c r="E45" s="34">
        <f>Query!J6-Query!J10</f>
        <v>5.0034070400000075E-2</v>
      </c>
      <c r="F45" s="49">
        <f>Query!J6-Query!J18</f>
        <v>-2.1885486199999971E-2</v>
      </c>
      <c r="G45" s="83">
        <f>Query!L6</f>
        <v>7.8617854999999993E-3</v>
      </c>
      <c r="H45" s="34">
        <f>Query!L6-Query!L10</f>
        <v>-0.2943173375</v>
      </c>
      <c r="I45" s="49">
        <f>Query!L6-Query!L18</f>
        <v>-0.34556814829999999</v>
      </c>
      <c r="J45" s="62">
        <f>Query!K6</f>
        <v>0</v>
      </c>
      <c r="K45" s="52">
        <f ca="1">Query!M6</f>
        <v>1937.8</v>
      </c>
      <c r="L45" s="34">
        <f ca="1">(Query!M10-Query!M6)/Query!M6</f>
        <v>0.11998142223139655</v>
      </c>
      <c r="M45" s="49">
        <f ca="1">(Query!M19-Query!M6)/Query!M6</f>
        <v>0.2040458251625554</v>
      </c>
      <c r="O45" s="41" t="s">
        <v>45</v>
      </c>
      <c r="P45" s="56">
        <f>'Function Of Rate'!I$17</f>
        <v>0.39126981743213618</v>
      </c>
      <c r="Q45" s="49">
        <f t="shared" si="0"/>
        <v>8.3930415078232845E-2</v>
      </c>
      <c r="R45" s="56">
        <f>CurrentMtgRatesDataTable825234682[refinanceable4]</f>
        <v>1.764316138983977E-4</v>
      </c>
      <c r="S45" s="49">
        <f>P45-$P$47</f>
        <v>8.3930415078232845E-2</v>
      </c>
      <c r="T45" s="49">
        <f>'Function Of Rate'!I18</f>
        <v>0</v>
      </c>
    </row>
    <row r="46" spans="3:28" s="33" customFormat="1" ht="13.5" customHeight="1">
      <c r="C46" s="46">
        <f>Query!I7</f>
        <v>42663</v>
      </c>
      <c r="D46" s="48">
        <f>Query!J7</f>
        <v>0.63126871360000003</v>
      </c>
      <c r="E46" s="34">
        <f>Query!J7-Query!J11</f>
        <v>-3.6666066100000005E-2</v>
      </c>
      <c r="F46" s="49">
        <f>Query!J7-Query!J19</f>
        <v>-7.3964464699999954E-2</v>
      </c>
      <c r="G46" s="83">
        <f>Query!L7</f>
        <v>6.2051012000000003E-3</v>
      </c>
      <c r="H46" s="34">
        <f>Query!L7-Query!L11</f>
        <v>-0.31702289880000001</v>
      </c>
      <c r="I46" s="49">
        <f>Query!L7-Query!L19</f>
        <v>-0.35791301089999999</v>
      </c>
      <c r="J46" s="62">
        <f>Query!K7</f>
        <v>0</v>
      </c>
      <c r="K46" s="52">
        <f ca="1">Query!M7</f>
        <v>1972.5</v>
      </c>
      <c r="L46" s="34">
        <f ca="1">(Query!M11-Query!M7)/Query!M7</f>
        <v>0.12415716096324465</v>
      </c>
      <c r="M46" s="49">
        <f ca="1">(Query!M20-Query!M7)/Query!M7</f>
        <v>0.41095057034220528</v>
      </c>
      <c r="O46" s="41" t="s">
        <v>44</v>
      </c>
      <c r="P46" s="56">
        <f>'Function Of Rate'!J$17</f>
        <v>0.34937282511225631</v>
      </c>
      <c r="Q46" s="49">
        <f t="shared" si="0"/>
        <v>4.2033422758352978E-2</v>
      </c>
      <c r="R46" s="56">
        <f>CurrentMtgRatesDataTable825234682[refinanceable5]</f>
        <v>6.8737407271820695E-5</v>
      </c>
      <c r="S46" s="49">
        <f>P46-$P$47</f>
        <v>4.2033422758352978E-2</v>
      </c>
      <c r="T46" s="49">
        <f>'Function Of Rate'!J18</f>
        <v>0</v>
      </c>
    </row>
    <row r="47" spans="3:28" s="33" customFormat="1" ht="13.5" customHeight="1">
      <c r="C47" s="46">
        <f>Query!I8</f>
        <v>42649</v>
      </c>
      <c r="D47" s="48">
        <f>Query!J8</f>
        <v>0.72945166819999996</v>
      </c>
      <c r="E47" s="34">
        <f>Query!J8-Query!J12</f>
        <v>5.1253902199999923E-2</v>
      </c>
      <c r="F47" s="49">
        <f>Query!J8-Query!J20</f>
        <v>-5.0955252000000062E-3</v>
      </c>
      <c r="G47" s="83">
        <f>Query!L8</f>
        <v>0.41034721800000001</v>
      </c>
      <c r="H47" s="34">
        <f>Query!L8-Query!L12</f>
        <v>6.2942991900000023E-2</v>
      </c>
      <c r="I47" s="49">
        <f>Query!L8-Query!L20</f>
        <v>-0.32417741819999996</v>
      </c>
      <c r="J47" s="62">
        <f>Query!K8</f>
        <v>0</v>
      </c>
      <c r="K47" s="52">
        <f ca="1">Query!M8</f>
        <v>2075.9</v>
      </c>
      <c r="L47" s="34">
        <f ca="1">(Query!M12-Query!M8)/Query!M8</f>
        <v>0.16792716412158576</v>
      </c>
      <c r="M47" s="49">
        <f ca="1">(Query!M21-Query!M8)/Query!M8</f>
        <v>0.33513175008430068</v>
      </c>
      <c r="O47" s="54">
        <f>'Function Of Rate'!$K$15</f>
        <v>3.9310063961924424</v>
      </c>
      <c r="P47" s="57">
        <f>'Function Of Rate'!K$17</f>
        <v>0.30733940235390333</v>
      </c>
      <c r="Q47" s="55" t="s">
        <v>57</v>
      </c>
      <c r="R47" s="57">
        <f>CurrentMtgRatesDataTable825234682[refinanceable6]</f>
        <v>4.4705730322494124E-5</v>
      </c>
      <c r="S47" s="55" t="s">
        <v>57</v>
      </c>
      <c r="T47" s="55">
        <f>'Function Of Rate'!K18</f>
        <v>0</v>
      </c>
    </row>
    <row r="48" spans="3:28" s="33" customFormat="1" ht="13.5" customHeight="1">
      <c r="C48" s="46">
        <f>Query!I9</f>
        <v>42642</v>
      </c>
      <c r="D48" s="48">
        <f>Query!J9</f>
        <v>0.711462025</v>
      </c>
      <c r="E48" s="34">
        <f>Query!J9-Query!J13</f>
        <v>1.7816051599999994E-2</v>
      </c>
      <c r="F48" s="49">
        <f>Query!J9-Query!J21</f>
        <v>-3.5565039199999982E-2</v>
      </c>
      <c r="G48" s="83">
        <f>Query!L9</f>
        <v>0.39018605709999998</v>
      </c>
      <c r="H48" s="34">
        <f>Query!L9-Query!L13</f>
        <v>3.0087154099999958E-2</v>
      </c>
      <c r="I48" s="49">
        <f>Query!L9-Query!L21</f>
        <v>-0.35640473979999998</v>
      </c>
      <c r="J48" s="62">
        <f>Query!K9</f>
        <v>4.8680987000000002E-3</v>
      </c>
      <c r="K48" s="52">
        <f ca="1">Query!M9</f>
        <v>2301.9</v>
      </c>
      <c r="L48" s="34">
        <f ca="1">(Query!M13-Query!M9)/Query!M9</f>
        <v>3.4884226074112568E-2</v>
      </c>
      <c r="M48" s="49">
        <f ca="1">(Query!M22-Query!M9)/Query!M9</f>
        <v>7.489465224379864E-2</v>
      </c>
      <c r="O48" s="41" t="s">
        <v>49</v>
      </c>
      <c r="P48" s="56">
        <f>'Function Of Rate'!L$17</f>
        <v>0.2628303136301563</v>
      </c>
      <c r="Q48" s="49">
        <f t="shared" ref="Q48:Q52" si="1">P48-$P$47</f>
        <v>-4.4509088723747037E-2</v>
      </c>
      <c r="R48" s="56">
        <f>CurrentMtgRatesDataTable825234682[refinanceable7]</f>
        <v>3.1247354702148059E-5</v>
      </c>
      <c r="S48" s="49">
        <f>P48-$P$47</f>
        <v>-4.4509088723747037E-2</v>
      </c>
      <c r="T48" s="49">
        <f>'Function Of Rate'!L18</f>
        <v>0</v>
      </c>
    </row>
    <row r="49" spans="3:20" s="33" customFormat="1" ht="13.5" customHeight="1">
      <c r="C49" s="46">
        <f>Query!I10</f>
        <v>42635</v>
      </c>
      <c r="D49" s="48">
        <f>Query!J10</f>
        <v>0.62713272269999998</v>
      </c>
      <c r="E49" s="34">
        <f>Query!J10-Query!J14</f>
        <v>-6.8637597900000014E-2</v>
      </c>
      <c r="F49" s="49">
        <f>Query!J10-Query!J22</f>
        <v>-9.2058280599999986E-2</v>
      </c>
      <c r="G49" s="83">
        <f>Query!L10</f>
        <v>0.30217912299999999</v>
      </c>
      <c r="H49" s="34">
        <f>Query!L10-Query!L14</f>
        <v>-5.5444039000000001E-2</v>
      </c>
      <c r="I49" s="49">
        <f>Query!L10-Query!L22</f>
        <v>-6.2322333999999979E-2</v>
      </c>
      <c r="J49" s="62">
        <f>Query!K10</f>
        <v>0</v>
      </c>
      <c r="K49" s="52">
        <f ca="1">Query!M10</f>
        <v>2170.3000000000002</v>
      </c>
      <c r="L49" s="34" t="e">
        <f ca="1">(Query!M14-Query!M10)/Query!M10</f>
        <v>#N/A</v>
      </c>
      <c r="M49" s="49">
        <f ca="1">(Query!M23-Query!M10)/Query!M10</f>
        <v>-6.1420080173248015E-2</v>
      </c>
      <c r="O49" s="41" t="s">
        <v>50</v>
      </c>
      <c r="P49" s="56">
        <f>'Function Of Rate'!M$17</f>
        <v>0.22202897421272344</v>
      </c>
      <c r="Q49" s="49">
        <f t="shared" si="1"/>
        <v>-8.5310428141179895E-2</v>
      </c>
      <c r="R49" s="56">
        <f>CurrentMtgRatesDataTable825234682[refinanceable8]</f>
        <v>1.5709468943600092E-5</v>
      </c>
      <c r="S49" s="49">
        <f>P49-$P$47</f>
        <v>-8.5310428141179895E-2</v>
      </c>
      <c r="T49" s="49">
        <f>'Function Of Rate'!M18</f>
        <v>0</v>
      </c>
    </row>
    <row r="50" spans="3:20" s="33" customFormat="1" ht="13.5" customHeight="1">
      <c r="C50" s="46">
        <f>Query!I11</f>
        <v>42628</v>
      </c>
      <c r="D50" s="48">
        <f>Query!J11</f>
        <v>0.66793477970000004</v>
      </c>
      <c r="E50" s="34">
        <f>Query!J11-Query!J15</f>
        <v>-5.7385941699999998E-2</v>
      </c>
      <c r="F50" s="49">
        <f>Query!J11-Query!J23</f>
        <v>3.563824240000002E-2</v>
      </c>
      <c r="G50" s="83">
        <f>Query!L11</f>
        <v>0.32322800000000002</v>
      </c>
      <c r="H50" s="34">
        <f>Query!L11-Query!L15</f>
        <v>-6.3459378499999997E-2</v>
      </c>
      <c r="I50" s="49">
        <f>Query!L11-Query!L23</f>
        <v>2.7194013900000036E-2</v>
      </c>
      <c r="J50" s="62">
        <f>Query!K11</f>
        <v>0</v>
      </c>
      <c r="K50" s="52">
        <f ca="1">Query!M11</f>
        <v>2217.4</v>
      </c>
      <c r="L50" s="34">
        <f ca="1">(Query!M15-Query!M11)/Query!M11</f>
        <v>3.5672409127807302E-2</v>
      </c>
      <c r="M50" s="49">
        <f ca="1">(Query!M24-Query!M11)/Query!M11</f>
        <v>-6.1423288536123506E-2</v>
      </c>
      <c r="O50" s="41" t="s">
        <v>51</v>
      </c>
      <c r="P50" s="56">
        <f>'Function Of Rate'!N$17</f>
        <v>0.19751458384245796</v>
      </c>
      <c r="Q50" s="49">
        <f t="shared" si="1"/>
        <v>-0.10982481851144538</v>
      </c>
      <c r="R50" s="56">
        <f>CurrentMtgRatesDataTable825234682[refinanceable9]</f>
        <v>1.2062081290111748E-5</v>
      </c>
      <c r="S50" s="49">
        <f>P50-$P$47</f>
        <v>-0.10982481851144538</v>
      </c>
      <c r="T50" s="49">
        <f>'Function Of Rate'!N18</f>
        <v>0</v>
      </c>
    </row>
    <row r="51" spans="3:20" s="33" customFormat="1" ht="13.5" customHeight="1" thickBot="1">
      <c r="C51" s="47">
        <f>Query!I12</f>
        <v>42621</v>
      </c>
      <c r="D51" s="50">
        <f>Query!J12</f>
        <v>0.67819776600000004</v>
      </c>
      <c r="E51" s="43">
        <f>Query!J12-Query!J16</f>
        <v>-1.8070679899999997E-2</v>
      </c>
      <c r="F51" s="51">
        <f>Query!J12-Query!J24</f>
        <v>1.4177176600000063E-2</v>
      </c>
      <c r="G51" s="84">
        <f>Query!L12</f>
        <v>0.34740422609999999</v>
      </c>
      <c r="H51" s="43">
        <f>Query!L12-Query!L16</f>
        <v>-1.6058096399999999E-2</v>
      </c>
      <c r="I51" s="51">
        <f>Query!L12-Query!L24</f>
        <v>2.4219379699999988E-2</v>
      </c>
      <c r="J51" s="63">
        <f>Query!K12</f>
        <v>0</v>
      </c>
      <c r="K51" s="53">
        <f ca="1">Query!M12</f>
        <v>2424.5</v>
      </c>
      <c r="L51" s="43">
        <f ca="1">(Query!M16-Query!M12)/Query!M12</f>
        <v>-5.0360899154464803E-2</v>
      </c>
      <c r="M51" s="51">
        <f ca="1">(Query!M25-Query!M12)/Query!M12</f>
        <v>-0.18849247267477831</v>
      </c>
      <c r="O51" s="41" t="s">
        <v>52</v>
      </c>
      <c r="P51" s="56">
        <f>'Function Of Rate'!O$17</f>
        <v>0.17714388506437129</v>
      </c>
      <c r="Q51" s="49">
        <f t="shared" si="1"/>
        <v>-0.13019551728953205</v>
      </c>
      <c r="R51" s="56">
        <f>CurrentMtgRatesDataTable825234682[refinanceable10]</f>
        <v>2.9760866395791746E-6</v>
      </c>
      <c r="S51" s="49">
        <f>P51-$P$47</f>
        <v>-0.13019551728953205</v>
      </c>
      <c r="T51" s="49">
        <f>'Function Of Rate'!O18</f>
        <v>0</v>
      </c>
    </row>
    <row r="52" spans="3:20" ht="13.5" customHeight="1" thickBot="1">
      <c r="C52" s="36" t="s">
        <v>60</v>
      </c>
      <c r="H52"/>
      <c r="I52"/>
      <c r="J52"/>
      <c r="L52"/>
      <c r="M52" s="81" t="s">
        <v>62</v>
      </c>
      <c r="O52" s="42" t="s">
        <v>53</v>
      </c>
      <c r="P52" s="58">
        <f>'Function Of Rate'!P$17</f>
        <v>0.14104794586159894</v>
      </c>
      <c r="Q52" s="51">
        <f t="shared" si="1"/>
        <v>-0.1662914564923044</v>
      </c>
      <c r="R52" s="58">
        <f>CurrentMtgRatesDataTable825234682[refinanceable11]</f>
        <v>2.9760866395791746E-6</v>
      </c>
      <c r="S52" s="51">
        <f>P52-$P$47</f>
        <v>-0.1662914564923044</v>
      </c>
      <c r="T52" s="51">
        <f>'Function Of Rate'!P18</f>
        <v>0</v>
      </c>
    </row>
    <row r="53" spans="3:20" ht="12" customHeight="1">
      <c r="C53" s="36" t="s">
        <v>59</v>
      </c>
      <c r="O53" s="127" t="s">
        <v>92</v>
      </c>
      <c r="P53" s="127"/>
      <c r="Q53" s="127"/>
      <c r="R53" s="127"/>
      <c r="S53" s="127"/>
      <c r="T53" s="127"/>
    </row>
    <row r="54" spans="3:20">
      <c r="C54" s="141" t="s">
        <v>151</v>
      </c>
      <c r="D54" s="141"/>
      <c r="E54" s="141"/>
      <c r="F54" s="141"/>
      <c r="G54" s="141"/>
      <c r="H54" s="141"/>
      <c r="I54" s="141"/>
      <c r="J54" s="141"/>
      <c r="K54" s="141"/>
      <c r="L54" s="141"/>
      <c r="M54" s="141"/>
      <c r="O54" s="128"/>
      <c r="P54" s="128"/>
      <c r="Q54" s="128"/>
      <c r="R54" s="128"/>
      <c r="S54" s="128"/>
      <c r="T54" s="128"/>
    </row>
    <row r="55" spans="3:20" ht="15">
      <c r="D55"/>
      <c r="E55"/>
      <c r="F55"/>
      <c r="G55"/>
      <c r="H55"/>
      <c r="I55"/>
      <c r="J55"/>
    </row>
    <row r="56" spans="3:20" ht="15">
      <c r="D56"/>
      <c r="E56"/>
      <c r="F56"/>
      <c r="G56"/>
      <c r="H56"/>
      <c r="I56"/>
      <c r="J56"/>
    </row>
    <row r="57" spans="3:20" ht="15">
      <c r="D57"/>
      <c r="E57"/>
      <c r="F57"/>
      <c r="G57"/>
      <c r="H57"/>
      <c r="I57"/>
      <c r="J57"/>
    </row>
    <row r="58" spans="3:20" ht="15">
      <c r="D58"/>
      <c r="E58"/>
      <c r="F58"/>
      <c r="G58"/>
      <c r="H58"/>
      <c r="I58"/>
      <c r="J58"/>
      <c r="K58" s="17"/>
    </row>
    <row r="59" spans="3:20" ht="15">
      <c r="D59"/>
      <c r="E59"/>
      <c r="F59"/>
      <c r="G59"/>
      <c r="H59"/>
      <c r="I59"/>
      <c r="J59"/>
    </row>
    <row r="61" spans="3:20">
      <c r="D61" s="15"/>
      <c r="E61" s="16"/>
      <c r="F61" s="16"/>
      <c r="G61" s="17"/>
      <c r="H61" s="17"/>
      <c r="I61" s="17"/>
      <c r="J61" s="17"/>
      <c r="K61" s="17"/>
    </row>
    <row r="81" spans="3:23" ht="15">
      <c r="C81" s="5" t="s">
        <v>18</v>
      </c>
      <c r="E81" s="26" t="s">
        <v>21</v>
      </c>
      <c r="F81" s="27">
        <f>AA56</f>
        <v>0</v>
      </c>
    </row>
    <row r="82" spans="3:23">
      <c r="C82" s="20" t="s">
        <v>0</v>
      </c>
      <c r="D82" s="21" t="s">
        <v>17</v>
      </c>
      <c r="E82" s="21" t="s">
        <v>14</v>
      </c>
      <c r="F82" s="22" t="s">
        <v>20</v>
      </c>
    </row>
    <row r="83" spans="3:23">
      <c r="C83" s="20">
        <v>1</v>
      </c>
      <c r="D83" s="23" t="e">
        <f t="array" ref="D83">VLOOKUP(C83&amp;$AA$9,IF({1,0},#REF!&amp;#REF!,#REF!),2,0)</f>
        <v>#N/A</v>
      </c>
      <c r="E83" s="24" t="e">
        <f t="array" ref="E83">VLOOKUP(C83&amp;$AA$9,IF({1,0},#REF!&amp;#REF!,#REF!),2,0)/VLOOKUP($AA$9,#REF!,2,0)</f>
        <v>#N/A</v>
      </c>
      <c r="F83" s="25" t="e">
        <f t="array" ref="F83">VLOOKUP(C83&amp;$AA$9,IF({1,0},#REF!&amp;#REF!,#REF!),2,0)/1000000</f>
        <v>#N/A</v>
      </c>
    </row>
    <row r="84" spans="3:23">
      <c r="C84" s="20">
        <v>2</v>
      </c>
      <c r="D84" s="23" t="e">
        <f t="array" ref="D84">VLOOKUP(C84&amp;$AA$9,IF({1,0},#REF!&amp;#REF!,#REF!),2,0)</f>
        <v>#N/A</v>
      </c>
      <c r="E84" s="24" t="e">
        <f t="array" ref="E84">VLOOKUP(C84&amp;$AA$9,IF({1,0},#REF!&amp;#REF!,#REF!),2,0)/VLOOKUP($AA$9,#REF!,2,0)</f>
        <v>#N/A</v>
      </c>
      <c r="F84" s="25" t="e">
        <f t="array" ref="F84">VLOOKUP(C84&amp;$AA$9,IF({1,0},#REF!&amp;#REF!,#REF!),2,0)/1000000</f>
        <v>#N/A</v>
      </c>
    </row>
    <row r="85" spans="3:23">
      <c r="C85" s="20">
        <v>3</v>
      </c>
      <c r="D85" s="23" t="e">
        <f t="array" ref="D85">VLOOKUP(C85&amp;$AA$9,IF({1,0},#REF!&amp;#REF!,#REF!),2,0)</f>
        <v>#N/A</v>
      </c>
      <c r="E85" s="24" t="e">
        <f t="array" ref="E85">VLOOKUP(C85&amp;$AA$9,IF({1,0},#REF!&amp;#REF!,#REF!),2,0)/VLOOKUP($AA$9,#REF!,2,0)</f>
        <v>#N/A</v>
      </c>
      <c r="F85" s="25" t="e">
        <f t="array" ref="F85">VLOOKUP(C85&amp;$AA$9,IF({1,0},#REF!&amp;#REF!,#REF!),2,0)/1000000</f>
        <v>#N/A</v>
      </c>
    </row>
    <row r="86" spans="3:23">
      <c r="C86" s="20">
        <v>4</v>
      </c>
      <c r="D86" s="23" t="e">
        <f t="array" ref="D86">VLOOKUP(C86&amp;$AA$9,IF({1,0},#REF!&amp;#REF!,#REF!),2,0)</f>
        <v>#N/A</v>
      </c>
      <c r="E86" s="24" t="e">
        <f t="array" ref="E86">VLOOKUP(C86&amp;$AA$9,IF({1,0},#REF!&amp;#REF!,#REF!),2,0)/VLOOKUP($AA$9,#REF!,2,0)</f>
        <v>#N/A</v>
      </c>
      <c r="F86" s="25" t="e">
        <f t="array" ref="F86">VLOOKUP(C86&amp;$AA$9,IF({1,0},#REF!&amp;#REF!,#REF!),2,0)/1000000</f>
        <v>#N/A</v>
      </c>
      <c r="Q86" s="10" t="s">
        <v>11</v>
      </c>
      <c r="R86" s="11" t="s">
        <v>7</v>
      </c>
      <c r="S86" s="11"/>
      <c r="T86" s="11"/>
      <c r="V86" s="11"/>
      <c r="W86" s="11"/>
    </row>
    <row r="87" spans="3:23">
      <c r="C87" s="20">
        <v>5</v>
      </c>
      <c r="D87" s="23" t="e">
        <f t="array" ref="D87">VLOOKUP(C87&amp;$AA$9,IF({1,0},#REF!&amp;#REF!,#REF!),2,0)</f>
        <v>#N/A</v>
      </c>
      <c r="E87" s="24" t="e">
        <f t="array" ref="E87">VLOOKUP(C87&amp;$AA$9,IF({1,0},#REF!&amp;#REF!,#REF!),2,0)/VLOOKUP($AA$9,#REF!,2,0)</f>
        <v>#N/A</v>
      </c>
      <c r="F87" s="25" t="e">
        <f t="array" ref="F87">VLOOKUP(C87&amp;$AA$9,IF({1,0},#REF!&amp;#REF!,#REF!),2,0)/1000000</f>
        <v>#N/A</v>
      </c>
      <c r="R87" s="11" t="s">
        <v>8</v>
      </c>
      <c r="S87" s="11"/>
      <c r="T87" s="11"/>
      <c r="V87" s="11"/>
      <c r="W87" s="11"/>
    </row>
    <row r="88" spans="3:23">
      <c r="C88" s="20">
        <v>6</v>
      </c>
      <c r="D88" s="23" t="e">
        <f t="array" ref="D88">VLOOKUP(C88&amp;$AA$9,IF({1,0},#REF!&amp;#REF!,#REF!),2,0)</f>
        <v>#N/A</v>
      </c>
      <c r="E88" s="24" t="e">
        <f t="array" ref="E88">VLOOKUP(C88&amp;$AA$9,IF({1,0},#REF!&amp;#REF!,#REF!),2,0)/VLOOKUP($AA$9,#REF!,2,0)</f>
        <v>#N/A</v>
      </c>
      <c r="F88" s="25" t="e">
        <f t="array" ref="F88">VLOOKUP(C88&amp;$AA$9,IF({1,0},#REF!&amp;#REF!,#REF!),2,0)/1000000</f>
        <v>#N/A</v>
      </c>
      <c r="R88" s="11" t="s">
        <v>9</v>
      </c>
      <c r="S88" s="11"/>
      <c r="T88" s="11"/>
      <c r="V88" s="11"/>
      <c r="W88" s="11"/>
    </row>
    <row r="89" spans="3:23">
      <c r="C89" s="20">
        <v>7</v>
      </c>
      <c r="D89" s="23" t="e">
        <f t="array" ref="D89">VLOOKUP(C89&amp;$AA$9,IF({1,0},#REF!&amp;#REF!,#REF!),2,0)</f>
        <v>#N/A</v>
      </c>
      <c r="E89" s="24" t="e">
        <f t="array" ref="E89">VLOOKUP(C89&amp;$AA$9,IF({1,0},#REF!&amp;#REF!,#REF!),2,0)/VLOOKUP($AA$9,#REF!,2,0)</f>
        <v>#N/A</v>
      </c>
      <c r="F89" s="25" t="e">
        <f t="array" ref="F89">VLOOKUP(C89&amp;$AA$9,IF({1,0},#REF!&amp;#REF!,#REF!),2,0)/1000000</f>
        <v>#N/A</v>
      </c>
      <c r="R89" s="12" t="s">
        <v>10</v>
      </c>
      <c r="S89" s="12"/>
      <c r="T89" s="12"/>
      <c r="V89" s="12"/>
      <c r="W89" s="12"/>
    </row>
    <row r="90" spans="3:23">
      <c r="C90" s="20">
        <v>8</v>
      </c>
      <c r="D90" s="23" t="e">
        <f t="array" ref="D90">VLOOKUP(C90&amp;$AA$9,IF({1,0},#REF!&amp;#REF!,#REF!),2,0)</f>
        <v>#N/A</v>
      </c>
      <c r="E90" s="24" t="e">
        <f t="array" ref="E90">VLOOKUP(C90&amp;$AA$9,IF({1,0},#REF!&amp;#REF!,#REF!),2,0)/VLOOKUP($AA$9,#REF!,2,0)</f>
        <v>#N/A</v>
      </c>
      <c r="F90" s="25" t="e">
        <f t="array" ref="F90">VLOOKUP(C90&amp;$AA$9,IF({1,0},#REF!&amp;#REF!,#REF!),2,0)/1000000</f>
        <v>#N/A</v>
      </c>
    </row>
    <row r="91" spans="3:23">
      <c r="C91" s="20">
        <v>9</v>
      </c>
      <c r="D91" s="23" t="e">
        <f t="array" ref="D91">VLOOKUP(C91&amp;$AA$9,IF({1,0},#REF!&amp;#REF!,#REF!),2,0)</f>
        <v>#N/A</v>
      </c>
      <c r="E91" s="24" t="e">
        <f t="array" ref="E91">VLOOKUP(C91&amp;$AA$9,IF({1,0},#REF!&amp;#REF!,#REF!),2,0)/VLOOKUP($AA$9,#REF!,2,0)</f>
        <v>#N/A</v>
      </c>
      <c r="F91" s="25" t="e">
        <f t="array" ref="F91">VLOOKUP(C91&amp;$AA$9,IF({1,0},#REF!&amp;#REF!,#REF!),2,0)/1000000</f>
        <v>#N/A</v>
      </c>
    </row>
    <row r="92" spans="3:23">
      <c r="C92" s="20">
        <v>10</v>
      </c>
      <c r="D92" s="23" t="e">
        <f t="array" ref="D92">VLOOKUP(C92&amp;$AA$9,IF({1,0},#REF!&amp;#REF!,#REF!),2,0)</f>
        <v>#N/A</v>
      </c>
      <c r="E92" s="24" t="e">
        <f t="array" ref="E92">VLOOKUP(C92&amp;$AA$9,IF({1,0},#REF!&amp;#REF!,#REF!),2,0)/VLOOKUP($AA$9,#REF!,2,0)</f>
        <v>#N/A</v>
      </c>
      <c r="F92" s="25" t="e">
        <f t="array" ref="F92">VLOOKUP(C92&amp;$AA$9,IF({1,0},#REF!&amp;#REF!,#REF!),2,0)/1000000</f>
        <v>#N/A</v>
      </c>
    </row>
  </sheetData>
  <mergeCells count="8">
    <mergeCell ref="O53:T54"/>
    <mergeCell ref="T40:T41"/>
    <mergeCell ref="D40:F40"/>
    <mergeCell ref="G40:I40"/>
    <mergeCell ref="K40:M40"/>
    <mergeCell ref="P40:Q40"/>
    <mergeCell ref="R40:S40"/>
    <mergeCell ref="C54:M54"/>
  </mergeCells>
  <conditionalFormatting sqref="E42:F51 S42 P42">
    <cfRule type="cellIs" dxfId="61" priority="37" operator="lessThan">
      <formula>0</formula>
    </cfRule>
  </conditionalFormatting>
  <conditionalFormatting sqref="H42:H51">
    <cfRule type="cellIs" dxfId="60" priority="36" operator="lessThan">
      <formula>0</formula>
    </cfRule>
  </conditionalFormatting>
  <conditionalFormatting sqref="L42:L51">
    <cfRule type="cellIs" dxfId="59" priority="35" operator="lessThan">
      <formula>0</formula>
    </cfRule>
  </conditionalFormatting>
  <conditionalFormatting sqref="I42:J51">
    <cfRule type="cellIs" dxfId="58" priority="34" operator="lessThan">
      <formula>0</formula>
    </cfRule>
  </conditionalFormatting>
  <conditionalFormatting sqref="M42:M51">
    <cfRule type="cellIs" dxfId="57" priority="33" operator="lessThan">
      <formula>0</formula>
    </cfRule>
  </conditionalFormatting>
  <conditionalFormatting sqref="D42:M51 S42 P42">
    <cfRule type="containsErrors" dxfId="56" priority="31">
      <formula>ISERROR(D42)</formula>
    </cfRule>
    <cfRule type="containsErrors" priority="32">
      <formula>ISERROR(D42)</formula>
    </cfRule>
  </conditionalFormatting>
  <conditionalFormatting sqref="Q42:Q52">
    <cfRule type="cellIs" dxfId="55" priority="30" operator="lessThan">
      <formula>0</formula>
    </cfRule>
  </conditionalFormatting>
  <conditionalFormatting sqref="Q42:Q52">
    <cfRule type="containsErrors" dxfId="54" priority="28">
      <formula>ISERROR(Q42)</formula>
    </cfRule>
    <cfRule type="containsErrors" priority="29">
      <formula>ISERROR(Q42)</formula>
    </cfRule>
  </conditionalFormatting>
  <conditionalFormatting sqref="Q42">
    <cfRule type="cellIs" dxfId="53" priority="27" operator="lessThan">
      <formula>0</formula>
    </cfRule>
  </conditionalFormatting>
  <conditionalFormatting sqref="Q42">
    <cfRule type="containsErrors" dxfId="52" priority="25">
      <formula>ISERROR(Q42)</formula>
    </cfRule>
    <cfRule type="containsErrors" priority="26">
      <formula>ISERROR(Q42)</formula>
    </cfRule>
  </conditionalFormatting>
  <conditionalFormatting sqref="P43:P52">
    <cfRule type="containsErrors" dxfId="51" priority="19">
      <formula>ISERROR(P43)</formula>
    </cfRule>
    <cfRule type="containsErrors" priority="20">
      <formula>ISERROR(P43)</formula>
    </cfRule>
  </conditionalFormatting>
  <conditionalFormatting sqref="S42:S52">
    <cfRule type="cellIs" dxfId="50" priority="24" operator="lessThan">
      <formula>0</formula>
    </cfRule>
  </conditionalFormatting>
  <conditionalFormatting sqref="S42:S52">
    <cfRule type="containsErrors" dxfId="49" priority="22">
      <formula>ISERROR(S42)</formula>
    </cfRule>
    <cfRule type="containsErrors" priority="23">
      <formula>ISERROR(S42)</formula>
    </cfRule>
  </conditionalFormatting>
  <conditionalFormatting sqref="P43:P52">
    <cfRule type="cellIs" dxfId="48" priority="21" operator="lessThan">
      <formula>0</formula>
    </cfRule>
  </conditionalFormatting>
  <conditionalFormatting sqref="T42">
    <cfRule type="containsErrors" dxfId="47" priority="12">
      <formula>ISERROR(T42)</formula>
    </cfRule>
    <cfRule type="containsErrors" priority="13">
      <formula>ISERROR(T42)</formula>
    </cfRule>
  </conditionalFormatting>
  <conditionalFormatting sqref="T42:T52">
    <cfRule type="cellIs" dxfId="46" priority="17" operator="lessThan">
      <formula>0</formula>
    </cfRule>
  </conditionalFormatting>
  <conditionalFormatting sqref="T42:T52">
    <cfRule type="containsErrors" dxfId="45" priority="15">
      <formula>ISERROR(T42)</formula>
    </cfRule>
    <cfRule type="containsErrors" priority="16">
      <formula>ISERROR(T42)</formula>
    </cfRule>
  </conditionalFormatting>
  <conditionalFormatting sqref="T42">
    <cfRule type="cellIs" dxfId="44" priority="14" operator="lessThan">
      <formula>0</formula>
    </cfRule>
  </conditionalFormatting>
  <conditionalFormatting sqref="M42:M50">
    <cfRule type="cellIs" dxfId="43" priority="11" operator="lessThan">
      <formula>0</formula>
    </cfRule>
  </conditionalFormatting>
  <conditionalFormatting sqref="H42:H51">
    <cfRule type="cellIs" dxfId="42" priority="10" operator="lessThan">
      <formula>0</formula>
    </cfRule>
  </conditionalFormatting>
  <conditionalFormatting sqref="K42">
    <cfRule type="cellIs" dxfId="41" priority="9" operator="lessThan">
      <formula>0</formula>
    </cfRule>
  </conditionalFormatting>
  <conditionalFormatting sqref="L42">
    <cfRule type="cellIs" dxfId="40" priority="8" operator="lessThan">
      <formula>0</formula>
    </cfRule>
  </conditionalFormatting>
  <conditionalFormatting sqref="K42">
    <cfRule type="cellIs" dxfId="39" priority="7" operator="lessThan">
      <formula>0</formula>
    </cfRule>
  </conditionalFormatting>
  <conditionalFormatting sqref="R42">
    <cfRule type="cellIs" dxfId="38" priority="6" operator="lessThan">
      <formula>0</formula>
    </cfRule>
  </conditionalFormatting>
  <conditionalFormatting sqref="R42">
    <cfRule type="containsErrors" dxfId="37" priority="4">
      <formula>ISERROR(R42)</formula>
    </cfRule>
    <cfRule type="containsErrors" priority="5">
      <formula>ISERROR(R42)</formula>
    </cfRule>
  </conditionalFormatting>
  <conditionalFormatting sqref="R43:R52">
    <cfRule type="containsErrors" dxfId="36" priority="1">
      <formula>ISERROR(R43)</formula>
    </cfRule>
    <cfRule type="containsErrors" priority="2">
      <formula>ISERROR(R43)</formula>
    </cfRule>
  </conditionalFormatting>
  <conditionalFormatting sqref="R43:R52">
    <cfRule type="cellIs" dxfId="35" priority="3" operator="lessThan">
      <formula>0</formula>
    </cfRule>
  </conditionalFormatting>
  <dataValidations disablePrompts="1" count="2">
    <dataValidation type="list" allowBlank="1" showInputMessage="1" showErrorMessage="1" sqref="AC1">
      <formula1>"Yes, No"</formula1>
    </dataValidation>
    <dataValidation type="list" allowBlank="1" showInputMessage="1" showErrorMessage="1" sqref="AA1">
      <formula1>"PROD, DEV"</formula1>
    </dataValidation>
  </dataValidations>
  <hyperlinks>
    <hyperlink ref="R86" r:id="rId1" location="closeModal"/>
    <hyperlink ref="R87" r:id="rId2"/>
    <hyperlink ref="R89" r:id="rId3"/>
    <hyperlink ref="R88" r:id="rId4" location="key-benefits"/>
  </hyperlinks>
  <pageMargins left="0.25" right="0.25" top="0.255" bottom="0.25" header="0.1" footer="0.1"/>
  <pageSetup scale="71" orientation="landscape" horizontalDpi="1200" verticalDpi="1200" r:id="rId5"/>
  <headerFooter scaleWithDoc="0">
    <oddHeader>&amp;L&amp;G&amp;C&amp;"-,Bold"&amp;10&amp;K2E398A
&amp;15Refinancible Universe&amp;R&amp;"-,Bold"&amp;10&amp;K2E398A
As of 11/28/2016</oddHeader>
    <oddFooter>&amp;L&amp;10&amp;K2E398AReport created on &amp;D &amp;T&amp;C&amp;G
&amp;8&amp;K2E398APage &amp;P of &amp;N</oddFooter>
  </headerFooter>
  <colBreaks count="1" manualBreakCount="1">
    <brk id="24" max="1048575" man="1"/>
  </colBreaks>
  <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V1191"/>
  <sheetViews>
    <sheetView zoomScaleNormal="100" workbookViewId="0">
      <selection activeCell="AH23" sqref="AH23"/>
    </sheetView>
  </sheetViews>
  <sheetFormatPr defaultRowHeight="15"/>
  <cols>
    <col min="2" max="2" width="10.42578125" hidden="1" customWidth="1"/>
    <col min="3" max="3" width="10.42578125" style="106" hidden="1" customWidth="1"/>
    <col min="4" max="6" width="0" hidden="1" customWidth="1"/>
    <col min="7" max="7" width="10.7109375" hidden="1" customWidth="1"/>
    <col min="8" max="8" width="17.5703125" bestFit="1" customWidth="1"/>
    <col min="9" max="9" width="10.42578125" bestFit="1" customWidth="1"/>
    <col min="10" max="12" width="9.140625" style="105"/>
    <col min="16" max="18" width="9.140625" style="105"/>
    <col min="22" max="22" width="9.140625" style="105"/>
  </cols>
  <sheetData>
    <row r="1" spans="2:22">
      <c r="B1" t="s">
        <v>25</v>
      </c>
      <c r="I1" t="s">
        <v>24</v>
      </c>
      <c r="O1" t="s">
        <v>65</v>
      </c>
      <c r="S1" t="s">
        <v>98</v>
      </c>
    </row>
    <row r="2" spans="2:22">
      <c r="B2" s="6" t="s">
        <v>97</v>
      </c>
      <c r="C2" s="29" t="s">
        <v>32</v>
      </c>
      <c r="D2" s="6" t="s">
        <v>22</v>
      </c>
      <c r="E2" s="6" t="s">
        <v>63</v>
      </c>
      <c r="F2" s="6" t="s">
        <v>61</v>
      </c>
      <c r="I2" t="s">
        <v>97</v>
      </c>
      <c r="J2" s="91" t="s">
        <v>32</v>
      </c>
      <c r="K2" s="91" t="s">
        <v>63</v>
      </c>
      <c r="L2" s="105" t="s">
        <v>96</v>
      </c>
      <c r="M2" s="6" t="s">
        <v>61</v>
      </c>
      <c r="N2" s="6"/>
      <c r="O2" s="6" t="s">
        <v>97</v>
      </c>
      <c r="P2" s="91" t="s">
        <v>32</v>
      </c>
      <c r="Q2" s="91"/>
      <c r="R2" s="91"/>
      <c r="S2" s="6" t="s">
        <v>97</v>
      </c>
      <c r="T2" s="91" t="s">
        <v>32</v>
      </c>
      <c r="V2"/>
    </row>
    <row r="3" spans="2:22">
      <c r="B3" s="18">
        <v>42691</v>
      </c>
      <c r="C3" s="29">
        <v>0.4060261711</v>
      </c>
      <c r="D3" s="29">
        <f>VLOOKUP(CurrentMtgRatesDataTable825[[#This Row],[asofdate]],I:J,2,0)</f>
        <v>4.6051586200000001E-2</v>
      </c>
      <c r="E3" s="29">
        <f>VLOOKUP(CurrentMtgRatesDataTable825[[#This Row],[asofdate]],O:P,2,0)</f>
        <v>0</v>
      </c>
      <c r="F3" s="31">
        <f ca="1">VLOOKUP(CurrentMtgRatesDataTable825[[#This Row],[asofdate]]+1,Bloomberg!B:C,2,0)</f>
        <v>1620.2</v>
      </c>
      <c r="I3" s="18">
        <v>42691</v>
      </c>
      <c r="J3" s="104">
        <v>4.6051586200000001E-2</v>
      </c>
      <c r="K3" s="91">
        <f>VLOOKUP(CurrentMtgRatesDataTable82527141518[[#This Row],[asofdate]],O:P,2,0)</f>
        <v>0</v>
      </c>
      <c r="L3" s="91">
        <f>VLOOKUP(CurrentMtgRatesDataTable82527141518[[#This Row],[asofdate]],S:T,2,0)</f>
        <v>0</v>
      </c>
      <c r="M3" s="6">
        <f ca="1">VLOOKUP(CurrentMtgRatesDataTable82527141518[[#This Row],[asofdate]]+1,Bloomberg!B:C,2,0)</f>
        <v>1620.2</v>
      </c>
      <c r="N3" s="6"/>
      <c r="O3" s="18">
        <v>42691</v>
      </c>
      <c r="P3" s="104">
        <v>0</v>
      </c>
      <c r="Q3" s="104"/>
      <c r="R3" s="104"/>
      <c r="S3" s="18">
        <v>42691</v>
      </c>
      <c r="T3" s="104">
        <v>0</v>
      </c>
      <c r="V3"/>
    </row>
    <row r="4" spans="2:22">
      <c r="B4" s="85">
        <v>42684</v>
      </c>
      <c r="C4" s="86">
        <v>0.6707544755</v>
      </c>
      <c r="D4" s="86">
        <f>VLOOKUP(CurrentMtgRatesDataTable825[[#This Row],[asofdate]],I:J,2,0)</f>
        <v>4.6056585999999997E-2</v>
      </c>
      <c r="E4" s="86">
        <f>VLOOKUP(CurrentMtgRatesDataTable825[[#This Row],[asofdate]],O:P,2,0)</f>
        <v>0</v>
      </c>
      <c r="F4" s="87">
        <f ca="1">VLOOKUP(CurrentMtgRatesDataTable825[[#This Row],[asofdate]]+1,Bloomberg!B:C,2,0)</f>
        <v>1648</v>
      </c>
      <c r="I4" s="18">
        <v>42684</v>
      </c>
      <c r="J4" s="91">
        <v>4.6056585999999997E-2</v>
      </c>
      <c r="K4" s="91">
        <f>VLOOKUP(CurrentMtgRatesDataTable82527141518[[#This Row],[asofdate]],O:P,2,0)</f>
        <v>0</v>
      </c>
      <c r="L4" s="91">
        <f>VLOOKUP(CurrentMtgRatesDataTable82527141518[[#This Row],[asofdate]],S:T,2,0)</f>
        <v>0</v>
      </c>
      <c r="M4" s="6">
        <f ca="1">VLOOKUP(CurrentMtgRatesDataTable82527141518[[#This Row],[asofdate]]+1,Bloomberg!B:C,2,0)</f>
        <v>1648</v>
      </c>
      <c r="N4" s="6"/>
      <c r="O4" s="18">
        <v>42684</v>
      </c>
      <c r="P4" s="91">
        <v>0</v>
      </c>
      <c r="Q4" s="104"/>
      <c r="R4" s="104"/>
      <c r="S4" s="18">
        <v>42684</v>
      </c>
      <c r="T4" s="91">
        <v>0</v>
      </c>
      <c r="V4"/>
    </row>
    <row r="5" spans="2:22">
      <c r="B5" s="85">
        <v>42677</v>
      </c>
      <c r="C5" s="86">
        <v>0.68895440220000004</v>
      </c>
      <c r="D5" s="86">
        <f>VLOOKUP(CurrentMtgRatesDataTable825[[#This Row],[asofdate]],I:J,2,0)</f>
        <v>0.62265392249999996</v>
      </c>
      <c r="E5" s="86">
        <f>VLOOKUP(CurrentMtgRatesDataTable825[[#This Row],[asofdate]],O:P,2,0)</f>
        <v>0</v>
      </c>
      <c r="F5" s="87">
        <f ca="1">VLOOKUP(CurrentMtgRatesDataTable825[[#This Row],[asofdate]]+1,Bloomberg!B:C,2,0)</f>
        <v>1883</v>
      </c>
      <c r="I5" s="18">
        <v>42677</v>
      </c>
      <c r="J5" s="91">
        <v>0.62265392249999996</v>
      </c>
      <c r="K5" s="91">
        <f>VLOOKUP(CurrentMtgRatesDataTable82527141518[[#This Row],[asofdate]],O:P,2,0)</f>
        <v>0</v>
      </c>
      <c r="L5" s="91">
        <f>VLOOKUP(CurrentMtgRatesDataTable82527141518[[#This Row],[asofdate]],S:T,2,0)</f>
        <v>4.2075057000000001E-3</v>
      </c>
      <c r="M5" s="6">
        <f ca="1">VLOOKUP(CurrentMtgRatesDataTable82527141518[[#This Row],[asofdate]]+1,Bloomberg!B:C,2,0)</f>
        <v>1883</v>
      </c>
      <c r="N5" s="6"/>
      <c r="O5" s="18">
        <v>42677</v>
      </c>
      <c r="P5" s="91">
        <v>0</v>
      </c>
      <c r="Q5" s="104"/>
      <c r="R5" s="104"/>
      <c r="S5" s="18">
        <v>42677</v>
      </c>
      <c r="T5" s="91">
        <v>4.2075057000000001E-3</v>
      </c>
      <c r="V5"/>
    </row>
    <row r="6" spans="2:22">
      <c r="B6" s="85">
        <v>42670</v>
      </c>
      <c r="C6" s="86">
        <v>0.72616169269999997</v>
      </c>
      <c r="D6" s="86">
        <f>VLOOKUP(CurrentMtgRatesDataTable825[[#This Row],[asofdate]],I:J,2,0)</f>
        <v>0.67716679310000005</v>
      </c>
      <c r="E6" s="86">
        <f>VLOOKUP(CurrentMtgRatesDataTable825[[#This Row],[asofdate]],O:P,2,0)</f>
        <v>0</v>
      </c>
      <c r="F6" s="87">
        <f ca="1">VLOOKUP(CurrentMtgRatesDataTable825[[#This Row],[asofdate]]+1,Bloomberg!B:C,2,0)</f>
        <v>1937.8</v>
      </c>
      <c r="I6" s="18">
        <v>42670</v>
      </c>
      <c r="J6" s="91">
        <v>0.67716679310000005</v>
      </c>
      <c r="K6" s="91">
        <f>VLOOKUP(CurrentMtgRatesDataTable82527141518[[#This Row],[asofdate]],O:P,2,0)</f>
        <v>0</v>
      </c>
      <c r="L6" s="91">
        <f>VLOOKUP(CurrentMtgRatesDataTable82527141518[[#This Row],[asofdate]],S:T,2,0)</f>
        <v>7.8617854999999993E-3</v>
      </c>
      <c r="M6" s="6">
        <f ca="1">VLOOKUP(CurrentMtgRatesDataTable82527141518[[#This Row],[asofdate]]+1,Bloomberg!B:C,2,0)</f>
        <v>1937.8</v>
      </c>
      <c r="N6" s="6"/>
      <c r="O6" s="18">
        <v>42670</v>
      </c>
      <c r="P6" s="91">
        <v>0</v>
      </c>
      <c r="Q6" s="104"/>
      <c r="R6" s="104"/>
      <c r="S6" s="18">
        <v>42670</v>
      </c>
      <c r="T6" s="91">
        <v>7.8617854999999993E-3</v>
      </c>
      <c r="V6"/>
    </row>
    <row r="7" spans="2:22">
      <c r="B7" s="85">
        <v>42663</v>
      </c>
      <c r="C7" s="86">
        <v>0.71783683799999998</v>
      </c>
      <c r="D7" s="86">
        <f>VLOOKUP(CurrentMtgRatesDataTable825[[#This Row],[asofdate]],I:J,2,0)</f>
        <v>0.63126871360000003</v>
      </c>
      <c r="E7" s="86">
        <f>VLOOKUP(CurrentMtgRatesDataTable825[[#This Row],[asofdate]],O:P,2,0)</f>
        <v>0</v>
      </c>
      <c r="F7" s="87">
        <f ca="1">VLOOKUP(CurrentMtgRatesDataTable825[[#This Row],[asofdate]]+1,Bloomberg!B:C,2,0)</f>
        <v>1972.5</v>
      </c>
      <c r="I7" s="18">
        <v>42663</v>
      </c>
      <c r="J7" s="91">
        <v>0.63126871360000003</v>
      </c>
      <c r="K7" s="91">
        <f>VLOOKUP(CurrentMtgRatesDataTable82527141518[[#This Row],[asofdate]],O:P,2,0)</f>
        <v>0</v>
      </c>
      <c r="L7" s="91">
        <f>VLOOKUP(CurrentMtgRatesDataTable82527141518[[#This Row],[asofdate]],S:T,2,0)</f>
        <v>6.2051012000000003E-3</v>
      </c>
      <c r="M7" s="6">
        <f ca="1">VLOOKUP(CurrentMtgRatesDataTable82527141518[[#This Row],[asofdate]]+1,Bloomberg!B:C,2,0)</f>
        <v>1972.5</v>
      </c>
      <c r="N7" s="6"/>
      <c r="O7" s="18">
        <v>42663</v>
      </c>
      <c r="P7" s="91">
        <v>0</v>
      </c>
      <c r="Q7" s="104"/>
      <c r="R7" s="104"/>
      <c r="S7" s="18">
        <v>42663</v>
      </c>
      <c r="T7" s="91">
        <v>6.2051012000000003E-3</v>
      </c>
      <c r="V7"/>
    </row>
    <row r="8" spans="2:22">
      <c r="B8" s="85">
        <v>42649</v>
      </c>
      <c r="C8" s="86">
        <v>0.75526650819999996</v>
      </c>
      <c r="D8" s="86">
        <f>VLOOKUP(CurrentMtgRatesDataTable825[[#This Row],[asofdate]],I:J,2,0)</f>
        <v>0.72945166819999996</v>
      </c>
      <c r="E8" s="86">
        <f>VLOOKUP(CurrentMtgRatesDataTable825[[#This Row],[asofdate]],O:P,2,0)</f>
        <v>0</v>
      </c>
      <c r="F8" s="87">
        <f ca="1">VLOOKUP(CurrentMtgRatesDataTable825[[#This Row],[asofdate]]+1,Bloomberg!B:C,2,0)</f>
        <v>2075.9</v>
      </c>
      <c r="I8" s="18">
        <v>42649</v>
      </c>
      <c r="J8" s="91">
        <v>0.72945166819999996</v>
      </c>
      <c r="K8" s="91">
        <f>VLOOKUP(CurrentMtgRatesDataTable82527141518[[#This Row],[asofdate]],O:P,2,0)</f>
        <v>0</v>
      </c>
      <c r="L8" s="91">
        <f>VLOOKUP(CurrentMtgRatesDataTable82527141518[[#This Row],[asofdate]],S:T,2,0)</f>
        <v>0.41034721800000001</v>
      </c>
      <c r="M8" s="6">
        <f ca="1">VLOOKUP(CurrentMtgRatesDataTable82527141518[[#This Row],[asofdate]]+1,Bloomberg!B:C,2,0)</f>
        <v>2075.9</v>
      </c>
      <c r="N8" s="6"/>
      <c r="O8" s="18">
        <v>42649</v>
      </c>
      <c r="P8" s="91">
        <v>0</v>
      </c>
      <c r="Q8" s="104"/>
      <c r="R8" s="104"/>
      <c r="S8" s="18">
        <v>42649</v>
      </c>
      <c r="T8" s="91">
        <v>0.41034721800000001</v>
      </c>
      <c r="V8"/>
    </row>
    <row r="9" spans="2:22">
      <c r="B9" s="85">
        <v>42642</v>
      </c>
      <c r="C9" s="86">
        <v>0.76584412719999995</v>
      </c>
      <c r="D9" s="86">
        <f>VLOOKUP(CurrentMtgRatesDataTable825[[#This Row],[asofdate]],I:J,2,0)</f>
        <v>0.711462025</v>
      </c>
      <c r="E9" s="86">
        <f>VLOOKUP(CurrentMtgRatesDataTable825[[#This Row],[asofdate]],O:P,2,0)</f>
        <v>4.8680987000000002E-3</v>
      </c>
      <c r="F9" s="87">
        <f ca="1">VLOOKUP(CurrentMtgRatesDataTable825[[#This Row],[asofdate]]+1,Bloomberg!B:C,2,0)</f>
        <v>2301.9</v>
      </c>
      <c r="I9" s="18">
        <v>42642</v>
      </c>
      <c r="J9" s="91">
        <v>0.711462025</v>
      </c>
      <c r="K9" s="91">
        <f>VLOOKUP(CurrentMtgRatesDataTable82527141518[[#This Row],[asofdate]],O:P,2,0)</f>
        <v>4.8680987000000002E-3</v>
      </c>
      <c r="L9" s="91">
        <f>VLOOKUP(CurrentMtgRatesDataTable82527141518[[#This Row],[asofdate]],S:T,2,0)</f>
        <v>0.39018605709999998</v>
      </c>
      <c r="M9" s="6">
        <f ca="1">VLOOKUP(CurrentMtgRatesDataTable82527141518[[#This Row],[asofdate]]+1,Bloomberg!B:C,2,0)</f>
        <v>2301.9</v>
      </c>
      <c r="N9" s="6"/>
      <c r="O9" s="18">
        <v>42642</v>
      </c>
      <c r="P9" s="91">
        <v>4.8680987000000002E-3</v>
      </c>
      <c r="Q9" s="104"/>
      <c r="R9" s="104"/>
      <c r="S9" s="18">
        <v>42642</v>
      </c>
      <c r="T9" s="91">
        <v>0.39018605709999998</v>
      </c>
      <c r="V9"/>
    </row>
    <row r="10" spans="2:22">
      <c r="B10" s="85">
        <v>42635</v>
      </c>
      <c r="C10" s="86">
        <v>0.73718828079999998</v>
      </c>
      <c r="D10" s="86">
        <f>VLOOKUP(CurrentMtgRatesDataTable825[[#This Row],[asofdate]],I:J,2,0)</f>
        <v>0.62713272269999998</v>
      </c>
      <c r="E10" s="86">
        <f>VLOOKUP(CurrentMtgRatesDataTable825[[#This Row],[asofdate]],O:P,2,0)</f>
        <v>0</v>
      </c>
      <c r="F10" s="87">
        <f ca="1">VLOOKUP(CurrentMtgRatesDataTable825[[#This Row],[asofdate]]+1,Bloomberg!B:C,2,0)</f>
        <v>2170.3000000000002</v>
      </c>
      <c r="I10" s="18">
        <v>42635</v>
      </c>
      <c r="J10" s="91">
        <v>0.62713272269999998</v>
      </c>
      <c r="K10" s="91">
        <f>VLOOKUP(CurrentMtgRatesDataTable82527141518[[#This Row],[asofdate]],O:P,2,0)</f>
        <v>0</v>
      </c>
      <c r="L10" s="91">
        <f>VLOOKUP(CurrentMtgRatesDataTable82527141518[[#This Row],[asofdate]],S:T,2,0)</f>
        <v>0.30217912299999999</v>
      </c>
      <c r="M10" s="6">
        <f ca="1">VLOOKUP(CurrentMtgRatesDataTable82527141518[[#This Row],[asofdate]]+1,Bloomberg!B:C,2,0)</f>
        <v>2170.3000000000002</v>
      </c>
      <c r="N10" s="6"/>
      <c r="O10" s="18">
        <v>42635</v>
      </c>
      <c r="P10" s="91">
        <v>0</v>
      </c>
      <c r="Q10" s="104"/>
      <c r="R10" s="104"/>
      <c r="S10" s="18">
        <v>42635</v>
      </c>
      <c r="T10" s="91">
        <v>0.30217912299999999</v>
      </c>
      <c r="V10"/>
    </row>
    <row r="11" spans="2:22">
      <c r="B11" s="85">
        <v>42628</v>
      </c>
      <c r="C11" s="86">
        <v>0.73933698849999996</v>
      </c>
      <c r="D11" s="86">
        <f>VLOOKUP(CurrentMtgRatesDataTable825[[#This Row],[asofdate]],I:J,2,0)</f>
        <v>0.66793477970000004</v>
      </c>
      <c r="E11" s="86">
        <f>VLOOKUP(CurrentMtgRatesDataTable825[[#This Row],[asofdate]],O:P,2,0)</f>
        <v>0</v>
      </c>
      <c r="F11" s="87">
        <f ca="1">VLOOKUP(CurrentMtgRatesDataTable825[[#This Row],[asofdate]]+1,Bloomberg!B:C,2,0)</f>
        <v>2217.4</v>
      </c>
      <c r="I11" s="18">
        <v>42628</v>
      </c>
      <c r="J11" s="91">
        <v>0.66793477970000004</v>
      </c>
      <c r="K11" s="91">
        <f>VLOOKUP(CurrentMtgRatesDataTable82527141518[[#This Row],[asofdate]],O:P,2,0)</f>
        <v>0</v>
      </c>
      <c r="L11" s="91">
        <f>VLOOKUP(CurrentMtgRatesDataTable82527141518[[#This Row],[asofdate]],S:T,2,0)</f>
        <v>0.32322800000000002</v>
      </c>
      <c r="M11" s="6">
        <f ca="1">VLOOKUP(CurrentMtgRatesDataTable82527141518[[#This Row],[asofdate]]+1,Bloomberg!B:C,2,0)</f>
        <v>2217.4</v>
      </c>
      <c r="N11" s="6"/>
      <c r="O11" s="18">
        <v>42628</v>
      </c>
      <c r="P11" s="91">
        <v>0</v>
      </c>
      <c r="Q11" s="104"/>
      <c r="R11" s="104"/>
      <c r="S11" s="18">
        <v>42628</v>
      </c>
      <c r="T11" s="91">
        <v>0.32322800000000002</v>
      </c>
      <c r="V11"/>
    </row>
    <row r="12" spans="2:22">
      <c r="B12" s="85">
        <v>42621</v>
      </c>
      <c r="C12" s="86">
        <v>0.75420412839999995</v>
      </c>
      <c r="D12" s="86">
        <f>VLOOKUP(CurrentMtgRatesDataTable825[[#This Row],[asofdate]],I:J,2,0)</f>
        <v>0.67819776600000004</v>
      </c>
      <c r="E12" s="86">
        <f>VLOOKUP(CurrentMtgRatesDataTable825[[#This Row],[asofdate]],O:P,2,0)</f>
        <v>0</v>
      </c>
      <c r="F12" s="87">
        <f ca="1">VLOOKUP(CurrentMtgRatesDataTable825[[#This Row],[asofdate]]+1,Bloomberg!B:C,2,0)</f>
        <v>2424.5</v>
      </c>
      <c r="I12" s="18">
        <v>42621</v>
      </c>
      <c r="J12" s="91">
        <v>0.67819776600000004</v>
      </c>
      <c r="K12" s="91">
        <f>VLOOKUP(CurrentMtgRatesDataTable82527141518[[#This Row],[asofdate]],O:P,2,0)</f>
        <v>0</v>
      </c>
      <c r="L12" s="91">
        <f>VLOOKUP(CurrentMtgRatesDataTable82527141518[[#This Row],[asofdate]],S:T,2,0)</f>
        <v>0.34740422609999999</v>
      </c>
      <c r="M12" s="6">
        <f ca="1">VLOOKUP(CurrentMtgRatesDataTable82527141518[[#This Row],[asofdate]]+1,Bloomberg!B:C,2,0)</f>
        <v>2424.5</v>
      </c>
      <c r="N12" s="6"/>
      <c r="O12" s="18">
        <v>42621</v>
      </c>
      <c r="P12" s="91">
        <v>0</v>
      </c>
      <c r="Q12" s="104"/>
      <c r="R12" s="104"/>
      <c r="S12" s="18">
        <v>42621</v>
      </c>
      <c r="T12" s="91">
        <v>0.34740422609999999</v>
      </c>
      <c r="V12"/>
    </row>
    <row r="13" spans="2:22">
      <c r="B13" s="85">
        <v>42614</v>
      </c>
      <c r="C13" s="86">
        <v>0.75536947659999998</v>
      </c>
      <c r="D13" s="86">
        <f>VLOOKUP(CurrentMtgRatesDataTable825[[#This Row],[asofdate]],I:J,2,0)</f>
        <v>0.6936459734</v>
      </c>
      <c r="E13" s="86">
        <f>VLOOKUP(CurrentMtgRatesDataTable825[[#This Row],[asofdate]],O:P,2,0)</f>
        <v>0</v>
      </c>
      <c r="F13" s="87">
        <f ca="1">VLOOKUP(CurrentMtgRatesDataTable825[[#This Row],[asofdate]]+1,Bloomberg!B:C,2,0)</f>
        <v>2382.1999999999998</v>
      </c>
      <c r="I13" s="18">
        <v>42614</v>
      </c>
      <c r="J13" s="91">
        <v>0.6936459734</v>
      </c>
      <c r="K13" s="91">
        <f>VLOOKUP(CurrentMtgRatesDataTable82527141518[[#This Row],[asofdate]],O:P,2,0)</f>
        <v>0</v>
      </c>
      <c r="L13" s="91">
        <f>VLOOKUP(CurrentMtgRatesDataTable82527141518[[#This Row],[asofdate]],S:T,2,0)</f>
        <v>0.36009890300000003</v>
      </c>
      <c r="M13" s="6">
        <f ca="1">VLOOKUP(CurrentMtgRatesDataTable82527141518[[#This Row],[asofdate]]+1,Bloomberg!B:C,2,0)</f>
        <v>2382.1999999999998</v>
      </c>
      <c r="N13" s="6"/>
      <c r="O13" s="18">
        <v>42614</v>
      </c>
      <c r="P13" s="91">
        <v>0</v>
      </c>
      <c r="Q13" s="104"/>
      <c r="R13" s="104"/>
      <c r="S13" s="18">
        <v>42614</v>
      </c>
      <c r="T13" s="91">
        <v>0.36009890300000003</v>
      </c>
      <c r="V13"/>
    </row>
    <row r="14" spans="2:22">
      <c r="B14" s="85">
        <v>42606</v>
      </c>
      <c r="C14" s="86">
        <v>0.76877242759999997</v>
      </c>
      <c r="D14" s="86">
        <f>VLOOKUP(CurrentMtgRatesDataTable825[[#This Row],[asofdate]],I:J,2,0)</f>
        <v>0.69577032059999999</v>
      </c>
      <c r="E14" s="86">
        <f>VLOOKUP(CurrentMtgRatesDataTable825[[#This Row],[asofdate]],O:P,2,0)</f>
        <v>0</v>
      </c>
      <c r="F14" s="87" t="e">
        <f ca="1">VLOOKUP(CurrentMtgRatesDataTable825[[#This Row],[asofdate]]+1,Bloomberg!B:C,2,0)</f>
        <v>#N/A</v>
      </c>
      <c r="I14" s="18">
        <v>42606</v>
      </c>
      <c r="J14" s="91">
        <v>0.69577032059999999</v>
      </c>
      <c r="K14" s="91">
        <f>VLOOKUP(CurrentMtgRatesDataTable82527141518[[#This Row],[asofdate]],O:P,2,0)</f>
        <v>0</v>
      </c>
      <c r="L14" s="91">
        <f>VLOOKUP(CurrentMtgRatesDataTable82527141518[[#This Row],[asofdate]],S:T,2,0)</f>
        <v>0.35762316199999999</v>
      </c>
      <c r="M14" s="6" t="e">
        <f ca="1">VLOOKUP(CurrentMtgRatesDataTable82527141518[[#This Row],[asofdate]]+1,Bloomberg!B:C,2,0)</f>
        <v>#N/A</v>
      </c>
      <c r="N14" s="6"/>
      <c r="O14" s="18">
        <v>42606</v>
      </c>
      <c r="P14" s="91">
        <v>0</v>
      </c>
      <c r="Q14" s="104"/>
      <c r="R14" s="104"/>
      <c r="S14" s="18">
        <v>42606</v>
      </c>
      <c r="T14" s="91">
        <v>0.35762316199999999</v>
      </c>
      <c r="V14"/>
    </row>
    <row r="15" spans="2:22">
      <c r="B15" s="85">
        <v>42600</v>
      </c>
      <c r="C15" s="86">
        <v>0.77541171040000001</v>
      </c>
      <c r="D15" s="86">
        <f>VLOOKUP(CurrentMtgRatesDataTable825[[#This Row],[asofdate]],I:J,2,0)</f>
        <v>0.72532072140000003</v>
      </c>
      <c r="E15" s="86">
        <f>VLOOKUP(CurrentMtgRatesDataTable825[[#This Row],[asofdate]],O:P,2,0)</f>
        <v>0</v>
      </c>
      <c r="F15" s="87">
        <f ca="1">VLOOKUP(CurrentMtgRatesDataTable825[[#This Row],[asofdate]]+1,Bloomberg!B:C,2,0)</f>
        <v>2296.5</v>
      </c>
      <c r="I15" s="18">
        <v>42600</v>
      </c>
      <c r="J15" s="91">
        <v>0.72532072140000003</v>
      </c>
      <c r="K15" s="91">
        <f>VLOOKUP(CurrentMtgRatesDataTable82527141518[[#This Row],[asofdate]],O:P,2,0)</f>
        <v>0</v>
      </c>
      <c r="L15" s="91">
        <f>VLOOKUP(CurrentMtgRatesDataTable82527141518[[#This Row],[asofdate]],S:T,2,0)</f>
        <v>0.38668737850000001</v>
      </c>
      <c r="M15" s="6">
        <f ca="1">VLOOKUP(CurrentMtgRatesDataTable82527141518[[#This Row],[asofdate]]+1,Bloomberg!B:C,2,0)</f>
        <v>2296.5</v>
      </c>
      <c r="N15" s="6"/>
      <c r="O15" s="18">
        <v>42600</v>
      </c>
      <c r="P15" s="91">
        <v>0</v>
      </c>
      <c r="Q15" s="104"/>
      <c r="R15" s="104"/>
      <c r="S15" s="18">
        <v>42600</v>
      </c>
      <c r="T15" s="91">
        <v>0.38668737850000001</v>
      </c>
      <c r="V15"/>
    </row>
    <row r="16" spans="2:22">
      <c r="B16" s="85">
        <v>42593</v>
      </c>
      <c r="C16" s="86">
        <v>0.76978437820000001</v>
      </c>
      <c r="D16" s="86">
        <f>VLOOKUP(CurrentMtgRatesDataTable825[[#This Row],[asofdate]],I:J,2,0)</f>
        <v>0.69626844590000003</v>
      </c>
      <c r="E16" s="86">
        <f>VLOOKUP(CurrentMtgRatesDataTable825[[#This Row],[asofdate]],O:P,2,0)</f>
        <v>0</v>
      </c>
      <c r="F16" s="87">
        <f ca="1">VLOOKUP(CurrentMtgRatesDataTable825[[#This Row],[asofdate]]+1,Bloomberg!B:C,2,0)</f>
        <v>2302.4</v>
      </c>
      <c r="I16" s="18">
        <v>42593</v>
      </c>
      <c r="J16" s="91">
        <v>0.69626844590000003</v>
      </c>
      <c r="K16" s="91">
        <f>VLOOKUP(CurrentMtgRatesDataTable82527141518[[#This Row],[asofdate]],O:P,2,0)</f>
        <v>0</v>
      </c>
      <c r="L16" s="91">
        <f>VLOOKUP(CurrentMtgRatesDataTable82527141518[[#This Row],[asofdate]],S:T,2,0)</f>
        <v>0.36346232249999999</v>
      </c>
      <c r="M16" s="6">
        <f ca="1">VLOOKUP(CurrentMtgRatesDataTable82527141518[[#This Row],[asofdate]]+1,Bloomberg!B:C,2,0)</f>
        <v>2302.4</v>
      </c>
      <c r="N16" s="6"/>
      <c r="O16" s="18">
        <v>42593</v>
      </c>
      <c r="P16" s="91">
        <v>0</v>
      </c>
      <c r="Q16" s="104"/>
      <c r="R16" s="104"/>
      <c r="S16" s="18">
        <v>42593</v>
      </c>
      <c r="T16" s="91">
        <v>0.36346232249999999</v>
      </c>
      <c r="V16"/>
    </row>
    <row r="17" spans="2:22">
      <c r="B17" s="85">
        <v>42586</v>
      </c>
      <c r="C17" s="86">
        <v>0.77541171040000001</v>
      </c>
      <c r="D17" s="86">
        <f>VLOOKUP(CurrentMtgRatesDataTable825[[#This Row],[asofdate]],I:J,2,0)</f>
        <v>0.73618995320000002</v>
      </c>
      <c r="E17" s="86" t="e">
        <f>VLOOKUP(CurrentMtgRatesDataTable825[[#This Row],[asofdate]],O:P,2,0)</f>
        <v>#N/A</v>
      </c>
      <c r="F17" s="87">
        <f ca="1">VLOOKUP(CurrentMtgRatesDataTable825[[#This Row],[asofdate]]+1,Bloomberg!B:C,2,0)</f>
        <v>2386.3000000000002</v>
      </c>
      <c r="I17" s="18">
        <v>42586</v>
      </c>
      <c r="J17" s="91">
        <v>0.73618995320000002</v>
      </c>
      <c r="K17" s="91" t="e">
        <f>VLOOKUP(CurrentMtgRatesDataTable82527141518[[#This Row],[asofdate]],O:P,2,0)</f>
        <v>#N/A</v>
      </c>
      <c r="L17" s="91">
        <f>VLOOKUP(CurrentMtgRatesDataTable82527141518[[#This Row],[asofdate]],S:T,2,0)</f>
        <v>0.39867826690000002</v>
      </c>
      <c r="M17" s="6">
        <f ca="1">VLOOKUP(CurrentMtgRatesDataTable82527141518[[#This Row],[asofdate]]+1,Bloomberg!B:C,2,0)</f>
        <v>2386.3000000000002</v>
      </c>
      <c r="N17" s="6"/>
      <c r="O17" s="18">
        <v>42579</v>
      </c>
      <c r="P17" s="91">
        <v>0</v>
      </c>
      <c r="Q17" s="104"/>
      <c r="R17" s="104"/>
      <c r="S17" s="18">
        <v>42586</v>
      </c>
      <c r="T17" s="91">
        <v>0.39867826690000002</v>
      </c>
      <c r="V17"/>
    </row>
    <row r="18" spans="2:22">
      <c r="B18" s="85">
        <v>42579</v>
      </c>
      <c r="C18" s="86">
        <v>0.75670920239999995</v>
      </c>
      <c r="D18" s="86">
        <f>VLOOKUP(CurrentMtgRatesDataTable825[[#This Row],[asofdate]],I:J,2,0)</f>
        <v>0.69905227930000002</v>
      </c>
      <c r="E18" s="86">
        <f>VLOOKUP(CurrentMtgRatesDataTable825[[#This Row],[asofdate]],O:P,2,0)</f>
        <v>0</v>
      </c>
      <c r="F18" s="87">
        <f ca="1">VLOOKUP(CurrentMtgRatesDataTable825[[#This Row],[asofdate]]+1,Bloomberg!B:C,2,0)</f>
        <v>2254.9</v>
      </c>
      <c r="I18" s="18">
        <v>42579</v>
      </c>
      <c r="J18" s="91">
        <v>0.69905227930000002</v>
      </c>
      <c r="K18" s="91">
        <f>VLOOKUP(CurrentMtgRatesDataTable82527141518[[#This Row],[asofdate]],O:P,2,0)</f>
        <v>0</v>
      </c>
      <c r="L18" s="91">
        <f>VLOOKUP(CurrentMtgRatesDataTable82527141518[[#This Row],[asofdate]],S:T,2,0)</f>
        <v>0.35342993379999998</v>
      </c>
      <c r="M18" s="6">
        <f ca="1">VLOOKUP(CurrentMtgRatesDataTable82527141518[[#This Row],[asofdate]]+1,Bloomberg!B:C,2,0)</f>
        <v>2254.9</v>
      </c>
      <c r="N18" s="6"/>
      <c r="O18" s="18">
        <v>42572</v>
      </c>
      <c r="P18" s="91">
        <v>0</v>
      </c>
      <c r="Q18" s="104"/>
      <c r="R18" s="104"/>
      <c r="S18" s="18">
        <v>42579</v>
      </c>
      <c r="T18" s="91">
        <v>0.35342993379999998</v>
      </c>
      <c r="V18"/>
    </row>
    <row r="19" spans="2:22">
      <c r="B19" s="85">
        <v>42572</v>
      </c>
      <c r="C19" s="86">
        <v>0.76434424749999996</v>
      </c>
      <c r="D19" s="86">
        <f>VLOOKUP(CurrentMtgRatesDataTable825[[#This Row],[asofdate]],I:J,2,0)</f>
        <v>0.70523317829999999</v>
      </c>
      <c r="E19" s="86">
        <f>VLOOKUP(CurrentMtgRatesDataTable825[[#This Row],[asofdate]],O:P,2,0)</f>
        <v>0</v>
      </c>
      <c r="F19" s="87">
        <f ca="1">VLOOKUP(CurrentMtgRatesDataTable825[[#This Row],[asofdate]]+1,Bloomberg!B:C,2,0)</f>
        <v>2333.1999999999998</v>
      </c>
      <c r="I19" s="18">
        <v>42572</v>
      </c>
      <c r="J19" s="91">
        <v>0.70523317829999999</v>
      </c>
      <c r="K19" s="91">
        <f>VLOOKUP(CurrentMtgRatesDataTable82527141518[[#This Row],[asofdate]],O:P,2,0)</f>
        <v>0</v>
      </c>
      <c r="L19" s="91">
        <f>VLOOKUP(CurrentMtgRatesDataTable82527141518[[#This Row],[asofdate]],S:T,2,0)</f>
        <v>0.3641181121</v>
      </c>
      <c r="M19" s="6">
        <f ca="1">VLOOKUP(CurrentMtgRatesDataTable82527141518[[#This Row],[asofdate]]+1,Bloomberg!B:C,2,0)</f>
        <v>2333.1999999999998</v>
      </c>
      <c r="N19" s="6"/>
      <c r="O19" s="18">
        <v>42565</v>
      </c>
      <c r="P19" s="91">
        <v>0</v>
      </c>
      <c r="Q19" s="104"/>
      <c r="R19" s="104"/>
      <c r="S19" s="18">
        <v>42572</v>
      </c>
      <c r="T19" s="91">
        <v>0.3641181121</v>
      </c>
      <c r="V19"/>
    </row>
    <row r="20" spans="2:22">
      <c r="B20" s="85">
        <v>42565</v>
      </c>
      <c r="C20" s="86">
        <v>0.77197328470000004</v>
      </c>
      <c r="D20" s="86">
        <f>VLOOKUP(CurrentMtgRatesDataTable825[[#This Row],[asofdate]],I:J,2,0)</f>
        <v>0.73454719339999996</v>
      </c>
      <c r="E20" s="86">
        <f>VLOOKUP(CurrentMtgRatesDataTable825[[#This Row],[asofdate]],O:P,2,0)</f>
        <v>0</v>
      </c>
      <c r="F20" s="87">
        <f ca="1">VLOOKUP(CurrentMtgRatesDataTable825[[#This Row],[asofdate]]+1,Bloomberg!B:C,2,0)</f>
        <v>2783.1</v>
      </c>
      <c r="I20" s="18">
        <v>42565</v>
      </c>
      <c r="J20" s="91">
        <v>0.73454719339999996</v>
      </c>
      <c r="K20" s="91">
        <f>VLOOKUP(CurrentMtgRatesDataTable82527141518[[#This Row],[asofdate]],O:P,2,0)</f>
        <v>0</v>
      </c>
      <c r="L20" s="91">
        <f>VLOOKUP(CurrentMtgRatesDataTable82527141518[[#This Row],[asofdate]],S:T,2,0)</f>
        <v>0.73452463619999997</v>
      </c>
      <c r="M20" s="6">
        <f ca="1">VLOOKUP(CurrentMtgRatesDataTable82527141518[[#This Row],[asofdate]]+1,Bloomberg!B:C,2,0)</f>
        <v>2783.1</v>
      </c>
      <c r="N20" s="6"/>
      <c r="O20" s="18">
        <v>42558</v>
      </c>
      <c r="P20" s="91">
        <v>0.36405278540000002</v>
      </c>
      <c r="Q20" s="104"/>
      <c r="R20" s="104"/>
      <c r="S20" s="18">
        <v>42565</v>
      </c>
      <c r="T20" s="91">
        <v>0.73452463619999997</v>
      </c>
      <c r="V20"/>
    </row>
    <row r="21" spans="2:22">
      <c r="B21" s="85">
        <v>42558</v>
      </c>
      <c r="C21" s="86">
        <v>0.77565743450000002</v>
      </c>
      <c r="D21" s="86">
        <f>VLOOKUP(CurrentMtgRatesDataTable825[[#This Row],[asofdate]],I:J,2,0)</f>
        <v>0.74702706419999998</v>
      </c>
      <c r="E21" s="86">
        <f>VLOOKUP(CurrentMtgRatesDataTable825[[#This Row],[asofdate]],O:P,2,0)</f>
        <v>0.36405278540000002</v>
      </c>
      <c r="F21" s="87">
        <f ca="1">VLOOKUP(CurrentMtgRatesDataTable825[[#This Row],[asofdate]]+1,Bloomberg!B:C,2,0)</f>
        <v>2771.6</v>
      </c>
      <c r="I21" s="18">
        <v>42558</v>
      </c>
      <c r="J21" s="91">
        <v>0.74702706419999998</v>
      </c>
      <c r="K21" s="91">
        <f>VLOOKUP(CurrentMtgRatesDataTable82527141518[[#This Row],[asofdate]],O:P,2,0)</f>
        <v>0.36405278540000002</v>
      </c>
      <c r="L21" s="91">
        <f>VLOOKUP(CurrentMtgRatesDataTable82527141518[[#This Row],[asofdate]],S:T,2,0)</f>
        <v>0.74659079689999996</v>
      </c>
      <c r="M21" s="6">
        <f ca="1">VLOOKUP(CurrentMtgRatesDataTable82527141518[[#This Row],[asofdate]]+1,Bloomberg!B:C,2,0)</f>
        <v>2771.6</v>
      </c>
      <c r="N21" s="6"/>
      <c r="O21" s="18">
        <v>42551</v>
      </c>
      <c r="P21" s="91">
        <v>0.33814811109999998</v>
      </c>
      <c r="Q21" s="104"/>
      <c r="R21" s="104"/>
      <c r="S21" s="18">
        <v>42558</v>
      </c>
      <c r="T21" s="91">
        <v>0.74659079689999996</v>
      </c>
      <c r="V21"/>
    </row>
    <row r="22" spans="2:22">
      <c r="B22" s="85">
        <v>42551</v>
      </c>
      <c r="C22" s="86">
        <v>0.76587515090000002</v>
      </c>
      <c r="D22" s="86">
        <f>VLOOKUP(CurrentMtgRatesDataTable825[[#This Row],[asofdate]],I:J,2,0)</f>
        <v>0.71919100329999996</v>
      </c>
      <c r="E22" s="86">
        <f>VLOOKUP(CurrentMtgRatesDataTable825[[#This Row],[asofdate]],O:P,2,0)</f>
        <v>0.33814811109999998</v>
      </c>
      <c r="F22" s="87">
        <f ca="1">VLOOKUP(CurrentMtgRatesDataTable825[[#This Row],[asofdate]]+1,Bloomberg!B:C,2,0)</f>
        <v>2474.3000000000002</v>
      </c>
      <c r="I22" s="18">
        <v>42551</v>
      </c>
      <c r="J22" s="91">
        <v>0.71919100329999996</v>
      </c>
      <c r="K22" s="91">
        <f>VLOOKUP(CurrentMtgRatesDataTable82527141518[[#This Row],[asofdate]],O:P,2,0)</f>
        <v>0.33814811109999998</v>
      </c>
      <c r="L22" s="91">
        <f>VLOOKUP(CurrentMtgRatesDataTable82527141518[[#This Row],[asofdate]],S:T,2,0)</f>
        <v>0.36450145699999997</v>
      </c>
      <c r="M22" s="6">
        <f ca="1">VLOOKUP(CurrentMtgRatesDataTable82527141518[[#This Row],[asofdate]]+1,Bloomberg!B:C,2,0)</f>
        <v>2474.3000000000002</v>
      </c>
      <c r="N22" s="6"/>
      <c r="O22" s="18">
        <v>42544</v>
      </c>
      <c r="P22" s="91">
        <v>0</v>
      </c>
      <c r="Q22" s="104"/>
      <c r="R22" s="104"/>
      <c r="S22" s="18">
        <v>42551</v>
      </c>
      <c r="T22" s="91">
        <v>0.36450145699999997</v>
      </c>
      <c r="V22"/>
    </row>
    <row r="23" spans="2:22">
      <c r="B23" s="85">
        <v>42544</v>
      </c>
      <c r="C23" s="86">
        <v>0.69110725210000001</v>
      </c>
      <c r="D23" s="86">
        <f>VLOOKUP(CurrentMtgRatesDataTable825[[#This Row],[asofdate]],I:J,2,0)</f>
        <v>0.63229653730000002</v>
      </c>
      <c r="E23" s="86">
        <f>VLOOKUP(CurrentMtgRatesDataTable825[[#This Row],[asofdate]],O:P,2,0)</f>
        <v>0</v>
      </c>
      <c r="F23" s="87">
        <f ca="1">VLOOKUP(CurrentMtgRatesDataTable825[[#This Row],[asofdate]]+1,Bloomberg!B:C,2,0)</f>
        <v>2037</v>
      </c>
      <c r="I23" s="18">
        <v>42544</v>
      </c>
      <c r="J23" s="91">
        <v>0.63229653730000002</v>
      </c>
      <c r="K23" s="91">
        <f>VLOOKUP(CurrentMtgRatesDataTable82527141518[[#This Row],[asofdate]],O:P,2,0)</f>
        <v>0</v>
      </c>
      <c r="L23" s="91">
        <f>VLOOKUP(CurrentMtgRatesDataTable82527141518[[#This Row],[asofdate]],S:T,2,0)</f>
        <v>0.29603398609999998</v>
      </c>
      <c r="M23" s="6">
        <f ca="1">VLOOKUP(CurrentMtgRatesDataTable82527141518[[#This Row],[asofdate]]+1,Bloomberg!B:C,2,0)</f>
        <v>2037</v>
      </c>
      <c r="N23" s="6"/>
      <c r="O23" s="18">
        <v>42537</v>
      </c>
      <c r="P23" s="91">
        <v>0.30688655190000003</v>
      </c>
      <c r="Q23" s="104"/>
      <c r="R23" s="104"/>
      <c r="S23" s="18">
        <v>42544</v>
      </c>
      <c r="T23" s="91">
        <v>0.29603398609999998</v>
      </c>
      <c r="V23"/>
    </row>
    <row r="24" spans="2:22">
      <c r="B24" s="85">
        <v>42537</v>
      </c>
      <c r="C24" s="86">
        <v>0.73739072439999997</v>
      </c>
      <c r="D24" s="86">
        <f>VLOOKUP(CurrentMtgRatesDataTable825[[#This Row],[asofdate]],I:J,2,0)</f>
        <v>0.66402058939999997</v>
      </c>
      <c r="E24" s="86">
        <f>VLOOKUP(CurrentMtgRatesDataTable825[[#This Row],[asofdate]],O:P,2,0)</f>
        <v>0.30688655190000003</v>
      </c>
      <c r="F24" s="87">
        <f ca="1">VLOOKUP(CurrentMtgRatesDataTable825[[#This Row],[asofdate]]+1,Bloomberg!B:C,2,0)</f>
        <v>2081.1999999999998</v>
      </c>
      <c r="I24" s="18">
        <v>42537</v>
      </c>
      <c r="J24" s="91">
        <v>0.66402058939999997</v>
      </c>
      <c r="K24" s="91">
        <f>VLOOKUP(CurrentMtgRatesDataTable82527141518[[#This Row],[asofdate]],O:P,2,0)</f>
        <v>0.30688655190000003</v>
      </c>
      <c r="L24" s="91">
        <f>VLOOKUP(CurrentMtgRatesDataTable82527141518[[#This Row],[asofdate]],S:T,2,0)</f>
        <v>0.3231848464</v>
      </c>
      <c r="M24" s="6">
        <f ca="1">VLOOKUP(CurrentMtgRatesDataTable82527141518[[#This Row],[asofdate]]+1,Bloomberg!B:C,2,0)</f>
        <v>2081.1999999999998</v>
      </c>
      <c r="N24" s="6"/>
      <c r="O24" s="18">
        <v>42530</v>
      </c>
      <c r="P24" s="91">
        <v>2.196012E-4</v>
      </c>
      <c r="Q24" s="104"/>
      <c r="R24" s="104"/>
      <c r="S24" s="18">
        <v>42537</v>
      </c>
      <c r="T24" s="91">
        <v>0.3231848464</v>
      </c>
      <c r="V24"/>
    </row>
    <row r="25" spans="2:22">
      <c r="B25" s="85">
        <v>42530</v>
      </c>
      <c r="C25" s="86">
        <v>0.66438425379999999</v>
      </c>
      <c r="D25" s="86">
        <f>VLOOKUP(CurrentMtgRatesDataTable825[[#This Row],[asofdate]],I:J,2,0)</f>
        <v>0.62663630719999996</v>
      </c>
      <c r="E25" s="86">
        <f>VLOOKUP(CurrentMtgRatesDataTable825[[#This Row],[asofdate]],O:P,2,0)</f>
        <v>2.196012E-4</v>
      </c>
      <c r="F25" s="87">
        <f ca="1">VLOOKUP(CurrentMtgRatesDataTable825[[#This Row],[asofdate]]+1,Bloomberg!B:C,2,0)</f>
        <v>1967.5</v>
      </c>
      <c r="I25" s="18">
        <v>42530</v>
      </c>
      <c r="J25" s="91">
        <v>0.62663630719999996</v>
      </c>
      <c r="K25" s="91">
        <f>VLOOKUP(CurrentMtgRatesDataTable82527141518[[#This Row],[asofdate]],O:P,2,0)</f>
        <v>2.196012E-4</v>
      </c>
      <c r="L25" s="91">
        <f>VLOOKUP(CurrentMtgRatesDataTable82527141518[[#This Row],[asofdate]],S:T,2,0)</f>
        <v>0.29154228319999997</v>
      </c>
      <c r="M25" s="6">
        <f ca="1">VLOOKUP(CurrentMtgRatesDataTable82527141518[[#This Row],[asofdate]]+1,Bloomberg!B:C,2,0)</f>
        <v>1967.5</v>
      </c>
      <c r="N25" s="6"/>
      <c r="O25" s="18">
        <v>42523</v>
      </c>
      <c r="P25" s="91">
        <v>0</v>
      </c>
      <c r="Q25" s="104"/>
      <c r="R25" s="104"/>
      <c r="S25" s="18">
        <v>42530</v>
      </c>
      <c r="T25" s="91">
        <v>0.29154228319999997</v>
      </c>
      <c r="V25"/>
    </row>
    <row r="26" spans="2:22">
      <c r="B26" s="85">
        <v>42523</v>
      </c>
      <c r="C26" s="86">
        <v>0.58526010230000003</v>
      </c>
      <c r="D26" s="86">
        <f>VLOOKUP(CurrentMtgRatesDataTable825[[#This Row],[asofdate]],I:J,2,0)</f>
        <v>0.57432003080000005</v>
      </c>
      <c r="E26" s="86">
        <f>VLOOKUP(CurrentMtgRatesDataTable825[[#This Row],[asofdate]],O:P,2,0)</f>
        <v>0</v>
      </c>
      <c r="F26" s="87">
        <f ca="1">VLOOKUP(CurrentMtgRatesDataTable825[[#This Row],[asofdate]]+1,Bloomberg!B:C,2,0)</f>
        <v>1922.8</v>
      </c>
      <c r="I26" s="18">
        <v>42523</v>
      </c>
      <c r="J26" s="91">
        <v>0.57432003080000005</v>
      </c>
      <c r="K26" s="91">
        <f>VLOOKUP(CurrentMtgRatesDataTable82527141518[[#This Row],[asofdate]],O:P,2,0)</f>
        <v>0</v>
      </c>
      <c r="L26" s="91">
        <f>VLOOKUP(CurrentMtgRatesDataTable82527141518[[#This Row],[asofdate]],S:T,2,0)</f>
        <v>0.24658262720000002</v>
      </c>
      <c r="M26" s="6">
        <f ca="1">VLOOKUP(CurrentMtgRatesDataTable82527141518[[#This Row],[asofdate]]+1,Bloomberg!B:C,2,0)</f>
        <v>1922.8</v>
      </c>
      <c r="N26" s="6"/>
      <c r="O26" s="18">
        <v>42516</v>
      </c>
      <c r="P26" s="91">
        <v>0</v>
      </c>
      <c r="Q26" s="104"/>
      <c r="R26" s="104"/>
      <c r="S26" s="18">
        <v>42523</v>
      </c>
      <c r="T26" s="91">
        <v>0.24658262720000002</v>
      </c>
      <c r="V26"/>
    </row>
    <row r="27" spans="2:22">
      <c r="B27" s="85">
        <v>42516</v>
      </c>
      <c r="C27" s="86">
        <v>0.62190941929999999</v>
      </c>
      <c r="D27" s="86">
        <f>VLOOKUP(CurrentMtgRatesDataTable825[[#This Row],[asofdate]],I:J,2,0)</f>
        <v>0.58925100679999998</v>
      </c>
      <c r="E27" s="86">
        <f>VLOOKUP(CurrentMtgRatesDataTable825[[#This Row],[asofdate]],O:P,2,0)</f>
        <v>0</v>
      </c>
      <c r="F27" s="87">
        <f ca="1">VLOOKUP(CurrentMtgRatesDataTable825[[#This Row],[asofdate]]+1,Bloomberg!B:C,2,0)</f>
        <v>1770.1</v>
      </c>
      <c r="I27" s="18">
        <v>42516</v>
      </c>
      <c r="J27" s="91">
        <v>0.58925100679999998</v>
      </c>
      <c r="K27" s="91">
        <f>VLOOKUP(CurrentMtgRatesDataTable82527141518[[#This Row],[asofdate]],O:P,2,0)</f>
        <v>0</v>
      </c>
      <c r="L27" s="91">
        <f>VLOOKUP(CurrentMtgRatesDataTable82527141518[[#This Row],[asofdate]],S:T,2,0)</f>
        <v>0.25614855920000001</v>
      </c>
      <c r="M27" s="6">
        <f ca="1">VLOOKUP(CurrentMtgRatesDataTable82527141518[[#This Row],[asofdate]]+1,Bloomberg!B:C,2,0)</f>
        <v>1770.1</v>
      </c>
      <c r="N27" s="6"/>
      <c r="O27" s="18">
        <v>42509</v>
      </c>
      <c r="P27" s="91">
        <v>0</v>
      </c>
      <c r="Q27" s="104"/>
      <c r="R27" s="104"/>
      <c r="S27" s="18">
        <v>42516</v>
      </c>
      <c r="T27" s="91">
        <v>0.25614855920000001</v>
      </c>
      <c r="V27"/>
    </row>
    <row r="28" spans="2:22">
      <c r="B28" s="85">
        <v>42509</v>
      </c>
      <c r="C28" s="86">
        <v>0.66521365170000002</v>
      </c>
      <c r="D28" s="86">
        <f>VLOOKUP(CurrentMtgRatesDataTable825[[#This Row],[asofdate]],I:J,2,0)</f>
        <v>0.63334655910000004</v>
      </c>
      <c r="E28" s="86">
        <f>VLOOKUP(CurrentMtgRatesDataTable825[[#This Row],[asofdate]],O:P,2,0)</f>
        <v>0</v>
      </c>
      <c r="F28" s="87">
        <f ca="1">VLOOKUP(CurrentMtgRatesDataTable825[[#This Row],[asofdate]]+1,Bloomberg!B:C,2,0)</f>
        <v>1866.3</v>
      </c>
      <c r="I28" s="18">
        <v>42509</v>
      </c>
      <c r="J28" s="91">
        <v>0.63334655910000004</v>
      </c>
      <c r="K28" s="91">
        <f>VLOOKUP(CurrentMtgRatesDataTable82527141518[[#This Row],[asofdate]],O:P,2,0)</f>
        <v>0</v>
      </c>
      <c r="L28" s="91">
        <f>VLOOKUP(CurrentMtgRatesDataTable82527141518[[#This Row],[asofdate]],S:T,2,0)</f>
        <v>0.28823591269999999</v>
      </c>
      <c r="M28" s="6">
        <f ca="1">VLOOKUP(CurrentMtgRatesDataTable82527141518[[#This Row],[asofdate]]+1,Bloomberg!B:C,2,0)</f>
        <v>1866.3</v>
      </c>
      <c r="N28" s="6"/>
      <c r="O28" s="18">
        <v>42502</v>
      </c>
      <c r="P28" s="91">
        <v>0.2844667655</v>
      </c>
      <c r="Q28" s="104"/>
      <c r="R28" s="104"/>
      <c r="S28" s="18">
        <v>42509</v>
      </c>
      <c r="T28" s="91">
        <v>0.28823591269999999</v>
      </c>
      <c r="V28"/>
    </row>
    <row r="29" spans="2:22">
      <c r="B29" s="85">
        <v>42502</v>
      </c>
      <c r="C29" s="86">
        <v>0.71267394809999995</v>
      </c>
      <c r="D29" s="86">
        <f>VLOOKUP(CurrentMtgRatesDataTable825[[#This Row],[asofdate]],I:J,2,0)</f>
        <v>0.64169792280000004</v>
      </c>
      <c r="E29" s="86">
        <f>VLOOKUP(CurrentMtgRatesDataTable825[[#This Row],[asofdate]],O:P,2,0)</f>
        <v>0.2844667655</v>
      </c>
      <c r="F29" s="87">
        <f ca="1">VLOOKUP(CurrentMtgRatesDataTable825[[#This Row],[asofdate]]+1,Bloomberg!B:C,2,0)</f>
        <v>1849.7</v>
      </c>
      <c r="I29" s="18">
        <v>42502</v>
      </c>
      <c r="J29" s="91">
        <v>0.64169792280000004</v>
      </c>
      <c r="K29" s="91">
        <f>VLOOKUP(CurrentMtgRatesDataTable82527141518[[#This Row],[asofdate]],O:P,2,0)</f>
        <v>0.2844667655</v>
      </c>
      <c r="L29" s="91">
        <f>VLOOKUP(CurrentMtgRatesDataTable82527141518[[#This Row],[asofdate]],S:T,2,0)</f>
        <v>0.29953785770000002</v>
      </c>
      <c r="M29" s="6">
        <f ca="1">VLOOKUP(CurrentMtgRatesDataTable82527141518[[#This Row],[asofdate]]+1,Bloomberg!B:C,2,0)</f>
        <v>1849.7</v>
      </c>
      <c r="N29" s="6"/>
      <c r="O29" s="18">
        <v>42495</v>
      </c>
      <c r="P29" s="91">
        <v>0</v>
      </c>
      <c r="Q29" s="104"/>
      <c r="R29" s="104"/>
      <c r="S29" s="18">
        <v>42502</v>
      </c>
      <c r="T29" s="91">
        <v>0.29953785770000002</v>
      </c>
      <c r="V29"/>
    </row>
    <row r="30" spans="2:22">
      <c r="B30" s="85">
        <v>42495</v>
      </c>
      <c r="C30" s="86">
        <v>0.62371322269999996</v>
      </c>
      <c r="D30" s="86">
        <f>VLOOKUP(CurrentMtgRatesDataTable825[[#This Row],[asofdate]],I:J,2,0)</f>
        <v>0.59027324530000003</v>
      </c>
      <c r="E30" s="86">
        <f>VLOOKUP(CurrentMtgRatesDataTable825[[#This Row],[asofdate]],O:P,2,0)</f>
        <v>0</v>
      </c>
      <c r="F30" s="87">
        <f ca="1">VLOOKUP(CurrentMtgRatesDataTable825[[#This Row],[asofdate]]+1,Bloomberg!B:C,2,0)</f>
        <v>1812</v>
      </c>
      <c r="I30" s="18">
        <v>42495</v>
      </c>
      <c r="J30" s="91">
        <v>0.59027324530000003</v>
      </c>
      <c r="K30" s="91">
        <f>VLOOKUP(CurrentMtgRatesDataTable82527141518[[#This Row],[asofdate]],O:P,2,0)</f>
        <v>0</v>
      </c>
      <c r="L30" s="91">
        <f>VLOOKUP(CurrentMtgRatesDataTable82527141518[[#This Row],[asofdate]],S:T,2,0)</f>
        <v>0.26121759630000002</v>
      </c>
      <c r="M30" s="6">
        <f ca="1">VLOOKUP(CurrentMtgRatesDataTable82527141518[[#This Row],[asofdate]]+1,Bloomberg!B:C,2,0)</f>
        <v>1812</v>
      </c>
      <c r="N30" s="6"/>
      <c r="O30" s="18">
        <v>42488</v>
      </c>
      <c r="P30" s="91">
        <v>0</v>
      </c>
      <c r="Q30" s="104"/>
      <c r="R30" s="104"/>
      <c r="S30" s="18">
        <v>42495</v>
      </c>
      <c r="T30" s="91">
        <v>0.26121759630000002</v>
      </c>
      <c r="V30"/>
    </row>
    <row r="31" spans="2:22">
      <c r="B31" s="85">
        <v>42488</v>
      </c>
      <c r="C31" s="86">
        <v>0.57406643820000003</v>
      </c>
      <c r="D31" s="86">
        <f>VLOOKUP(CurrentMtgRatesDataTable825[[#This Row],[asofdate]],I:J,2,0)</f>
        <v>0.56738570980000003</v>
      </c>
      <c r="E31" s="86">
        <f>VLOOKUP(CurrentMtgRatesDataTable825[[#This Row],[asofdate]],O:P,2,0)</f>
        <v>0</v>
      </c>
      <c r="F31" s="87">
        <f ca="1">VLOOKUP(CurrentMtgRatesDataTable825[[#This Row],[asofdate]]+1,Bloomberg!B:C,2,0)</f>
        <v>1791.9</v>
      </c>
      <c r="I31" s="18">
        <v>42488</v>
      </c>
      <c r="J31" s="91">
        <v>0.56738570980000003</v>
      </c>
      <c r="K31" s="91">
        <f>VLOOKUP(CurrentMtgRatesDataTable82527141518[[#This Row],[asofdate]],O:P,2,0)</f>
        <v>0</v>
      </c>
      <c r="L31" s="91">
        <f>VLOOKUP(CurrentMtgRatesDataTable82527141518[[#This Row],[asofdate]],S:T,2,0)</f>
        <v>6.7427045199999994E-2</v>
      </c>
      <c r="M31" s="6">
        <f ca="1">VLOOKUP(CurrentMtgRatesDataTable82527141518[[#This Row],[asofdate]]+1,Bloomberg!B:C,2,0)</f>
        <v>1791.9</v>
      </c>
      <c r="N31" s="6"/>
      <c r="O31" s="18">
        <v>42481</v>
      </c>
      <c r="P31" s="91">
        <v>0</v>
      </c>
      <c r="Q31" s="104"/>
      <c r="R31" s="104"/>
      <c r="S31" s="18">
        <v>42488</v>
      </c>
      <c r="T31" s="91">
        <v>6.7427045199999994E-2</v>
      </c>
      <c r="V31"/>
    </row>
    <row r="32" spans="2:22">
      <c r="B32" s="85">
        <v>42481</v>
      </c>
      <c r="C32" s="86">
        <v>0.64436269310000005</v>
      </c>
      <c r="D32" s="86">
        <f>VLOOKUP(CurrentMtgRatesDataTable825[[#This Row],[asofdate]],I:J,2,0)</f>
        <v>0.62234100039999996</v>
      </c>
      <c r="E32" s="86">
        <f>VLOOKUP(CurrentMtgRatesDataTable825[[#This Row],[asofdate]],O:P,2,0)</f>
        <v>0</v>
      </c>
      <c r="F32" s="87">
        <f ca="1">VLOOKUP(CurrentMtgRatesDataTable825[[#This Row],[asofdate]]+1,Bloomberg!B:C,2,0)</f>
        <v>1910.1</v>
      </c>
      <c r="I32" s="18">
        <v>42481</v>
      </c>
      <c r="J32" s="91">
        <v>0.62234100039999996</v>
      </c>
      <c r="K32" s="91">
        <f>VLOOKUP(CurrentMtgRatesDataTable82527141518[[#This Row],[asofdate]],O:P,2,0)</f>
        <v>0</v>
      </c>
      <c r="L32" s="91">
        <f>VLOOKUP(CurrentMtgRatesDataTable82527141518[[#This Row],[asofdate]],S:T,2,0)</f>
        <v>0.27404515070000002</v>
      </c>
      <c r="M32" s="6">
        <f ca="1">VLOOKUP(CurrentMtgRatesDataTable82527141518[[#This Row],[asofdate]]+1,Bloomberg!B:C,2,0)</f>
        <v>1910.1</v>
      </c>
      <c r="N32" s="6"/>
      <c r="O32" s="18">
        <v>42474</v>
      </c>
      <c r="P32" s="91">
        <v>0.26905119960000001</v>
      </c>
      <c r="Q32" s="104"/>
      <c r="R32" s="104"/>
      <c r="S32" s="18">
        <v>42481</v>
      </c>
      <c r="T32" s="91">
        <v>0.27404515070000002</v>
      </c>
      <c r="V32"/>
    </row>
    <row r="33" spans="2:22">
      <c r="B33" s="85">
        <v>42474</v>
      </c>
      <c r="C33" s="86">
        <v>0.69672383459999998</v>
      </c>
      <c r="D33" s="86">
        <f>VLOOKUP(CurrentMtgRatesDataTable825[[#This Row],[asofdate]],I:J,2,0)</f>
        <v>0.63080109149999997</v>
      </c>
      <c r="E33" s="86">
        <f>VLOOKUP(CurrentMtgRatesDataTable825[[#This Row],[asofdate]],O:P,2,0)</f>
        <v>0.26905119960000001</v>
      </c>
      <c r="F33" s="87">
        <f ca="1">VLOOKUP(CurrentMtgRatesDataTable825[[#This Row],[asofdate]]+1,Bloomberg!B:C,2,0)</f>
        <v>2072.6</v>
      </c>
      <c r="I33" s="18">
        <v>42474</v>
      </c>
      <c r="J33" s="91">
        <v>0.63080109149999997</v>
      </c>
      <c r="K33" s="91">
        <f>VLOOKUP(CurrentMtgRatesDataTable82527141518[[#This Row],[asofdate]],O:P,2,0)</f>
        <v>0.26905119960000001</v>
      </c>
      <c r="L33" s="91">
        <f>VLOOKUP(CurrentMtgRatesDataTable82527141518[[#This Row],[asofdate]],S:T,2,0)</f>
        <v>0.28374614799999998</v>
      </c>
      <c r="M33" s="6">
        <f ca="1">VLOOKUP(CurrentMtgRatesDataTable82527141518[[#This Row],[asofdate]]+1,Bloomberg!B:C,2,0)</f>
        <v>2072.6</v>
      </c>
      <c r="N33" s="6"/>
      <c r="O33" s="18">
        <v>42467</v>
      </c>
      <c r="P33" s="91">
        <v>0.26649742840000001</v>
      </c>
      <c r="Q33" s="104"/>
      <c r="R33" s="104"/>
      <c r="S33" s="18">
        <v>42474</v>
      </c>
      <c r="T33" s="91">
        <v>0.28374614799999998</v>
      </c>
      <c r="V33"/>
    </row>
    <row r="34" spans="2:22">
      <c r="B34" s="85">
        <v>42467</v>
      </c>
      <c r="C34" s="86">
        <v>0.68664584439999998</v>
      </c>
      <c r="D34" s="86">
        <f>VLOOKUP(CurrentMtgRatesDataTable825[[#This Row],[asofdate]],I:J,2,0)</f>
        <v>0.62820417880000001</v>
      </c>
      <c r="E34" s="86">
        <f>VLOOKUP(CurrentMtgRatesDataTable825[[#This Row],[asofdate]],O:P,2,0)</f>
        <v>0.26649742840000001</v>
      </c>
      <c r="F34" s="87">
        <f ca="1">VLOOKUP(CurrentMtgRatesDataTable825[[#This Row],[asofdate]]+1,Bloomberg!B:C,2,0)</f>
        <v>2061.1</v>
      </c>
      <c r="I34" s="18">
        <v>42467</v>
      </c>
      <c r="J34" s="91">
        <v>0.62820417880000001</v>
      </c>
      <c r="K34" s="91">
        <f>VLOOKUP(CurrentMtgRatesDataTable82527141518[[#This Row],[asofdate]],O:P,2,0)</f>
        <v>0.26649742840000001</v>
      </c>
      <c r="L34" s="91">
        <f>VLOOKUP(CurrentMtgRatesDataTable82527141518[[#This Row],[asofdate]],S:T,2,0)</f>
        <v>0.27836232100000002</v>
      </c>
      <c r="M34" s="6">
        <f ca="1">VLOOKUP(CurrentMtgRatesDataTable82527141518[[#This Row],[asofdate]]+1,Bloomberg!B:C,2,0)</f>
        <v>2061.1</v>
      </c>
      <c r="N34" s="6"/>
      <c r="O34" s="18">
        <v>42460</v>
      </c>
      <c r="P34" s="91">
        <v>0</v>
      </c>
      <c r="Q34" s="104"/>
      <c r="R34" s="104"/>
      <c r="S34" s="18">
        <v>42467</v>
      </c>
      <c r="T34" s="91">
        <v>0.27836232100000002</v>
      </c>
      <c r="V34"/>
    </row>
    <row r="35" spans="2:22">
      <c r="B35" s="85">
        <v>42460</v>
      </c>
      <c r="C35" s="86">
        <v>0.56749132749999998</v>
      </c>
      <c r="D35" s="86">
        <f>VLOOKUP(CurrentMtgRatesDataTable825[[#This Row],[asofdate]],I:J,2,0)</f>
        <v>0.54440567340000001</v>
      </c>
      <c r="E35" s="86">
        <f>VLOOKUP(CurrentMtgRatesDataTable825[[#This Row],[asofdate]],O:P,2,0)</f>
        <v>0</v>
      </c>
      <c r="F35" s="87">
        <f ca="1">VLOOKUP(CurrentMtgRatesDataTable825[[#This Row],[asofdate]]+1,Bloomberg!B:C,2,0)</f>
        <v>1815.4</v>
      </c>
      <c r="I35" s="18">
        <v>42460</v>
      </c>
      <c r="J35" s="91">
        <v>0.54440567340000001</v>
      </c>
      <c r="K35" s="91">
        <f>VLOOKUP(CurrentMtgRatesDataTable82527141518[[#This Row],[asofdate]],O:P,2,0)</f>
        <v>0</v>
      </c>
      <c r="L35" s="91">
        <f>VLOOKUP(CurrentMtgRatesDataTable82527141518[[#This Row],[asofdate]],S:T,2,0)</f>
        <v>4.9843355999999998E-2</v>
      </c>
      <c r="M35" s="6">
        <f ca="1">VLOOKUP(CurrentMtgRatesDataTable82527141518[[#This Row],[asofdate]]+1,Bloomberg!B:C,2,0)</f>
        <v>1815.4</v>
      </c>
      <c r="N35" s="6"/>
      <c r="O35" s="18">
        <v>42453</v>
      </c>
      <c r="P35" s="91">
        <v>0</v>
      </c>
      <c r="Q35" s="104"/>
      <c r="R35" s="104"/>
      <c r="S35" s="18">
        <v>42460</v>
      </c>
      <c r="T35" s="91">
        <v>4.9843355999999998E-2</v>
      </c>
      <c r="V35"/>
    </row>
    <row r="36" spans="2:22">
      <c r="B36" s="85">
        <v>42453</v>
      </c>
      <c r="C36" s="86">
        <v>0.56749132749999998</v>
      </c>
      <c r="D36" s="86">
        <f>VLOOKUP(CurrentMtgRatesDataTable825[[#This Row],[asofdate]],I:J,2,0)</f>
        <v>0.54440567340000001</v>
      </c>
      <c r="E36" s="86">
        <f>VLOOKUP(CurrentMtgRatesDataTable825[[#This Row],[asofdate]],O:P,2,0)</f>
        <v>0</v>
      </c>
      <c r="F36" s="87">
        <f ca="1">VLOOKUP(CurrentMtgRatesDataTable825[[#This Row],[asofdate]]+1,Bloomberg!B:C,2,0)</f>
        <v>1671.6</v>
      </c>
      <c r="I36" s="18">
        <v>42453</v>
      </c>
      <c r="J36" s="91">
        <v>0.54440567340000001</v>
      </c>
      <c r="K36" s="91">
        <f>VLOOKUP(CurrentMtgRatesDataTable82527141518[[#This Row],[asofdate]],O:P,2,0)</f>
        <v>0</v>
      </c>
      <c r="L36" s="91">
        <f>VLOOKUP(CurrentMtgRatesDataTable82527141518[[#This Row],[asofdate]],S:T,2,0)</f>
        <v>0.2031771</v>
      </c>
      <c r="M36" s="6">
        <f ca="1">VLOOKUP(CurrentMtgRatesDataTable82527141518[[#This Row],[asofdate]]+1,Bloomberg!B:C,2,0)</f>
        <v>1671.6</v>
      </c>
      <c r="N36" s="6"/>
      <c r="O36" s="18">
        <v>42446</v>
      </c>
      <c r="P36" s="91">
        <v>0</v>
      </c>
      <c r="Q36" s="104"/>
      <c r="R36" s="104"/>
      <c r="S36" s="18">
        <v>42453</v>
      </c>
      <c r="T36" s="91">
        <v>0.2031771</v>
      </c>
      <c r="V36"/>
    </row>
    <row r="37" spans="2:22">
      <c r="B37" s="85">
        <v>42446</v>
      </c>
      <c r="C37" s="86">
        <v>0.54737976219999995</v>
      </c>
      <c r="D37" s="86">
        <f>VLOOKUP(CurrentMtgRatesDataTable825[[#This Row],[asofdate]],I:J,2,0)</f>
        <v>0.53878857629999999</v>
      </c>
      <c r="E37" s="86">
        <f>VLOOKUP(CurrentMtgRatesDataTable825[[#This Row],[asofdate]],O:P,2,0)</f>
        <v>0</v>
      </c>
      <c r="F37" s="87">
        <f ca="1">VLOOKUP(CurrentMtgRatesDataTable825[[#This Row],[asofdate]]+1,Bloomberg!B:C,2,0)</f>
        <v>1743.3</v>
      </c>
      <c r="I37" s="18">
        <v>42446</v>
      </c>
      <c r="J37" s="91">
        <v>0.53878857629999999</v>
      </c>
      <c r="K37" s="91">
        <f>VLOOKUP(CurrentMtgRatesDataTable82527141518[[#This Row],[asofdate]],O:P,2,0)</f>
        <v>0</v>
      </c>
      <c r="L37" s="91">
        <f>VLOOKUP(CurrentMtgRatesDataTable82527141518[[#This Row],[asofdate]],S:T,2,0)</f>
        <v>4.2037071199999998E-2</v>
      </c>
      <c r="M37" s="6">
        <f ca="1">VLOOKUP(CurrentMtgRatesDataTable82527141518[[#This Row],[asofdate]]+1,Bloomberg!B:C,2,0)</f>
        <v>1743.3</v>
      </c>
      <c r="N37" s="6"/>
      <c r="O37" s="18">
        <v>42439</v>
      </c>
      <c r="P37" s="91">
        <v>0</v>
      </c>
      <c r="Q37" s="104"/>
      <c r="R37" s="104"/>
      <c r="S37" s="18">
        <v>42446</v>
      </c>
      <c r="T37" s="91">
        <v>4.2037071199999998E-2</v>
      </c>
      <c r="V37"/>
    </row>
    <row r="38" spans="2:22">
      <c r="B38" s="85">
        <v>42439</v>
      </c>
      <c r="C38" s="86">
        <v>0.58587521639999995</v>
      </c>
      <c r="D38" s="86">
        <f>VLOOKUP(CurrentMtgRatesDataTable825[[#This Row],[asofdate]],I:J,2,0)</f>
        <v>0.56981847109999995</v>
      </c>
      <c r="E38" s="86">
        <f>VLOOKUP(CurrentMtgRatesDataTable825[[#This Row],[asofdate]],O:P,2,0)</f>
        <v>0</v>
      </c>
      <c r="F38" s="87">
        <f ca="1">VLOOKUP(CurrentMtgRatesDataTable825[[#This Row],[asofdate]]+1,Bloomberg!B:C,2,0)</f>
        <v>1841.2</v>
      </c>
      <c r="I38" s="18">
        <v>42439</v>
      </c>
      <c r="J38" s="91">
        <v>0.56981847109999995</v>
      </c>
      <c r="K38" s="91">
        <f>VLOOKUP(CurrentMtgRatesDataTable82527141518[[#This Row],[asofdate]],O:P,2,0)</f>
        <v>0</v>
      </c>
      <c r="L38" s="91">
        <f>VLOOKUP(CurrentMtgRatesDataTable82527141518[[#This Row],[asofdate]],S:T,2,0)</f>
        <v>0.2267590142</v>
      </c>
      <c r="M38" s="6">
        <f ca="1">VLOOKUP(CurrentMtgRatesDataTable82527141518[[#This Row],[asofdate]]+1,Bloomberg!B:C,2,0)</f>
        <v>1841.2</v>
      </c>
      <c r="N38" s="6"/>
      <c r="O38" s="18">
        <v>42432</v>
      </c>
      <c r="P38" s="91">
        <v>5.7145894099999997E-2</v>
      </c>
      <c r="Q38" s="104"/>
      <c r="R38" s="104"/>
      <c r="S38" s="18">
        <v>42439</v>
      </c>
      <c r="T38" s="91">
        <v>0.2267590142</v>
      </c>
      <c r="V38"/>
    </row>
    <row r="39" spans="2:22">
      <c r="B39" s="85">
        <v>42432</v>
      </c>
      <c r="C39" s="86">
        <v>0.62315819090000002</v>
      </c>
      <c r="D39" s="86">
        <f>VLOOKUP(CurrentMtgRatesDataTable825[[#This Row],[asofdate]],I:J,2,0)</f>
        <v>0.57935099440000004</v>
      </c>
      <c r="E39" s="86">
        <f>VLOOKUP(CurrentMtgRatesDataTable825[[#This Row],[asofdate]],O:P,2,0)</f>
        <v>5.7145894099999997E-2</v>
      </c>
      <c r="F39" s="87">
        <f ca="1">VLOOKUP(CurrentMtgRatesDataTable825[[#This Row],[asofdate]]+1,Bloomberg!B:C,2,0)</f>
        <v>1928</v>
      </c>
      <c r="I39" s="18">
        <v>42432</v>
      </c>
      <c r="J39" s="91">
        <v>0.57935099440000004</v>
      </c>
      <c r="K39" s="91">
        <f>VLOOKUP(CurrentMtgRatesDataTable82527141518[[#This Row],[asofdate]],O:P,2,0)</f>
        <v>5.7145894099999997E-2</v>
      </c>
      <c r="L39" s="91">
        <f>VLOOKUP(CurrentMtgRatesDataTable82527141518[[#This Row],[asofdate]],S:T,2,0)</f>
        <v>0.23816616020000003</v>
      </c>
      <c r="M39" s="6">
        <f ca="1">VLOOKUP(CurrentMtgRatesDataTable82527141518[[#This Row],[asofdate]]+1,Bloomberg!B:C,2,0)</f>
        <v>1928</v>
      </c>
      <c r="N39" s="6"/>
      <c r="O39" s="18">
        <v>42425</v>
      </c>
      <c r="P39" s="91">
        <v>5.1230928299999999E-2</v>
      </c>
      <c r="Q39" s="104"/>
      <c r="R39" s="104"/>
      <c r="S39" s="18">
        <v>42432</v>
      </c>
      <c r="T39" s="91">
        <v>0.23816616020000003</v>
      </c>
      <c r="V39"/>
    </row>
    <row r="40" spans="2:22">
      <c r="B40" s="85">
        <v>42425</v>
      </c>
      <c r="C40" s="86">
        <v>0.62152081729999997</v>
      </c>
      <c r="D40" s="86">
        <f>VLOOKUP(CurrentMtgRatesDataTable825[[#This Row],[asofdate]],I:J,2,0)</f>
        <v>0.58209872399999996</v>
      </c>
      <c r="E40" s="86">
        <f>VLOOKUP(CurrentMtgRatesDataTable825[[#This Row],[asofdate]],O:P,2,0)</f>
        <v>5.1230928299999999E-2</v>
      </c>
      <c r="F40" s="87">
        <f ca="1">VLOOKUP(CurrentMtgRatesDataTable825[[#This Row],[asofdate]]+1,Bloomberg!B:C,2,0)</f>
        <v>1992.9</v>
      </c>
      <c r="I40" s="18">
        <v>42425</v>
      </c>
      <c r="J40" s="91">
        <v>0.58209872399999996</v>
      </c>
      <c r="K40" s="91">
        <f>VLOOKUP(CurrentMtgRatesDataTable82527141518[[#This Row],[asofdate]],O:P,2,0)</f>
        <v>5.1230928299999999E-2</v>
      </c>
      <c r="L40" s="91">
        <f>VLOOKUP(CurrentMtgRatesDataTable82527141518[[#This Row],[asofdate]],S:T,2,0)</f>
        <v>0.23417131099999999</v>
      </c>
      <c r="M40" s="6">
        <f ca="1">VLOOKUP(CurrentMtgRatesDataTable82527141518[[#This Row],[asofdate]]+1,Bloomberg!B:C,2,0)</f>
        <v>1992.9</v>
      </c>
      <c r="N40" s="6"/>
      <c r="O40" s="18">
        <v>42418</v>
      </c>
      <c r="P40" s="91">
        <v>0</v>
      </c>
      <c r="Q40" s="104"/>
      <c r="R40" s="104"/>
      <c r="S40" s="18">
        <v>42425</v>
      </c>
      <c r="T40" s="91">
        <v>0.23417131099999999</v>
      </c>
      <c r="V40"/>
    </row>
    <row r="41" spans="2:22">
      <c r="B41" s="85">
        <v>42418</v>
      </c>
      <c r="C41" s="86">
        <v>0.61975450249999997</v>
      </c>
      <c r="D41" s="86">
        <f>VLOOKUP(CurrentMtgRatesDataTable825[[#This Row],[asofdate]],I:J,2,0)</f>
        <v>0.58166015199999999</v>
      </c>
      <c r="E41" s="86">
        <f>VLOOKUP(CurrentMtgRatesDataTable825[[#This Row],[asofdate]],O:P,2,0)</f>
        <v>0</v>
      </c>
      <c r="F41" s="87">
        <f ca="1">VLOOKUP(CurrentMtgRatesDataTable825[[#This Row],[asofdate]]+1,Bloomberg!B:C,2,0)</f>
        <v>2099.9</v>
      </c>
      <c r="I41" s="18">
        <v>42418</v>
      </c>
      <c r="J41" s="91">
        <v>0.58166015199999999</v>
      </c>
      <c r="K41" s="91">
        <f>VLOOKUP(CurrentMtgRatesDataTable82527141518[[#This Row],[asofdate]],O:P,2,0)</f>
        <v>0</v>
      </c>
      <c r="L41" s="91">
        <f>VLOOKUP(CurrentMtgRatesDataTable82527141518[[#This Row],[asofdate]],S:T,2,0)</f>
        <v>0.23187807120000001</v>
      </c>
      <c r="M41" s="6">
        <f ca="1">VLOOKUP(CurrentMtgRatesDataTable82527141518[[#This Row],[asofdate]]+1,Bloomberg!B:C,2,0)</f>
        <v>2099.9</v>
      </c>
      <c r="N41" s="6"/>
      <c r="O41" s="18">
        <v>42411</v>
      </c>
      <c r="P41" s="91">
        <v>5.1085709700000002E-2</v>
      </c>
      <c r="Q41" s="104"/>
      <c r="R41" s="104"/>
      <c r="S41" s="18">
        <v>42418</v>
      </c>
      <c r="T41" s="91">
        <v>0.23187807120000001</v>
      </c>
      <c r="V41"/>
    </row>
    <row r="42" spans="2:22">
      <c r="B42" s="85">
        <v>42411</v>
      </c>
      <c r="C42" s="86">
        <v>0.61975450249999997</v>
      </c>
      <c r="D42" s="86">
        <f>VLOOKUP(CurrentMtgRatesDataTable825[[#This Row],[asofdate]],I:J,2,0)</f>
        <v>0.58166015199999999</v>
      </c>
      <c r="E42" s="86">
        <f>VLOOKUP(CurrentMtgRatesDataTable825[[#This Row],[asofdate]],O:P,2,0)</f>
        <v>5.1085709700000002E-2</v>
      </c>
      <c r="F42" s="87">
        <f ca="1">VLOOKUP(CurrentMtgRatesDataTable825[[#This Row],[asofdate]]+1,Bloomberg!B:C,2,0)</f>
        <v>2341.5</v>
      </c>
      <c r="I42" s="18">
        <v>42411</v>
      </c>
      <c r="J42" s="91">
        <v>0.58166015199999999</v>
      </c>
      <c r="K42" s="91">
        <f>VLOOKUP(CurrentMtgRatesDataTable82527141518[[#This Row],[asofdate]],O:P,2,0)</f>
        <v>5.1085709700000002E-2</v>
      </c>
      <c r="L42" s="91">
        <f>VLOOKUP(CurrentMtgRatesDataTable82527141518[[#This Row],[asofdate]],S:T,2,0)</f>
        <v>0.23383256720000001</v>
      </c>
      <c r="M42" s="6">
        <f ca="1">VLOOKUP(CurrentMtgRatesDataTable82527141518[[#This Row],[asofdate]]+1,Bloomberg!B:C,2,0)</f>
        <v>2341.5</v>
      </c>
      <c r="N42" s="6"/>
      <c r="O42" s="18">
        <v>42404</v>
      </c>
      <c r="P42" s="91">
        <v>3.1734090600000001E-2</v>
      </c>
      <c r="Q42" s="104"/>
      <c r="R42" s="104"/>
      <c r="S42" s="18">
        <v>42411</v>
      </c>
      <c r="T42" s="91">
        <v>0.23383256720000001</v>
      </c>
      <c r="V42"/>
    </row>
    <row r="43" spans="2:22">
      <c r="B43" s="85">
        <v>42404</v>
      </c>
      <c r="C43" s="86">
        <v>0.53918901320000001</v>
      </c>
      <c r="D43" s="86">
        <f>VLOOKUP(CurrentMtgRatesDataTable825[[#This Row],[asofdate]],I:J,2,0)</f>
        <v>0.54131622769999999</v>
      </c>
      <c r="E43" s="86">
        <f>VLOOKUP(CurrentMtgRatesDataTable825[[#This Row],[asofdate]],O:P,2,0)</f>
        <v>3.1734090600000001E-2</v>
      </c>
      <c r="F43" s="87">
        <f ca="1">VLOOKUP(CurrentMtgRatesDataTable825[[#This Row],[asofdate]]+1,Bloomberg!B:C,2,0)</f>
        <v>2015.4</v>
      </c>
      <c r="I43" s="18">
        <v>42404</v>
      </c>
      <c r="J43" s="91">
        <v>0.54131622769999999</v>
      </c>
      <c r="K43" s="91">
        <f>VLOOKUP(CurrentMtgRatesDataTable82527141518[[#This Row],[asofdate]],O:P,2,0)</f>
        <v>3.1734090600000001E-2</v>
      </c>
      <c r="L43" s="91">
        <f>VLOOKUP(CurrentMtgRatesDataTable82527141518[[#This Row],[asofdate]],S:T,2,0)</f>
        <v>0.1952732136</v>
      </c>
      <c r="M43" s="6">
        <f ca="1">VLOOKUP(CurrentMtgRatesDataTable82527141518[[#This Row],[asofdate]]+1,Bloomberg!B:C,2,0)</f>
        <v>2015.4</v>
      </c>
      <c r="N43" s="6"/>
      <c r="O43" s="18">
        <v>42397</v>
      </c>
      <c r="P43" s="91">
        <v>3.3333785999999999E-3</v>
      </c>
      <c r="Q43" s="104"/>
      <c r="R43" s="104"/>
      <c r="S43" s="18">
        <v>42404</v>
      </c>
      <c r="T43" s="91">
        <v>0.1952732136</v>
      </c>
      <c r="V43"/>
    </row>
    <row r="44" spans="2:22">
      <c r="B44" s="85">
        <v>42397</v>
      </c>
      <c r="C44" s="86">
        <v>0.50272537399999995</v>
      </c>
      <c r="D44" s="86">
        <f>VLOOKUP(CurrentMtgRatesDataTable825[[#This Row],[asofdate]],I:J,2,0)</f>
        <v>0.48172130040000005</v>
      </c>
      <c r="E44" s="86">
        <f>VLOOKUP(CurrentMtgRatesDataTable825[[#This Row],[asofdate]],O:P,2,0)</f>
        <v>3.3333785999999999E-3</v>
      </c>
      <c r="F44" s="87">
        <f ca="1">VLOOKUP(CurrentMtgRatesDataTable825[[#This Row],[asofdate]]+1,Bloomberg!B:C,2,0)</f>
        <v>1726.6</v>
      </c>
      <c r="I44" s="18">
        <v>42397</v>
      </c>
      <c r="J44" s="91">
        <v>0.48172130040000005</v>
      </c>
      <c r="K44" s="91">
        <f>VLOOKUP(CurrentMtgRatesDataTable82527141518[[#This Row],[asofdate]],O:P,2,0)</f>
        <v>3.3333785999999999E-3</v>
      </c>
      <c r="L44" s="91">
        <f>VLOOKUP(CurrentMtgRatesDataTable82527141518[[#This Row],[asofdate]],S:T,2,0)</f>
        <v>1.7591301199999999E-2</v>
      </c>
      <c r="M44" s="6">
        <f ca="1">VLOOKUP(CurrentMtgRatesDataTable82527141518[[#This Row],[asofdate]]+1,Bloomberg!B:C,2,0)</f>
        <v>1726.6</v>
      </c>
      <c r="N44" s="6"/>
      <c r="O44" s="18">
        <v>42390</v>
      </c>
      <c r="P44" s="91">
        <v>3.3044493000000002E-3</v>
      </c>
      <c r="Q44" s="104"/>
      <c r="R44" s="104"/>
      <c r="S44" s="18">
        <v>42397</v>
      </c>
      <c r="T44" s="91">
        <v>1.7591301199999999E-2</v>
      </c>
      <c r="V44"/>
    </row>
    <row r="45" spans="2:22">
      <c r="B45" s="85">
        <v>42390</v>
      </c>
      <c r="C45" s="86">
        <v>0.49753910080000002</v>
      </c>
      <c r="D45" s="86">
        <f>VLOOKUP(CurrentMtgRatesDataTable825[[#This Row],[asofdate]],I:J,2,0)</f>
        <v>0.47928735750000007</v>
      </c>
      <c r="E45" s="86">
        <f>VLOOKUP(CurrentMtgRatesDataTable825[[#This Row],[asofdate]],O:P,2,0)</f>
        <v>3.3044493000000002E-3</v>
      </c>
      <c r="F45" s="87">
        <f ca="1">VLOOKUP(CurrentMtgRatesDataTable825[[#This Row],[asofdate]]+1,Bloomberg!B:C,2,0)</f>
        <v>1734.4</v>
      </c>
      <c r="I45" s="18">
        <v>42390</v>
      </c>
      <c r="J45" s="91">
        <v>0.47928735750000007</v>
      </c>
      <c r="K45" s="91">
        <f>VLOOKUP(CurrentMtgRatesDataTable82527141518[[#This Row],[asofdate]],O:P,2,0)</f>
        <v>3.3044493000000002E-3</v>
      </c>
      <c r="L45" s="91">
        <f>VLOOKUP(CurrentMtgRatesDataTable82527141518[[#This Row],[asofdate]],S:T,2,0)</f>
        <v>1.7296221699999999E-2</v>
      </c>
      <c r="M45" s="6">
        <f ca="1">VLOOKUP(CurrentMtgRatesDataTable82527141518[[#This Row],[asofdate]]+1,Bloomberg!B:C,2,0)</f>
        <v>1734.4</v>
      </c>
      <c r="N45" s="6"/>
      <c r="O45" s="18">
        <v>42383</v>
      </c>
      <c r="P45" s="91">
        <v>5.448769E-4</v>
      </c>
      <c r="Q45" s="104"/>
      <c r="R45" s="104"/>
      <c r="S45" s="18">
        <v>42390</v>
      </c>
      <c r="T45" s="91">
        <v>1.7296221699999999E-2</v>
      </c>
      <c r="V45"/>
    </row>
    <row r="46" spans="2:22">
      <c r="B46" s="85">
        <v>42383</v>
      </c>
      <c r="C46" s="86">
        <v>0.46815197920000007</v>
      </c>
      <c r="D46" s="86">
        <f>VLOOKUP(CurrentMtgRatesDataTable825[[#This Row],[asofdate]],I:J,2,0)</f>
        <v>0.41526002010000002</v>
      </c>
      <c r="E46" s="86">
        <f>VLOOKUP(CurrentMtgRatesDataTable825[[#This Row],[asofdate]],O:P,2,0)</f>
        <v>5.448769E-4</v>
      </c>
      <c r="F46" s="87">
        <f ca="1">VLOOKUP(CurrentMtgRatesDataTable825[[#This Row],[asofdate]]+1,Bloomberg!B:C,2,0)</f>
        <v>1544.6</v>
      </c>
      <c r="I46" s="18">
        <v>42383</v>
      </c>
      <c r="J46" s="91">
        <v>0.41526002010000002</v>
      </c>
      <c r="K46" s="91">
        <f>VLOOKUP(CurrentMtgRatesDataTable82527141518[[#This Row],[asofdate]],O:P,2,0)</f>
        <v>5.448769E-4</v>
      </c>
      <c r="L46" s="91">
        <f>VLOOKUP(CurrentMtgRatesDataTable82527141518[[#This Row],[asofdate]],S:T,2,0)</f>
        <v>6.2010661000000003E-3</v>
      </c>
      <c r="M46" s="6">
        <f ca="1">VLOOKUP(CurrentMtgRatesDataTable82527141518[[#This Row],[asofdate]]+1,Bloomberg!B:C,2,0)</f>
        <v>1544.6</v>
      </c>
      <c r="N46" s="6"/>
      <c r="O46" s="18">
        <v>42376</v>
      </c>
      <c r="P46" s="91">
        <v>0</v>
      </c>
      <c r="Q46" s="104"/>
      <c r="R46" s="104"/>
      <c r="S46" s="18">
        <v>42383</v>
      </c>
      <c r="T46" s="91">
        <v>6.2010661000000003E-3</v>
      </c>
      <c r="V46"/>
    </row>
    <row r="47" spans="2:22">
      <c r="B47" s="85">
        <v>42376</v>
      </c>
      <c r="C47" s="86">
        <v>0.44756382090000002</v>
      </c>
      <c r="D47" s="86">
        <f>VLOOKUP(CurrentMtgRatesDataTable825[[#This Row],[asofdate]],I:J,2,0)</f>
        <v>0.40781420359999998</v>
      </c>
      <c r="E47" s="86">
        <f>VLOOKUP(CurrentMtgRatesDataTable825[[#This Row],[asofdate]],O:P,2,0)</f>
        <v>0</v>
      </c>
      <c r="F47" s="87">
        <f ca="1">VLOOKUP(CurrentMtgRatesDataTable825[[#This Row],[asofdate]]+1,Bloomberg!B:C,2,0)</f>
        <v>1273.8</v>
      </c>
      <c r="I47" s="18">
        <v>42376</v>
      </c>
      <c r="J47" s="91">
        <v>0.40781420359999998</v>
      </c>
      <c r="K47" s="91">
        <f>VLOOKUP(CurrentMtgRatesDataTable82527141518[[#This Row],[asofdate]],O:P,2,0)</f>
        <v>0</v>
      </c>
      <c r="L47" s="91">
        <f>VLOOKUP(CurrentMtgRatesDataTable82527141518[[#This Row],[asofdate]],S:T,2,0)</f>
        <v>3.0047211000000002E-3</v>
      </c>
      <c r="M47" s="6">
        <f ca="1">VLOOKUP(CurrentMtgRatesDataTable82527141518[[#This Row],[asofdate]]+1,Bloomberg!B:C,2,0)</f>
        <v>1273.8</v>
      </c>
      <c r="N47" s="6"/>
      <c r="O47" s="18">
        <v>42369</v>
      </c>
      <c r="P47" s="91">
        <v>0</v>
      </c>
      <c r="Q47" s="104"/>
      <c r="R47" s="104"/>
      <c r="S47" s="18">
        <v>42376</v>
      </c>
      <c r="T47" s="91">
        <v>3.0047211000000002E-3</v>
      </c>
      <c r="V47"/>
    </row>
    <row r="48" spans="2:22">
      <c r="B48" s="85">
        <v>42369</v>
      </c>
      <c r="C48" s="86">
        <v>0.43826473589999998</v>
      </c>
      <c r="D48" s="86">
        <f>VLOOKUP(CurrentMtgRatesDataTable825[[#This Row],[asofdate]],I:J,2,0)</f>
        <v>0.3831685655</v>
      </c>
      <c r="E48" s="86">
        <f>VLOOKUP(CurrentMtgRatesDataTable825[[#This Row],[asofdate]],O:P,2,0)</f>
        <v>0</v>
      </c>
      <c r="F48" s="87">
        <f ca="1">VLOOKUP(CurrentMtgRatesDataTable825[[#This Row],[asofdate]]+1,Bloomberg!B:C,2,0)</f>
        <v>1020.5</v>
      </c>
      <c r="I48" s="18">
        <v>42369</v>
      </c>
      <c r="J48" s="91">
        <v>0.3831685655</v>
      </c>
      <c r="K48" s="91">
        <f>VLOOKUP(CurrentMtgRatesDataTable82527141518[[#This Row],[asofdate]],O:P,2,0)</f>
        <v>0</v>
      </c>
      <c r="L48" s="91">
        <f>VLOOKUP(CurrentMtgRatesDataTable82527141518[[#This Row],[asofdate]],S:T,2,0)</f>
        <v>4.7134729999999999E-4</v>
      </c>
      <c r="M48" s="6">
        <f ca="1">VLOOKUP(CurrentMtgRatesDataTable82527141518[[#This Row],[asofdate]]+1,Bloomberg!B:C,2,0)</f>
        <v>1020.5</v>
      </c>
      <c r="N48" s="6"/>
      <c r="O48" s="18">
        <v>42362</v>
      </c>
      <c r="P48" s="91">
        <v>0</v>
      </c>
      <c r="Q48" s="104"/>
      <c r="R48" s="104"/>
      <c r="S48" s="18">
        <v>42369</v>
      </c>
      <c r="T48" s="91">
        <v>4.7134729999999999E-4</v>
      </c>
      <c r="V48"/>
    </row>
    <row r="49" spans="2:22">
      <c r="B49" s="85">
        <v>42362</v>
      </c>
      <c r="C49" s="86">
        <v>0.4601935942</v>
      </c>
      <c r="D49" s="86">
        <f>VLOOKUP(CurrentMtgRatesDataTable825[[#This Row],[asofdate]],I:J,2,0)</f>
        <v>0.41543361070000001</v>
      </c>
      <c r="E49" s="86">
        <f>VLOOKUP(CurrentMtgRatesDataTable825[[#This Row],[asofdate]],O:P,2,0)</f>
        <v>0</v>
      </c>
      <c r="F49" s="87">
        <f ca="1">VLOOKUP(CurrentMtgRatesDataTable825[[#This Row],[asofdate]]+1,Bloomberg!B:C,2,0)</f>
        <v>1174.0999999999999</v>
      </c>
      <c r="I49" s="18">
        <v>42362</v>
      </c>
      <c r="J49" s="91">
        <v>0.41543361070000001</v>
      </c>
      <c r="K49" s="91">
        <f>VLOOKUP(CurrentMtgRatesDataTable82527141518[[#This Row],[asofdate]],O:P,2,0)</f>
        <v>0</v>
      </c>
      <c r="L49" s="91">
        <f>VLOOKUP(CurrentMtgRatesDataTable82527141518[[#This Row],[asofdate]],S:T,2,0)</f>
        <v>3.7034997000000001E-3</v>
      </c>
      <c r="M49" s="6">
        <f ca="1">VLOOKUP(CurrentMtgRatesDataTable82527141518[[#This Row],[asofdate]]+1,Bloomberg!B:C,2,0)</f>
        <v>1174.0999999999999</v>
      </c>
      <c r="N49" s="6"/>
      <c r="O49" s="18">
        <v>42355</v>
      </c>
      <c r="P49" s="91">
        <v>0</v>
      </c>
      <c r="Q49" s="104"/>
      <c r="R49" s="104"/>
      <c r="S49" s="18">
        <v>42362</v>
      </c>
      <c r="T49" s="91">
        <v>3.7034997000000001E-3</v>
      </c>
      <c r="V49"/>
    </row>
    <row r="50" spans="2:22">
      <c r="B50" s="85">
        <v>42355</v>
      </c>
      <c r="C50" s="86">
        <v>0.45605562830000002</v>
      </c>
      <c r="D50" s="86">
        <f>VLOOKUP(CurrentMtgRatesDataTable825[[#This Row],[asofdate]],I:J,2,0)</f>
        <v>0.41475858059999998</v>
      </c>
      <c r="E50" s="86">
        <f>VLOOKUP(CurrentMtgRatesDataTable825[[#This Row],[asofdate]],O:P,2,0)</f>
        <v>0</v>
      </c>
      <c r="F50" s="87">
        <f ca="1">VLOOKUP(CurrentMtgRatesDataTable825[[#This Row],[asofdate]]+1,Bloomberg!B:C,2,0)</f>
        <v>1667.4</v>
      </c>
      <c r="I50" s="18">
        <v>42355</v>
      </c>
      <c r="J50" s="91">
        <v>0.41475858059999998</v>
      </c>
      <c r="K50" s="91">
        <f>VLOOKUP(CurrentMtgRatesDataTable82527141518[[#This Row],[asofdate]],O:P,2,0)</f>
        <v>0</v>
      </c>
      <c r="L50" s="91">
        <f>VLOOKUP(CurrentMtgRatesDataTable82527141518[[#This Row],[asofdate]],S:T,2,0)</f>
        <v>2.1328380000000002E-3</v>
      </c>
      <c r="M50" s="6">
        <f ca="1">VLOOKUP(CurrentMtgRatesDataTable82527141518[[#This Row],[asofdate]]+1,Bloomberg!B:C,2,0)</f>
        <v>1667.4</v>
      </c>
      <c r="N50" s="6"/>
      <c r="O50" s="18">
        <v>42348</v>
      </c>
      <c r="P50" s="91">
        <v>0</v>
      </c>
      <c r="Q50" s="104"/>
      <c r="R50" s="104"/>
      <c r="S50" s="18">
        <v>42355</v>
      </c>
      <c r="T50" s="91">
        <v>2.1328380000000002E-3</v>
      </c>
      <c r="V50"/>
    </row>
    <row r="51" spans="2:22">
      <c r="B51" s="85">
        <v>42348</v>
      </c>
      <c r="C51" s="86">
        <v>0.46652962419999999</v>
      </c>
      <c r="D51" s="86">
        <f>VLOOKUP(CurrentMtgRatesDataTable825[[#This Row],[asofdate]],I:J,2,0)</f>
        <v>0.41671533789999998</v>
      </c>
      <c r="E51" s="86">
        <f>VLOOKUP(CurrentMtgRatesDataTable825[[#This Row],[asofdate]],O:P,2,0)</f>
        <v>0</v>
      </c>
      <c r="F51" s="87">
        <f ca="1">VLOOKUP(CurrentMtgRatesDataTable825[[#This Row],[asofdate]]+1,Bloomberg!B:C,2,0)</f>
        <v>1470.6</v>
      </c>
      <c r="I51" s="18">
        <v>42348</v>
      </c>
      <c r="J51" s="91">
        <v>0.41671533789999998</v>
      </c>
      <c r="K51" s="91">
        <f>VLOOKUP(CurrentMtgRatesDataTable82527141518[[#This Row],[asofdate]],O:P,2,0)</f>
        <v>0</v>
      </c>
      <c r="L51" s="91">
        <f>VLOOKUP(CurrentMtgRatesDataTable82527141518[[#This Row],[asofdate]],S:T,2,0)</f>
        <v>3.7282702000000002E-3</v>
      </c>
      <c r="M51" s="6">
        <f ca="1">VLOOKUP(CurrentMtgRatesDataTable82527141518[[#This Row],[asofdate]]+1,Bloomberg!B:C,2,0)</f>
        <v>1470.6</v>
      </c>
      <c r="N51" s="6"/>
      <c r="O51" s="18">
        <v>42341</v>
      </c>
      <c r="P51" s="91">
        <v>0</v>
      </c>
      <c r="Q51" s="104"/>
      <c r="R51" s="104"/>
      <c r="S51" s="18">
        <v>42348</v>
      </c>
      <c r="T51" s="91">
        <v>3.7282702000000002E-3</v>
      </c>
      <c r="V51"/>
    </row>
    <row r="52" spans="2:22">
      <c r="B52" s="85">
        <v>42341</v>
      </c>
      <c r="C52" s="86">
        <v>0.47347711400000003</v>
      </c>
      <c r="D52" s="86">
        <f>VLOOKUP(CurrentMtgRatesDataTable825[[#This Row],[asofdate]],I:J,2,0)</f>
        <v>0.42119163279999999</v>
      </c>
      <c r="E52" s="86">
        <f>VLOOKUP(CurrentMtgRatesDataTable825[[#This Row],[asofdate]],O:P,2,0)</f>
        <v>0</v>
      </c>
      <c r="F52" s="87">
        <f ca="1">VLOOKUP(CurrentMtgRatesDataTable825[[#This Row],[asofdate]]+1,Bloomberg!B:C,2,0)</f>
        <v>1451.5</v>
      </c>
      <c r="I52" s="18">
        <v>42341</v>
      </c>
      <c r="J52" s="91">
        <v>0.42119163279999999</v>
      </c>
      <c r="K52" s="91">
        <f>VLOOKUP(CurrentMtgRatesDataTable82527141518[[#This Row],[asofdate]],O:P,2,0)</f>
        <v>0</v>
      </c>
      <c r="L52" s="91">
        <f>VLOOKUP(CurrentMtgRatesDataTable82527141518[[#This Row],[asofdate]],S:T,2,0)</f>
        <v>3.8999424000000001E-3</v>
      </c>
      <c r="M52" s="6">
        <f ca="1">VLOOKUP(CurrentMtgRatesDataTable82527141518[[#This Row],[asofdate]]+1,Bloomberg!B:C,2,0)</f>
        <v>1451.5</v>
      </c>
      <c r="N52" s="6"/>
      <c r="O52" s="18">
        <v>42333</v>
      </c>
      <c r="P52" s="91">
        <v>0</v>
      </c>
      <c r="Q52" s="104"/>
      <c r="R52" s="104"/>
      <c r="S52" s="18">
        <v>42341</v>
      </c>
      <c r="T52" s="91">
        <v>3.8999424000000001E-3</v>
      </c>
      <c r="V52"/>
    </row>
    <row r="53" spans="2:22">
      <c r="B53" s="85">
        <v>42333</v>
      </c>
      <c r="C53" s="86">
        <v>0.46308653259999999</v>
      </c>
      <c r="D53" s="86">
        <f>VLOOKUP(CurrentMtgRatesDataTable825[[#This Row],[asofdate]],I:J,2,0)</f>
        <v>0.42287417910000002</v>
      </c>
      <c r="E53" s="86">
        <f>VLOOKUP(CurrentMtgRatesDataTable825[[#This Row],[asofdate]],O:P,2,0)</f>
        <v>0</v>
      </c>
      <c r="F53" s="87">
        <f ca="1">VLOOKUP(CurrentMtgRatesDataTable825[[#This Row],[asofdate]]+1,Bloomberg!B:C,2,0)</f>
        <v>1410.2</v>
      </c>
      <c r="I53" s="18">
        <v>42333</v>
      </c>
      <c r="J53" s="91">
        <v>0.42287417910000002</v>
      </c>
      <c r="K53" s="91">
        <f>VLOOKUP(CurrentMtgRatesDataTable82527141518[[#This Row],[asofdate]],O:P,2,0)</f>
        <v>0</v>
      </c>
      <c r="L53" s="91">
        <f>VLOOKUP(CurrentMtgRatesDataTable82527141518[[#This Row],[asofdate]],S:T,2,0)</f>
        <v>2.5040428E-3</v>
      </c>
      <c r="M53" s="6">
        <f ca="1">VLOOKUP(CurrentMtgRatesDataTable82527141518[[#This Row],[asofdate]]+1,Bloomberg!B:C,2,0)</f>
        <v>1410.2</v>
      </c>
      <c r="N53" s="6"/>
      <c r="O53" s="18">
        <v>42327</v>
      </c>
      <c r="P53" s="91">
        <v>0</v>
      </c>
      <c r="Q53" s="104"/>
      <c r="R53" s="104"/>
      <c r="S53" s="18">
        <v>42333</v>
      </c>
      <c r="T53" s="91">
        <v>2.5040428E-3</v>
      </c>
      <c r="V53"/>
    </row>
    <row r="54" spans="2:22">
      <c r="B54" s="85">
        <v>42327</v>
      </c>
      <c r="C54" s="86">
        <v>0.46443630479999998</v>
      </c>
      <c r="D54" s="86">
        <f>VLOOKUP(CurrentMtgRatesDataTable825[[#This Row],[asofdate]],I:J,2,0)</f>
        <v>0.42345495970000002</v>
      </c>
      <c r="E54" s="86">
        <f>VLOOKUP(CurrentMtgRatesDataTable825[[#This Row],[asofdate]],O:P,2,0)</f>
        <v>0</v>
      </c>
      <c r="F54" s="87">
        <f ca="1">VLOOKUP(CurrentMtgRatesDataTable825[[#This Row],[asofdate]]+1,Bloomberg!B:C,2,0)</f>
        <v>1489</v>
      </c>
      <c r="I54" s="18">
        <v>42327</v>
      </c>
      <c r="J54" s="91">
        <v>0.42345495970000002</v>
      </c>
      <c r="K54" s="91">
        <f>VLOOKUP(CurrentMtgRatesDataTable82527141518[[#This Row],[asofdate]],O:P,2,0)</f>
        <v>0</v>
      </c>
      <c r="L54" s="91">
        <f>VLOOKUP(CurrentMtgRatesDataTable82527141518[[#This Row],[asofdate]],S:T,2,0)</f>
        <v>2.5053662999999999E-3</v>
      </c>
      <c r="M54" s="6">
        <f ca="1">VLOOKUP(CurrentMtgRatesDataTable82527141518[[#This Row],[asofdate]]+1,Bloomberg!B:C,2,0)</f>
        <v>1489</v>
      </c>
      <c r="N54" s="6"/>
      <c r="O54" s="18">
        <v>42320</v>
      </c>
      <c r="P54" s="91">
        <v>0</v>
      </c>
      <c r="Q54" s="104"/>
      <c r="R54" s="104"/>
      <c r="S54" s="18">
        <v>42327</v>
      </c>
      <c r="T54" s="91">
        <v>2.5053662999999999E-3</v>
      </c>
      <c r="V54"/>
    </row>
    <row r="55" spans="2:22">
      <c r="B55" s="85">
        <v>42320</v>
      </c>
      <c r="C55" s="86">
        <v>0.45997040150000001</v>
      </c>
      <c r="D55" s="86">
        <f>VLOOKUP(CurrentMtgRatesDataTable825[[#This Row],[asofdate]],I:J,2,0)</f>
        <v>0.39698461699999998</v>
      </c>
      <c r="E55" s="86">
        <f>VLOOKUP(CurrentMtgRatesDataTable825[[#This Row],[asofdate]],O:P,2,0)</f>
        <v>0</v>
      </c>
      <c r="F55" s="87">
        <f ca="1">VLOOKUP(CurrentMtgRatesDataTable825[[#This Row],[asofdate]]+1,Bloomberg!B:C,2,0)</f>
        <v>1528.7</v>
      </c>
      <c r="I55" s="18">
        <v>42320</v>
      </c>
      <c r="J55" s="91">
        <v>0.39698461699999998</v>
      </c>
      <c r="K55" s="91">
        <f>VLOOKUP(CurrentMtgRatesDataTable82527141518[[#This Row],[asofdate]],O:P,2,0)</f>
        <v>0</v>
      </c>
      <c r="L55" s="91">
        <f>VLOOKUP(CurrentMtgRatesDataTable82527141518[[#This Row],[asofdate]],S:T,2,0)</f>
        <v>1.9502083E-3</v>
      </c>
      <c r="M55" s="6">
        <f ca="1">VLOOKUP(CurrentMtgRatesDataTable82527141518[[#This Row],[asofdate]]+1,Bloomberg!B:C,2,0)</f>
        <v>1528.7</v>
      </c>
      <c r="N55" s="6"/>
      <c r="O55" s="18">
        <v>42313</v>
      </c>
      <c r="P55" s="91">
        <v>0</v>
      </c>
      <c r="Q55" s="104"/>
      <c r="R55" s="104"/>
      <c r="S55" s="18">
        <v>42320</v>
      </c>
      <c r="T55" s="91">
        <v>1.9502083E-3</v>
      </c>
      <c r="V55"/>
    </row>
    <row r="56" spans="2:22">
      <c r="B56" s="85">
        <v>42313</v>
      </c>
      <c r="C56" s="86">
        <v>0.49677707599999998</v>
      </c>
      <c r="D56" s="86">
        <f>VLOOKUP(CurrentMtgRatesDataTable825[[#This Row],[asofdate]],I:J,2,0)</f>
        <v>0.45637168340000001</v>
      </c>
      <c r="E56" s="86">
        <f>VLOOKUP(CurrentMtgRatesDataTable825[[#This Row],[asofdate]],O:P,2,0)</f>
        <v>0</v>
      </c>
      <c r="F56" s="87">
        <f ca="1">VLOOKUP(CurrentMtgRatesDataTable825[[#This Row],[asofdate]]+1,Bloomberg!B:C,2,0)</f>
        <v>1514.1</v>
      </c>
      <c r="I56" s="18">
        <v>42313</v>
      </c>
      <c r="J56" s="91">
        <v>0.45637168340000001</v>
      </c>
      <c r="K56" s="91">
        <f>VLOOKUP(CurrentMtgRatesDataTable82527141518[[#This Row],[asofdate]],O:P,2,0)</f>
        <v>0</v>
      </c>
      <c r="L56" s="91">
        <f>VLOOKUP(CurrentMtgRatesDataTable82527141518[[#This Row],[asofdate]],S:T,2,0)</f>
        <v>6.5558735999999996E-3</v>
      </c>
      <c r="M56" s="6">
        <f ca="1">VLOOKUP(CurrentMtgRatesDataTable82527141518[[#This Row],[asofdate]]+1,Bloomberg!B:C,2,0)</f>
        <v>1514.1</v>
      </c>
      <c r="N56" s="6"/>
      <c r="O56" s="18">
        <v>42306</v>
      </c>
      <c r="P56" s="91">
        <v>0</v>
      </c>
      <c r="Q56" s="104"/>
      <c r="R56" s="104"/>
      <c r="S56" s="18">
        <v>42313</v>
      </c>
      <c r="T56" s="91">
        <v>6.5558735999999996E-3</v>
      </c>
      <c r="V56"/>
    </row>
    <row r="57" spans="2:22">
      <c r="B57" s="85">
        <v>42306</v>
      </c>
      <c r="C57" s="86">
        <v>0.55261651649999999</v>
      </c>
      <c r="D57" s="86">
        <f>VLOOKUP(CurrentMtgRatesDataTable825[[#This Row],[asofdate]],I:J,2,0)</f>
        <v>0.53284943490000003</v>
      </c>
      <c r="E57" s="86">
        <f>VLOOKUP(CurrentMtgRatesDataTable825[[#This Row],[asofdate]],O:P,2,0)</f>
        <v>0</v>
      </c>
      <c r="F57" s="87">
        <f ca="1">VLOOKUP(CurrentMtgRatesDataTable825[[#This Row],[asofdate]]+1,Bloomberg!B:C,2,0)</f>
        <v>1548.6</v>
      </c>
      <c r="I57" s="18">
        <v>42306</v>
      </c>
      <c r="J57" s="91">
        <v>0.53284943490000003</v>
      </c>
      <c r="K57" s="91">
        <f>VLOOKUP(CurrentMtgRatesDataTable82527141518[[#This Row],[asofdate]],O:P,2,0)</f>
        <v>0</v>
      </c>
      <c r="L57" s="91">
        <f>VLOOKUP(CurrentMtgRatesDataTable82527141518[[#This Row],[asofdate]],S:T,2,0)</f>
        <v>1.6887394600000001E-2</v>
      </c>
      <c r="M57" s="6">
        <f ca="1">VLOOKUP(CurrentMtgRatesDataTable82527141518[[#This Row],[asofdate]]+1,Bloomberg!B:C,2,0)</f>
        <v>1548.6</v>
      </c>
      <c r="N57" s="6"/>
      <c r="O57" s="18">
        <v>42299</v>
      </c>
      <c r="P57" s="91">
        <v>0</v>
      </c>
      <c r="Q57" s="104"/>
      <c r="R57" s="104"/>
      <c r="S57" s="18">
        <v>42306</v>
      </c>
      <c r="T57" s="91">
        <v>1.6887394600000001E-2</v>
      </c>
      <c r="V57"/>
    </row>
    <row r="58" spans="2:22">
      <c r="B58" s="85">
        <v>42299</v>
      </c>
      <c r="C58" s="86">
        <v>0.52706745170000002</v>
      </c>
      <c r="D58" s="86">
        <f>VLOOKUP(CurrentMtgRatesDataTable825[[#This Row],[asofdate]],I:J,2,0)</f>
        <v>0.50641637490000002</v>
      </c>
      <c r="E58" s="86">
        <f>VLOOKUP(CurrentMtgRatesDataTable825[[#This Row],[asofdate]],O:P,2,0)</f>
        <v>0</v>
      </c>
      <c r="F58" s="87">
        <f ca="1">VLOOKUP(CurrentMtgRatesDataTable825[[#This Row],[asofdate]]+1,Bloomberg!B:C,2,0)</f>
        <v>1544.8</v>
      </c>
      <c r="I58" s="18">
        <v>42299</v>
      </c>
      <c r="J58" s="91">
        <v>0.50641637490000002</v>
      </c>
      <c r="K58" s="91">
        <f>VLOOKUP(CurrentMtgRatesDataTable82527141518[[#This Row],[asofdate]],O:P,2,0)</f>
        <v>0</v>
      </c>
      <c r="L58" s="91">
        <f>VLOOKUP(CurrentMtgRatesDataTable82527141518[[#This Row],[asofdate]],S:T,2,0)</f>
        <v>1.2722163599999999E-2</v>
      </c>
      <c r="M58" s="6">
        <f ca="1">VLOOKUP(CurrentMtgRatesDataTable82527141518[[#This Row],[asofdate]]+1,Bloomberg!B:C,2,0)</f>
        <v>1544.8</v>
      </c>
      <c r="N58" s="6"/>
      <c r="O58" s="18">
        <v>42292</v>
      </c>
      <c r="P58" s="91">
        <v>0</v>
      </c>
      <c r="Q58" s="104"/>
      <c r="R58" s="104"/>
      <c r="S58" s="18">
        <v>42299</v>
      </c>
      <c r="T58" s="91">
        <v>1.2722163599999999E-2</v>
      </c>
      <c r="V58"/>
    </row>
    <row r="59" spans="2:22">
      <c r="B59" s="85">
        <v>42292</v>
      </c>
      <c r="C59" s="86">
        <v>0.52130362860000001</v>
      </c>
      <c r="D59" s="86">
        <f>VLOOKUP(CurrentMtgRatesDataTable825[[#This Row],[asofdate]],I:J,2,0)</f>
        <v>0.50022693870000001</v>
      </c>
      <c r="E59" s="86">
        <f>VLOOKUP(CurrentMtgRatesDataTable825[[#This Row],[asofdate]],O:P,2,0)</f>
        <v>0</v>
      </c>
      <c r="F59" s="87">
        <f ca="1">VLOOKUP(CurrentMtgRatesDataTable825[[#This Row],[asofdate]]+1,Bloomberg!B:C,2,0)</f>
        <v>1575.3</v>
      </c>
      <c r="I59" s="18">
        <v>42292</v>
      </c>
      <c r="J59" s="91">
        <v>0.50022693870000001</v>
      </c>
      <c r="K59" s="91">
        <f>VLOOKUP(CurrentMtgRatesDataTable82527141518[[#This Row],[asofdate]],O:P,2,0)</f>
        <v>0</v>
      </c>
      <c r="L59" s="91">
        <f>VLOOKUP(CurrentMtgRatesDataTable82527141518[[#This Row],[asofdate]],S:T,2,0)</f>
        <v>8.9844881000000001E-3</v>
      </c>
      <c r="M59" s="6">
        <f ca="1">VLOOKUP(CurrentMtgRatesDataTable82527141518[[#This Row],[asofdate]]+1,Bloomberg!B:C,2,0)</f>
        <v>1575.3</v>
      </c>
      <c r="N59" s="6"/>
      <c r="O59" s="18">
        <v>42285</v>
      </c>
      <c r="P59" s="91">
        <v>8.6672647999999995E-3</v>
      </c>
      <c r="Q59" s="104"/>
      <c r="R59" s="104"/>
      <c r="S59" s="18">
        <v>42292</v>
      </c>
      <c r="T59" s="91">
        <v>8.9844881000000001E-3</v>
      </c>
      <c r="V59"/>
    </row>
    <row r="60" spans="2:22">
      <c r="B60" s="85">
        <v>42285</v>
      </c>
      <c r="C60" s="86">
        <v>0.55261651649999999</v>
      </c>
      <c r="D60" s="86">
        <f>VLOOKUP(CurrentMtgRatesDataTable825[[#This Row],[asofdate]],I:J,2,0)</f>
        <v>0.53284943490000003</v>
      </c>
      <c r="E60" s="86">
        <f>VLOOKUP(CurrentMtgRatesDataTable825[[#This Row],[asofdate]],O:P,2,0)</f>
        <v>8.6672647999999995E-3</v>
      </c>
      <c r="F60" s="87">
        <f ca="1">VLOOKUP(CurrentMtgRatesDataTable825[[#This Row],[asofdate]]+1,Bloomberg!B:C,2,0)</f>
        <v>1534.5</v>
      </c>
      <c r="I60" s="18">
        <v>42285</v>
      </c>
      <c r="J60" s="91">
        <v>0.53284943490000003</v>
      </c>
      <c r="K60" s="91">
        <f>VLOOKUP(CurrentMtgRatesDataTable82527141518[[#This Row],[asofdate]],O:P,2,0)</f>
        <v>8.6672647999999995E-3</v>
      </c>
      <c r="L60" s="91">
        <f>VLOOKUP(CurrentMtgRatesDataTable82527141518[[#This Row],[asofdate]],S:T,2,0)</f>
        <v>1.6887394600000001E-2</v>
      </c>
      <c r="M60" s="6">
        <f ca="1">VLOOKUP(CurrentMtgRatesDataTable82527141518[[#This Row],[asofdate]]+1,Bloomberg!B:C,2,0)</f>
        <v>1534.5</v>
      </c>
      <c r="N60" s="6"/>
      <c r="O60" s="18">
        <v>42278</v>
      </c>
      <c r="P60" s="91">
        <v>1.7827444999999999E-3</v>
      </c>
      <c r="Q60" s="104"/>
      <c r="R60" s="104"/>
      <c r="S60" s="18">
        <v>42285</v>
      </c>
      <c r="T60" s="91">
        <v>1.6887394600000001E-2</v>
      </c>
      <c r="V60"/>
    </row>
    <row r="61" spans="2:22">
      <c r="B61" s="85">
        <v>42278</v>
      </c>
      <c r="C61" s="86">
        <v>0.51208600950000005</v>
      </c>
      <c r="D61" s="86">
        <f>VLOOKUP(CurrentMtgRatesDataTable825[[#This Row],[asofdate]],I:J,2,0)</f>
        <v>0.49720172820000003</v>
      </c>
      <c r="E61" s="86">
        <f>VLOOKUP(CurrentMtgRatesDataTable825[[#This Row],[asofdate]],O:P,2,0)</f>
        <v>1.7827444999999999E-3</v>
      </c>
      <c r="F61" s="87">
        <f ca="1">VLOOKUP(CurrentMtgRatesDataTable825[[#This Row],[asofdate]]+1,Bloomberg!B:C,2,0)</f>
        <v>2071.6</v>
      </c>
      <c r="I61" s="18">
        <v>42278</v>
      </c>
      <c r="J61" s="91">
        <v>0.49720172820000003</v>
      </c>
      <c r="K61" s="91">
        <f>VLOOKUP(CurrentMtgRatesDataTable82527141518[[#This Row],[asofdate]],O:P,2,0)</f>
        <v>1.7827444999999999E-3</v>
      </c>
      <c r="L61" s="91">
        <f>VLOOKUP(CurrentMtgRatesDataTable82527141518[[#This Row],[asofdate]],S:T,2,0)</f>
        <v>8.5607423000000002E-3</v>
      </c>
      <c r="M61" s="6">
        <f ca="1">VLOOKUP(CurrentMtgRatesDataTable82527141518[[#This Row],[asofdate]]+1,Bloomberg!B:C,2,0)</f>
        <v>2071.6</v>
      </c>
      <c r="N61" s="6"/>
      <c r="O61" s="18">
        <v>42271</v>
      </c>
      <c r="P61" s="91">
        <v>7.4039299999999994E-5</v>
      </c>
      <c r="Q61" s="104"/>
      <c r="R61" s="104"/>
      <c r="S61" s="18">
        <v>42278</v>
      </c>
      <c r="T61" s="91">
        <v>8.5607423000000002E-3</v>
      </c>
      <c r="V61"/>
    </row>
    <row r="62" spans="2:22">
      <c r="B62" s="85">
        <v>42271</v>
      </c>
      <c r="C62" s="86">
        <v>0.51399076759999995</v>
      </c>
      <c r="D62" s="86">
        <f>VLOOKUP(CurrentMtgRatesDataTable825[[#This Row],[asofdate]],I:J,2,0)</f>
        <v>0.4667430393</v>
      </c>
      <c r="E62" s="86">
        <f>VLOOKUP(CurrentMtgRatesDataTable825[[#This Row],[asofdate]],O:P,2,0)</f>
        <v>7.4039299999999994E-5</v>
      </c>
      <c r="F62" s="87">
        <f ca="1">VLOOKUP(CurrentMtgRatesDataTable825[[#This Row],[asofdate]]+1,Bloomberg!B:C,2,0)</f>
        <v>1589.5</v>
      </c>
      <c r="I62" s="18">
        <v>42271</v>
      </c>
      <c r="J62" s="91">
        <v>0.4667430393</v>
      </c>
      <c r="K62" s="91">
        <f>VLOOKUP(CurrentMtgRatesDataTable82527141518[[#This Row],[asofdate]],O:P,2,0)</f>
        <v>7.4039299999999994E-5</v>
      </c>
      <c r="L62" s="91">
        <f>VLOOKUP(CurrentMtgRatesDataTable82527141518[[#This Row],[asofdate]],S:T,2,0)</f>
        <v>2.6883557000000002E-3</v>
      </c>
      <c r="M62" s="6">
        <f ca="1">VLOOKUP(CurrentMtgRatesDataTable82527141518[[#This Row],[asofdate]]+1,Bloomberg!B:C,2,0)</f>
        <v>1589.5</v>
      </c>
      <c r="N62" s="6"/>
      <c r="O62" s="18">
        <v>42264</v>
      </c>
      <c r="P62" s="91">
        <v>0</v>
      </c>
      <c r="Q62" s="104"/>
      <c r="R62" s="104"/>
      <c r="S62" s="18">
        <v>42271</v>
      </c>
      <c r="T62" s="91">
        <v>2.6883557000000002E-3</v>
      </c>
      <c r="V62"/>
    </row>
    <row r="63" spans="2:22">
      <c r="B63" s="85">
        <v>42264</v>
      </c>
      <c r="C63" s="86">
        <v>0.5083323126</v>
      </c>
      <c r="D63" s="86">
        <f>VLOOKUP(CurrentMtgRatesDataTable825[[#This Row],[asofdate]],I:J,2,0)</f>
        <v>0.46378838439999998</v>
      </c>
      <c r="E63" s="86">
        <f>VLOOKUP(CurrentMtgRatesDataTable825[[#This Row],[asofdate]],O:P,2,0)</f>
        <v>0</v>
      </c>
      <c r="F63" s="87">
        <f ca="1">VLOOKUP(CurrentMtgRatesDataTable825[[#This Row],[asofdate]]+1,Bloomberg!B:C,2,0)</f>
        <v>1759.9</v>
      </c>
      <c r="I63" s="18">
        <v>42264</v>
      </c>
      <c r="J63" s="91">
        <v>0.46378838439999998</v>
      </c>
      <c r="K63" s="91">
        <f>VLOOKUP(CurrentMtgRatesDataTable82527141518[[#This Row],[asofdate]],O:P,2,0)</f>
        <v>0</v>
      </c>
      <c r="L63" s="91">
        <f>VLOOKUP(CurrentMtgRatesDataTable82527141518[[#This Row],[asofdate]],S:T,2,0)</f>
        <v>2.1280814000000001E-3</v>
      </c>
      <c r="M63" s="6">
        <f ca="1">VLOOKUP(CurrentMtgRatesDataTable82527141518[[#This Row],[asofdate]]+1,Bloomberg!B:C,2,0)</f>
        <v>1759.9</v>
      </c>
      <c r="N63" s="6"/>
      <c r="O63" s="18">
        <v>42257</v>
      </c>
      <c r="P63" s="91">
        <v>0</v>
      </c>
      <c r="Q63" s="104"/>
      <c r="R63" s="104"/>
      <c r="S63" s="18">
        <v>42264</v>
      </c>
      <c r="T63" s="91">
        <v>2.1280814000000001E-3</v>
      </c>
      <c r="V63"/>
    </row>
    <row r="64" spans="2:22">
      <c r="B64" s="85">
        <v>42257</v>
      </c>
      <c r="C64" s="86">
        <v>0.51043465129999999</v>
      </c>
      <c r="D64" s="86">
        <f>VLOOKUP(CurrentMtgRatesDataTable825[[#This Row],[asofdate]],I:J,2,0)</f>
        <v>0.46538467929999999</v>
      </c>
      <c r="E64" s="86">
        <f>VLOOKUP(CurrentMtgRatesDataTable825[[#This Row],[asofdate]],O:P,2,0)</f>
        <v>0</v>
      </c>
      <c r="F64" s="87">
        <f ca="1">VLOOKUP(CurrentMtgRatesDataTable825[[#This Row],[asofdate]]+1,Bloomberg!B:C,2,0)</f>
        <v>1473.7</v>
      </c>
      <c r="I64" s="18">
        <v>42257</v>
      </c>
      <c r="J64" s="91">
        <v>0.46538467929999999</v>
      </c>
      <c r="K64" s="91">
        <f>VLOOKUP(CurrentMtgRatesDataTable82527141518[[#This Row],[asofdate]],O:P,2,0)</f>
        <v>0</v>
      </c>
      <c r="L64" s="91">
        <f>VLOOKUP(CurrentMtgRatesDataTable82527141518[[#This Row],[asofdate]],S:T,2,0)</f>
        <v>2.6022055E-3</v>
      </c>
      <c r="M64" s="6">
        <f ca="1">VLOOKUP(CurrentMtgRatesDataTable82527141518[[#This Row],[asofdate]]+1,Bloomberg!B:C,2,0)</f>
        <v>1473.7</v>
      </c>
      <c r="N64" s="6"/>
      <c r="O64" s="18">
        <v>42250</v>
      </c>
      <c r="P64" s="91">
        <v>0</v>
      </c>
      <c r="Q64" s="104"/>
      <c r="R64" s="104"/>
      <c r="S64" s="18">
        <v>42257</v>
      </c>
      <c r="T64" s="91">
        <v>2.6022055E-3</v>
      </c>
      <c r="V64"/>
    </row>
    <row r="65" spans="2:22">
      <c r="B65" s="85">
        <v>42250</v>
      </c>
      <c r="C65" s="86">
        <v>0.5127782193</v>
      </c>
      <c r="D65" s="86">
        <f>VLOOKUP(CurrentMtgRatesDataTable825[[#This Row],[asofdate]],I:J,2,0)</f>
        <v>0.46628192260000001</v>
      </c>
      <c r="E65" s="86">
        <f>VLOOKUP(CurrentMtgRatesDataTable825[[#This Row],[asofdate]],O:P,2,0)</f>
        <v>0</v>
      </c>
      <c r="F65" s="87">
        <f ca="1">VLOOKUP(CurrentMtgRatesDataTable825[[#This Row],[asofdate]]+1,Bloomberg!B:C,2,0)</f>
        <v>1626.9</v>
      </c>
      <c r="I65" s="18">
        <v>42250</v>
      </c>
      <c r="J65" s="91">
        <v>0.46628192260000001</v>
      </c>
      <c r="K65" s="91">
        <f>VLOOKUP(CurrentMtgRatesDataTable82527141518[[#This Row],[asofdate]],O:P,2,0)</f>
        <v>0</v>
      </c>
      <c r="L65" s="91">
        <f>VLOOKUP(CurrentMtgRatesDataTable82527141518[[#This Row],[asofdate]],S:T,2,0)</f>
        <v>2.5424555000000001E-3</v>
      </c>
      <c r="M65" s="6">
        <f ca="1">VLOOKUP(CurrentMtgRatesDataTable82527141518[[#This Row],[asofdate]]+1,Bloomberg!B:C,2,0)</f>
        <v>1626.9</v>
      </c>
      <c r="N65" s="6"/>
      <c r="O65" s="18">
        <v>42243</v>
      </c>
      <c r="P65" s="91">
        <v>1.1738189E-3</v>
      </c>
      <c r="Q65" s="104"/>
      <c r="R65" s="104"/>
      <c r="S65" s="18">
        <v>42250</v>
      </c>
      <c r="T65" s="91">
        <v>2.5424555000000001E-3</v>
      </c>
      <c r="V65"/>
    </row>
    <row r="66" spans="2:22">
      <c r="B66" s="85">
        <v>42243</v>
      </c>
      <c r="C66" s="86">
        <v>0.53856859050000006</v>
      </c>
      <c r="D66" s="86">
        <f>VLOOKUP(CurrentMtgRatesDataTable825[[#This Row],[asofdate]],I:J,2,0)</f>
        <v>0.50782718149999995</v>
      </c>
      <c r="E66" s="86">
        <f>VLOOKUP(CurrentMtgRatesDataTable825[[#This Row],[asofdate]],O:P,2,0)</f>
        <v>1.1738189E-3</v>
      </c>
      <c r="F66" s="87">
        <f ca="1">VLOOKUP(CurrentMtgRatesDataTable825[[#This Row],[asofdate]]+1,Bloomberg!B:C,2,0)</f>
        <v>1857.7</v>
      </c>
      <c r="I66" s="18">
        <v>42243</v>
      </c>
      <c r="J66" s="91">
        <v>0.50782718149999995</v>
      </c>
      <c r="K66" s="91">
        <f>VLOOKUP(CurrentMtgRatesDataTable82527141518[[#This Row],[asofdate]],O:P,2,0)</f>
        <v>1.1738189E-3</v>
      </c>
      <c r="L66" s="91">
        <f>VLOOKUP(CurrentMtgRatesDataTable82527141518[[#This Row],[asofdate]],S:T,2,0)</f>
        <v>3.8897602E-3</v>
      </c>
      <c r="M66" s="6">
        <f ca="1">VLOOKUP(CurrentMtgRatesDataTable82527141518[[#This Row],[asofdate]]+1,Bloomberg!B:C,2,0)</f>
        <v>1857.7</v>
      </c>
      <c r="N66" s="6"/>
      <c r="O66" s="18">
        <v>42236</v>
      </c>
      <c r="P66" s="91">
        <v>0</v>
      </c>
      <c r="Q66" s="104"/>
      <c r="R66" s="104"/>
      <c r="S66" s="18">
        <v>42243</v>
      </c>
      <c r="T66" s="91">
        <v>3.8897602E-3</v>
      </c>
      <c r="V66"/>
    </row>
    <row r="67" spans="2:22">
      <c r="B67" s="85">
        <v>42236</v>
      </c>
      <c r="C67" s="86">
        <v>0.51646033650000001</v>
      </c>
      <c r="D67" s="86">
        <f>VLOOKUP(CurrentMtgRatesDataTable825[[#This Row],[asofdate]],I:J,2,0)</f>
        <v>0.4481756871</v>
      </c>
      <c r="E67" s="86">
        <f>VLOOKUP(CurrentMtgRatesDataTable825[[#This Row],[asofdate]],O:P,2,0)</f>
        <v>0</v>
      </c>
      <c r="F67" s="87">
        <f ca="1">VLOOKUP(CurrentMtgRatesDataTable825[[#This Row],[asofdate]]+1,Bloomberg!B:C,2,0)</f>
        <v>1545.5</v>
      </c>
      <c r="I67" s="18">
        <v>42236</v>
      </c>
      <c r="J67" s="91">
        <v>0.4481756871</v>
      </c>
      <c r="K67" s="91">
        <f>VLOOKUP(CurrentMtgRatesDataTable82527141518[[#This Row],[asofdate]],O:P,2,0)</f>
        <v>0</v>
      </c>
      <c r="L67" s="91">
        <f>VLOOKUP(CurrentMtgRatesDataTable82527141518[[#This Row],[asofdate]],S:T,2,0)</f>
        <v>1.2478017E-3</v>
      </c>
      <c r="M67" s="6">
        <f ca="1">VLOOKUP(CurrentMtgRatesDataTable82527141518[[#This Row],[asofdate]]+1,Bloomberg!B:C,2,0)</f>
        <v>1545.5</v>
      </c>
      <c r="N67" s="6"/>
      <c r="O67" s="18">
        <v>42229</v>
      </c>
      <c r="P67" s="91">
        <v>0</v>
      </c>
      <c r="Q67" s="104"/>
      <c r="R67" s="104"/>
      <c r="S67" s="18">
        <v>42236</v>
      </c>
      <c r="T67" s="91">
        <v>1.2478017E-3</v>
      </c>
      <c r="V67"/>
    </row>
    <row r="68" spans="2:22">
      <c r="B68" s="85">
        <v>42229</v>
      </c>
      <c r="C68" s="86">
        <v>0.51316667250000003</v>
      </c>
      <c r="D68" s="86">
        <f>VLOOKUP(CurrentMtgRatesDataTable825[[#This Row],[asofdate]],I:J,2,0)</f>
        <v>0.44692809999999999</v>
      </c>
      <c r="E68" s="86">
        <f>VLOOKUP(CurrentMtgRatesDataTable825[[#This Row],[asofdate]],O:P,2,0)</f>
        <v>0</v>
      </c>
      <c r="F68" s="87">
        <f ca="1">VLOOKUP(CurrentMtgRatesDataTable825[[#This Row],[asofdate]]+1,Bloomberg!B:C,2,0)</f>
        <v>1561.2</v>
      </c>
      <c r="I68" s="18">
        <v>42229</v>
      </c>
      <c r="J68" s="91">
        <v>0.44692809999999999</v>
      </c>
      <c r="K68" s="91">
        <f>VLOOKUP(CurrentMtgRatesDataTable82527141518[[#This Row],[asofdate]],O:P,2,0)</f>
        <v>0</v>
      </c>
      <c r="L68" s="91">
        <f>VLOOKUP(CurrentMtgRatesDataTable82527141518[[#This Row],[asofdate]],S:T,2,0)</f>
        <v>1.2033200999999999E-3</v>
      </c>
      <c r="M68" s="6">
        <f ca="1">VLOOKUP(CurrentMtgRatesDataTable82527141518[[#This Row],[asofdate]]+1,Bloomberg!B:C,2,0)</f>
        <v>1561.2</v>
      </c>
      <c r="N68" s="6"/>
      <c r="O68" s="18">
        <v>42222</v>
      </c>
      <c r="P68" s="91">
        <v>2.6231900000000001E-4</v>
      </c>
      <c r="Q68" s="104"/>
      <c r="R68" s="104"/>
      <c r="S68" s="18">
        <v>42229</v>
      </c>
      <c r="T68" s="91">
        <v>1.2033200999999999E-3</v>
      </c>
      <c r="V68"/>
    </row>
    <row r="69" spans="2:22">
      <c r="B69" s="85">
        <v>42222</v>
      </c>
      <c r="C69" s="86">
        <v>0.52075028860000006</v>
      </c>
      <c r="D69" s="86">
        <f>VLOOKUP(CurrentMtgRatesDataTable825[[#This Row],[asofdate]],I:J,2,0)</f>
        <v>0.47307575430000004</v>
      </c>
      <c r="E69" s="86">
        <f>VLOOKUP(CurrentMtgRatesDataTable825[[#This Row],[asofdate]],O:P,2,0)</f>
        <v>2.6231900000000001E-4</v>
      </c>
      <c r="F69" s="87">
        <f ca="1">VLOOKUP(CurrentMtgRatesDataTable825[[#This Row],[asofdate]]+1,Bloomberg!B:C,2,0)</f>
        <v>1455.2</v>
      </c>
      <c r="I69" s="18">
        <v>42222</v>
      </c>
      <c r="J69" s="91">
        <v>0.47307575430000004</v>
      </c>
      <c r="K69" s="91">
        <f>VLOOKUP(CurrentMtgRatesDataTable82527141518[[#This Row],[asofdate]],O:P,2,0)</f>
        <v>2.6231900000000001E-4</v>
      </c>
      <c r="L69" s="91">
        <f>VLOOKUP(CurrentMtgRatesDataTable82527141518[[#This Row],[asofdate]],S:T,2,0)</f>
        <v>1.7238742999999999E-3</v>
      </c>
      <c r="M69" s="6">
        <f ca="1">VLOOKUP(CurrentMtgRatesDataTable82527141518[[#This Row],[asofdate]]+1,Bloomberg!B:C,2,0)</f>
        <v>1455.2</v>
      </c>
      <c r="N69" s="6"/>
      <c r="O69" s="18">
        <v>42215</v>
      </c>
      <c r="P69" s="91">
        <v>1.2230900000000002E-5</v>
      </c>
      <c r="Q69" s="104"/>
      <c r="R69" s="104"/>
      <c r="S69" s="18">
        <v>42222</v>
      </c>
      <c r="T69" s="91">
        <v>1.7238742999999999E-3</v>
      </c>
      <c r="V69"/>
    </row>
    <row r="70" spans="2:22">
      <c r="B70" s="85">
        <v>42215</v>
      </c>
      <c r="C70" s="86">
        <v>0.50568140959999996</v>
      </c>
      <c r="D70" s="86">
        <f>VLOOKUP(CurrentMtgRatesDataTable825[[#This Row],[asofdate]],I:J,2,0)</f>
        <v>0.42803975230000002</v>
      </c>
      <c r="E70" s="86">
        <f>VLOOKUP(CurrentMtgRatesDataTable825[[#This Row],[asofdate]],O:P,2,0)</f>
        <v>1.2230900000000002E-5</v>
      </c>
      <c r="F70" s="87">
        <f ca="1">VLOOKUP(CurrentMtgRatesDataTable825[[#This Row],[asofdate]]+1,Bloomberg!B:C,2,0)</f>
        <v>1418</v>
      </c>
      <c r="I70" s="18">
        <v>42215</v>
      </c>
      <c r="J70" s="91">
        <v>0.42803975230000002</v>
      </c>
      <c r="K70" s="91">
        <f>VLOOKUP(CurrentMtgRatesDataTable82527141518[[#This Row],[asofdate]],O:P,2,0)</f>
        <v>1.2230900000000002E-5</v>
      </c>
      <c r="L70" s="91">
        <f>VLOOKUP(CurrentMtgRatesDataTable82527141518[[#This Row],[asofdate]],S:T,2,0)</f>
        <v>6.1178580000000005E-4</v>
      </c>
      <c r="M70" s="6">
        <f ca="1">VLOOKUP(CurrentMtgRatesDataTable82527141518[[#This Row],[asofdate]]+1,Bloomberg!B:C,2,0)</f>
        <v>1418</v>
      </c>
      <c r="N70" s="6"/>
      <c r="O70" s="18">
        <v>42208</v>
      </c>
      <c r="P70" s="91">
        <v>0</v>
      </c>
      <c r="Q70" s="104"/>
      <c r="R70" s="104"/>
      <c r="S70" s="18">
        <v>42215</v>
      </c>
      <c r="T70" s="91">
        <v>6.1178580000000005E-4</v>
      </c>
      <c r="V70"/>
    </row>
    <row r="71" spans="2:22">
      <c r="B71" s="85">
        <v>42208</v>
      </c>
      <c r="C71" s="86">
        <v>0.47440443860000003</v>
      </c>
      <c r="D71" s="86">
        <f>VLOOKUP(CurrentMtgRatesDataTable825[[#This Row],[asofdate]],I:J,2,0)</f>
        <v>0.3977182071</v>
      </c>
      <c r="E71" s="86">
        <f>VLOOKUP(CurrentMtgRatesDataTable825[[#This Row],[asofdate]],O:P,2,0)</f>
        <v>0</v>
      </c>
      <c r="F71" s="87">
        <f ca="1">VLOOKUP(CurrentMtgRatesDataTable825[[#This Row],[asofdate]]+1,Bloomberg!B:C,2,0)</f>
        <v>1339.9</v>
      </c>
      <c r="I71" s="18">
        <v>42208</v>
      </c>
      <c r="J71" s="91">
        <v>0.3977182071</v>
      </c>
      <c r="K71" s="91">
        <f>VLOOKUP(CurrentMtgRatesDataTable82527141518[[#This Row],[asofdate]],O:P,2,0)</f>
        <v>0</v>
      </c>
      <c r="L71" s="91">
        <f>VLOOKUP(CurrentMtgRatesDataTable82527141518[[#This Row],[asofdate]],S:T,2,0)</f>
        <v>2.7958969999999998E-4</v>
      </c>
      <c r="M71" s="6">
        <f ca="1">VLOOKUP(CurrentMtgRatesDataTable82527141518[[#This Row],[asofdate]]+1,Bloomberg!B:C,2,0)</f>
        <v>1339.9</v>
      </c>
      <c r="N71" s="6"/>
      <c r="O71" s="18">
        <v>42201</v>
      </c>
      <c r="P71" s="91">
        <v>0</v>
      </c>
      <c r="Q71" s="104"/>
      <c r="R71" s="104"/>
      <c r="S71" s="18">
        <v>42208</v>
      </c>
      <c r="T71" s="91">
        <v>2.7958969999999998E-4</v>
      </c>
      <c r="V71"/>
    </row>
    <row r="72" spans="2:22">
      <c r="B72" s="85">
        <v>42201</v>
      </c>
      <c r="C72" s="86">
        <v>0.43913389889999999</v>
      </c>
      <c r="D72" s="86">
        <f>VLOOKUP(CurrentMtgRatesDataTable825[[#This Row],[asofdate]],I:J,2,0)</f>
        <v>0.39016922900000001</v>
      </c>
      <c r="E72" s="86">
        <f>VLOOKUP(CurrentMtgRatesDataTable825[[#This Row],[asofdate]],O:P,2,0)</f>
        <v>0</v>
      </c>
      <c r="F72" s="87">
        <f ca="1">VLOOKUP(CurrentMtgRatesDataTable825[[#This Row],[asofdate]]+1,Bloomberg!B:C,2,0)</f>
        <v>1305.5999999999999</v>
      </c>
      <c r="I72" s="18">
        <v>42201</v>
      </c>
      <c r="J72" s="91">
        <v>0.39016922900000001</v>
      </c>
      <c r="K72" s="91">
        <f>VLOOKUP(CurrentMtgRatesDataTable82527141518[[#This Row],[asofdate]],O:P,2,0)</f>
        <v>0</v>
      </c>
      <c r="L72" s="91">
        <f>VLOOKUP(CurrentMtgRatesDataTable82527141518[[#This Row],[asofdate]],S:T,2,0)</f>
        <v>2.279929E-4</v>
      </c>
      <c r="M72" s="6">
        <f ca="1">VLOOKUP(CurrentMtgRatesDataTable82527141518[[#This Row],[asofdate]]+1,Bloomberg!B:C,2,0)</f>
        <v>1305.5999999999999</v>
      </c>
      <c r="N72" s="6"/>
      <c r="O72" s="18">
        <v>42194</v>
      </c>
      <c r="P72" s="91">
        <v>8.1397999999999996E-6</v>
      </c>
      <c r="Q72" s="104"/>
      <c r="R72" s="104"/>
      <c r="S72" s="18">
        <v>42201</v>
      </c>
      <c r="T72" s="91">
        <v>2.279929E-4</v>
      </c>
      <c r="V72"/>
    </row>
    <row r="73" spans="2:22">
      <c r="B73" s="85">
        <v>42194</v>
      </c>
      <c r="C73" s="86">
        <v>0.47440443860000003</v>
      </c>
      <c r="D73" s="86">
        <f>VLOOKUP(CurrentMtgRatesDataTable825[[#This Row],[asofdate]],I:J,2,0)</f>
        <v>0.3977182071</v>
      </c>
      <c r="E73" s="86">
        <f>VLOOKUP(CurrentMtgRatesDataTable825[[#This Row],[asofdate]],O:P,2,0)</f>
        <v>8.1397999999999996E-6</v>
      </c>
      <c r="F73" s="87">
        <f ca="1">VLOOKUP(CurrentMtgRatesDataTable825[[#This Row],[asofdate]]+1,Bloomberg!B:C,2,0)</f>
        <v>1332.4</v>
      </c>
      <c r="I73" s="18">
        <v>42194</v>
      </c>
      <c r="J73" s="91">
        <v>0.3977182071</v>
      </c>
      <c r="K73" s="91">
        <f>VLOOKUP(CurrentMtgRatesDataTable82527141518[[#This Row],[asofdate]],O:P,2,0)</f>
        <v>8.1397999999999996E-6</v>
      </c>
      <c r="L73" s="91">
        <f>VLOOKUP(CurrentMtgRatesDataTable82527141518[[#This Row],[asofdate]],S:T,2,0)</f>
        <v>4.2772040000000001E-4</v>
      </c>
      <c r="M73" s="6">
        <f ca="1">VLOOKUP(CurrentMtgRatesDataTable82527141518[[#This Row],[asofdate]]+1,Bloomberg!B:C,2,0)</f>
        <v>1332.4</v>
      </c>
      <c r="N73" s="6"/>
      <c r="O73" s="18">
        <v>42187</v>
      </c>
      <c r="P73" s="91">
        <v>0</v>
      </c>
      <c r="Q73" s="104"/>
      <c r="R73" s="104"/>
      <c r="S73" s="18">
        <v>42194</v>
      </c>
      <c r="T73" s="91">
        <v>4.2772040000000001E-4</v>
      </c>
      <c r="V73"/>
    </row>
    <row r="74" spans="2:22">
      <c r="B74" s="85">
        <v>42187</v>
      </c>
      <c r="C74" s="86">
        <v>0.44790079249999998</v>
      </c>
      <c r="D74" s="86">
        <f>VLOOKUP(CurrentMtgRatesDataTable825[[#This Row],[asofdate]],I:J,2,0)</f>
        <v>0.39205869529999998</v>
      </c>
      <c r="E74" s="86">
        <f>VLOOKUP(CurrentMtgRatesDataTable825[[#This Row],[asofdate]],O:P,2,0)</f>
        <v>0</v>
      </c>
      <c r="F74" s="87">
        <f ca="1">VLOOKUP(CurrentMtgRatesDataTable825[[#This Row],[asofdate]]+1,Bloomberg!B:C,2,0)</f>
        <v>1299.9000000000001</v>
      </c>
      <c r="I74" s="18">
        <v>42187</v>
      </c>
      <c r="J74" s="91">
        <v>0.39205869529999998</v>
      </c>
      <c r="K74" s="91">
        <f>VLOOKUP(CurrentMtgRatesDataTable82527141518[[#This Row],[asofdate]],O:P,2,0)</f>
        <v>0</v>
      </c>
      <c r="L74" s="91">
        <f>VLOOKUP(CurrentMtgRatesDataTable82527141518[[#This Row],[asofdate]],S:T,2,0)</f>
        <v>2.3109220000000003E-4</v>
      </c>
      <c r="M74" s="6">
        <f ca="1">VLOOKUP(CurrentMtgRatesDataTable82527141518[[#This Row],[asofdate]]+1,Bloomberg!B:C,2,0)</f>
        <v>1299.9000000000001</v>
      </c>
      <c r="N74" s="6"/>
      <c r="O74" s="18">
        <v>42180</v>
      </c>
      <c r="P74" s="91">
        <v>0</v>
      </c>
      <c r="Q74" s="104"/>
      <c r="R74" s="104"/>
      <c r="S74" s="18">
        <v>42187</v>
      </c>
      <c r="T74" s="91">
        <v>2.3109220000000003E-4</v>
      </c>
      <c r="V74"/>
    </row>
    <row r="75" spans="2:22">
      <c r="B75" s="85">
        <v>42180</v>
      </c>
      <c r="C75" s="86">
        <v>0.48073830760000003</v>
      </c>
      <c r="D75" s="86">
        <f>VLOOKUP(CurrentMtgRatesDataTable825[[#This Row],[asofdate]],I:J,2,0)</f>
        <v>0.40187540360000001</v>
      </c>
      <c r="E75" s="86">
        <f>VLOOKUP(CurrentMtgRatesDataTable825[[#This Row],[asofdate]],O:P,2,0)</f>
        <v>0</v>
      </c>
      <c r="F75" s="87">
        <f ca="1">VLOOKUP(CurrentMtgRatesDataTable825[[#This Row],[asofdate]]+1,Bloomberg!B:C,2,0)</f>
        <v>1246.0999999999999</v>
      </c>
      <c r="I75" s="18">
        <v>42180</v>
      </c>
      <c r="J75" s="91">
        <v>0.40187540360000001</v>
      </c>
      <c r="K75" s="91">
        <f>VLOOKUP(CurrentMtgRatesDataTable82527141518[[#This Row],[asofdate]],O:P,2,0)</f>
        <v>0</v>
      </c>
      <c r="L75" s="91">
        <f>VLOOKUP(CurrentMtgRatesDataTable82527141518[[#This Row],[asofdate]],S:T,2,0)</f>
        <v>2.4672490000000001E-4</v>
      </c>
      <c r="M75" s="6">
        <f ca="1">VLOOKUP(CurrentMtgRatesDataTable82527141518[[#This Row],[asofdate]]+1,Bloomberg!B:C,2,0)</f>
        <v>1246.0999999999999</v>
      </c>
      <c r="N75" s="6"/>
      <c r="O75" s="18">
        <v>42173</v>
      </c>
      <c r="P75" s="91">
        <v>0</v>
      </c>
      <c r="Q75" s="104"/>
      <c r="R75" s="104"/>
      <c r="S75" s="18">
        <v>42180</v>
      </c>
      <c r="T75" s="91">
        <v>2.4672490000000001E-4</v>
      </c>
      <c r="V75"/>
    </row>
    <row r="76" spans="2:22">
      <c r="B76" s="85">
        <v>42173</v>
      </c>
      <c r="C76" s="86">
        <v>0.49111985940000003</v>
      </c>
      <c r="D76" s="86">
        <f>VLOOKUP(CurrentMtgRatesDataTable825[[#This Row],[asofdate]],I:J,2,0)</f>
        <v>0.42709455569999999</v>
      </c>
      <c r="E76" s="86">
        <f>VLOOKUP(CurrentMtgRatesDataTable825[[#This Row],[asofdate]],O:P,2,0)</f>
        <v>0</v>
      </c>
      <c r="F76" s="87">
        <f ca="1">VLOOKUP(CurrentMtgRatesDataTable825[[#This Row],[asofdate]]+1,Bloomberg!B:C,2,0)</f>
        <v>1318.3</v>
      </c>
      <c r="I76" s="18">
        <v>42173</v>
      </c>
      <c r="J76" s="91">
        <v>0.42709455569999999</v>
      </c>
      <c r="K76" s="91">
        <f>VLOOKUP(CurrentMtgRatesDataTable82527141518[[#This Row],[asofdate]],O:P,2,0)</f>
        <v>0</v>
      </c>
      <c r="L76" s="91">
        <f>VLOOKUP(CurrentMtgRatesDataTable82527141518[[#This Row],[asofdate]],S:T,2,0)</f>
        <v>3.3476369999999999E-4</v>
      </c>
      <c r="M76" s="6">
        <f ca="1">VLOOKUP(CurrentMtgRatesDataTable82527141518[[#This Row],[asofdate]]+1,Bloomberg!B:C,2,0)</f>
        <v>1318.3</v>
      </c>
      <c r="N76" s="6"/>
      <c r="O76" s="18">
        <v>42166</v>
      </c>
      <c r="P76" s="91">
        <v>0</v>
      </c>
      <c r="Q76" s="104"/>
      <c r="R76" s="104"/>
      <c r="S76" s="18">
        <v>42173</v>
      </c>
      <c r="T76" s="91">
        <v>3.3476369999999999E-4</v>
      </c>
      <c r="V76"/>
    </row>
    <row r="77" spans="2:22">
      <c r="B77" s="85">
        <v>42166</v>
      </c>
      <c r="C77" s="86">
        <v>0.48288613810000003</v>
      </c>
      <c r="D77" s="86">
        <f>VLOOKUP(CurrentMtgRatesDataTable825[[#This Row],[asofdate]],I:J,2,0)</f>
        <v>0.40253946489999998</v>
      </c>
      <c r="E77" s="86">
        <f>VLOOKUP(CurrentMtgRatesDataTable825[[#This Row],[asofdate]],O:P,2,0)</f>
        <v>0</v>
      </c>
      <c r="F77" s="87">
        <f ca="1">VLOOKUP(CurrentMtgRatesDataTable825[[#This Row],[asofdate]]+1,Bloomberg!B:C,2,0)</f>
        <v>1273.4000000000001</v>
      </c>
      <c r="I77" s="18">
        <v>42166</v>
      </c>
      <c r="J77" s="91">
        <v>0.40253946489999998</v>
      </c>
      <c r="K77" s="91">
        <f>VLOOKUP(CurrentMtgRatesDataTable82527141518[[#This Row],[asofdate]],O:P,2,0)</f>
        <v>0</v>
      </c>
      <c r="L77" s="91">
        <f>VLOOKUP(CurrentMtgRatesDataTable82527141518[[#This Row],[asofdate]],S:T,2,0)</f>
        <v>2.4672490000000001E-4</v>
      </c>
      <c r="M77" s="6">
        <f ca="1">VLOOKUP(CurrentMtgRatesDataTable82527141518[[#This Row],[asofdate]]+1,Bloomberg!B:C,2,0)</f>
        <v>1273.4000000000001</v>
      </c>
      <c r="N77" s="6"/>
      <c r="O77" s="18">
        <v>42159</v>
      </c>
      <c r="P77" s="91">
        <v>0</v>
      </c>
      <c r="Q77" s="104"/>
      <c r="R77" s="104"/>
      <c r="S77" s="18">
        <v>42166</v>
      </c>
      <c r="T77" s="91">
        <v>2.4672490000000001E-4</v>
      </c>
      <c r="V77"/>
    </row>
    <row r="78" spans="2:22">
      <c r="B78" s="85">
        <v>42159</v>
      </c>
      <c r="C78" s="86">
        <v>0.55088825549999998</v>
      </c>
      <c r="D78" s="86">
        <f>VLOOKUP(CurrentMtgRatesDataTable825[[#This Row],[asofdate]],I:J,2,0)</f>
        <v>0.4947158505</v>
      </c>
      <c r="E78" s="86">
        <f>VLOOKUP(CurrentMtgRatesDataTable825[[#This Row],[asofdate]],O:P,2,0)</f>
        <v>0</v>
      </c>
      <c r="F78" s="87">
        <f ca="1">VLOOKUP(CurrentMtgRatesDataTable825[[#This Row],[asofdate]]+1,Bloomberg!B:C,2,0)</f>
        <v>1342.4</v>
      </c>
      <c r="I78" s="18">
        <v>42159</v>
      </c>
      <c r="J78" s="91">
        <v>0.4947158505</v>
      </c>
      <c r="K78" s="91">
        <f>VLOOKUP(CurrentMtgRatesDataTable82527141518[[#This Row],[asofdate]],O:P,2,0)</f>
        <v>0</v>
      </c>
      <c r="L78" s="91">
        <f>VLOOKUP(CurrentMtgRatesDataTable82527141518[[#This Row],[asofdate]],S:T,2,0)</f>
        <v>6.7233240000000001E-4</v>
      </c>
      <c r="M78" s="6">
        <f ca="1">VLOOKUP(CurrentMtgRatesDataTable82527141518[[#This Row],[asofdate]]+1,Bloomberg!B:C,2,0)</f>
        <v>1342.4</v>
      </c>
      <c r="N78" s="6"/>
      <c r="O78" s="18">
        <v>42152</v>
      </c>
      <c r="P78" s="91">
        <v>0</v>
      </c>
      <c r="Q78" s="104"/>
      <c r="R78" s="104"/>
      <c r="S78" s="18">
        <v>42159</v>
      </c>
      <c r="T78" s="91">
        <v>6.7233240000000001E-4</v>
      </c>
      <c r="V78"/>
    </row>
    <row r="79" spans="2:22">
      <c r="B79" s="85">
        <v>42152</v>
      </c>
      <c r="C79" s="86">
        <v>0.55937409220000001</v>
      </c>
      <c r="D79" s="86">
        <f>VLOOKUP(CurrentMtgRatesDataTable825[[#This Row],[asofdate]],I:J,2,0)</f>
        <v>0.50042601269999998</v>
      </c>
      <c r="E79" s="86">
        <f>VLOOKUP(CurrentMtgRatesDataTable825[[#This Row],[asofdate]],O:P,2,0)</f>
        <v>0</v>
      </c>
      <c r="F79" s="87">
        <f ca="1">VLOOKUP(CurrentMtgRatesDataTable825[[#This Row],[asofdate]]+1,Bloomberg!B:C,2,0)</f>
        <v>1233.9000000000001</v>
      </c>
      <c r="I79" s="18">
        <v>42152</v>
      </c>
      <c r="J79" s="91">
        <v>0.50042601269999998</v>
      </c>
      <c r="K79" s="91">
        <f>VLOOKUP(CurrentMtgRatesDataTable82527141518[[#This Row],[asofdate]],O:P,2,0)</f>
        <v>0</v>
      </c>
      <c r="L79" s="91">
        <f>VLOOKUP(CurrentMtgRatesDataTable82527141518[[#This Row],[asofdate]],S:T,2,0)</f>
        <v>9.922666000000001E-4</v>
      </c>
      <c r="M79" s="6">
        <f ca="1">VLOOKUP(CurrentMtgRatesDataTable82527141518[[#This Row],[asofdate]]+1,Bloomberg!B:C,2,0)</f>
        <v>1233.9000000000001</v>
      </c>
      <c r="N79" s="6"/>
      <c r="O79" s="18">
        <v>42145</v>
      </c>
      <c r="P79" s="91">
        <v>0</v>
      </c>
      <c r="Q79" s="104"/>
      <c r="R79" s="104"/>
      <c r="S79" s="18">
        <v>42152</v>
      </c>
      <c r="T79" s="91">
        <v>9.922666000000001E-4</v>
      </c>
      <c r="V79"/>
    </row>
    <row r="80" spans="2:22">
      <c r="B80" s="85">
        <v>42145</v>
      </c>
      <c r="C80" s="86">
        <v>0.56072373549999999</v>
      </c>
      <c r="D80" s="86">
        <f>VLOOKUP(CurrentMtgRatesDataTable825[[#This Row],[asofdate]],I:J,2,0)</f>
        <v>0.50117343599999997</v>
      </c>
      <c r="E80" s="86">
        <f>VLOOKUP(CurrentMtgRatesDataTable825[[#This Row],[asofdate]],O:P,2,0)</f>
        <v>0</v>
      </c>
      <c r="F80" s="87">
        <f ca="1">VLOOKUP(CurrentMtgRatesDataTable825[[#This Row],[asofdate]]+1,Bloomberg!B:C,2,0)</f>
        <v>1408.1</v>
      </c>
      <c r="I80" s="18">
        <v>42145</v>
      </c>
      <c r="J80" s="91">
        <v>0.50117343599999997</v>
      </c>
      <c r="K80" s="91">
        <f>VLOOKUP(CurrentMtgRatesDataTable82527141518[[#This Row],[asofdate]],O:P,2,0)</f>
        <v>0</v>
      </c>
      <c r="L80" s="91">
        <f>VLOOKUP(CurrentMtgRatesDataTable82527141518[[#This Row],[asofdate]],S:T,2,0)</f>
        <v>9.9403300000000007E-4</v>
      </c>
      <c r="M80" s="6">
        <f ca="1">VLOOKUP(CurrentMtgRatesDataTable82527141518[[#This Row],[asofdate]]+1,Bloomberg!B:C,2,0)</f>
        <v>1408.1</v>
      </c>
      <c r="N80" s="6"/>
      <c r="O80" s="18">
        <v>42138</v>
      </c>
      <c r="P80" s="91">
        <v>0</v>
      </c>
      <c r="Q80" s="104"/>
      <c r="R80" s="104"/>
      <c r="S80" s="18">
        <v>42145</v>
      </c>
      <c r="T80" s="91">
        <v>9.9403300000000007E-4</v>
      </c>
      <c r="V80"/>
    </row>
    <row r="81" spans="2:22">
      <c r="B81" s="85">
        <v>42138</v>
      </c>
      <c r="C81" s="86">
        <v>0.56853067779999999</v>
      </c>
      <c r="D81" s="86">
        <f>VLOOKUP(CurrentMtgRatesDataTable825[[#This Row],[asofdate]],I:J,2,0)</f>
        <v>0.53059425589999998</v>
      </c>
      <c r="E81" s="86">
        <f>VLOOKUP(CurrentMtgRatesDataTable825[[#This Row],[asofdate]],O:P,2,0)</f>
        <v>0</v>
      </c>
      <c r="F81" s="87">
        <f ca="1">VLOOKUP(CurrentMtgRatesDataTable825[[#This Row],[asofdate]]+1,Bloomberg!B:C,2,0)</f>
        <v>1448.8</v>
      </c>
      <c r="I81" s="18">
        <v>42138</v>
      </c>
      <c r="J81" s="91">
        <v>0.53059425589999998</v>
      </c>
      <c r="K81" s="91">
        <f>VLOOKUP(CurrentMtgRatesDataTable82527141518[[#This Row],[asofdate]],O:P,2,0)</f>
        <v>0</v>
      </c>
      <c r="L81" s="91">
        <f>VLOOKUP(CurrentMtgRatesDataTable82527141518[[#This Row],[asofdate]],S:T,2,0)</f>
        <v>1.3725467999999999E-3</v>
      </c>
      <c r="M81" s="6">
        <f ca="1">VLOOKUP(CurrentMtgRatesDataTable82527141518[[#This Row],[asofdate]]+1,Bloomberg!B:C,2,0)</f>
        <v>1448.8</v>
      </c>
      <c r="N81" s="6"/>
      <c r="O81" s="18">
        <v>42131</v>
      </c>
      <c r="P81" s="91">
        <v>0</v>
      </c>
      <c r="Q81" s="104"/>
      <c r="R81" s="104"/>
      <c r="S81" s="18">
        <v>42138</v>
      </c>
      <c r="T81" s="91">
        <v>1.3725467999999999E-3</v>
      </c>
      <c r="V81"/>
    </row>
    <row r="82" spans="2:22">
      <c r="B82" s="85">
        <v>42131</v>
      </c>
      <c r="C82" s="86">
        <v>0.58376029039999999</v>
      </c>
      <c r="D82" s="86">
        <f>VLOOKUP(CurrentMtgRatesDataTable825[[#This Row],[asofdate]],I:J,2,0)</f>
        <v>0.53834307189999997</v>
      </c>
      <c r="E82" s="86">
        <f>VLOOKUP(CurrentMtgRatesDataTable825[[#This Row],[asofdate]],O:P,2,0)</f>
        <v>0</v>
      </c>
      <c r="F82" s="87">
        <f ca="1">VLOOKUP(CurrentMtgRatesDataTable825[[#This Row],[asofdate]]+1,Bloomberg!B:C,2,0)</f>
        <v>1477.8</v>
      </c>
      <c r="I82" s="18">
        <v>42131</v>
      </c>
      <c r="J82" s="91">
        <v>0.53834307189999997</v>
      </c>
      <c r="K82" s="91">
        <f>VLOOKUP(CurrentMtgRatesDataTable82527141518[[#This Row],[asofdate]],O:P,2,0)</f>
        <v>0</v>
      </c>
      <c r="L82" s="91">
        <f>VLOOKUP(CurrentMtgRatesDataTable82527141518[[#This Row],[asofdate]],S:T,2,0)</f>
        <v>3.6102309000000002E-3</v>
      </c>
      <c r="M82" s="6">
        <f ca="1">VLOOKUP(CurrentMtgRatesDataTable82527141518[[#This Row],[asofdate]]+1,Bloomberg!B:C,2,0)</f>
        <v>1477.8</v>
      </c>
      <c r="N82" s="6"/>
      <c r="O82" s="18">
        <v>42124</v>
      </c>
      <c r="P82" s="91">
        <v>0</v>
      </c>
      <c r="Q82" s="104"/>
      <c r="R82" s="104"/>
      <c r="S82" s="18">
        <v>42131</v>
      </c>
      <c r="T82" s="91">
        <v>3.6102309000000002E-3</v>
      </c>
      <c r="V82"/>
    </row>
    <row r="83" spans="2:22">
      <c r="B83" s="85">
        <v>42124</v>
      </c>
      <c r="C83" s="86">
        <v>0.66572470230000003</v>
      </c>
      <c r="D83" s="86">
        <f>VLOOKUP(CurrentMtgRatesDataTable825[[#This Row],[asofdate]],I:J,2,0)</f>
        <v>0.60320264899999998</v>
      </c>
      <c r="E83" s="86">
        <f>VLOOKUP(CurrentMtgRatesDataTable825[[#This Row],[asofdate]],O:P,2,0)</f>
        <v>0</v>
      </c>
      <c r="F83" s="87">
        <f ca="1">VLOOKUP(CurrentMtgRatesDataTable825[[#This Row],[asofdate]]+1,Bloomberg!B:C,2,0)</f>
        <v>1559.4</v>
      </c>
      <c r="I83" s="18">
        <v>42124</v>
      </c>
      <c r="J83" s="91">
        <v>0.60320264899999998</v>
      </c>
      <c r="K83" s="91">
        <f>VLOOKUP(CurrentMtgRatesDataTable82527141518[[#This Row],[asofdate]],O:P,2,0)</f>
        <v>0</v>
      </c>
      <c r="L83" s="91">
        <f>VLOOKUP(CurrentMtgRatesDataTable82527141518[[#This Row],[asofdate]],S:T,2,0)</f>
        <v>0.1684494299</v>
      </c>
      <c r="M83" s="6">
        <f ca="1">VLOOKUP(CurrentMtgRatesDataTable82527141518[[#This Row],[asofdate]]+1,Bloomberg!B:C,2,0)</f>
        <v>1559.4</v>
      </c>
      <c r="N83" s="6"/>
      <c r="O83" s="18">
        <v>42117</v>
      </c>
      <c r="P83" s="91">
        <v>2.5004665E-3</v>
      </c>
      <c r="Q83" s="104"/>
      <c r="R83" s="104"/>
      <c r="S83" s="18">
        <v>42124</v>
      </c>
      <c r="T83" s="91">
        <v>0.1684494299</v>
      </c>
      <c r="V83"/>
    </row>
    <row r="84" spans="2:22">
      <c r="B84" s="85">
        <v>42117</v>
      </c>
      <c r="C84" s="86">
        <v>0.67757498279999995</v>
      </c>
      <c r="D84" s="86">
        <f>VLOOKUP(CurrentMtgRatesDataTable825[[#This Row],[asofdate]],I:J,2,0)</f>
        <v>0.63060989000000001</v>
      </c>
      <c r="E84" s="86">
        <f>VLOOKUP(CurrentMtgRatesDataTable825[[#This Row],[asofdate]],O:P,2,0)</f>
        <v>2.5004665E-3</v>
      </c>
      <c r="F84" s="87">
        <f ca="1">VLOOKUP(CurrentMtgRatesDataTable825[[#This Row],[asofdate]]+1,Bloomberg!B:C,2,0)</f>
        <v>1723</v>
      </c>
      <c r="I84" s="18">
        <v>42117</v>
      </c>
      <c r="J84" s="91">
        <v>0.63060989000000001</v>
      </c>
      <c r="K84" s="91">
        <f>VLOOKUP(CurrentMtgRatesDataTable82527141518[[#This Row],[asofdate]],O:P,2,0)</f>
        <v>2.5004665E-3</v>
      </c>
      <c r="L84" s="91">
        <f>VLOOKUP(CurrentMtgRatesDataTable82527141518[[#This Row],[asofdate]],S:T,2,0)</f>
        <v>0.18959361860000001</v>
      </c>
      <c r="M84" s="6">
        <f ca="1">VLOOKUP(CurrentMtgRatesDataTable82527141518[[#This Row],[asofdate]]+1,Bloomberg!B:C,2,0)</f>
        <v>1723</v>
      </c>
      <c r="N84" s="6"/>
      <c r="O84" s="18">
        <v>42110</v>
      </c>
      <c r="P84" s="91">
        <v>0</v>
      </c>
      <c r="Q84" s="104"/>
      <c r="R84" s="104"/>
      <c r="S84" s="18">
        <v>42117</v>
      </c>
      <c r="T84" s="91">
        <v>0.18959361860000001</v>
      </c>
      <c r="V84"/>
    </row>
    <row r="85" spans="2:22">
      <c r="B85" s="85">
        <v>42110</v>
      </c>
      <c r="C85" s="86">
        <v>0.65561679309999998</v>
      </c>
      <c r="D85" s="86">
        <f>VLOOKUP(CurrentMtgRatesDataTable825[[#This Row],[asofdate]],I:J,2,0)</f>
        <v>0.6009824386</v>
      </c>
      <c r="E85" s="86">
        <f>VLOOKUP(CurrentMtgRatesDataTable825[[#This Row],[asofdate]],O:P,2,0)</f>
        <v>0</v>
      </c>
      <c r="F85" s="87">
        <f ca="1">VLOOKUP(CurrentMtgRatesDataTable825[[#This Row],[asofdate]]+1,Bloomberg!B:C,2,0)</f>
        <v>1817</v>
      </c>
      <c r="I85" s="18">
        <v>42110</v>
      </c>
      <c r="J85" s="91">
        <v>0.6009824386</v>
      </c>
      <c r="K85" s="91">
        <f>VLOOKUP(CurrentMtgRatesDataTable82527141518[[#This Row],[asofdate]],O:P,2,0)</f>
        <v>0</v>
      </c>
      <c r="L85" s="91">
        <f>VLOOKUP(CurrentMtgRatesDataTable82527141518[[#This Row],[asofdate]],S:T,2,0)</f>
        <v>0.16713277909999999</v>
      </c>
      <c r="M85" s="6">
        <f ca="1">VLOOKUP(CurrentMtgRatesDataTable82527141518[[#This Row],[asofdate]]+1,Bloomberg!B:C,2,0)</f>
        <v>1817</v>
      </c>
      <c r="N85" s="6"/>
      <c r="O85" s="18">
        <v>42103</v>
      </c>
      <c r="P85" s="91">
        <v>2.4475238999999999E-3</v>
      </c>
      <c r="Q85" s="104"/>
      <c r="R85" s="104"/>
      <c r="S85" s="18">
        <v>42110</v>
      </c>
      <c r="T85" s="91">
        <v>0.16713277909999999</v>
      </c>
      <c r="V85"/>
    </row>
    <row r="86" spans="2:22">
      <c r="B86" s="85">
        <v>42103</v>
      </c>
      <c r="C86" s="86">
        <v>0.6753411037</v>
      </c>
      <c r="D86" s="86">
        <f>VLOOKUP(CurrentMtgRatesDataTable825[[#This Row],[asofdate]],I:J,2,0)</f>
        <v>0.62876545900000003</v>
      </c>
      <c r="E86" s="86">
        <f>VLOOKUP(CurrentMtgRatesDataTable825[[#This Row],[asofdate]],O:P,2,0)</f>
        <v>2.4475238999999999E-3</v>
      </c>
      <c r="F86" s="87">
        <f ca="1">VLOOKUP(CurrentMtgRatesDataTable825[[#This Row],[asofdate]]+1,Bloomberg!B:C,2,0)</f>
        <v>1804.6</v>
      </c>
      <c r="I86" s="18">
        <v>42103</v>
      </c>
      <c r="J86" s="91">
        <v>0.62876545900000003</v>
      </c>
      <c r="K86" s="91">
        <f>VLOOKUP(CurrentMtgRatesDataTable82527141518[[#This Row],[asofdate]],O:P,2,0)</f>
        <v>2.4475238999999999E-3</v>
      </c>
      <c r="L86" s="91">
        <f>VLOOKUP(CurrentMtgRatesDataTable82527141518[[#This Row],[asofdate]],S:T,2,0)</f>
        <v>0.1873139328</v>
      </c>
      <c r="M86" s="6">
        <f ca="1">VLOOKUP(CurrentMtgRatesDataTable82527141518[[#This Row],[asofdate]]+1,Bloomberg!B:C,2,0)</f>
        <v>1804.6</v>
      </c>
      <c r="N86" s="6"/>
      <c r="O86" s="18">
        <v>42096</v>
      </c>
      <c r="P86" s="91">
        <v>0</v>
      </c>
      <c r="Q86" s="104"/>
      <c r="R86" s="104"/>
      <c r="S86" s="18">
        <v>42103</v>
      </c>
      <c r="T86" s="91">
        <v>0.1873139328</v>
      </c>
      <c r="V86"/>
    </row>
    <row r="87" spans="2:22">
      <c r="B87" s="85">
        <v>42096</v>
      </c>
      <c r="C87" s="86">
        <v>0.64494356100000005</v>
      </c>
      <c r="D87" s="86">
        <f>VLOOKUP(CurrentMtgRatesDataTable825[[#This Row],[asofdate]],I:J,2,0)</f>
        <v>0.59976270369999996</v>
      </c>
      <c r="E87" s="86">
        <f>VLOOKUP(CurrentMtgRatesDataTable825[[#This Row],[asofdate]],O:P,2,0)</f>
        <v>0</v>
      </c>
      <c r="F87" s="87">
        <f ca="1">VLOOKUP(CurrentMtgRatesDataTable825[[#This Row],[asofdate]]+1,Bloomberg!B:C,2,0)</f>
        <v>1854.7</v>
      </c>
      <c r="I87" s="18">
        <v>42096</v>
      </c>
      <c r="J87" s="91">
        <v>0.59976270369999996</v>
      </c>
      <c r="K87" s="91">
        <f>VLOOKUP(CurrentMtgRatesDataTable82527141518[[#This Row],[asofdate]],O:P,2,0)</f>
        <v>0</v>
      </c>
      <c r="L87" s="91">
        <f>VLOOKUP(CurrentMtgRatesDataTable82527141518[[#This Row],[asofdate]],S:T,2,0)</f>
        <v>0.16610413060000001</v>
      </c>
      <c r="M87" s="6">
        <f ca="1">VLOOKUP(CurrentMtgRatesDataTable82527141518[[#This Row],[asofdate]]+1,Bloomberg!B:C,2,0)</f>
        <v>1854.7</v>
      </c>
      <c r="N87" s="6"/>
      <c r="O87" s="18">
        <v>42089</v>
      </c>
      <c r="P87" s="91">
        <v>1.608499E-4</v>
      </c>
      <c r="Q87" s="104"/>
      <c r="R87" s="104"/>
      <c r="S87" s="18">
        <v>42096</v>
      </c>
      <c r="T87" s="91">
        <v>0.16610413060000001</v>
      </c>
      <c r="V87"/>
    </row>
    <row r="88" spans="2:22">
      <c r="B88" s="85">
        <v>42089</v>
      </c>
      <c r="C88" s="86">
        <v>0.66455052820000005</v>
      </c>
      <c r="D88" s="86">
        <f>VLOOKUP(CurrentMtgRatesDataTable825[[#This Row],[asofdate]],I:J,2,0)</f>
        <v>0.61008927769999999</v>
      </c>
      <c r="E88" s="86">
        <f>VLOOKUP(CurrentMtgRatesDataTable825[[#This Row],[asofdate]],O:P,2,0)</f>
        <v>1.608499E-4</v>
      </c>
      <c r="F88" s="87">
        <f ca="1">VLOOKUP(CurrentMtgRatesDataTable825[[#This Row],[asofdate]]+1,Bloomberg!B:C,2,0)</f>
        <v>1941.6</v>
      </c>
      <c r="I88" s="18">
        <v>42089</v>
      </c>
      <c r="J88" s="91">
        <v>0.61008927769999999</v>
      </c>
      <c r="K88" s="91">
        <f>VLOOKUP(CurrentMtgRatesDataTable82527141518[[#This Row],[asofdate]],O:P,2,0)</f>
        <v>1.608499E-4</v>
      </c>
      <c r="L88" s="91">
        <f>VLOOKUP(CurrentMtgRatesDataTable82527141518[[#This Row],[asofdate]],S:T,2,0)</f>
        <v>0.16740534970000001</v>
      </c>
      <c r="M88" s="6">
        <f ca="1">VLOOKUP(CurrentMtgRatesDataTable82527141518[[#This Row],[asofdate]]+1,Bloomberg!B:C,2,0)</f>
        <v>1941.6</v>
      </c>
      <c r="N88" s="6"/>
      <c r="O88" s="18">
        <v>42082</v>
      </c>
      <c r="P88" s="91">
        <v>0</v>
      </c>
      <c r="Q88" s="104"/>
      <c r="R88" s="104"/>
      <c r="S88" s="18">
        <v>42089</v>
      </c>
      <c r="T88" s="91">
        <v>0.16740534970000001</v>
      </c>
      <c r="V88"/>
    </row>
    <row r="89" spans="2:22">
      <c r="B89" s="85">
        <v>42082</v>
      </c>
      <c r="C89" s="86">
        <v>0.60650027699999998</v>
      </c>
      <c r="D89" s="86">
        <f>VLOOKUP(CurrentMtgRatesDataTable825[[#This Row],[asofdate]],I:J,2,0)</f>
        <v>0.57408284430000001</v>
      </c>
      <c r="E89" s="86">
        <f>VLOOKUP(CurrentMtgRatesDataTable825[[#This Row],[asofdate]],O:P,2,0)</f>
        <v>0</v>
      </c>
      <c r="F89" s="87">
        <f ca="1">VLOOKUP(CurrentMtgRatesDataTable825[[#This Row],[asofdate]]+1,Bloomberg!B:C,2,0)</f>
        <v>1860.8</v>
      </c>
      <c r="I89" s="18">
        <v>42082</v>
      </c>
      <c r="J89" s="91">
        <v>0.57408284430000001</v>
      </c>
      <c r="K89" s="91">
        <f>VLOOKUP(CurrentMtgRatesDataTable82527141518[[#This Row],[asofdate]],O:P,2,0)</f>
        <v>0</v>
      </c>
      <c r="L89" s="91">
        <f>VLOOKUP(CurrentMtgRatesDataTable82527141518[[#This Row],[asofdate]],S:T,2,0)</f>
        <v>0.1449887732</v>
      </c>
      <c r="M89" s="6">
        <f ca="1">VLOOKUP(CurrentMtgRatesDataTable82527141518[[#This Row],[asofdate]]+1,Bloomberg!B:C,2,0)</f>
        <v>1860.8</v>
      </c>
      <c r="N89" s="6"/>
      <c r="O89" s="18">
        <v>42075</v>
      </c>
      <c r="P89" s="91">
        <v>0</v>
      </c>
      <c r="Q89" s="104"/>
      <c r="R89" s="104"/>
      <c r="S89" s="18">
        <v>42082</v>
      </c>
      <c r="T89" s="91">
        <v>0.1449887732</v>
      </c>
      <c r="V89"/>
    </row>
    <row r="90" spans="2:22">
      <c r="B90" s="85">
        <v>42075</v>
      </c>
      <c r="C90" s="86">
        <v>0.57938694099999999</v>
      </c>
      <c r="D90" s="86">
        <f>VLOOKUP(CurrentMtgRatesDataTable825[[#This Row],[asofdate]],I:J,2,0)</f>
        <v>0.51014898689999999</v>
      </c>
      <c r="E90" s="86">
        <f>VLOOKUP(CurrentMtgRatesDataTable825[[#This Row],[asofdate]],O:P,2,0)</f>
        <v>0</v>
      </c>
      <c r="F90" s="87">
        <f ca="1">VLOOKUP(CurrentMtgRatesDataTable825[[#This Row],[asofdate]]+1,Bloomberg!B:C,2,0)</f>
        <v>1623.6</v>
      </c>
      <c r="I90" s="18">
        <v>42075</v>
      </c>
      <c r="J90" s="91">
        <v>0.51014898689999999</v>
      </c>
      <c r="K90" s="91">
        <f>VLOOKUP(CurrentMtgRatesDataTable82527141518[[#This Row],[asofdate]],O:P,2,0)</f>
        <v>0</v>
      </c>
      <c r="L90" s="91">
        <f>VLOOKUP(CurrentMtgRatesDataTable82527141518[[#This Row],[asofdate]],S:T,2,0)</f>
        <v>0.1083162191</v>
      </c>
      <c r="M90" s="6">
        <f ca="1">VLOOKUP(CurrentMtgRatesDataTable82527141518[[#This Row],[asofdate]]+1,Bloomberg!B:C,2,0)</f>
        <v>1623.6</v>
      </c>
      <c r="N90" s="6"/>
      <c r="O90" s="18">
        <v>42068</v>
      </c>
      <c r="P90" s="91">
        <v>0</v>
      </c>
      <c r="Q90" s="104"/>
      <c r="R90" s="104"/>
      <c r="S90" s="18">
        <v>42075</v>
      </c>
      <c r="T90" s="91">
        <v>0.1083162191</v>
      </c>
      <c r="V90"/>
    </row>
    <row r="91" spans="2:22">
      <c r="B91" s="85">
        <v>42068</v>
      </c>
      <c r="C91" s="86">
        <v>0.6189085366</v>
      </c>
      <c r="D91" s="86">
        <f>VLOOKUP(CurrentMtgRatesDataTable825[[#This Row],[asofdate]],I:J,2,0)</f>
        <v>0.57815914199999996</v>
      </c>
      <c r="E91" s="86">
        <f>VLOOKUP(CurrentMtgRatesDataTable825[[#This Row],[asofdate]],O:P,2,0)</f>
        <v>0</v>
      </c>
      <c r="F91" s="87">
        <f ca="1">VLOOKUP(CurrentMtgRatesDataTable825[[#This Row],[asofdate]]+1,Bloomberg!B:C,2,0)</f>
        <v>1685.7</v>
      </c>
      <c r="I91" s="18">
        <v>42068</v>
      </c>
      <c r="J91" s="91">
        <v>0.57815914199999996</v>
      </c>
      <c r="K91" s="91">
        <f>VLOOKUP(CurrentMtgRatesDataTable82527141518[[#This Row],[asofdate]],O:P,2,0)</f>
        <v>0</v>
      </c>
      <c r="L91" s="91">
        <f>VLOOKUP(CurrentMtgRatesDataTable82527141518[[#This Row],[asofdate]],S:T,2,0)</f>
        <v>0.14748581329999999</v>
      </c>
      <c r="M91" s="6">
        <f ca="1">VLOOKUP(CurrentMtgRatesDataTable82527141518[[#This Row],[asofdate]]+1,Bloomberg!B:C,2,0)</f>
        <v>1685.7</v>
      </c>
      <c r="N91" s="6"/>
      <c r="O91" s="18">
        <v>42061</v>
      </c>
      <c r="P91" s="91">
        <v>0</v>
      </c>
      <c r="Q91" s="104"/>
      <c r="R91" s="104"/>
      <c r="S91" s="18">
        <v>42068</v>
      </c>
      <c r="T91" s="91">
        <v>0.14748581329999999</v>
      </c>
      <c r="V91"/>
    </row>
    <row r="92" spans="2:22">
      <c r="B92" s="85">
        <v>42061</v>
      </c>
      <c r="C92" s="86">
        <v>0.60790429349999997</v>
      </c>
      <c r="D92" s="86">
        <f>VLOOKUP(CurrentMtgRatesDataTable825[[#This Row],[asofdate]],I:J,2,0)</f>
        <v>0.5537142075</v>
      </c>
      <c r="E92" s="86">
        <f>VLOOKUP(CurrentMtgRatesDataTable825[[#This Row],[asofdate]],O:P,2,0)</f>
        <v>0</v>
      </c>
      <c r="F92" s="87">
        <f ca="1">VLOOKUP(CurrentMtgRatesDataTable825[[#This Row],[asofdate]]+1,Bloomberg!B:C,2,0)</f>
        <v>1740.3</v>
      </c>
      <c r="I92" s="18">
        <v>42061</v>
      </c>
      <c r="J92" s="91">
        <v>0.5537142075</v>
      </c>
      <c r="K92" s="91">
        <f>VLOOKUP(CurrentMtgRatesDataTable82527141518[[#This Row],[asofdate]],O:P,2,0)</f>
        <v>0</v>
      </c>
      <c r="L92" s="91">
        <f>VLOOKUP(CurrentMtgRatesDataTable82527141518[[#This Row],[asofdate]],S:T,2,0)</f>
        <v>0.1283141562</v>
      </c>
      <c r="M92" s="6">
        <f ca="1">VLOOKUP(CurrentMtgRatesDataTable82527141518[[#This Row],[asofdate]]+1,Bloomberg!B:C,2,0)</f>
        <v>1740.3</v>
      </c>
      <c r="N92" s="6"/>
      <c r="O92" s="18">
        <v>42054</v>
      </c>
      <c r="P92" s="91">
        <v>0</v>
      </c>
      <c r="Q92" s="104"/>
      <c r="R92" s="104"/>
      <c r="S92" s="18">
        <v>42061</v>
      </c>
      <c r="T92" s="91">
        <v>0.1283141562</v>
      </c>
      <c r="V92"/>
    </row>
    <row r="93" spans="2:22">
      <c r="B93" s="85">
        <v>42054</v>
      </c>
      <c r="C93" s="86">
        <v>0.6216344452</v>
      </c>
      <c r="D93" s="86">
        <f>VLOOKUP(CurrentMtgRatesDataTable825[[#This Row],[asofdate]],I:J,2,0)</f>
        <v>0.58276120539999998</v>
      </c>
      <c r="E93" s="86">
        <f>VLOOKUP(CurrentMtgRatesDataTable825[[#This Row],[asofdate]],O:P,2,0)</f>
        <v>0</v>
      </c>
      <c r="F93" s="87">
        <f ca="1">VLOOKUP(CurrentMtgRatesDataTable825[[#This Row],[asofdate]]+1,Bloomberg!B:C,2,0)</f>
        <v>1703.1</v>
      </c>
      <c r="I93" s="18">
        <v>42054</v>
      </c>
      <c r="J93" s="91">
        <v>0.58276120539999998</v>
      </c>
      <c r="K93" s="91">
        <f>VLOOKUP(CurrentMtgRatesDataTable82527141518[[#This Row],[asofdate]],O:P,2,0)</f>
        <v>0</v>
      </c>
      <c r="L93" s="91">
        <f>VLOOKUP(CurrentMtgRatesDataTable82527141518[[#This Row],[asofdate]],S:T,2,0)</f>
        <v>0.1446313645</v>
      </c>
      <c r="M93" s="6">
        <f ca="1">VLOOKUP(CurrentMtgRatesDataTable82527141518[[#This Row],[asofdate]]+1,Bloomberg!B:C,2,0)</f>
        <v>1703.1</v>
      </c>
      <c r="N93" s="6"/>
      <c r="O93" s="18">
        <v>42047</v>
      </c>
      <c r="P93" s="91">
        <v>0</v>
      </c>
      <c r="Q93" s="104"/>
      <c r="R93" s="104"/>
      <c r="S93" s="18">
        <v>42054</v>
      </c>
      <c r="T93" s="91">
        <v>0.1446313645</v>
      </c>
      <c r="V93"/>
    </row>
    <row r="94" spans="2:22">
      <c r="B94" s="85">
        <v>42047</v>
      </c>
      <c r="C94" s="86">
        <v>0.66744400930000003</v>
      </c>
      <c r="D94" s="86">
        <f>VLOOKUP(CurrentMtgRatesDataTable825[[#This Row],[asofdate]],I:J,2,0)</f>
        <v>0.61553641429999995</v>
      </c>
      <c r="E94" s="86">
        <f>VLOOKUP(CurrentMtgRatesDataTable825[[#This Row],[asofdate]],O:P,2,0)</f>
        <v>0</v>
      </c>
      <c r="F94" s="87">
        <f ca="1">VLOOKUP(CurrentMtgRatesDataTable825[[#This Row],[asofdate]]+1,Bloomberg!B:C,2,0)</f>
        <v>1904.2</v>
      </c>
      <c r="I94" s="18">
        <v>42047</v>
      </c>
      <c r="J94" s="91">
        <v>0.61553641429999995</v>
      </c>
      <c r="K94" s="91">
        <f>VLOOKUP(CurrentMtgRatesDataTable82527141518[[#This Row],[asofdate]],O:P,2,0)</f>
        <v>0</v>
      </c>
      <c r="L94" s="91">
        <f>VLOOKUP(CurrentMtgRatesDataTable82527141518[[#This Row],[asofdate]],S:T,2,0)</f>
        <v>0.16619450729999999</v>
      </c>
      <c r="M94" s="6">
        <f ca="1">VLOOKUP(CurrentMtgRatesDataTable82527141518[[#This Row],[asofdate]]+1,Bloomberg!B:C,2,0)</f>
        <v>1904.2</v>
      </c>
      <c r="N94" s="6"/>
      <c r="O94" s="18">
        <v>42040</v>
      </c>
      <c r="P94" s="91">
        <v>0.18166743839999999</v>
      </c>
      <c r="Q94" s="104"/>
      <c r="R94" s="104"/>
      <c r="S94" s="18">
        <v>42047</v>
      </c>
      <c r="T94" s="91">
        <v>0.16619450729999999</v>
      </c>
      <c r="V94"/>
    </row>
    <row r="95" spans="2:22">
      <c r="B95" s="85">
        <v>42040</v>
      </c>
      <c r="C95" s="86">
        <v>0.70511625659999999</v>
      </c>
      <c r="D95" s="86">
        <f>VLOOKUP(CurrentMtgRatesDataTable825[[#This Row],[asofdate]],I:J,2,0)</f>
        <v>0.64767949680000003</v>
      </c>
      <c r="E95" s="86">
        <f>VLOOKUP(CurrentMtgRatesDataTable825[[#This Row],[asofdate]],O:P,2,0)</f>
        <v>0.18166743839999999</v>
      </c>
      <c r="F95" s="87">
        <f ca="1">VLOOKUP(CurrentMtgRatesDataTable825[[#This Row],[asofdate]]+1,Bloomberg!B:C,2,0)</f>
        <v>2291.3000000000002</v>
      </c>
      <c r="I95" s="18">
        <v>42040</v>
      </c>
      <c r="J95" s="91">
        <v>0.64767949680000003</v>
      </c>
      <c r="K95" s="91">
        <f>VLOOKUP(CurrentMtgRatesDataTable82527141518[[#This Row],[asofdate]],O:P,2,0)</f>
        <v>0.18166743839999999</v>
      </c>
      <c r="L95" s="91">
        <f>VLOOKUP(CurrentMtgRatesDataTable82527141518[[#This Row],[asofdate]],S:T,2,0)</f>
        <v>0.18792449059999999</v>
      </c>
      <c r="M95" s="6">
        <f ca="1">VLOOKUP(CurrentMtgRatesDataTable82527141518[[#This Row],[asofdate]]+1,Bloomberg!B:C,2,0)</f>
        <v>2291.3000000000002</v>
      </c>
      <c r="N95" s="6"/>
      <c r="O95" s="18">
        <v>42033</v>
      </c>
      <c r="P95" s="91">
        <v>0</v>
      </c>
      <c r="Q95" s="104"/>
      <c r="R95" s="104"/>
      <c r="S95" s="18">
        <v>42040</v>
      </c>
      <c r="T95" s="91">
        <v>0.18792449059999999</v>
      </c>
      <c r="V95"/>
    </row>
    <row r="96" spans="2:22">
      <c r="B96" s="85">
        <v>42033</v>
      </c>
      <c r="C96" s="86">
        <v>0.65188653600000002</v>
      </c>
      <c r="D96" s="86">
        <f>VLOOKUP(CurrentMtgRatesDataTable825[[#This Row],[asofdate]],I:J,2,0)</f>
        <v>0.61924009550000003</v>
      </c>
      <c r="E96" s="86">
        <f>VLOOKUP(CurrentMtgRatesDataTable825[[#This Row],[asofdate]],O:P,2,0)</f>
        <v>0</v>
      </c>
      <c r="F96" s="87">
        <f ca="1">VLOOKUP(CurrentMtgRatesDataTable825[[#This Row],[asofdate]]+1,Bloomberg!B:C,2,0)</f>
        <v>2584.8000000000002</v>
      </c>
      <c r="I96" s="18">
        <v>42033</v>
      </c>
      <c r="J96" s="91">
        <v>0.61924009550000003</v>
      </c>
      <c r="K96" s="91">
        <f>VLOOKUP(CurrentMtgRatesDataTable82527141518[[#This Row],[asofdate]],O:P,2,0)</f>
        <v>0</v>
      </c>
      <c r="L96" s="91">
        <f>VLOOKUP(CurrentMtgRatesDataTable82527141518[[#This Row],[asofdate]],S:T,2,0)</f>
        <v>0.1572286852</v>
      </c>
      <c r="M96" s="6">
        <f ca="1">VLOOKUP(CurrentMtgRatesDataTable82527141518[[#This Row],[asofdate]]+1,Bloomberg!B:C,2,0)</f>
        <v>2584.8000000000002</v>
      </c>
      <c r="N96" s="6"/>
      <c r="O96" s="18">
        <v>42026</v>
      </c>
      <c r="P96" s="91">
        <v>0.1537746354</v>
      </c>
      <c r="Q96" s="104"/>
      <c r="R96" s="104"/>
      <c r="S96" s="18">
        <v>42033</v>
      </c>
      <c r="T96" s="91">
        <v>0.1572286852</v>
      </c>
      <c r="V96"/>
    </row>
    <row r="97" spans="2:22">
      <c r="B97" s="85">
        <v>42026</v>
      </c>
      <c r="C97" s="86">
        <v>0.65294239229999995</v>
      </c>
      <c r="D97" s="86">
        <f>VLOOKUP(CurrentMtgRatesDataTable825[[#This Row],[asofdate]],I:J,2,0)</f>
        <v>0.61962164819999999</v>
      </c>
      <c r="E97" s="86">
        <f>VLOOKUP(CurrentMtgRatesDataTable825[[#This Row],[asofdate]],O:P,2,0)</f>
        <v>0.1537746354</v>
      </c>
      <c r="F97" s="87">
        <f ca="1">VLOOKUP(CurrentMtgRatesDataTable825[[#This Row],[asofdate]]+1,Bloomberg!B:C,2,0)</f>
        <v>2572.3000000000002</v>
      </c>
      <c r="I97" s="18">
        <v>42026</v>
      </c>
      <c r="J97" s="91">
        <v>0.61962164819999999</v>
      </c>
      <c r="K97" s="91">
        <f>VLOOKUP(CurrentMtgRatesDataTable82527141518[[#This Row],[asofdate]],O:P,2,0)</f>
        <v>0.1537746354</v>
      </c>
      <c r="L97" s="91">
        <f>VLOOKUP(CurrentMtgRatesDataTable82527141518[[#This Row],[asofdate]],S:T,2,0)</f>
        <v>0.15858242340000001</v>
      </c>
      <c r="M97" s="6">
        <f ca="1">VLOOKUP(CurrentMtgRatesDataTable82527141518[[#This Row],[asofdate]]+1,Bloomberg!B:C,2,0)</f>
        <v>2572.3000000000002</v>
      </c>
      <c r="N97" s="6"/>
      <c r="O97" s="18">
        <v>42019</v>
      </c>
      <c r="P97" s="91">
        <v>0.1536612413</v>
      </c>
      <c r="Q97" s="104"/>
      <c r="R97" s="104"/>
      <c r="S97" s="18">
        <v>42026</v>
      </c>
      <c r="T97" s="91">
        <v>0.15858242340000001</v>
      </c>
      <c r="V97"/>
    </row>
    <row r="98" spans="2:22">
      <c r="B98" s="85">
        <v>42019</v>
      </c>
      <c r="C98" s="86">
        <v>0.65188653600000002</v>
      </c>
      <c r="D98" s="86">
        <f>VLOOKUP(CurrentMtgRatesDataTable825[[#This Row],[asofdate]],I:J,2,0)</f>
        <v>0.61924009550000003</v>
      </c>
      <c r="E98" s="86">
        <f>VLOOKUP(CurrentMtgRatesDataTable825[[#This Row],[asofdate]],O:P,2,0)</f>
        <v>0.1536612413</v>
      </c>
      <c r="F98" s="87">
        <f ca="1">VLOOKUP(CurrentMtgRatesDataTable825[[#This Row],[asofdate]]+1,Bloomberg!B:C,2,0)</f>
        <v>2799.3</v>
      </c>
      <c r="I98" s="18">
        <v>42019</v>
      </c>
      <c r="J98" s="91">
        <v>0.61924009550000003</v>
      </c>
      <c r="K98" s="91">
        <f>VLOOKUP(CurrentMtgRatesDataTable82527141518[[#This Row],[asofdate]],O:P,2,0)</f>
        <v>0.1536612413</v>
      </c>
      <c r="L98" s="91">
        <f>VLOOKUP(CurrentMtgRatesDataTable82527141518[[#This Row],[asofdate]],S:T,2,0)</f>
        <v>0.1584462643</v>
      </c>
      <c r="M98" s="6">
        <f ca="1">VLOOKUP(CurrentMtgRatesDataTable82527141518[[#This Row],[asofdate]]+1,Bloomberg!B:C,2,0)</f>
        <v>2799.3</v>
      </c>
      <c r="N98" s="6"/>
      <c r="O98" s="18">
        <v>42012</v>
      </c>
      <c r="P98" s="91">
        <v>0.1242832545</v>
      </c>
      <c r="Q98" s="104"/>
      <c r="R98" s="104"/>
      <c r="S98" s="18">
        <v>42019</v>
      </c>
      <c r="T98" s="91">
        <v>0.1584462643</v>
      </c>
      <c r="V98"/>
    </row>
    <row r="99" spans="2:22">
      <c r="B99" s="85">
        <v>42012</v>
      </c>
      <c r="C99" s="86">
        <v>0.62245046879999999</v>
      </c>
      <c r="D99" s="86">
        <f>VLOOKUP(CurrentMtgRatesDataTable825[[#This Row],[asofdate]],I:J,2,0)</f>
        <v>0.56867868060000004</v>
      </c>
      <c r="E99" s="86">
        <f>VLOOKUP(CurrentMtgRatesDataTable825[[#This Row],[asofdate]],O:P,2,0)</f>
        <v>0.1242832545</v>
      </c>
      <c r="F99" s="87">
        <f ca="1">VLOOKUP(CurrentMtgRatesDataTable825[[#This Row],[asofdate]]+1,Bloomberg!B:C,2,0)</f>
        <v>2271.5</v>
      </c>
      <c r="I99" s="18">
        <v>42012</v>
      </c>
      <c r="J99" s="91">
        <v>0.56867868060000004</v>
      </c>
      <c r="K99" s="91">
        <f>VLOOKUP(CurrentMtgRatesDataTable82527141518[[#This Row],[asofdate]],O:P,2,0)</f>
        <v>0.1242832545</v>
      </c>
      <c r="L99" s="91">
        <f>VLOOKUP(CurrentMtgRatesDataTable82527141518[[#This Row],[asofdate]],S:T,2,0)</f>
        <v>0.1273646118</v>
      </c>
      <c r="M99" s="6">
        <f ca="1">VLOOKUP(CurrentMtgRatesDataTable82527141518[[#This Row],[asofdate]]+1,Bloomberg!B:C,2,0)</f>
        <v>2271.5</v>
      </c>
      <c r="N99" s="6"/>
      <c r="O99" s="18">
        <v>42004</v>
      </c>
      <c r="P99" s="91">
        <v>0</v>
      </c>
      <c r="Q99" s="104"/>
      <c r="R99" s="104"/>
      <c r="S99" s="18">
        <v>42012</v>
      </c>
      <c r="T99" s="91">
        <v>0.1273646118</v>
      </c>
      <c r="V99"/>
    </row>
    <row r="100" spans="2:22">
      <c r="B100" s="85">
        <v>42004</v>
      </c>
      <c r="C100" s="86">
        <v>0.57197514790000004</v>
      </c>
      <c r="D100" s="86">
        <f>VLOOKUP(CurrentMtgRatesDataTable825[[#This Row],[asofdate]],I:J,2,0)</f>
        <v>0.50653217370000003</v>
      </c>
      <c r="E100" s="86">
        <f>VLOOKUP(CurrentMtgRatesDataTable825[[#This Row],[asofdate]],O:P,2,0)</f>
        <v>0</v>
      </c>
      <c r="F100" s="87">
        <f ca="1">VLOOKUP(CurrentMtgRatesDataTable825[[#This Row],[asofdate]]+1,Bloomberg!B:C,2,0)</f>
        <v>1347.6</v>
      </c>
      <c r="I100" s="18">
        <v>42004</v>
      </c>
      <c r="J100" s="91">
        <v>0.50653217370000003</v>
      </c>
      <c r="K100" s="91">
        <f>VLOOKUP(CurrentMtgRatesDataTable82527141518[[#This Row],[asofdate]],O:P,2,0)</f>
        <v>0</v>
      </c>
      <c r="L100" s="91">
        <f>VLOOKUP(CurrentMtgRatesDataTable82527141518[[#This Row],[asofdate]],S:T,2,0)</f>
        <v>8.6651293800000001E-2</v>
      </c>
      <c r="M100" s="6">
        <f ca="1">VLOOKUP(CurrentMtgRatesDataTable82527141518[[#This Row],[asofdate]]+1,Bloomberg!B:C,2,0)</f>
        <v>1347.6</v>
      </c>
      <c r="N100" s="6"/>
      <c r="O100" s="18">
        <v>41997</v>
      </c>
      <c r="P100" s="91">
        <v>0</v>
      </c>
      <c r="Q100" s="104"/>
      <c r="R100" s="104"/>
      <c r="S100" s="18">
        <v>42004</v>
      </c>
      <c r="T100" s="91">
        <v>8.6651293800000001E-2</v>
      </c>
      <c r="V100"/>
    </row>
    <row r="101" spans="2:22">
      <c r="B101" s="85">
        <v>41997</v>
      </c>
      <c r="C101" s="86">
        <v>0.58686510540000003</v>
      </c>
      <c r="D101" s="86">
        <f>VLOOKUP(CurrentMtgRatesDataTable825[[#This Row],[asofdate]],I:J,2,0)</f>
        <v>0.53702438590000001</v>
      </c>
      <c r="E101" s="86">
        <f>VLOOKUP(CurrentMtgRatesDataTable825[[#This Row],[asofdate]],O:P,2,0)</f>
        <v>0</v>
      </c>
      <c r="F101" s="87">
        <f ca="1">VLOOKUP(CurrentMtgRatesDataTable825[[#This Row],[asofdate]]+1,Bloomberg!B:C,2,0)</f>
        <v>1164.2</v>
      </c>
      <c r="I101" s="18">
        <v>41997</v>
      </c>
      <c r="J101" s="91">
        <v>0.53702438590000001</v>
      </c>
      <c r="K101" s="91">
        <f>VLOOKUP(CurrentMtgRatesDataTable82527141518[[#This Row],[asofdate]],O:P,2,0)</f>
        <v>0</v>
      </c>
      <c r="L101" s="91">
        <f>VLOOKUP(CurrentMtgRatesDataTable82527141518[[#This Row],[asofdate]],S:T,2,0)</f>
        <v>0.10126768060000001</v>
      </c>
      <c r="M101" s="6">
        <f ca="1">VLOOKUP(CurrentMtgRatesDataTable82527141518[[#This Row],[asofdate]]+1,Bloomberg!B:C,2,0)</f>
        <v>1164.2</v>
      </c>
      <c r="N101" s="6"/>
      <c r="O101" s="18">
        <v>41991</v>
      </c>
      <c r="P101" s="91">
        <v>0.1023458956</v>
      </c>
      <c r="Q101" s="104"/>
      <c r="R101" s="104"/>
      <c r="S101" s="18">
        <v>41997</v>
      </c>
      <c r="T101" s="91">
        <v>0.10126768060000001</v>
      </c>
      <c r="V101"/>
    </row>
    <row r="102" spans="2:22">
      <c r="B102" s="85">
        <v>41991</v>
      </c>
      <c r="C102" s="86">
        <v>0.60122657710000005</v>
      </c>
      <c r="D102" s="86">
        <f>VLOOKUP(CurrentMtgRatesDataTable825[[#This Row],[asofdate]],I:J,2,0)</f>
        <v>0.5408396526</v>
      </c>
      <c r="E102" s="86">
        <f>VLOOKUP(CurrentMtgRatesDataTable825[[#This Row],[asofdate]],O:P,2,0)</f>
        <v>0.1023458956</v>
      </c>
      <c r="F102" s="87">
        <f ca="1">VLOOKUP(CurrentMtgRatesDataTable825[[#This Row],[asofdate]]+1,Bloomberg!B:C,2,0)</f>
        <v>1538.7</v>
      </c>
      <c r="I102" s="18">
        <v>41991</v>
      </c>
      <c r="J102" s="91">
        <v>0.5408396526</v>
      </c>
      <c r="K102" s="91">
        <f>VLOOKUP(CurrentMtgRatesDataTable82527141518[[#This Row],[asofdate]],O:P,2,0)</f>
        <v>0.1023458956</v>
      </c>
      <c r="L102" s="91">
        <f>VLOOKUP(CurrentMtgRatesDataTable82527141518[[#This Row],[asofdate]],S:T,2,0)</f>
        <v>0.10451944790000001</v>
      </c>
      <c r="M102" s="6">
        <f ca="1">VLOOKUP(CurrentMtgRatesDataTable82527141518[[#This Row],[asofdate]]+1,Bloomberg!B:C,2,0)</f>
        <v>1538.7</v>
      </c>
      <c r="N102" s="6"/>
      <c r="O102" s="18">
        <v>41984</v>
      </c>
      <c r="P102" s="91">
        <v>0</v>
      </c>
      <c r="Q102" s="104"/>
      <c r="R102" s="104"/>
      <c r="S102" s="18">
        <v>41991</v>
      </c>
      <c r="T102" s="91">
        <v>0.10451944790000001</v>
      </c>
      <c r="V102"/>
    </row>
    <row r="103" spans="2:22">
      <c r="B103" s="85">
        <v>41984</v>
      </c>
      <c r="C103" s="86">
        <v>0.55996065370000003</v>
      </c>
      <c r="D103" s="86">
        <f>VLOOKUP(CurrentMtgRatesDataTable825[[#This Row],[asofdate]],I:J,2,0)</f>
        <v>0.50243916320000004</v>
      </c>
      <c r="E103" s="86">
        <f>VLOOKUP(CurrentMtgRatesDataTable825[[#This Row],[asofdate]],O:P,2,0)</f>
        <v>0</v>
      </c>
      <c r="F103" s="87">
        <f ca="1">VLOOKUP(CurrentMtgRatesDataTable825[[#This Row],[asofdate]]+1,Bloomberg!B:C,2,0)</f>
        <v>1518.8</v>
      </c>
      <c r="I103" s="18">
        <v>41984</v>
      </c>
      <c r="J103" s="91">
        <v>0.50243916320000004</v>
      </c>
      <c r="K103" s="91">
        <f>VLOOKUP(CurrentMtgRatesDataTable82527141518[[#This Row],[asofdate]],O:P,2,0)</f>
        <v>0</v>
      </c>
      <c r="L103" s="91">
        <f>VLOOKUP(CurrentMtgRatesDataTable82527141518[[#This Row],[asofdate]],S:T,2,0)</f>
        <v>8.4487762800000005E-2</v>
      </c>
      <c r="M103" s="6">
        <f ca="1">VLOOKUP(CurrentMtgRatesDataTable82527141518[[#This Row],[asofdate]]+1,Bloomberg!B:C,2,0)</f>
        <v>1518.8</v>
      </c>
      <c r="N103" s="6"/>
      <c r="O103" s="18">
        <v>41977</v>
      </c>
      <c r="P103" s="91">
        <v>8.5560241400000001E-2</v>
      </c>
      <c r="Q103" s="104"/>
      <c r="R103" s="104"/>
      <c r="S103" s="18">
        <v>41984</v>
      </c>
      <c r="T103" s="91">
        <v>8.4487762800000005E-2</v>
      </c>
      <c r="V103"/>
    </row>
    <row r="104" spans="2:22">
      <c r="B104" s="85">
        <v>41977</v>
      </c>
      <c r="C104" s="86">
        <v>0.57286099140000002</v>
      </c>
      <c r="D104" s="86">
        <f>VLOOKUP(CurrentMtgRatesDataTable825[[#This Row],[asofdate]],I:J,2,0)</f>
        <v>0.50697530140000002</v>
      </c>
      <c r="E104" s="86">
        <f>VLOOKUP(CurrentMtgRatesDataTable825[[#This Row],[asofdate]],O:P,2,0)</f>
        <v>8.5560241400000001E-2</v>
      </c>
      <c r="F104" s="87">
        <f ca="1">VLOOKUP(CurrentMtgRatesDataTable825[[#This Row],[asofdate]]+1,Bloomberg!B:C,2,0)</f>
        <v>1548.6</v>
      </c>
      <c r="I104" s="18">
        <v>41977</v>
      </c>
      <c r="J104" s="91">
        <v>0.50697530140000002</v>
      </c>
      <c r="K104" s="91">
        <f>VLOOKUP(CurrentMtgRatesDataTable82527141518[[#This Row],[asofdate]],O:P,2,0)</f>
        <v>8.5560241400000001E-2</v>
      </c>
      <c r="L104" s="91">
        <f>VLOOKUP(CurrentMtgRatesDataTable82527141518[[#This Row],[asofdate]],S:T,2,0)</f>
        <v>8.6751430899999996E-2</v>
      </c>
      <c r="M104" s="6">
        <f ca="1">VLOOKUP(CurrentMtgRatesDataTable82527141518[[#This Row],[asofdate]]+1,Bloomberg!B:C,2,0)</f>
        <v>1548.6</v>
      </c>
      <c r="N104" s="6"/>
      <c r="O104" s="18">
        <v>41969</v>
      </c>
      <c r="P104" s="91">
        <v>5.4104000000000002E-5</v>
      </c>
      <c r="Q104" s="104"/>
      <c r="R104" s="104"/>
      <c r="S104" s="18">
        <v>41977</v>
      </c>
      <c r="T104" s="91">
        <v>8.6751430899999996E-2</v>
      </c>
      <c r="V104"/>
    </row>
    <row r="105" spans="2:22">
      <c r="B105" s="85">
        <v>41969</v>
      </c>
      <c r="C105" s="86">
        <v>0.55246831159999998</v>
      </c>
      <c r="D105" s="86">
        <f>VLOOKUP(CurrentMtgRatesDataTable825[[#This Row],[asofdate]],I:J,2,0)</f>
        <v>0.48229909360000001</v>
      </c>
      <c r="E105" s="86">
        <f>VLOOKUP(CurrentMtgRatesDataTable825[[#This Row],[asofdate]],O:P,2,0)</f>
        <v>5.4104000000000002E-5</v>
      </c>
      <c r="F105" s="87" t="e">
        <f ca="1">VLOOKUP(CurrentMtgRatesDataTable825[[#This Row],[asofdate]]+1,Bloomberg!B:C,2,0)</f>
        <v>#N/A</v>
      </c>
      <c r="I105" s="18">
        <v>41969</v>
      </c>
      <c r="J105" s="91">
        <v>0.48229909360000001</v>
      </c>
      <c r="K105" s="91">
        <f>VLOOKUP(CurrentMtgRatesDataTable82527141518[[#This Row],[asofdate]],O:P,2,0)</f>
        <v>5.4104000000000002E-5</v>
      </c>
      <c r="L105" s="91">
        <f>VLOOKUP(CurrentMtgRatesDataTable82527141518[[#This Row],[asofdate]],S:T,2,0)</f>
        <v>6.7707112400000005E-2</v>
      </c>
      <c r="M105" s="6" t="e">
        <f ca="1">VLOOKUP(CurrentMtgRatesDataTable82527141518[[#This Row],[asofdate]]+1,Bloomberg!B:C,2,0)</f>
        <v>#N/A</v>
      </c>
      <c r="N105" s="6"/>
      <c r="O105" s="18">
        <v>41963</v>
      </c>
      <c r="P105" s="91">
        <v>5.35251E-5</v>
      </c>
      <c r="Q105" s="104"/>
      <c r="R105" s="104"/>
      <c r="S105" s="18">
        <v>41969</v>
      </c>
      <c r="T105" s="91">
        <v>6.7707112400000005E-2</v>
      </c>
      <c r="V105"/>
    </row>
    <row r="106" spans="2:22">
      <c r="B106" s="85">
        <v>41963</v>
      </c>
      <c r="C106" s="86">
        <v>0.53954613890000003</v>
      </c>
      <c r="D106" s="86">
        <f>VLOOKUP(CurrentMtgRatesDataTable825[[#This Row],[asofdate]],I:J,2,0)</f>
        <v>0.48084575689999998</v>
      </c>
      <c r="E106" s="86">
        <f>VLOOKUP(CurrentMtgRatesDataTable825[[#This Row],[asofdate]],O:P,2,0)</f>
        <v>5.35251E-5</v>
      </c>
      <c r="F106" s="87">
        <f ca="1">VLOOKUP(CurrentMtgRatesDataTable825[[#This Row],[asofdate]]+1,Bloomberg!B:C,2,0)</f>
        <v>1547.9</v>
      </c>
      <c r="I106" s="18">
        <v>41963</v>
      </c>
      <c r="J106" s="91">
        <v>0.48084575689999998</v>
      </c>
      <c r="K106" s="91">
        <f>VLOOKUP(CurrentMtgRatesDataTable82527141518[[#This Row],[asofdate]],O:P,2,0)</f>
        <v>5.35251E-5</v>
      </c>
      <c r="L106" s="91">
        <f>VLOOKUP(CurrentMtgRatesDataTable82527141518[[#This Row],[asofdate]],S:T,2,0)</f>
        <v>6.6589140500000005E-2</v>
      </c>
      <c r="M106" s="6">
        <f ca="1">VLOOKUP(CurrentMtgRatesDataTable82527141518[[#This Row],[asofdate]]+1,Bloomberg!B:C,2,0)</f>
        <v>1547.9</v>
      </c>
      <c r="N106" s="6"/>
      <c r="O106" s="18">
        <v>41956</v>
      </c>
      <c r="P106" s="91">
        <v>3.8752399999999998E-5</v>
      </c>
      <c r="Q106" s="104"/>
      <c r="R106" s="104"/>
      <c r="S106" s="18">
        <v>41963</v>
      </c>
      <c r="T106" s="91">
        <v>6.6589140500000005E-2</v>
      </c>
      <c r="V106"/>
    </row>
    <row r="107" spans="2:22">
      <c r="B107" s="85">
        <v>41956</v>
      </c>
      <c r="C107" s="86">
        <v>0.5252620683</v>
      </c>
      <c r="D107" s="86">
        <f>VLOOKUP(CurrentMtgRatesDataTable825[[#This Row],[asofdate]],I:J,2,0)</f>
        <v>0.45502691080000002</v>
      </c>
      <c r="E107" s="86">
        <f>VLOOKUP(CurrentMtgRatesDataTable825[[#This Row],[asofdate]],O:P,2,0)</f>
        <v>3.8752399999999998E-5</v>
      </c>
      <c r="F107" s="87">
        <f ca="1">VLOOKUP(CurrentMtgRatesDataTable825[[#This Row],[asofdate]]+1,Bloomberg!B:C,2,0)</f>
        <v>1563.2</v>
      </c>
      <c r="I107" s="18">
        <v>41956</v>
      </c>
      <c r="J107" s="91">
        <v>0.45502691080000002</v>
      </c>
      <c r="K107" s="91">
        <f>VLOOKUP(CurrentMtgRatesDataTable82527141518[[#This Row],[asofdate]],O:P,2,0)</f>
        <v>3.8752399999999998E-5</v>
      </c>
      <c r="L107" s="91">
        <f>VLOOKUP(CurrentMtgRatesDataTable82527141518[[#This Row],[asofdate]],S:T,2,0)</f>
        <v>5.5975736900000003E-2</v>
      </c>
      <c r="M107" s="6">
        <f ca="1">VLOOKUP(CurrentMtgRatesDataTable82527141518[[#This Row],[asofdate]]+1,Bloomberg!B:C,2,0)</f>
        <v>1563.2</v>
      </c>
      <c r="N107" s="6"/>
      <c r="O107" s="18">
        <v>41949</v>
      </c>
      <c r="P107" s="91">
        <v>0</v>
      </c>
      <c r="Q107" s="104"/>
      <c r="R107" s="104"/>
      <c r="S107" s="18">
        <v>41956</v>
      </c>
      <c r="T107" s="91">
        <v>5.5975736900000003E-2</v>
      </c>
      <c r="V107"/>
    </row>
    <row r="108" spans="2:22">
      <c r="B108" s="85">
        <v>41949</v>
      </c>
      <c r="C108" s="86">
        <v>0.52046110349999997</v>
      </c>
      <c r="D108" s="86">
        <f>VLOOKUP(CurrentMtgRatesDataTable825[[#This Row],[asofdate]],I:J,2,0)</f>
        <v>0.45356757110000001</v>
      </c>
      <c r="E108" s="86">
        <f>VLOOKUP(CurrentMtgRatesDataTable825[[#This Row],[asofdate]],O:P,2,0)</f>
        <v>0</v>
      </c>
      <c r="F108" s="87">
        <f ca="1">VLOOKUP(CurrentMtgRatesDataTable825[[#This Row],[asofdate]]+1,Bloomberg!B:C,2,0)</f>
        <v>1565.3</v>
      </c>
      <c r="I108" s="18">
        <v>41949</v>
      </c>
      <c r="J108" s="91">
        <v>0.45356757110000001</v>
      </c>
      <c r="K108" s="91">
        <f>VLOOKUP(CurrentMtgRatesDataTable82527141518[[#This Row],[asofdate]],O:P,2,0)</f>
        <v>0</v>
      </c>
      <c r="L108" s="91">
        <f>VLOOKUP(CurrentMtgRatesDataTable82527141518[[#This Row],[asofdate]],S:T,2,0)</f>
        <v>5.4808828800000001E-2</v>
      </c>
      <c r="M108" s="6">
        <f ca="1">VLOOKUP(CurrentMtgRatesDataTable82527141518[[#This Row],[asofdate]]+1,Bloomberg!B:C,2,0)</f>
        <v>1565.3</v>
      </c>
      <c r="N108" s="6"/>
      <c r="O108" s="18">
        <v>41942</v>
      </c>
      <c r="P108" s="91">
        <v>0</v>
      </c>
      <c r="Q108" s="104"/>
      <c r="R108" s="104"/>
      <c r="S108" s="18">
        <v>41949</v>
      </c>
      <c r="T108" s="91">
        <v>5.4808828800000001E-2</v>
      </c>
      <c r="V108"/>
    </row>
    <row r="109" spans="2:22">
      <c r="B109" s="85">
        <v>41942</v>
      </c>
      <c r="C109" s="86">
        <v>0.55654596300000003</v>
      </c>
      <c r="D109" s="86">
        <f>VLOOKUP(CurrentMtgRatesDataTable825[[#This Row],[asofdate]],I:J,2,0)</f>
        <v>0.49063416859999998</v>
      </c>
      <c r="E109" s="86">
        <f>VLOOKUP(CurrentMtgRatesDataTable825[[#This Row],[asofdate]],O:P,2,0)</f>
        <v>0</v>
      </c>
      <c r="F109" s="87">
        <f ca="1">VLOOKUP(CurrentMtgRatesDataTable825[[#This Row],[asofdate]]+1,Bloomberg!B:C,2,0)</f>
        <v>1604.8</v>
      </c>
      <c r="I109" s="18">
        <v>41942</v>
      </c>
      <c r="J109" s="91">
        <v>0.49063416859999998</v>
      </c>
      <c r="K109" s="91">
        <f>VLOOKUP(CurrentMtgRatesDataTable82527141518[[#This Row],[asofdate]],O:P,2,0)</f>
        <v>0</v>
      </c>
      <c r="L109" s="91">
        <f>VLOOKUP(CurrentMtgRatesDataTable82527141518[[#This Row],[asofdate]],S:T,2,0)</f>
        <v>6.58072299E-2</v>
      </c>
      <c r="M109" s="6">
        <f ca="1">VLOOKUP(CurrentMtgRatesDataTable82527141518[[#This Row],[asofdate]]+1,Bloomberg!B:C,2,0)</f>
        <v>1604.8</v>
      </c>
      <c r="N109" s="6"/>
      <c r="O109" s="18">
        <v>41935</v>
      </c>
      <c r="P109" s="91">
        <v>7.97003981E-2</v>
      </c>
      <c r="Q109" s="104"/>
      <c r="R109" s="104"/>
      <c r="S109" s="18">
        <v>41942</v>
      </c>
      <c r="T109" s="91">
        <v>6.58072299E-2</v>
      </c>
      <c r="V109"/>
    </row>
    <row r="110" spans="2:22">
      <c r="B110" s="85">
        <v>41935</v>
      </c>
      <c r="C110" s="86">
        <v>0.58478850640000002</v>
      </c>
      <c r="D110" s="86">
        <f>VLOOKUP(CurrentMtgRatesDataTable825[[#This Row],[asofdate]],I:J,2,0)</f>
        <v>0.52082276189999999</v>
      </c>
      <c r="E110" s="86">
        <f>VLOOKUP(CurrentMtgRatesDataTable825[[#This Row],[asofdate]],O:P,2,0)</f>
        <v>7.97003981E-2</v>
      </c>
      <c r="F110" s="87">
        <f ca="1">VLOOKUP(CurrentMtgRatesDataTable825[[#This Row],[asofdate]]+1,Bloomberg!B:C,2,0)</f>
        <v>1713.6</v>
      </c>
      <c r="I110" s="18">
        <v>41935</v>
      </c>
      <c r="J110" s="91">
        <v>0.52082276189999999</v>
      </c>
      <c r="K110" s="91">
        <f>VLOOKUP(CurrentMtgRatesDataTable82527141518[[#This Row],[asofdate]],O:P,2,0)</f>
        <v>7.97003981E-2</v>
      </c>
      <c r="L110" s="91">
        <f>VLOOKUP(CurrentMtgRatesDataTable82527141518[[#This Row],[asofdate]],S:T,2,0)</f>
        <v>8.0790795400000004E-2</v>
      </c>
      <c r="M110" s="6">
        <f ca="1">VLOOKUP(CurrentMtgRatesDataTable82527141518[[#This Row],[asofdate]]+1,Bloomberg!B:C,2,0)</f>
        <v>1713.6</v>
      </c>
      <c r="N110" s="6"/>
      <c r="O110" s="18">
        <v>41928</v>
      </c>
      <c r="P110" s="91">
        <v>6.5095605900000006E-2</v>
      </c>
      <c r="Q110" s="104"/>
      <c r="R110" s="104"/>
      <c r="S110" s="18">
        <v>41935</v>
      </c>
      <c r="T110" s="91">
        <v>8.0790795400000004E-2</v>
      </c>
      <c r="V110"/>
    </row>
    <row r="111" spans="2:22">
      <c r="B111" s="85">
        <v>41928</v>
      </c>
      <c r="C111" s="86">
        <v>0.56305944959999998</v>
      </c>
      <c r="D111" s="86">
        <f>VLOOKUP(CurrentMtgRatesDataTable825[[#This Row],[asofdate]],I:J,2,0)</f>
        <v>0.49136233779999999</v>
      </c>
      <c r="E111" s="86">
        <f>VLOOKUP(CurrentMtgRatesDataTable825[[#This Row],[asofdate]],O:P,2,0)</f>
        <v>6.5095605900000006E-2</v>
      </c>
      <c r="F111" s="87">
        <f ca="1">VLOOKUP(CurrentMtgRatesDataTable825[[#This Row],[asofdate]]+1,Bloomberg!B:C,2,0)</f>
        <v>1898.2</v>
      </c>
      <c r="I111" s="18">
        <v>41928</v>
      </c>
      <c r="J111" s="91">
        <v>0.49136233779999999</v>
      </c>
      <c r="K111" s="91">
        <f>VLOOKUP(CurrentMtgRatesDataTable82527141518[[#This Row],[asofdate]],O:P,2,0)</f>
        <v>6.5095605900000006E-2</v>
      </c>
      <c r="L111" s="91">
        <f>VLOOKUP(CurrentMtgRatesDataTable82527141518[[#This Row],[asofdate]],S:T,2,0)</f>
        <v>6.6342163999999995E-2</v>
      </c>
      <c r="M111" s="6">
        <f ca="1">VLOOKUP(CurrentMtgRatesDataTable82527141518[[#This Row],[asofdate]]+1,Bloomberg!B:C,2,0)</f>
        <v>1898.2</v>
      </c>
      <c r="N111" s="6"/>
      <c r="O111" s="18">
        <v>41921</v>
      </c>
      <c r="P111" s="91">
        <v>1.9032899999999999E-5</v>
      </c>
      <c r="Q111" s="104"/>
      <c r="R111" s="104"/>
      <c r="S111" s="18">
        <v>41928</v>
      </c>
      <c r="T111" s="91">
        <v>6.6342163999999995E-2</v>
      </c>
      <c r="V111"/>
    </row>
    <row r="112" spans="2:22">
      <c r="B112" s="85">
        <v>41921</v>
      </c>
      <c r="C112" s="86">
        <v>0.45280738259999997</v>
      </c>
      <c r="D112" s="86">
        <f>VLOOKUP(CurrentMtgRatesDataTable825[[#This Row],[asofdate]],I:J,2,0)</f>
        <v>0.43077950129999998</v>
      </c>
      <c r="E112" s="86">
        <f>VLOOKUP(CurrentMtgRatesDataTable825[[#This Row],[asofdate]],O:P,2,0)</f>
        <v>1.9032899999999999E-5</v>
      </c>
      <c r="F112" s="87">
        <f ca="1">VLOOKUP(CurrentMtgRatesDataTable825[[#This Row],[asofdate]]+1,Bloomberg!B:C,2,0)</f>
        <v>1560.6</v>
      </c>
      <c r="I112" s="18">
        <v>41921</v>
      </c>
      <c r="J112" s="91">
        <v>0.43077950129999998</v>
      </c>
      <c r="K112" s="91">
        <f>VLOOKUP(CurrentMtgRatesDataTable82527141518[[#This Row],[asofdate]],O:P,2,0)</f>
        <v>1.9032899999999999E-5</v>
      </c>
      <c r="L112" s="91">
        <f>VLOOKUP(CurrentMtgRatesDataTable82527141518[[#This Row],[asofdate]],S:T,2,0)</f>
        <v>3.7750656600000002E-2</v>
      </c>
      <c r="M112" s="6">
        <f ca="1">VLOOKUP(CurrentMtgRatesDataTable82527141518[[#This Row],[asofdate]]+1,Bloomberg!B:C,2,0)</f>
        <v>1560.6</v>
      </c>
      <c r="N112" s="6"/>
      <c r="O112" s="18">
        <v>41914</v>
      </c>
      <c r="P112" s="91">
        <v>0</v>
      </c>
      <c r="Q112" s="104"/>
      <c r="R112" s="104"/>
      <c r="S112" s="18">
        <v>41921</v>
      </c>
      <c r="T112" s="91">
        <v>3.7750656600000002E-2</v>
      </c>
      <c r="V112"/>
    </row>
    <row r="113" spans="2:22">
      <c r="B113" s="85">
        <v>41914</v>
      </c>
      <c r="C113" s="86">
        <v>0.4272770092</v>
      </c>
      <c r="D113" s="86">
        <f>VLOOKUP(CurrentMtgRatesDataTable825[[#This Row],[asofdate]],I:J,2,0)</f>
        <v>0.40648641540000002</v>
      </c>
      <c r="E113" s="86">
        <f>VLOOKUP(CurrentMtgRatesDataTable825[[#This Row],[asofdate]],O:P,2,0)</f>
        <v>0</v>
      </c>
      <c r="F113" s="87">
        <f ca="1">VLOOKUP(CurrentMtgRatesDataTable825[[#This Row],[asofdate]]+1,Bloomberg!B:C,2,0)</f>
        <v>1387.1</v>
      </c>
      <c r="I113" s="18">
        <v>41914</v>
      </c>
      <c r="J113" s="91">
        <v>0.40648641540000002</v>
      </c>
      <c r="K113" s="91">
        <f>VLOOKUP(CurrentMtgRatesDataTable82527141518[[#This Row],[asofdate]],O:P,2,0)</f>
        <v>0</v>
      </c>
      <c r="L113" s="91">
        <f>VLOOKUP(CurrentMtgRatesDataTable82527141518[[#This Row],[asofdate]],S:T,2,0)</f>
        <v>4.4517187000000001E-3</v>
      </c>
      <c r="M113" s="6">
        <f ca="1">VLOOKUP(CurrentMtgRatesDataTable82527141518[[#This Row],[asofdate]]+1,Bloomberg!B:C,2,0)</f>
        <v>1387.1</v>
      </c>
      <c r="N113" s="6"/>
      <c r="O113" s="18">
        <v>41907</v>
      </c>
      <c r="P113" s="91">
        <v>0</v>
      </c>
      <c r="Q113" s="104"/>
      <c r="R113" s="104"/>
      <c r="S113" s="18">
        <v>41914</v>
      </c>
      <c r="T113" s="91">
        <v>4.4517187000000001E-3</v>
      </c>
      <c r="V113"/>
    </row>
    <row r="114" spans="2:22">
      <c r="B114" s="85">
        <v>41907</v>
      </c>
      <c r="C114" s="86">
        <v>0.42206701070000002</v>
      </c>
      <c r="D114" s="86">
        <f>VLOOKUP(CurrentMtgRatesDataTable825[[#This Row],[asofdate]],I:J,2,0)</f>
        <v>0.39404085370000003</v>
      </c>
      <c r="E114" s="86">
        <f>VLOOKUP(CurrentMtgRatesDataTable825[[#This Row],[asofdate]],O:P,2,0)</f>
        <v>0</v>
      </c>
      <c r="F114" s="87">
        <f ca="1">VLOOKUP(CurrentMtgRatesDataTable825[[#This Row],[asofdate]]+1,Bloomberg!B:C,2,0)</f>
        <v>1326.2</v>
      </c>
      <c r="I114" s="18">
        <v>41907</v>
      </c>
      <c r="J114" s="91">
        <v>0.39404085370000003</v>
      </c>
      <c r="K114" s="91">
        <f>VLOOKUP(CurrentMtgRatesDataTable82527141518[[#This Row],[asofdate]],O:P,2,0)</f>
        <v>0</v>
      </c>
      <c r="L114" s="91">
        <f>VLOOKUP(CurrentMtgRatesDataTable82527141518[[#This Row],[asofdate]],S:T,2,0)</f>
        <v>1.0817228000000001E-3</v>
      </c>
      <c r="M114" s="6">
        <f ca="1">VLOOKUP(CurrentMtgRatesDataTable82527141518[[#This Row],[asofdate]]+1,Bloomberg!B:C,2,0)</f>
        <v>1326.2</v>
      </c>
      <c r="N114" s="6"/>
      <c r="O114" s="18">
        <v>41900</v>
      </c>
      <c r="P114" s="91">
        <v>0</v>
      </c>
      <c r="Q114" s="104"/>
      <c r="R114" s="104"/>
      <c r="S114" s="18">
        <v>41907</v>
      </c>
      <c r="T114" s="91">
        <v>1.0817228000000001E-3</v>
      </c>
      <c r="V114"/>
    </row>
    <row r="115" spans="2:22">
      <c r="B115" s="85">
        <v>41900</v>
      </c>
      <c r="C115" s="86">
        <v>0.41612475189999998</v>
      </c>
      <c r="D115" s="86">
        <f>VLOOKUP(CurrentMtgRatesDataTable825[[#This Row],[asofdate]],I:J,2,0)</f>
        <v>0.39207927710000001</v>
      </c>
      <c r="E115" s="86">
        <f>VLOOKUP(CurrentMtgRatesDataTable825[[#This Row],[asofdate]],O:P,2,0)</f>
        <v>0</v>
      </c>
      <c r="F115" s="87">
        <f ca="1">VLOOKUP(CurrentMtgRatesDataTable825[[#This Row],[asofdate]]+1,Bloomberg!B:C,2,0)</f>
        <v>1335.1</v>
      </c>
      <c r="I115" s="18">
        <v>41900</v>
      </c>
      <c r="J115" s="91">
        <v>0.39207927710000001</v>
      </c>
      <c r="K115" s="91">
        <f>VLOOKUP(CurrentMtgRatesDataTable82527141518[[#This Row],[asofdate]],O:P,2,0)</f>
        <v>0</v>
      </c>
      <c r="L115" s="91">
        <f>VLOOKUP(CurrentMtgRatesDataTable82527141518[[#This Row],[asofdate]],S:T,2,0)</f>
        <v>1.0672454E-3</v>
      </c>
      <c r="M115" s="6">
        <f ca="1">VLOOKUP(CurrentMtgRatesDataTable82527141518[[#This Row],[asofdate]]+1,Bloomberg!B:C,2,0)</f>
        <v>1335.1</v>
      </c>
      <c r="N115" s="6"/>
      <c r="O115" s="18">
        <v>41893</v>
      </c>
      <c r="P115" s="91">
        <v>0</v>
      </c>
      <c r="Q115" s="104"/>
      <c r="R115" s="104"/>
      <c r="S115" s="18">
        <v>41900</v>
      </c>
      <c r="T115" s="91">
        <v>1.0672454E-3</v>
      </c>
      <c r="V115"/>
    </row>
    <row r="116" spans="2:22">
      <c r="B116" s="85">
        <v>41893</v>
      </c>
      <c r="C116" s="86">
        <v>0.4603927558</v>
      </c>
      <c r="D116" s="86">
        <f>VLOOKUP(CurrentMtgRatesDataTable825[[#This Row],[asofdate]],I:J,2,0)</f>
        <v>0.43877924870000001</v>
      </c>
      <c r="E116" s="86">
        <f>VLOOKUP(CurrentMtgRatesDataTable825[[#This Row],[asofdate]],O:P,2,0)</f>
        <v>0</v>
      </c>
      <c r="F116" s="87">
        <f ca="1">VLOOKUP(CurrentMtgRatesDataTable825[[#This Row],[asofdate]]+1,Bloomberg!B:C,2,0)</f>
        <v>1398.4</v>
      </c>
      <c r="I116" s="18">
        <v>41893</v>
      </c>
      <c r="J116" s="91">
        <v>0.43877924870000001</v>
      </c>
      <c r="K116" s="91">
        <f>VLOOKUP(CurrentMtgRatesDataTable82527141518[[#This Row],[asofdate]],O:P,2,0)</f>
        <v>0</v>
      </c>
      <c r="L116" s="91">
        <f>VLOOKUP(CurrentMtgRatesDataTable82527141518[[#This Row],[asofdate]],S:T,2,0)</f>
        <v>3.5835296099999997E-2</v>
      </c>
      <c r="M116" s="6">
        <f ca="1">VLOOKUP(CurrentMtgRatesDataTable82527141518[[#This Row],[asofdate]]+1,Bloomberg!B:C,2,0)</f>
        <v>1398.4</v>
      </c>
      <c r="N116" s="6"/>
      <c r="O116" s="18">
        <v>41886</v>
      </c>
      <c r="P116" s="91">
        <v>0</v>
      </c>
      <c r="Q116" s="104"/>
      <c r="R116" s="104"/>
      <c r="S116" s="18">
        <v>41893</v>
      </c>
      <c r="T116" s="91">
        <v>3.5835296099999997E-2</v>
      </c>
      <c r="V116"/>
    </row>
    <row r="117" spans="2:22">
      <c r="B117" s="85">
        <v>41886</v>
      </c>
      <c r="C117" s="86">
        <v>0.47501733540000002</v>
      </c>
      <c r="D117" s="86">
        <f>VLOOKUP(CurrentMtgRatesDataTable825[[#This Row],[asofdate]],I:J,2,0)</f>
        <v>0.4400792899</v>
      </c>
      <c r="E117" s="86">
        <f>VLOOKUP(CurrentMtgRatesDataTable825[[#This Row],[asofdate]],O:P,2,0)</f>
        <v>0</v>
      </c>
      <c r="F117" s="87">
        <f ca="1">VLOOKUP(CurrentMtgRatesDataTable825[[#This Row],[asofdate]]+1,Bloomberg!B:C,2,0)</f>
        <v>1275.8</v>
      </c>
      <c r="I117" s="18">
        <v>41886</v>
      </c>
      <c r="J117" s="91">
        <v>0.4400792899</v>
      </c>
      <c r="K117" s="91">
        <f>VLOOKUP(CurrentMtgRatesDataTable82527141518[[#This Row],[asofdate]],O:P,2,0)</f>
        <v>0</v>
      </c>
      <c r="L117" s="91">
        <f>VLOOKUP(CurrentMtgRatesDataTable82527141518[[#This Row],[asofdate]],S:T,2,0)</f>
        <v>3.6285921499999998E-2</v>
      </c>
      <c r="M117" s="6">
        <f ca="1">VLOOKUP(CurrentMtgRatesDataTable82527141518[[#This Row],[asofdate]]+1,Bloomberg!B:C,2,0)</f>
        <v>1275.8</v>
      </c>
      <c r="N117" s="6"/>
      <c r="O117" s="18">
        <v>41879</v>
      </c>
      <c r="P117" s="91">
        <v>0</v>
      </c>
      <c r="Q117" s="104"/>
      <c r="R117" s="104"/>
      <c r="S117" s="18">
        <v>41886</v>
      </c>
      <c r="T117" s="91">
        <v>3.6285921499999998E-2</v>
      </c>
      <c r="V117"/>
    </row>
    <row r="118" spans="2:22">
      <c r="B118" s="85">
        <v>41879</v>
      </c>
      <c r="C118" s="86">
        <v>0.47917420760000007</v>
      </c>
      <c r="D118" s="86">
        <f>VLOOKUP(CurrentMtgRatesDataTable825[[#This Row],[asofdate]],I:J,2,0)</f>
        <v>0.44570419890000001</v>
      </c>
      <c r="E118" s="86">
        <f>VLOOKUP(CurrentMtgRatesDataTable825[[#This Row],[asofdate]],O:P,2,0)</f>
        <v>0</v>
      </c>
      <c r="F118" s="87">
        <f ca="1">VLOOKUP(CurrentMtgRatesDataTable825[[#This Row],[asofdate]]+1,Bloomberg!B:C,2,0)</f>
        <v>1436</v>
      </c>
      <c r="I118" s="18">
        <v>41879</v>
      </c>
      <c r="J118" s="91">
        <v>0.44570419890000001</v>
      </c>
      <c r="K118" s="91">
        <f>VLOOKUP(CurrentMtgRatesDataTable82527141518[[#This Row],[asofdate]],O:P,2,0)</f>
        <v>0</v>
      </c>
      <c r="L118" s="91">
        <f>VLOOKUP(CurrentMtgRatesDataTable82527141518[[#This Row],[asofdate]],S:T,2,0)</f>
        <v>3.3991505900000003E-2</v>
      </c>
      <c r="M118" s="6">
        <f ca="1">VLOOKUP(CurrentMtgRatesDataTable82527141518[[#This Row],[asofdate]]+1,Bloomberg!B:C,2,0)</f>
        <v>1436</v>
      </c>
      <c r="N118" s="6"/>
      <c r="O118" s="18">
        <v>41872</v>
      </c>
      <c r="P118" s="91">
        <v>3.3566371999999997E-2</v>
      </c>
      <c r="Q118" s="104"/>
      <c r="R118" s="104"/>
      <c r="S118" s="18">
        <v>41879</v>
      </c>
      <c r="T118" s="91">
        <v>3.3991505900000003E-2</v>
      </c>
      <c r="V118"/>
    </row>
    <row r="119" spans="2:22">
      <c r="B119" s="85">
        <v>41872</v>
      </c>
      <c r="C119" s="86">
        <v>0.47917420760000007</v>
      </c>
      <c r="D119" s="86">
        <f>VLOOKUP(CurrentMtgRatesDataTable825[[#This Row],[asofdate]],I:J,2,0)</f>
        <v>0.44570419890000001</v>
      </c>
      <c r="E119" s="86">
        <f>VLOOKUP(CurrentMtgRatesDataTable825[[#This Row],[asofdate]],O:P,2,0)</f>
        <v>3.3566371999999997E-2</v>
      </c>
      <c r="F119" s="87">
        <f ca="1">VLOOKUP(CurrentMtgRatesDataTable825[[#This Row],[asofdate]]+1,Bloomberg!B:C,2,0)</f>
        <v>1439.4</v>
      </c>
      <c r="I119" s="18">
        <v>41872</v>
      </c>
      <c r="J119" s="91">
        <v>0.44570419890000001</v>
      </c>
      <c r="K119" s="91">
        <f>VLOOKUP(CurrentMtgRatesDataTable82527141518[[#This Row],[asofdate]],O:P,2,0)</f>
        <v>3.3566371999999997E-2</v>
      </c>
      <c r="L119" s="91">
        <f>VLOOKUP(CurrentMtgRatesDataTable82527141518[[#This Row],[asofdate]],S:T,2,0)</f>
        <v>3.4152590300000001E-2</v>
      </c>
      <c r="M119" s="6">
        <f ca="1">VLOOKUP(CurrentMtgRatesDataTable82527141518[[#This Row],[asofdate]]+1,Bloomberg!B:C,2,0)</f>
        <v>1439.4</v>
      </c>
      <c r="N119" s="6"/>
      <c r="O119" s="18">
        <v>41865</v>
      </c>
      <c r="P119" s="91">
        <v>3.7045100000000002E-5</v>
      </c>
      <c r="Q119" s="104"/>
      <c r="R119" s="104"/>
      <c r="S119" s="18">
        <v>41872</v>
      </c>
      <c r="T119" s="91">
        <v>3.4152590300000001E-2</v>
      </c>
      <c r="V119"/>
    </row>
    <row r="120" spans="2:22">
      <c r="B120" s="85">
        <v>41865</v>
      </c>
      <c r="C120" s="86">
        <v>0.45188748220000008</v>
      </c>
      <c r="D120" s="86">
        <f>VLOOKUP(CurrentMtgRatesDataTable825[[#This Row],[asofdate]],I:J,2,0)</f>
        <v>0.42251047959999999</v>
      </c>
      <c r="E120" s="86">
        <f>VLOOKUP(CurrentMtgRatesDataTable825[[#This Row],[asofdate]],O:P,2,0)</f>
        <v>3.7045100000000002E-5</v>
      </c>
      <c r="F120" s="87">
        <f ca="1">VLOOKUP(CurrentMtgRatesDataTable825[[#This Row],[asofdate]]+1,Bloomberg!B:C,2,0)</f>
        <v>1404.9</v>
      </c>
      <c r="I120" s="18">
        <v>41865</v>
      </c>
      <c r="J120" s="91">
        <v>0.42251047959999999</v>
      </c>
      <c r="K120" s="91">
        <f>VLOOKUP(CurrentMtgRatesDataTable82527141518[[#This Row],[asofdate]],O:P,2,0)</f>
        <v>3.7045100000000002E-5</v>
      </c>
      <c r="L120" s="91">
        <f>VLOOKUP(CurrentMtgRatesDataTable82527141518[[#This Row],[asofdate]],S:T,2,0)</f>
        <v>2.55482595E-2</v>
      </c>
      <c r="M120" s="6">
        <f ca="1">VLOOKUP(CurrentMtgRatesDataTable82527141518[[#This Row],[asofdate]]+1,Bloomberg!B:C,2,0)</f>
        <v>1404.9</v>
      </c>
      <c r="N120" s="6"/>
      <c r="O120" s="18">
        <v>41858</v>
      </c>
      <c r="P120" s="91">
        <v>0</v>
      </c>
      <c r="Q120" s="104"/>
      <c r="R120" s="104"/>
      <c r="S120" s="18">
        <v>41865</v>
      </c>
      <c r="T120" s="91">
        <v>2.55482595E-2</v>
      </c>
      <c r="V120"/>
    </row>
    <row r="121" spans="2:22">
      <c r="B121" s="85">
        <v>41858</v>
      </c>
      <c r="C121" s="86">
        <v>0.43261818860000001</v>
      </c>
      <c r="D121" s="86">
        <f>VLOOKUP(CurrentMtgRatesDataTable825[[#This Row],[asofdate]],I:J,2,0)</f>
        <v>0.40082625799999999</v>
      </c>
      <c r="E121" s="86">
        <f>VLOOKUP(CurrentMtgRatesDataTable825[[#This Row],[asofdate]],O:P,2,0)</f>
        <v>0</v>
      </c>
      <c r="F121" s="87">
        <f ca="1">VLOOKUP(CurrentMtgRatesDataTable825[[#This Row],[asofdate]]+1,Bloomberg!B:C,2,0)</f>
        <v>1342.6</v>
      </c>
      <c r="I121" s="18">
        <v>41858</v>
      </c>
      <c r="J121" s="91">
        <v>0.40082625799999999</v>
      </c>
      <c r="K121" s="91">
        <f>VLOOKUP(CurrentMtgRatesDataTable82527141518[[#This Row],[asofdate]],O:P,2,0)</f>
        <v>0</v>
      </c>
      <c r="L121" s="91">
        <f>VLOOKUP(CurrentMtgRatesDataTable82527141518[[#This Row],[asofdate]],S:T,2,0)</f>
        <v>1.7283762099999999E-2</v>
      </c>
      <c r="M121" s="6">
        <f ca="1">VLOOKUP(CurrentMtgRatesDataTable82527141518[[#This Row],[asofdate]]+1,Bloomberg!B:C,2,0)</f>
        <v>1342.6</v>
      </c>
      <c r="N121" s="6"/>
      <c r="O121" s="18">
        <v>41851</v>
      </c>
      <c r="P121" s="91">
        <v>0</v>
      </c>
      <c r="Q121" s="104"/>
      <c r="R121" s="104"/>
      <c r="S121" s="18">
        <v>41858</v>
      </c>
      <c r="T121" s="91">
        <v>1.7283762099999999E-2</v>
      </c>
      <c r="V121"/>
    </row>
    <row r="122" spans="2:22">
      <c r="B122" s="85">
        <v>41851</v>
      </c>
      <c r="C122" s="86">
        <v>0.45832464029999997</v>
      </c>
      <c r="D122" s="86">
        <f>VLOOKUP(CurrentMtgRatesDataTable825[[#This Row],[asofdate]],I:J,2,0)</f>
        <v>0.42743833689999999</v>
      </c>
      <c r="E122" s="86">
        <f>VLOOKUP(CurrentMtgRatesDataTable825[[#This Row],[asofdate]],O:P,2,0)</f>
        <v>0</v>
      </c>
      <c r="F122" s="87">
        <f ca="1">VLOOKUP(CurrentMtgRatesDataTable825[[#This Row],[asofdate]]+1,Bloomberg!B:C,2,0)</f>
        <v>1373.9</v>
      </c>
      <c r="I122" s="18">
        <v>41851</v>
      </c>
      <c r="J122" s="91">
        <v>0.42743833689999999</v>
      </c>
      <c r="K122" s="91">
        <f>VLOOKUP(CurrentMtgRatesDataTable82527141518[[#This Row],[asofdate]],O:P,2,0)</f>
        <v>0</v>
      </c>
      <c r="L122" s="91">
        <f>VLOOKUP(CurrentMtgRatesDataTable82527141518[[#This Row],[asofdate]],S:T,2,0)</f>
        <v>2.30179571E-2</v>
      </c>
      <c r="M122" s="6">
        <f ca="1">VLOOKUP(CurrentMtgRatesDataTable82527141518[[#This Row],[asofdate]]+1,Bloomberg!B:C,2,0)</f>
        <v>1373.9</v>
      </c>
      <c r="N122" s="6"/>
      <c r="O122" s="18">
        <v>41844</v>
      </c>
      <c r="P122" s="91">
        <v>0</v>
      </c>
      <c r="Q122" s="104"/>
      <c r="R122" s="104"/>
      <c r="S122" s="18">
        <v>41851</v>
      </c>
      <c r="T122" s="91">
        <v>2.30179571E-2</v>
      </c>
      <c r="V122"/>
    </row>
    <row r="123" spans="2:22">
      <c r="B123" s="85">
        <v>41844</v>
      </c>
      <c r="C123" s="86">
        <v>0.45300038799999998</v>
      </c>
      <c r="D123" s="86">
        <f>VLOOKUP(CurrentMtgRatesDataTable825[[#This Row],[asofdate]],I:J,2,0)</f>
        <v>0.42661541759999999</v>
      </c>
      <c r="E123" s="86">
        <f>VLOOKUP(CurrentMtgRatesDataTable825[[#This Row],[asofdate]],O:P,2,0)</f>
        <v>0</v>
      </c>
      <c r="F123" s="87">
        <f ca="1">VLOOKUP(CurrentMtgRatesDataTable825[[#This Row],[asofdate]]+1,Bloomberg!B:C,2,0)</f>
        <v>1327.5</v>
      </c>
      <c r="I123" s="18">
        <v>41844</v>
      </c>
      <c r="J123" s="91">
        <v>0.42661541759999999</v>
      </c>
      <c r="K123" s="91">
        <f>VLOOKUP(CurrentMtgRatesDataTable82527141518[[#This Row],[asofdate]],O:P,2,0)</f>
        <v>0</v>
      </c>
      <c r="L123" s="91">
        <f>VLOOKUP(CurrentMtgRatesDataTable82527141518[[#This Row],[asofdate]],S:T,2,0)</f>
        <v>2.2488169999999998E-2</v>
      </c>
      <c r="M123" s="6">
        <f ca="1">VLOOKUP(CurrentMtgRatesDataTable82527141518[[#This Row],[asofdate]]+1,Bloomberg!B:C,2,0)</f>
        <v>1327.5</v>
      </c>
      <c r="N123" s="6"/>
      <c r="O123" s="18">
        <v>41837</v>
      </c>
      <c r="P123" s="91">
        <v>0</v>
      </c>
      <c r="Q123" s="104"/>
      <c r="R123" s="104"/>
      <c r="S123" s="18">
        <v>41844</v>
      </c>
      <c r="T123" s="91">
        <v>2.2488169999999998E-2</v>
      </c>
      <c r="V123"/>
    </row>
    <row r="124" spans="2:22">
      <c r="B124" s="85">
        <v>41837</v>
      </c>
      <c r="C124" s="86">
        <v>0.45300038799999998</v>
      </c>
      <c r="D124" s="86">
        <f>VLOOKUP(CurrentMtgRatesDataTable825[[#This Row],[asofdate]],I:J,2,0)</f>
        <v>0.42661541759999999</v>
      </c>
      <c r="E124" s="86">
        <f>VLOOKUP(CurrentMtgRatesDataTable825[[#This Row],[asofdate]],O:P,2,0)</f>
        <v>0</v>
      </c>
      <c r="F124" s="87">
        <f ca="1">VLOOKUP(CurrentMtgRatesDataTable825[[#This Row],[asofdate]]+1,Bloomberg!B:C,2,0)</f>
        <v>1400.7</v>
      </c>
      <c r="I124" s="18">
        <v>41837</v>
      </c>
      <c r="J124" s="91">
        <v>0.42661541759999999</v>
      </c>
      <c r="K124" s="91">
        <f>VLOOKUP(CurrentMtgRatesDataTable82527141518[[#This Row],[asofdate]],O:P,2,0)</f>
        <v>0</v>
      </c>
      <c r="L124" s="91">
        <f>VLOOKUP(CurrentMtgRatesDataTable82527141518[[#This Row],[asofdate]],S:T,2,0)</f>
        <v>2.2488169999999998E-2</v>
      </c>
      <c r="M124" s="6">
        <f ca="1">VLOOKUP(CurrentMtgRatesDataTable82527141518[[#This Row],[asofdate]]+1,Bloomberg!B:C,2,0)</f>
        <v>1400.7</v>
      </c>
      <c r="N124" s="6"/>
      <c r="O124" s="18">
        <v>41830</v>
      </c>
      <c r="P124" s="91">
        <v>0</v>
      </c>
      <c r="Q124" s="104"/>
      <c r="R124" s="104"/>
      <c r="S124" s="18">
        <v>41837</v>
      </c>
      <c r="T124" s="91">
        <v>2.2488169999999998E-2</v>
      </c>
      <c r="V124"/>
    </row>
    <row r="125" spans="2:22">
      <c r="B125" s="85">
        <v>41830</v>
      </c>
      <c r="C125" s="86">
        <v>0.43581013750000003</v>
      </c>
      <c r="D125" s="86">
        <f>VLOOKUP(CurrentMtgRatesDataTable825[[#This Row],[asofdate]],I:J,2,0)</f>
        <v>0.4059467591</v>
      </c>
      <c r="E125" s="86">
        <f>VLOOKUP(CurrentMtgRatesDataTable825[[#This Row],[asofdate]],O:P,2,0)</f>
        <v>0</v>
      </c>
      <c r="F125" s="87">
        <f ca="1">VLOOKUP(CurrentMtgRatesDataTable825[[#This Row],[asofdate]]+1,Bloomberg!B:C,2,0)</f>
        <v>1329.7</v>
      </c>
      <c r="I125" s="18">
        <v>41830</v>
      </c>
      <c r="J125" s="91">
        <v>0.4059467591</v>
      </c>
      <c r="K125" s="91">
        <f>VLOOKUP(CurrentMtgRatesDataTable82527141518[[#This Row],[asofdate]],O:P,2,0)</f>
        <v>0</v>
      </c>
      <c r="L125" s="91">
        <f>VLOOKUP(CurrentMtgRatesDataTable82527141518[[#This Row],[asofdate]],S:T,2,0)</f>
        <v>1.53662698E-2</v>
      </c>
      <c r="M125" s="6">
        <f ca="1">VLOOKUP(CurrentMtgRatesDataTable82527141518[[#This Row],[asofdate]]+1,Bloomberg!B:C,2,0)</f>
        <v>1329.7</v>
      </c>
      <c r="N125" s="6"/>
      <c r="O125" s="18">
        <v>41823</v>
      </c>
      <c r="P125" s="91">
        <v>2.9636230199999999E-2</v>
      </c>
      <c r="Q125" s="104"/>
      <c r="R125" s="104"/>
      <c r="S125" s="18">
        <v>41830</v>
      </c>
      <c r="T125" s="91">
        <v>1.53662698E-2</v>
      </c>
      <c r="V125"/>
    </row>
    <row r="126" spans="2:22">
      <c r="B126" s="85">
        <v>41823</v>
      </c>
      <c r="C126" s="86">
        <v>0.47300173340000007</v>
      </c>
      <c r="D126" s="86">
        <f>VLOOKUP(CurrentMtgRatesDataTable825[[#This Row],[asofdate]],I:J,2,0)</f>
        <v>0.44867642769999999</v>
      </c>
      <c r="E126" s="86">
        <f>VLOOKUP(CurrentMtgRatesDataTable825[[#This Row],[asofdate]],O:P,2,0)</f>
        <v>2.9636230199999999E-2</v>
      </c>
      <c r="F126" s="87">
        <f ca="1">VLOOKUP(CurrentMtgRatesDataTable825[[#This Row],[asofdate]]+1,Bloomberg!B:C,2,0)</f>
        <v>1346.8</v>
      </c>
      <c r="I126" s="18">
        <v>41823</v>
      </c>
      <c r="J126" s="91">
        <v>0.44867642769999999</v>
      </c>
      <c r="K126" s="91">
        <f>VLOOKUP(CurrentMtgRatesDataTable82527141518[[#This Row],[asofdate]],O:P,2,0)</f>
        <v>2.9636230199999999E-2</v>
      </c>
      <c r="L126" s="91">
        <f>VLOOKUP(CurrentMtgRatesDataTable82527141518[[#This Row],[asofdate]],S:T,2,0)</f>
        <v>3.0136103599999998E-2</v>
      </c>
      <c r="M126" s="6">
        <f ca="1">VLOOKUP(CurrentMtgRatesDataTable82527141518[[#This Row],[asofdate]]+1,Bloomberg!B:C,2,0)</f>
        <v>1346.8</v>
      </c>
      <c r="N126" s="6"/>
      <c r="O126" s="18">
        <v>41816</v>
      </c>
      <c r="P126" s="91">
        <v>0</v>
      </c>
      <c r="Q126" s="104"/>
      <c r="R126" s="104"/>
      <c r="S126" s="18">
        <v>41823</v>
      </c>
      <c r="T126" s="91">
        <v>3.0136103599999998E-2</v>
      </c>
      <c r="V126"/>
    </row>
    <row r="127" spans="2:22">
      <c r="B127" s="85">
        <v>41816</v>
      </c>
      <c r="C127" s="86">
        <v>0.46249723409999999</v>
      </c>
      <c r="D127" s="86">
        <f>VLOOKUP(CurrentMtgRatesDataTable825[[#This Row],[asofdate]],I:J,2,0)</f>
        <v>0.42867166039999999</v>
      </c>
      <c r="E127" s="86">
        <f>VLOOKUP(CurrentMtgRatesDataTable825[[#This Row],[asofdate]],O:P,2,0)</f>
        <v>0</v>
      </c>
      <c r="F127" s="87">
        <f ca="1">VLOOKUP(CurrentMtgRatesDataTable825[[#This Row],[asofdate]]+1,Bloomberg!B:C,2,0)</f>
        <v>1341.8</v>
      </c>
      <c r="I127" s="18">
        <v>41816</v>
      </c>
      <c r="J127" s="91">
        <v>0.42867166039999999</v>
      </c>
      <c r="K127" s="91">
        <f>VLOOKUP(CurrentMtgRatesDataTable82527141518[[#This Row],[asofdate]],O:P,2,0)</f>
        <v>0</v>
      </c>
      <c r="L127" s="91">
        <f>VLOOKUP(CurrentMtgRatesDataTable82527141518[[#This Row],[asofdate]],S:T,2,0)</f>
        <v>1.9671418699999998E-2</v>
      </c>
      <c r="M127" s="6">
        <f ca="1">VLOOKUP(CurrentMtgRatesDataTable82527141518[[#This Row],[asofdate]]+1,Bloomberg!B:C,2,0)</f>
        <v>1341.8</v>
      </c>
      <c r="N127" s="6"/>
      <c r="O127" s="18">
        <v>41809</v>
      </c>
      <c r="P127" s="91">
        <v>0</v>
      </c>
      <c r="Q127" s="104"/>
      <c r="R127" s="104"/>
      <c r="S127" s="18">
        <v>41816</v>
      </c>
      <c r="T127" s="91">
        <v>1.9671418699999998E-2</v>
      </c>
      <c r="V127"/>
    </row>
    <row r="128" spans="2:22">
      <c r="B128" s="85">
        <v>41809</v>
      </c>
      <c r="C128" s="86">
        <v>0.43961901780000001</v>
      </c>
      <c r="D128" s="86">
        <f>VLOOKUP(CurrentMtgRatesDataTable825[[#This Row],[asofdate]],I:J,2,0)</f>
        <v>0.40777675969999999</v>
      </c>
      <c r="E128" s="86">
        <f>VLOOKUP(CurrentMtgRatesDataTable825[[#This Row],[asofdate]],O:P,2,0)</f>
        <v>0</v>
      </c>
      <c r="F128" s="87">
        <f ca="1">VLOOKUP(CurrentMtgRatesDataTable825[[#This Row],[asofdate]]+1,Bloomberg!B:C,2,0)</f>
        <v>1333.5</v>
      </c>
      <c r="I128" s="18">
        <v>41809</v>
      </c>
      <c r="J128" s="91">
        <v>0.40777675969999999</v>
      </c>
      <c r="K128" s="91">
        <f>VLOOKUP(CurrentMtgRatesDataTable82527141518[[#This Row],[asofdate]],O:P,2,0)</f>
        <v>0</v>
      </c>
      <c r="L128" s="91">
        <f>VLOOKUP(CurrentMtgRatesDataTable82527141518[[#This Row],[asofdate]],S:T,2,0)</f>
        <v>1.32202901E-2</v>
      </c>
      <c r="M128" s="6">
        <f ca="1">VLOOKUP(CurrentMtgRatesDataTable82527141518[[#This Row],[asofdate]]+1,Bloomberg!B:C,2,0)</f>
        <v>1333.5</v>
      </c>
      <c r="N128" s="6"/>
      <c r="O128" s="18">
        <v>41802</v>
      </c>
      <c r="P128" s="91">
        <v>0</v>
      </c>
      <c r="Q128" s="104"/>
      <c r="R128" s="104"/>
      <c r="S128" s="18">
        <v>41809</v>
      </c>
      <c r="T128" s="91">
        <v>1.32202901E-2</v>
      </c>
      <c r="V128"/>
    </row>
    <row r="129" spans="2:22">
      <c r="B129" s="85">
        <v>41802</v>
      </c>
      <c r="C129" s="86">
        <v>0.4340808639</v>
      </c>
      <c r="D129" s="86">
        <f>VLOOKUP(CurrentMtgRatesDataTable825[[#This Row],[asofdate]],I:J,2,0)</f>
        <v>0.40622358260000002</v>
      </c>
      <c r="E129" s="86">
        <f>VLOOKUP(CurrentMtgRatesDataTable825[[#This Row],[asofdate]],O:P,2,0)</f>
        <v>0</v>
      </c>
      <c r="F129" s="87">
        <f ca="1">VLOOKUP(CurrentMtgRatesDataTable825[[#This Row],[asofdate]]+1,Bloomberg!B:C,2,0)</f>
        <v>1321.3</v>
      </c>
      <c r="I129" s="18">
        <v>41802</v>
      </c>
      <c r="J129" s="91">
        <v>0.40622358260000002</v>
      </c>
      <c r="K129" s="91">
        <f>VLOOKUP(CurrentMtgRatesDataTable82527141518[[#This Row],[asofdate]],O:P,2,0)</f>
        <v>0</v>
      </c>
      <c r="L129" s="91">
        <f>VLOOKUP(CurrentMtgRatesDataTable82527141518[[#This Row],[asofdate]],S:T,2,0)</f>
        <v>1.2623503499999999E-2</v>
      </c>
      <c r="M129" s="6">
        <f ca="1">VLOOKUP(CurrentMtgRatesDataTable82527141518[[#This Row],[asofdate]]+1,Bloomberg!B:C,2,0)</f>
        <v>1321.3</v>
      </c>
      <c r="N129" s="6"/>
      <c r="O129" s="18">
        <v>41795</v>
      </c>
      <c r="P129" s="91">
        <v>1.9336270799999999E-2</v>
      </c>
      <c r="Q129" s="104"/>
      <c r="R129" s="104"/>
      <c r="S129" s="18">
        <v>41802</v>
      </c>
      <c r="T129" s="91">
        <v>1.2623503499999999E-2</v>
      </c>
      <c r="V129"/>
    </row>
    <row r="130" spans="2:22">
      <c r="B130" s="85">
        <v>41795</v>
      </c>
      <c r="C130" s="86">
        <v>0.46249723409999999</v>
      </c>
      <c r="D130" s="86">
        <f>VLOOKUP(CurrentMtgRatesDataTable825[[#This Row],[asofdate]],I:J,2,0)</f>
        <v>0.42867166039999999</v>
      </c>
      <c r="E130" s="86">
        <f>VLOOKUP(CurrentMtgRatesDataTable825[[#This Row],[asofdate]],O:P,2,0)</f>
        <v>1.9336270799999999E-2</v>
      </c>
      <c r="F130" s="87">
        <f ca="1">VLOOKUP(CurrentMtgRatesDataTable825[[#This Row],[asofdate]]+1,Bloomberg!B:C,2,0)</f>
        <v>1516.9</v>
      </c>
      <c r="I130" s="18">
        <v>41795</v>
      </c>
      <c r="J130" s="91">
        <v>0.42867166039999999</v>
      </c>
      <c r="K130" s="91">
        <f>VLOOKUP(CurrentMtgRatesDataTable82527141518[[#This Row],[asofdate]],O:P,2,0)</f>
        <v>1.9336270799999999E-2</v>
      </c>
      <c r="L130" s="91">
        <f>VLOOKUP(CurrentMtgRatesDataTable82527141518[[#This Row],[asofdate]],S:T,2,0)</f>
        <v>1.96890295E-2</v>
      </c>
      <c r="M130" s="6">
        <f ca="1">VLOOKUP(CurrentMtgRatesDataTable82527141518[[#This Row],[asofdate]]+1,Bloomberg!B:C,2,0)</f>
        <v>1516.9</v>
      </c>
      <c r="N130" s="6"/>
      <c r="O130" s="18">
        <v>41788</v>
      </c>
      <c r="P130" s="91">
        <v>1.5762900199999999E-2</v>
      </c>
      <c r="Q130" s="104"/>
      <c r="R130" s="104"/>
      <c r="S130" s="18">
        <v>41795</v>
      </c>
      <c r="T130" s="91">
        <v>1.96890295E-2</v>
      </c>
      <c r="V130"/>
    </row>
    <row r="131" spans="2:22">
      <c r="B131" s="85">
        <v>41788</v>
      </c>
      <c r="C131" s="86">
        <v>0.4603570615</v>
      </c>
      <c r="D131" s="86">
        <f>VLOOKUP(CurrentMtgRatesDataTable825[[#This Row],[asofdate]],I:J,2,0)</f>
        <v>0.42749998970000003</v>
      </c>
      <c r="E131" s="86">
        <f>VLOOKUP(CurrentMtgRatesDataTable825[[#This Row],[asofdate]],O:P,2,0)</f>
        <v>1.5762900199999999E-2</v>
      </c>
      <c r="F131" s="87">
        <f ca="1">VLOOKUP(CurrentMtgRatesDataTable825[[#This Row],[asofdate]]+1,Bloomberg!B:C,2,0)</f>
        <v>1382.6</v>
      </c>
      <c r="I131" s="18">
        <v>41788</v>
      </c>
      <c r="J131" s="91">
        <v>0.42749998970000003</v>
      </c>
      <c r="K131" s="91">
        <f>VLOOKUP(CurrentMtgRatesDataTable82527141518[[#This Row],[asofdate]],O:P,2,0)</f>
        <v>1.5762900199999999E-2</v>
      </c>
      <c r="L131" s="91">
        <f>VLOOKUP(CurrentMtgRatesDataTable82527141518[[#This Row],[asofdate]],S:T,2,0)</f>
        <v>1.60394271E-2</v>
      </c>
      <c r="M131" s="6">
        <f ca="1">VLOOKUP(CurrentMtgRatesDataTable82527141518[[#This Row],[asofdate]]+1,Bloomberg!B:C,2,0)</f>
        <v>1382.6</v>
      </c>
      <c r="N131" s="6"/>
      <c r="O131" s="18">
        <v>41781</v>
      </c>
      <c r="P131" s="91">
        <v>1.17439009E-2</v>
      </c>
      <c r="Q131" s="104"/>
      <c r="R131" s="104"/>
      <c r="S131" s="18">
        <v>41788</v>
      </c>
      <c r="T131" s="91">
        <v>1.60394271E-2</v>
      </c>
      <c r="V131"/>
    </row>
    <row r="132" spans="2:22">
      <c r="B132" s="85">
        <v>41781</v>
      </c>
      <c r="C132" s="86">
        <v>0.45250652359999999</v>
      </c>
      <c r="D132" s="86">
        <f>VLOOKUP(CurrentMtgRatesDataTable825[[#This Row],[asofdate]],I:J,2,0)</f>
        <v>0.42656838860000001</v>
      </c>
      <c r="E132" s="86">
        <f>VLOOKUP(CurrentMtgRatesDataTable825[[#This Row],[asofdate]],O:P,2,0)</f>
        <v>1.17439009E-2</v>
      </c>
      <c r="F132" s="87">
        <f ca="1">VLOOKUP(CurrentMtgRatesDataTable825[[#This Row],[asofdate]]+1,Bloomberg!B:C,2,0)</f>
        <v>1453.4</v>
      </c>
      <c r="I132" s="18">
        <v>41781</v>
      </c>
      <c r="J132" s="91">
        <v>0.42656838860000001</v>
      </c>
      <c r="K132" s="91">
        <f>VLOOKUP(CurrentMtgRatesDataTable82527141518[[#This Row],[asofdate]],O:P,2,0)</f>
        <v>1.17439009E-2</v>
      </c>
      <c r="L132" s="91">
        <f>VLOOKUP(CurrentMtgRatesDataTable82527141518[[#This Row],[asofdate]],S:T,2,0)</f>
        <v>1.5686025700000002E-2</v>
      </c>
      <c r="M132" s="6">
        <f ca="1">VLOOKUP(CurrentMtgRatesDataTable82527141518[[#This Row],[asofdate]]+1,Bloomberg!B:C,2,0)</f>
        <v>1453.4</v>
      </c>
      <c r="N132" s="6"/>
      <c r="O132" s="18">
        <v>41774</v>
      </c>
      <c r="P132" s="91">
        <v>7.9300269999999992E-3</v>
      </c>
      <c r="Q132" s="104"/>
      <c r="R132" s="104"/>
      <c r="S132" s="18">
        <v>41781</v>
      </c>
      <c r="T132" s="91">
        <v>1.5686025700000002E-2</v>
      </c>
      <c r="V132"/>
    </row>
    <row r="133" spans="2:22">
      <c r="B133" s="85">
        <v>41774</v>
      </c>
      <c r="C133" s="86">
        <v>0.4365815019</v>
      </c>
      <c r="D133" s="86">
        <f>VLOOKUP(CurrentMtgRatesDataTable825[[#This Row],[asofdate]],I:J,2,0)</f>
        <v>0.40649016360000001</v>
      </c>
      <c r="E133" s="86">
        <f>VLOOKUP(CurrentMtgRatesDataTable825[[#This Row],[asofdate]],O:P,2,0)</f>
        <v>7.9300269999999992E-3</v>
      </c>
      <c r="F133" s="87">
        <f ca="1">VLOOKUP(CurrentMtgRatesDataTable825[[#This Row],[asofdate]]+1,Bloomberg!B:C,2,0)</f>
        <v>1460.6</v>
      </c>
      <c r="I133" s="18">
        <v>41774</v>
      </c>
      <c r="J133" s="91">
        <v>0.40649016360000001</v>
      </c>
      <c r="K133" s="91">
        <f>VLOOKUP(CurrentMtgRatesDataTable82527141518[[#This Row],[asofdate]],O:P,2,0)</f>
        <v>7.9300269999999992E-3</v>
      </c>
      <c r="L133" s="91">
        <f>VLOOKUP(CurrentMtgRatesDataTable82527141518[[#This Row],[asofdate]],S:T,2,0)</f>
        <v>1.05214531E-2</v>
      </c>
      <c r="M133" s="6">
        <f ca="1">VLOOKUP(CurrentMtgRatesDataTable82527141518[[#This Row],[asofdate]]+1,Bloomberg!B:C,2,0)</f>
        <v>1460.6</v>
      </c>
      <c r="N133" s="6"/>
      <c r="O133" s="18">
        <v>41767</v>
      </c>
      <c r="P133" s="91">
        <v>5.7357874999999997E-3</v>
      </c>
      <c r="Q133" s="104"/>
      <c r="R133" s="104"/>
      <c r="S133" s="18">
        <v>41774</v>
      </c>
      <c r="T133" s="91">
        <v>1.05214531E-2</v>
      </c>
      <c r="V133"/>
    </row>
    <row r="134" spans="2:22">
      <c r="B134" s="85">
        <v>41767</v>
      </c>
      <c r="C134" s="86">
        <v>0.4351546436</v>
      </c>
      <c r="D134" s="86">
        <f>VLOOKUP(CurrentMtgRatesDataTable825[[#This Row],[asofdate]],I:J,2,0)</f>
        <v>0.40578681059999999</v>
      </c>
      <c r="E134" s="86">
        <f>VLOOKUP(CurrentMtgRatesDataTable825[[#This Row],[asofdate]],O:P,2,0)</f>
        <v>5.7357874999999997E-3</v>
      </c>
      <c r="F134" s="87">
        <f ca="1">VLOOKUP(CurrentMtgRatesDataTable825[[#This Row],[asofdate]]+1,Bloomberg!B:C,2,0)</f>
        <v>1400.9</v>
      </c>
      <c r="I134" s="18">
        <v>41767</v>
      </c>
      <c r="J134" s="91">
        <v>0.40578681059999999</v>
      </c>
      <c r="K134" s="91">
        <f>VLOOKUP(CurrentMtgRatesDataTable82527141518[[#This Row],[asofdate]],O:P,2,0)</f>
        <v>5.7357874999999997E-3</v>
      </c>
      <c r="L134" s="91">
        <f>VLOOKUP(CurrentMtgRatesDataTable82527141518[[#This Row],[asofdate]],S:T,2,0)</f>
        <v>1.0483459699999999E-2</v>
      </c>
      <c r="M134" s="6">
        <f ca="1">VLOOKUP(CurrentMtgRatesDataTable82527141518[[#This Row],[asofdate]]+1,Bloomberg!B:C,2,0)</f>
        <v>1400.9</v>
      </c>
      <c r="N134" s="6"/>
      <c r="O134" s="18">
        <v>41760</v>
      </c>
      <c r="P134" s="91">
        <v>0</v>
      </c>
      <c r="Q134" s="104"/>
      <c r="R134" s="104"/>
      <c r="S134" s="18">
        <v>41767</v>
      </c>
      <c r="T134" s="91">
        <v>1.0483459699999999E-2</v>
      </c>
      <c r="V134"/>
    </row>
    <row r="135" spans="2:22">
      <c r="B135" s="85">
        <v>41760</v>
      </c>
      <c r="C135" s="86">
        <v>0.41818183310000001</v>
      </c>
      <c r="D135" s="86">
        <f>VLOOKUP(CurrentMtgRatesDataTable825[[#This Row],[asofdate]],I:J,2,0)</f>
        <v>0.36400559960000001</v>
      </c>
      <c r="E135" s="86">
        <f>VLOOKUP(CurrentMtgRatesDataTable825[[#This Row],[asofdate]],O:P,2,0)</f>
        <v>0</v>
      </c>
      <c r="F135" s="87">
        <f ca="1">VLOOKUP(CurrentMtgRatesDataTable825[[#This Row],[asofdate]]+1,Bloomberg!B:C,2,0)</f>
        <v>1323.9</v>
      </c>
      <c r="I135" s="18">
        <v>41760</v>
      </c>
      <c r="J135" s="91">
        <v>0.36400559960000001</v>
      </c>
      <c r="K135" s="91">
        <f>VLOOKUP(CurrentMtgRatesDataTable82527141518[[#This Row],[asofdate]],O:P,2,0)</f>
        <v>0</v>
      </c>
      <c r="L135" s="91">
        <f>VLOOKUP(CurrentMtgRatesDataTable82527141518[[#This Row],[asofdate]],S:T,2,0)</f>
        <v>4.4909529000000002E-3</v>
      </c>
      <c r="M135" s="6">
        <f ca="1">VLOOKUP(CurrentMtgRatesDataTable82527141518[[#This Row],[asofdate]]+1,Bloomberg!B:C,2,0)</f>
        <v>1323.9</v>
      </c>
      <c r="N135" s="6"/>
      <c r="O135" s="18">
        <v>41753</v>
      </c>
      <c r="P135" s="91">
        <v>0</v>
      </c>
      <c r="Q135" s="104"/>
      <c r="R135" s="104"/>
      <c r="S135" s="18">
        <v>41760</v>
      </c>
      <c r="T135" s="91">
        <v>4.4909529000000002E-3</v>
      </c>
      <c r="V135"/>
    </row>
    <row r="136" spans="2:22">
      <c r="B136" s="85">
        <v>41753</v>
      </c>
      <c r="C136" s="86">
        <v>0.41633136129999998</v>
      </c>
      <c r="D136" s="86">
        <f>VLOOKUP(CurrentMtgRatesDataTable825[[#This Row],[asofdate]],I:J,2,0)</f>
        <v>0.36234091489999998</v>
      </c>
      <c r="E136" s="86">
        <f>VLOOKUP(CurrentMtgRatesDataTable825[[#This Row],[asofdate]],O:P,2,0)</f>
        <v>0</v>
      </c>
      <c r="F136" s="87">
        <f ca="1">VLOOKUP(CurrentMtgRatesDataTable825[[#This Row],[asofdate]]+1,Bloomberg!B:C,2,0)</f>
        <v>1298.0999999999999</v>
      </c>
      <c r="I136" s="18">
        <v>41753</v>
      </c>
      <c r="J136" s="91">
        <v>0.36234091489999998</v>
      </c>
      <c r="K136" s="91">
        <f>VLOOKUP(CurrentMtgRatesDataTable82527141518[[#This Row],[asofdate]],O:P,2,0)</f>
        <v>0</v>
      </c>
      <c r="L136" s="91">
        <f>VLOOKUP(CurrentMtgRatesDataTable82527141518[[#This Row],[asofdate]],S:T,2,0)</f>
        <v>2.7504809999999999E-3</v>
      </c>
      <c r="M136" s="6">
        <f ca="1">VLOOKUP(CurrentMtgRatesDataTable82527141518[[#This Row],[asofdate]]+1,Bloomberg!B:C,2,0)</f>
        <v>1298.0999999999999</v>
      </c>
      <c r="N136" s="6"/>
      <c r="O136" s="18">
        <v>41746</v>
      </c>
      <c r="P136" s="91">
        <v>3.8373790000000002E-4</v>
      </c>
      <c r="Q136" s="104"/>
      <c r="R136" s="104"/>
      <c r="S136" s="18">
        <v>41753</v>
      </c>
      <c r="T136" s="91">
        <v>2.7504809999999999E-3</v>
      </c>
      <c r="V136"/>
    </row>
    <row r="137" spans="2:22">
      <c r="B137" s="85">
        <v>41746</v>
      </c>
      <c r="C137" s="86">
        <v>0.42192053759999998</v>
      </c>
      <c r="D137" s="86">
        <f>VLOOKUP(CurrentMtgRatesDataTable825[[#This Row],[asofdate]],I:J,2,0)</f>
        <v>0.36364135050000002</v>
      </c>
      <c r="E137" s="86">
        <f>VLOOKUP(CurrentMtgRatesDataTable825[[#This Row],[asofdate]],O:P,2,0)</f>
        <v>3.8373790000000002E-4</v>
      </c>
      <c r="F137" s="87">
        <f ca="1">VLOOKUP(CurrentMtgRatesDataTable825[[#This Row],[asofdate]]+1,Bloomberg!B:C,2,0)</f>
        <v>1370.9</v>
      </c>
      <c r="I137" s="18">
        <v>41746</v>
      </c>
      <c r="J137" s="91">
        <v>0.36364135050000002</v>
      </c>
      <c r="K137" s="91">
        <f>VLOOKUP(CurrentMtgRatesDataTable82527141518[[#This Row],[asofdate]],O:P,2,0)</f>
        <v>3.8373790000000002E-4</v>
      </c>
      <c r="L137" s="91">
        <f>VLOOKUP(CurrentMtgRatesDataTable82527141518[[#This Row],[asofdate]],S:T,2,0)</f>
        <v>4.0369202999999999E-3</v>
      </c>
      <c r="M137" s="6">
        <f ca="1">VLOOKUP(CurrentMtgRatesDataTable82527141518[[#This Row],[asofdate]]+1,Bloomberg!B:C,2,0)</f>
        <v>1370.9</v>
      </c>
      <c r="N137" s="6"/>
      <c r="O137" s="18">
        <v>41739</v>
      </c>
      <c r="P137" s="91">
        <v>1.23647E-5</v>
      </c>
      <c r="Q137" s="104"/>
      <c r="R137" s="104"/>
      <c r="S137" s="18">
        <v>41746</v>
      </c>
      <c r="T137" s="91">
        <v>4.0369202999999999E-3</v>
      </c>
      <c r="V137"/>
    </row>
    <row r="138" spans="2:22">
      <c r="B138" s="85">
        <v>41739</v>
      </c>
      <c r="C138" s="86">
        <v>0.405089643</v>
      </c>
      <c r="D138" s="86">
        <f>VLOOKUP(CurrentMtgRatesDataTable825[[#This Row],[asofdate]],I:J,2,0)</f>
        <v>0.33916080189999998</v>
      </c>
      <c r="E138" s="86">
        <f>VLOOKUP(CurrentMtgRatesDataTable825[[#This Row],[asofdate]],O:P,2,0)</f>
        <v>1.23647E-5</v>
      </c>
      <c r="F138" s="87">
        <f ca="1">VLOOKUP(CurrentMtgRatesDataTable825[[#This Row],[asofdate]]+1,Bloomberg!B:C,2,0)</f>
        <v>1429.9</v>
      </c>
      <c r="I138" s="18">
        <v>41739</v>
      </c>
      <c r="J138" s="91">
        <v>0.33916080189999998</v>
      </c>
      <c r="K138" s="91">
        <f>VLOOKUP(CurrentMtgRatesDataTable82527141518[[#This Row],[asofdate]],O:P,2,0)</f>
        <v>1.23647E-5</v>
      </c>
      <c r="L138" s="91">
        <f>VLOOKUP(CurrentMtgRatesDataTable82527141518[[#This Row],[asofdate]],S:T,2,0)</f>
        <v>1.9011290000000001E-3</v>
      </c>
      <c r="M138" s="6">
        <f ca="1">VLOOKUP(CurrentMtgRatesDataTable82527141518[[#This Row],[asofdate]]+1,Bloomberg!B:C,2,0)</f>
        <v>1429.9</v>
      </c>
      <c r="N138" s="6"/>
      <c r="O138" s="18">
        <v>41732</v>
      </c>
      <c r="P138" s="91">
        <v>0</v>
      </c>
      <c r="Q138" s="104"/>
      <c r="R138" s="104"/>
      <c r="S138" s="18">
        <v>41739</v>
      </c>
      <c r="T138" s="91">
        <v>1.9011290000000001E-3</v>
      </c>
      <c r="V138"/>
    </row>
    <row r="139" spans="2:22">
      <c r="B139" s="85">
        <v>41732</v>
      </c>
      <c r="C139" s="86">
        <v>0.36524447539999999</v>
      </c>
      <c r="D139" s="86">
        <f>VLOOKUP(CurrentMtgRatesDataTable825[[#This Row],[asofdate]],I:J,2,0)</f>
        <v>0.31220021279999999</v>
      </c>
      <c r="E139" s="86">
        <f>VLOOKUP(CurrentMtgRatesDataTable825[[#This Row],[asofdate]],O:P,2,0)</f>
        <v>0</v>
      </c>
      <c r="F139" s="87">
        <f ca="1">VLOOKUP(CurrentMtgRatesDataTable825[[#This Row],[asofdate]]+1,Bloomberg!B:C,2,0)</f>
        <v>1324.7</v>
      </c>
      <c r="I139" s="18">
        <v>41732</v>
      </c>
      <c r="J139" s="91">
        <v>0.31220021279999999</v>
      </c>
      <c r="K139" s="91">
        <f>VLOOKUP(CurrentMtgRatesDataTable82527141518[[#This Row],[asofdate]],O:P,2,0)</f>
        <v>0</v>
      </c>
      <c r="L139" s="91">
        <f>VLOOKUP(CurrentMtgRatesDataTable82527141518[[#This Row],[asofdate]],S:T,2,0)</f>
        <v>8.6125899999999996E-4</v>
      </c>
      <c r="M139" s="6">
        <f ca="1">VLOOKUP(CurrentMtgRatesDataTable82527141518[[#This Row],[asofdate]]+1,Bloomberg!B:C,2,0)</f>
        <v>1324.7</v>
      </c>
      <c r="N139" s="6"/>
      <c r="O139" s="18">
        <v>41725</v>
      </c>
      <c r="P139" s="91">
        <v>0</v>
      </c>
      <c r="Q139" s="104"/>
      <c r="R139" s="104"/>
      <c r="S139" s="18">
        <v>41732</v>
      </c>
      <c r="T139" s="91">
        <v>8.6125899999999996E-4</v>
      </c>
      <c r="V139"/>
    </row>
    <row r="140" spans="2:22">
      <c r="B140" s="85">
        <v>41725</v>
      </c>
      <c r="C140" s="86">
        <v>0.39560129970000002</v>
      </c>
      <c r="D140" s="86">
        <f>VLOOKUP(CurrentMtgRatesDataTable825[[#This Row],[asofdate]],I:J,2,0)</f>
        <v>0.34336021719999998</v>
      </c>
      <c r="E140" s="86">
        <f>VLOOKUP(CurrentMtgRatesDataTable825[[#This Row],[asofdate]],O:P,2,0)</f>
        <v>0</v>
      </c>
      <c r="F140" s="87">
        <f ca="1">VLOOKUP(CurrentMtgRatesDataTable825[[#This Row],[asofdate]]+1,Bloomberg!B:C,2,0)</f>
        <v>1383.5</v>
      </c>
      <c r="I140" s="18">
        <v>41725</v>
      </c>
      <c r="J140" s="91">
        <v>0.34336021719999998</v>
      </c>
      <c r="K140" s="91">
        <f>VLOOKUP(CurrentMtgRatesDataTable82527141518[[#This Row],[asofdate]],O:P,2,0)</f>
        <v>0</v>
      </c>
      <c r="L140" s="91">
        <f>VLOOKUP(CurrentMtgRatesDataTable82527141518[[#This Row],[asofdate]],S:T,2,0)</f>
        <v>1.5209316000000001E-3</v>
      </c>
      <c r="M140" s="6">
        <f ca="1">VLOOKUP(CurrentMtgRatesDataTable82527141518[[#This Row],[asofdate]]+1,Bloomberg!B:C,2,0)</f>
        <v>1383.5</v>
      </c>
      <c r="N140" s="6"/>
      <c r="O140" s="18">
        <v>41718</v>
      </c>
      <c r="P140" s="91">
        <v>0</v>
      </c>
      <c r="Q140" s="104"/>
      <c r="R140" s="104"/>
      <c r="S140" s="18">
        <v>41725</v>
      </c>
      <c r="T140" s="91">
        <v>1.5209316000000001E-3</v>
      </c>
      <c r="V140"/>
    </row>
    <row r="141" spans="2:22">
      <c r="B141" s="85">
        <v>41718</v>
      </c>
      <c r="C141" s="86">
        <v>0.42429527379999998</v>
      </c>
      <c r="D141" s="86">
        <f>VLOOKUP(CurrentMtgRatesDataTable825[[#This Row],[asofdate]],I:J,2,0)</f>
        <v>0.36887988770000002</v>
      </c>
      <c r="E141" s="86">
        <f>VLOOKUP(CurrentMtgRatesDataTable825[[#This Row],[asofdate]],O:P,2,0)</f>
        <v>0</v>
      </c>
      <c r="F141" s="87">
        <f ca="1">VLOOKUP(CurrentMtgRatesDataTable825[[#This Row],[asofdate]]+1,Bloomberg!B:C,2,0)</f>
        <v>1426.3</v>
      </c>
      <c r="I141" s="18">
        <v>41718</v>
      </c>
      <c r="J141" s="91">
        <v>0.36887988770000002</v>
      </c>
      <c r="K141" s="91">
        <f>VLOOKUP(CurrentMtgRatesDataTable82527141518[[#This Row],[asofdate]],O:P,2,0)</f>
        <v>0</v>
      </c>
      <c r="L141" s="91">
        <f>VLOOKUP(CurrentMtgRatesDataTable82527141518[[#This Row],[asofdate]],S:T,2,0)</f>
        <v>3.1422589000000001E-3</v>
      </c>
      <c r="M141" s="6">
        <f ca="1">VLOOKUP(CurrentMtgRatesDataTable82527141518[[#This Row],[asofdate]]+1,Bloomberg!B:C,2,0)</f>
        <v>1426.3</v>
      </c>
      <c r="N141" s="6"/>
      <c r="O141" s="18">
        <v>41711</v>
      </c>
      <c r="P141" s="91">
        <v>0</v>
      </c>
      <c r="Q141" s="104"/>
      <c r="R141" s="104"/>
      <c r="S141" s="18">
        <v>41718</v>
      </c>
      <c r="T141" s="91">
        <v>3.1422589000000001E-3</v>
      </c>
      <c r="V141"/>
    </row>
    <row r="142" spans="2:22">
      <c r="B142" s="85">
        <v>41711</v>
      </c>
      <c r="C142" s="86">
        <v>0.4093796113</v>
      </c>
      <c r="D142" s="86">
        <f>VLOOKUP(CurrentMtgRatesDataTable825[[#This Row],[asofdate]],I:J,2,0)</f>
        <v>0.34496826310000001</v>
      </c>
      <c r="E142" s="86">
        <f>VLOOKUP(CurrentMtgRatesDataTable825[[#This Row],[asofdate]],O:P,2,0)</f>
        <v>0</v>
      </c>
      <c r="F142" s="87">
        <f ca="1">VLOOKUP(CurrentMtgRatesDataTable825[[#This Row],[asofdate]]+1,Bloomberg!B:C,2,0)</f>
        <v>1552.1</v>
      </c>
      <c r="I142" s="18">
        <v>41711</v>
      </c>
      <c r="J142" s="91">
        <v>0.34496826310000001</v>
      </c>
      <c r="K142" s="91">
        <f>VLOOKUP(CurrentMtgRatesDataTable82527141518[[#This Row],[asofdate]],O:P,2,0)</f>
        <v>0</v>
      </c>
      <c r="L142" s="91">
        <f>VLOOKUP(CurrentMtgRatesDataTable82527141518[[#This Row],[asofdate]],S:T,2,0)</f>
        <v>1.5497656E-3</v>
      </c>
      <c r="M142" s="6">
        <f ca="1">VLOOKUP(CurrentMtgRatesDataTable82527141518[[#This Row],[asofdate]]+1,Bloomberg!B:C,2,0)</f>
        <v>1552.1</v>
      </c>
      <c r="N142" s="6"/>
      <c r="O142" s="18">
        <v>41704</v>
      </c>
      <c r="P142" s="91">
        <v>0</v>
      </c>
      <c r="Q142" s="104"/>
      <c r="R142" s="104"/>
      <c r="S142" s="18">
        <v>41711</v>
      </c>
      <c r="T142" s="91">
        <v>1.5497656E-3</v>
      </c>
      <c r="V142"/>
    </row>
    <row r="143" spans="2:22">
      <c r="B143" s="85">
        <v>41704</v>
      </c>
      <c r="C143" s="86">
        <v>0.42657243919999999</v>
      </c>
      <c r="D143" s="86">
        <f>VLOOKUP(CurrentMtgRatesDataTable825[[#This Row],[asofdate]],I:J,2,0)</f>
        <v>0.36942482259999998</v>
      </c>
      <c r="E143" s="86">
        <f>VLOOKUP(CurrentMtgRatesDataTable825[[#This Row],[asofdate]],O:P,2,0)</f>
        <v>0</v>
      </c>
      <c r="F143" s="87">
        <f ca="1">VLOOKUP(CurrentMtgRatesDataTable825[[#This Row],[asofdate]]+1,Bloomberg!B:C,2,0)</f>
        <v>1528</v>
      </c>
      <c r="I143" s="18">
        <v>41704</v>
      </c>
      <c r="J143" s="91">
        <v>0.36942482259999998</v>
      </c>
      <c r="K143" s="91">
        <f>VLOOKUP(CurrentMtgRatesDataTable82527141518[[#This Row],[asofdate]],O:P,2,0)</f>
        <v>0</v>
      </c>
      <c r="L143" s="91">
        <f>VLOOKUP(CurrentMtgRatesDataTable82527141518[[#This Row],[asofdate]],S:T,2,0)</f>
        <v>3.1871104000000001E-3</v>
      </c>
      <c r="M143" s="6">
        <f ca="1">VLOOKUP(CurrentMtgRatesDataTable82527141518[[#This Row],[asofdate]]+1,Bloomberg!B:C,2,0)</f>
        <v>1528</v>
      </c>
      <c r="N143" s="6"/>
      <c r="O143" s="18">
        <v>41697</v>
      </c>
      <c r="P143" s="91">
        <v>0</v>
      </c>
      <c r="Q143" s="104"/>
      <c r="R143" s="104"/>
      <c r="S143" s="18">
        <v>41704</v>
      </c>
      <c r="T143" s="91">
        <v>3.1871104000000001E-3</v>
      </c>
      <c r="V143"/>
    </row>
    <row r="144" spans="2:22">
      <c r="B144" s="85">
        <v>41697</v>
      </c>
      <c r="C144" s="86">
        <v>0.40589301350000001</v>
      </c>
      <c r="D144" s="86">
        <f>VLOOKUP(CurrentMtgRatesDataTable825[[#This Row],[asofdate]],I:J,2,0)</f>
        <v>0.35133351429999998</v>
      </c>
      <c r="E144" s="86">
        <f>VLOOKUP(CurrentMtgRatesDataTable825[[#This Row],[asofdate]],O:P,2,0)</f>
        <v>0</v>
      </c>
      <c r="F144" s="87">
        <f ca="1">VLOOKUP(CurrentMtgRatesDataTable825[[#This Row],[asofdate]]+1,Bloomberg!B:C,2,0)</f>
        <v>1600.6</v>
      </c>
      <c r="I144" s="18">
        <v>41697</v>
      </c>
      <c r="J144" s="91">
        <v>0.35133351429999998</v>
      </c>
      <c r="K144" s="91">
        <f>VLOOKUP(CurrentMtgRatesDataTable82527141518[[#This Row],[asofdate]],O:P,2,0)</f>
        <v>0</v>
      </c>
      <c r="L144" s="91">
        <f>VLOOKUP(CurrentMtgRatesDataTable82527141518[[#This Row],[asofdate]],S:T,2,0)</f>
        <v>1.2179790999999999E-3</v>
      </c>
      <c r="M144" s="6">
        <f ca="1">VLOOKUP(CurrentMtgRatesDataTable82527141518[[#This Row],[asofdate]]+1,Bloomberg!B:C,2,0)</f>
        <v>1600.6</v>
      </c>
      <c r="N144" s="6"/>
      <c r="O144" s="18">
        <v>41690</v>
      </c>
      <c r="P144" s="91">
        <v>0</v>
      </c>
      <c r="Q144" s="104"/>
      <c r="R144" s="104"/>
      <c r="S144" s="18">
        <v>41697</v>
      </c>
      <c r="T144" s="91">
        <v>1.2179790999999999E-3</v>
      </c>
      <c r="V144"/>
    </row>
    <row r="145" spans="2:22">
      <c r="B145" s="85">
        <v>41690</v>
      </c>
      <c r="C145" s="86">
        <v>0.42341179159999998</v>
      </c>
      <c r="D145" s="86">
        <f>VLOOKUP(CurrentMtgRatesDataTable825[[#This Row],[asofdate]],I:J,2,0)</f>
        <v>0.35336059069999998</v>
      </c>
      <c r="E145" s="86">
        <f>VLOOKUP(CurrentMtgRatesDataTable825[[#This Row],[asofdate]],O:P,2,0)</f>
        <v>0</v>
      </c>
      <c r="F145" s="87">
        <f ca="1">VLOOKUP(CurrentMtgRatesDataTable825[[#This Row],[asofdate]]+1,Bloomberg!B:C,2,0)</f>
        <v>1442.3</v>
      </c>
      <c r="I145" s="18">
        <v>41690</v>
      </c>
      <c r="J145" s="91">
        <v>0.35336059069999998</v>
      </c>
      <c r="K145" s="91">
        <f>VLOOKUP(CurrentMtgRatesDataTable82527141518[[#This Row],[asofdate]],O:P,2,0)</f>
        <v>0</v>
      </c>
      <c r="L145" s="91">
        <f>VLOOKUP(CurrentMtgRatesDataTable82527141518[[#This Row],[asofdate]],S:T,2,0)</f>
        <v>1.7492553E-3</v>
      </c>
      <c r="M145" s="6">
        <f ca="1">VLOOKUP(CurrentMtgRatesDataTable82527141518[[#This Row],[asofdate]]+1,Bloomberg!B:C,2,0)</f>
        <v>1442.3</v>
      </c>
      <c r="N145" s="6"/>
      <c r="O145" s="18">
        <v>41683</v>
      </c>
      <c r="P145" s="91">
        <v>0</v>
      </c>
      <c r="Q145" s="104"/>
      <c r="R145" s="104"/>
      <c r="S145" s="18">
        <v>41690</v>
      </c>
      <c r="T145" s="91">
        <v>1.7492553E-3</v>
      </c>
      <c r="V145"/>
    </row>
    <row r="146" spans="2:22">
      <c r="B146" s="85">
        <v>41683</v>
      </c>
      <c r="C146" s="86">
        <v>0.43449214590000002</v>
      </c>
      <c r="D146" s="86">
        <f>VLOOKUP(CurrentMtgRatesDataTable825[[#This Row],[asofdate]],I:J,2,0)</f>
        <v>0.37664429049999998</v>
      </c>
      <c r="E146" s="86">
        <f>VLOOKUP(CurrentMtgRatesDataTable825[[#This Row],[asofdate]],O:P,2,0)</f>
        <v>0</v>
      </c>
      <c r="F146" s="87">
        <f ca="1">VLOOKUP(CurrentMtgRatesDataTable825[[#This Row],[asofdate]]+1,Bloomberg!B:C,2,0)</f>
        <v>1650.6</v>
      </c>
      <c r="I146" s="18">
        <v>41683</v>
      </c>
      <c r="J146" s="91">
        <v>0.37664429049999998</v>
      </c>
      <c r="K146" s="91">
        <f>VLOOKUP(CurrentMtgRatesDataTable82527141518[[#This Row],[asofdate]],O:P,2,0)</f>
        <v>0</v>
      </c>
      <c r="L146" s="91">
        <f>VLOOKUP(CurrentMtgRatesDataTable82527141518[[#This Row],[asofdate]],S:T,2,0)</f>
        <v>2.7459873999999998E-3</v>
      </c>
      <c r="M146" s="6">
        <f ca="1">VLOOKUP(CurrentMtgRatesDataTable82527141518[[#This Row],[asofdate]]+1,Bloomberg!B:C,2,0)</f>
        <v>1650.6</v>
      </c>
      <c r="N146" s="6"/>
      <c r="O146" s="18">
        <v>41676</v>
      </c>
      <c r="P146" s="91">
        <v>1.4348052E-3</v>
      </c>
      <c r="Q146" s="104"/>
      <c r="R146" s="104"/>
      <c r="S146" s="18">
        <v>41683</v>
      </c>
      <c r="T146" s="91">
        <v>2.7459873999999998E-3</v>
      </c>
      <c r="V146"/>
    </row>
    <row r="147" spans="2:22">
      <c r="B147" s="85">
        <v>41676</v>
      </c>
      <c r="C147" s="86">
        <v>0.44358880369999998</v>
      </c>
      <c r="D147" s="86">
        <f>VLOOKUP(CurrentMtgRatesDataTable825[[#This Row],[asofdate]],I:J,2,0)</f>
        <v>0.40240560060000002</v>
      </c>
      <c r="E147" s="86">
        <f>VLOOKUP(CurrentMtgRatesDataTable825[[#This Row],[asofdate]],O:P,2,0)</f>
        <v>1.4348052E-3</v>
      </c>
      <c r="F147" s="87">
        <f ca="1">VLOOKUP(CurrentMtgRatesDataTable825[[#This Row],[asofdate]]+1,Bloomberg!B:C,2,0)</f>
        <v>1674.2</v>
      </c>
      <c r="I147" s="18">
        <v>41676</v>
      </c>
      <c r="J147" s="91">
        <v>0.40240560060000002</v>
      </c>
      <c r="K147" s="91">
        <f>VLOOKUP(CurrentMtgRatesDataTable82527141518[[#This Row],[asofdate]],O:P,2,0)</f>
        <v>1.4348052E-3</v>
      </c>
      <c r="L147" s="91">
        <f>VLOOKUP(CurrentMtgRatesDataTable82527141518[[#This Row],[asofdate]],S:T,2,0)</f>
        <v>4.1986916999999999E-3</v>
      </c>
      <c r="M147" s="6">
        <f ca="1">VLOOKUP(CurrentMtgRatesDataTable82527141518[[#This Row],[asofdate]]+1,Bloomberg!B:C,2,0)</f>
        <v>1674.2</v>
      </c>
      <c r="N147" s="6"/>
      <c r="O147" s="18">
        <v>41669</v>
      </c>
      <c r="P147" s="91">
        <v>5.7224559999999997E-4</v>
      </c>
      <c r="Q147" s="104"/>
      <c r="R147" s="104"/>
      <c r="S147" s="18">
        <v>41676</v>
      </c>
      <c r="T147" s="91">
        <v>4.1986916999999999E-3</v>
      </c>
      <c r="V147"/>
    </row>
    <row r="148" spans="2:22">
      <c r="B148" s="85">
        <v>41669</v>
      </c>
      <c r="C148" s="86">
        <v>0.43663152700000002</v>
      </c>
      <c r="D148" s="86">
        <f>VLOOKUP(CurrentMtgRatesDataTable825[[#This Row],[asofdate]],I:J,2,0)</f>
        <v>0.38332880260000002</v>
      </c>
      <c r="E148" s="86">
        <f>VLOOKUP(CurrentMtgRatesDataTable825[[#This Row],[asofdate]],O:P,2,0)</f>
        <v>5.7224559999999997E-4</v>
      </c>
      <c r="F148" s="87">
        <f ca="1">VLOOKUP(CurrentMtgRatesDataTable825[[#This Row],[asofdate]]+1,Bloomberg!B:C,2,0)</f>
        <v>1667.5</v>
      </c>
      <c r="I148" s="18">
        <v>41669</v>
      </c>
      <c r="J148" s="91">
        <v>0.38332880260000002</v>
      </c>
      <c r="K148" s="91">
        <f>VLOOKUP(CurrentMtgRatesDataTable82527141518[[#This Row],[asofdate]],O:P,2,0)</f>
        <v>5.7224559999999997E-4</v>
      </c>
      <c r="L148" s="91">
        <f>VLOOKUP(CurrentMtgRatesDataTable82527141518[[#This Row],[asofdate]],S:T,2,0)</f>
        <v>2.1653044E-3</v>
      </c>
      <c r="M148" s="6">
        <f ca="1">VLOOKUP(CurrentMtgRatesDataTable82527141518[[#This Row],[asofdate]]+1,Bloomberg!B:C,2,0)</f>
        <v>1667.5</v>
      </c>
      <c r="N148" s="6"/>
      <c r="O148" s="18">
        <v>41662</v>
      </c>
      <c r="P148" s="91">
        <v>2.914956E-4</v>
      </c>
      <c r="Q148" s="104"/>
      <c r="R148" s="104"/>
      <c r="S148" s="18">
        <v>41669</v>
      </c>
      <c r="T148" s="91">
        <v>2.1653044E-3</v>
      </c>
      <c r="V148"/>
    </row>
    <row r="149" spans="2:22">
      <c r="B149" s="85">
        <v>41662</v>
      </c>
      <c r="C149" s="86">
        <v>0.40374447559999999</v>
      </c>
      <c r="D149" s="86">
        <f>VLOOKUP(CurrentMtgRatesDataTable825[[#This Row],[asofdate]],I:J,2,0)</f>
        <v>0.33320664849999998</v>
      </c>
      <c r="E149" s="86">
        <f>VLOOKUP(CurrentMtgRatesDataTable825[[#This Row],[asofdate]],O:P,2,0)</f>
        <v>2.914956E-4</v>
      </c>
      <c r="F149" s="87">
        <f ca="1">VLOOKUP(CurrentMtgRatesDataTable825[[#This Row],[asofdate]]+1,Bloomberg!B:C,2,0)</f>
        <v>1601.2</v>
      </c>
      <c r="I149" s="18">
        <v>41662</v>
      </c>
      <c r="J149" s="91">
        <v>0.33320664849999998</v>
      </c>
      <c r="K149" s="91">
        <f>VLOOKUP(CurrentMtgRatesDataTable82527141518[[#This Row],[asofdate]],O:P,2,0)</f>
        <v>2.914956E-4</v>
      </c>
      <c r="L149" s="91">
        <f>VLOOKUP(CurrentMtgRatesDataTable82527141518[[#This Row],[asofdate]],S:T,2,0)</f>
        <v>1.0005254999999999E-3</v>
      </c>
      <c r="M149" s="6">
        <f ca="1">VLOOKUP(CurrentMtgRatesDataTable82527141518[[#This Row],[asofdate]]+1,Bloomberg!B:C,2,0)</f>
        <v>1601.2</v>
      </c>
      <c r="N149" s="6"/>
      <c r="O149" s="18">
        <v>41655</v>
      </c>
      <c r="P149" s="91">
        <v>7.5507000000000004E-6</v>
      </c>
      <c r="Q149" s="104"/>
      <c r="R149" s="104"/>
      <c r="S149" s="18">
        <v>41662</v>
      </c>
      <c r="T149" s="91">
        <v>1.0005254999999999E-3</v>
      </c>
      <c r="V149"/>
    </row>
    <row r="150" spans="2:22">
      <c r="B150" s="85">
        <v>41655</v>
      </c>
      <c r="C150" s="86">
        <v>0.38746977710000002</v>
      </c>
      <c r="D150" s="86">
        <f>VLOOKUP(CurrentMtgRatesDataTable825[[#This Row],[asofdate]],I:J,2,0)</f>
        <v>0.33271002300000002</v>
      </c>
      <c r="E150" s="86">
        <f>VLOOKUP(CurrentMtgRatesDataTable825[[#This Row],[asofdate]],O:P,2,0)</f>
        <v>7.5507000000000004E-6</v>
      </c>
      <c r="F150" s="87">
        <f ca="1">VLOOKUP(CurrentMtgRatesDataTable825[[#This Row],[asofdate]]+1,Bloomberg!B:C,2,0)</f>
        <v>1675.8</v>
      </c>
      <c r="I150" s="18">
        <v>41655</v>
      </c>
      <c r="J150" s="91">
        <v>0.33271002300000002</v>
      </c>
      <c r="K150" s="91">
        <f>VLOOKUP(CurrentMtgRatesDataTable82527141518[[#This Row],[asofdate]],O:P,2,0)</f>
        <v>7.5507000000000004E-6</v>
      </c>
      <c r="L150" s="91">
        <f>VLOOKUP(CurrentMtgRatesDataTable82527141518[[#This Row],[asofdate]],S:T,2,0)</f>
        <v>9.4387099999999999E-4</v>
      </c>
      <c r="M150" s="6">
        <f ca="1">VLOOKUP(CurrentMtgRatesDataTable82527141518[[#This Row],[asofdate]]+1,Bloomberg!B:C,2,0)</f>
        <v>1675.8</v>
      </c>
      <c r="N150" s="6"/>
      <c r="O150" s="18">
        <v>41648</v>
      </c>
      <c r="P150" s="91">
        <v>4.5013999999999998E-6</v>
      </c>
      <c r="Q150" s="104"/>
      <c r="R150" s="104"/>
      <c r="S150" s="18">
        <v>41655</v>
      </c>
      <c r="T150" s="91">
        <v>9.4387099999999999E-4</v>
      </c>
      <c r="V150"/>
    </row>
    <row r="151" spans="2:22">
      <c r="B151" s="85">
        <v>41648</v>
      </c>
      <c r="C151" s="86">
        <v>0.3220703956</v>
      </c>
      <c r="D151" s="86">
        <f>VLOOKUP(CurrentMtgRatesDataTable825[[#This Row],[asofdate]],I:J,2,0)</f>
        <v>0.3057643518</v>
      </c>
      <c r="E151" s="86">
        <f>VLOOKUP(CurrentMtgRatesDataTable825[[#This Row],[asofdate]],O:P,2,0)</f>
        <v>4.5013999999999998E-6</v>
      </c>
      <c r="F151" s="87">
        <f ca="1">VLOOKUP(CurrentMtgRatesDataTable825[[#This Row],[asofdate]]+1,Bloomberg!B:C,2,0)</f>
        <v>1507</v>
      </c>
      <c r="I151" s="18">
        <v>41648</v>
      </c>
      <c r="J151" s="91">
        <v>0.3057643518</v>
      </c>
      <c r="K151" s="91">
        <f>VLOOKUP(CurrentMtgRatesDataTable82527141518[[#This Row],[asofdate]],O:P,2,0)</f>
        <v>4.5013999999999998E-6</v>
      </c>
      <c r="L151" s="91">
        <f>VLOOKUP(CurrentMtgRatesDataTable82527141518[[#This Row],[asofdate]],S:T,2,0)</f>
        <v>4.2450890000000002E-4</v>
      </c>
      <c r="M151" s="6">
        <f ca="1">VLOOKUP(CurrentMtgRatesDataTable82527141518[[#This Row],[asofdate]]+1,Bloomberg!B:C,2,0)</f>
        <v>1507</v>
      </c>
      <c r="N151" s="6"/>
      <c r="O151" s="18">
        <v>41641</v>
      </c>
      <c r="P151" s="91">
        <v>0</v>
      </c>
      <c r="Q151" s="104"/>
      <c r="R151" s="104"/>
      <c r="S151" s="18">
        <v>41648</v>
      </c>
      <c r="T151" s="91">
        <v>4.2450890000000002E-4</v>
      </c>
      <c r="V151"/>
    </row>
    <row r="152" spans="2:22">
      <c r="B152" s="85">
        <v>41641</v>
      </c>
      <c r="C152" s="86">
        <v>0.30843777030000002</v>
      </c>
      <c r="D152" s="86">
        <f>VLOOKUP(CurrentMtgRatesDataTable825[[#This Row],[asofdate]],I:J,2,0)</f>
        <v>0.29098791769999999</v>
      </c>
      <c r="E152" s="86">
        <f>VLOOKUP(CurrentMtgRatesDataTable825[[#This Row],[asofdate]],O:P,2,0)</f>
        <v>0</v>
      </c>
      <c r="F152" s="87">
        <f ca="1">VLOOKUP(CurrentMtgRatesDataTable825[[#This Row],[asofdate]]+1,Bloomberg!B:C,2,0)</f>
        <v>1352.7</v>
      </c>
      <c r="I152" s="18">
        <v>41641</v>
      </c>
      <c r="J152" s="91">
        <v>0.29098791769999999</v>
      </c>
      <c r="K152" s="91">
        <f>VLOOKUP(CurrentMtgRatesDataTable82527141518[[#This Row],[asofdate]],O:P,2,0)</f>
        <v>0</v>
      </c>
      <c r="L152" s="91">
        <f>VLOOKUP(CurrentMtgRatesDataTable82527141518[[#This Row],[asofdate]],S:T,2,0)</f>
        <v>2.8858790000000002E-4</v>
      </c>
      <c r="M152" s="6">
        <f ca="1">VLOOKUP(CurrentMtgRatesDataTable82527141518[[#This Row],[asofdate]]+1,Bloomberg!B:C,2,0)</f>
        <v>1352.7</v>
      </c>
      <c r="N152" s="6"/>
      <c r="O152" s="18">
        <v>41634</v>
      </c>
      <c r="P152" s="91">
        <v>0</v>
      </c>
      <c r="Q152" s="104"/>
      <c r="R152" s="104"/>
      <c r="S152" s="18">
        <v>41641</v>
      </c>
      <c r="T152" s="91">
        <v>2.8858790000000002E-4</v>
      </c>
      <c r="V152"/>
    </row>
    <row r="153" spans="2:22">
      <c r="B153" s="85">
        <v>41634</v>
      </c>
      <c r="C153" s="86">
        <v>0.34940203609999998</v>
      </c>
      <c r="D153" s="86">
        <f>VLOOKUP(CurrentMtgRatesDataTable825[[#This Row],[asofdate]],I:J,2,0)</f>
        <v>0.32358042170000001</v>
      </c>
      <c r="E153" s="86">
        <f>VLOOKUP(CurrentMtgRatesDataTable825[[#This Row],[asofdate]],O:P,2,0)</f>
        <v>0</v>
      </c>
      <c r="F153" s="87">
        <f ca="1">VLOOKUP(CurrentMtgRatesDataTable825[[#This Row],[asofdate]]+1,Bloomberg!B:C,2,0)</f>
        <v>1277.8</v>
      </c>
      <c r="I153" s="18">
        <v>41634</v>
      </c>
      <c r="J153" s="91">
        <v>0.32358042170000001</v>
      </c>
      <c r="K153" s="91">
        <f>VLOOKUP(CurrentMtgRatesDataTable82527141518[[#This Row],[asofdate]],O:P,2,0)</f>
        <v>0</v>
      </c>
      <c r="L153" s="91">
        <f>VLOOKUP(CurrentMtgRatesDataTable82527141518[[#This Row],[asofdate]],S:T,2,0)</f>
        <v>3.251269E-4</v>
      </c>
      <c r="M153" s="6">
        <f ca="1">VLOOKUP(CurrentMtgRatesDataTable82527141518[[#This Row],[asofdate]]+1,Bloomberg!B:C,2,0)</f>
        <v>1277.8</v>
      </c>
      <c r="N153" s="6"/>
      <c r="O153" s="18">
        <v>41627</v>
      </c>
      <c r="P153" s="91">
        <v>0</v>
      </c>
      <c r="Q153" s="104"/>
      <c r="R153" s="104"/>
      <c r="S153" s="18">
        <v>41634</v>
      </c>
      <c r="T153" s="91">
        <v>3.251269E-4</v>
      </c>
      <c r="V153"/>
    </row>
    <row r="154" spans="2:22">
      <c r="B154" s="85">
        <v>41627</v>
      </c>
      <c r="C154" s="86">
        <v>0.35812637130000002</v>
      </c>
      <c r="D154" s="86">
        <f>VLOOKUP(CurrentMtgRatesDataTable825[[#This Row],[asofdate]],I:J,2,0)</f>
        <v>0.32405487960000001</v>
      </c>
      <c r="E154" s="86">
        <f>VLOOKUP(CurrentMtgRatesDataTable825[[#This Row],[asofdate]],O:P,2,0)</f>
        <v>0</v>
      </c>
      <c r="F154" s="87">
        <f ca="1">VLOOKUP(CurrentMtgRatesDataTable825[[#This Row],[asofdate]]+1,Bloomberg!B:C,2,0)</f>
        <v>1426.7</v>
      </c>
      <c r="I154" s="18">
        <v>41627</v>
      </c>
      <c r="J154" s="91">
        <v>0.32405487960000001</v>
      </c>
      <c r="K154" s="91">
        <f>VLOOKUP(CurrentMtgRatesDataTable82527141518[[#This Row],[asofdate]],O:P,2,0)</f>
        <v>0</v>
      </c>
      <c r="L154" s="91">
        <f>VLOOKUP(CurrentMtgRatesDataTable82527141518[[#This Row],[asofdate]],S:T,2,0)</f>
        <v>4.0954339999999998E-4</v>
      </c>
      <c r="M154" s="6">
        <f ca="1">VLOOKUP(CurrentMtgRatesDataTable82527141518[[#This Row],[asofdate]]+1,Bloomberg!B:C,2,0)</f>
        <v>1426.7</v>
      </c>
      <c r="N154" s="6"/>
      <c r="O154" s="18">
        <v>41620</v>
      </c>
      <c r="P154" s="91">
        <v>0</v>
      </c>
      <c r="Q154" s="104"/>
      <c r="R154" s="104"/>
      <c r="S154" s="18">
        <v>41627</v>
      </c>
      <c r="T154" s="91">
        <v>4.0954339999999998E-4</v>
      </c>
      <c r="V154"/>
    </row>
    <row r="155" spans="2:22">
      <c r="B155" s="85">
        <v>41620</v>
      </c>
      <c r="C155" s="86">
        <v>0.39281664100000002</v>
      </c>
      <c r="D155" s="86">
        <f>VLOOKUP(CurrentMtgRatesDataTable825[[#This Row],[asofdate]],I:J,2,0)</f>
        <v>0.34946915589999999</v>
      </c>
      <c r="E155" s="86">
        <f>VLOOKUP(CurrentMtgRatesDataTable825[[#This Row],[asofdate]],O:P,2,0)</f>
        <v>0</v>
      </c>
      <c r="F155" s="87">
        <f ca="1">VLOOKUP(CurrentMtgRatesDataTable825[[#This Row],[asofdate]]+1,Bloomberg!B:C,2,0)</f>
        <v>1529.8</v>
      </c>
      <c r="I155" s="18">
        <v>41620</v>
      </c>
      <c r="J155" s="91">
        <v>0.34946915589999999</v>
      </c>
      <c r="K155" s="91">
        <f>VLOOKUP(CurrentMtgRatesDataTable82527141518[[#This Row],[asofdate]],O:P,2,0)</f>
        <v>0</v>
      </c>
      <c r="L155" s="91">
        <f>VLOOKUP(CurrentMtgRatesDataTable82527141518[[#This Row],[asofdate]],S:T,2,0)</f>
        <v>5.8953909999999996E-4</v>
      </c>
      <c r="M155" s="6">
        <f ca="1">VLOOKUP(CurrentMtgRatesDataTable82527141518[[#This Row],[asofdate]]+1,Bloomberg!B:C,2,0)</f>
        <v>1529.8</v>
      </c>
      <c r="N155" s="6"/>
      <c r="O155" s="18">
        <v>41613</v>
      </c>
      <c r="P155" s="91">
        <v>0</v>
      </c>
      <c r="Q155" s="104"/>
      <c r="R155" s="104"/>
      <c r="S155" s="18">
        <v>41620</v>
      </c>
      <c r="T155" s="91">
        <v>5.8953909999999996E-4</v>
      </c>
      <c r="V155"/>
    </row>
    <row r="156" spans="2:22">
      <c r="B156" s="85">
        <v>41613</v>
      </c>
      <c r="C156" s="86">
        <v>0.4009432476</v>
      </c>
      <c r="D156" s="86">
        <f>VLOOKUP(CurrentMtgRatesDataTable825[[#This Row],[asofdate]],I:J,2,0)</f>
        <v>0.34983606179999999</v>
      </c>
      <c r="E156" s="86">
        <f>VLOOKUP(CurrentMtgRatesDataTable825[[#This Row],[asofdate]],O:P,2,0)</f>
        <v>0</v>
      </c>
      <c r="F156" s="87">
        <f ca="1">VLOOKUP(CurrentMtgRatesDataTable825[[#This Row],[asofdate]]+1,Bloomberg!B:C,2,0)</f>
        <v>1599.4</v>
      </c>
      <c r="I156" s="18">
        <v>41613</v>
      </c>
      <c r="J156" s="91">
        <v>0.34983606179999999</v>
      </c>
      <c r="K156" s="91">
        <f>VLOOKUP(CurrentMtgRatesDataTable82527141518[[#This Row],[asofdate]],O:P,2,0)</f>
        <v>0</v>
      </c>
      <c r="L156" s="91">
        <f>VLOOKUP(CurrentMtgRatesDataTable82527141518[[#This Row],[asofdate]],S:T,2,0)</f>
        <v>5.6739439999999996E-4</v>
      </c>
      <c r="M156" s="6">
        <f ca="1">VLOOKUP(CurrentMtgRatesDataTable82527141518[[#This Row],[asofdate]]+1,Bloomberg!B:C,2,0)</f>
        <v>1599.4</v>
      </c>
      <c r="N156" s="6"/>
      <c r="O156" s="18">
        <v>41605</v>
      </c>
      <c r="P156" s="91">
        <v>0</v>
      </c>
      <c r="Q156" s="104"/>
      <c r="R156" s="104"/>
      <c r="S156" s="18">
        <v>41613</v>
      </c>
      <c r="T156" s="91">
        <v>5.6739439999999996E-4</v>
      </c>
      <c r="V156"/>
    </row>
    <row r="157" spans="2:22">
      <c r="B157" s="85">
        <v>41605</v>
      </c>
      <c r="C157" s="86">
        <v>0.4676333728</v>
      </c>
      <c r="D157" s="86">
        <f>VLOOKUP(CurrentMtgRatesDataTable825[[#This Row],[asofdate]],I:J,2,0)</f>
        <v>0.41345442960000001</v>
      </c>
      <c r="E157" s="86">
        <f>VLOOKUP(CurrentMtgRatesDataTable825[[#This Row],[asofdate]],O:P,2,0)</f>
        <v>0</v>
      </c>
      <c r="F157" s="87" t="e">
        <f ca="1">VLOOKUP(CurrentMtgRatesDataTable825[[#This Row],[asofdate]]+1,Bloomberg!B:C,2,0)</f>
        <v>#N/A</v>
      </c>
      <c r="I157" s="18">
        <v>41605</v>
      </c>
      <c r="J157" s="91">
        <v>0.41345442960000001</v>
      </c>
      <c r="K157" s="91">
        <f>VLOOKUP(CurrentMtgRatesDataTable82527141518[[#This Row],[asofdate]],O:P,2,0)</f>
        <v>0</v>
      </c>
      <c r="L157" s="91">
        <f>VLOOKUP(CurrentMtgRatesDataTable82527141518[[#This Row],[asofdate]],S:T,2,0)</f>
        <v>7.5008080000000003E-4</v>
      </c>
      <c r="M157" s="6" t="e">
        <f ca="1">VLOOKUP(CurrentMtgRatesDataTable82527141518[[#This Row],[asofdate]]+1,Bloomberg!B:C,2,0)</f>
        <v>#N/A</v>
      </c>
      <c r="N157" s="6"/>
      <c r="O157" s="18">
        <v>41599</v>
      </c>
      <c r="P157" s="91">
        <v>0</v>
      </c>
      <c r="Q157" s="104"/>
      <c r="R157" s="104"/>
      <c r="S157" s="18">
        <v>41605</v>
      </c>
      <c r="T157" s="91">
        <v>7.5008080000000003E-4</v>
      </c>
      <c r="V157"/>
    </row>
    <row r="158" spans="2:22">
      <c r="B158" s="85">
        <v>41599</v>
      </c>
      <c r="C158" s="86">
        <v>0.48126520820000007</v>
      </c>
      <c r="D158" s="86">
        <f>VLOOKUP(CurrentMtgRatesDataTable825[[#This Row],[asofdate]],I:J,2,0)</f>
        <v>0.43926277450000001</v>
      </c>
      <c r="E158" s="86">
        <f>VLOOKUP(CurrentMtgRatesDataTable825[[#This Row],[asofdate]],O:P,2,0)</f>
        <v>0</v>
      </c>
      <c r="F158" s="87">
        <f ca="1">VLOOKUP(CurrentMtgRatesDataTable825[[#This Row],[asofdate]]+1,Bloomberg!B:C,2,0)</f>
        <v>1917.2</v>
      </c>
      <c r="I158" s="18">
        <v>41599</v>
      </c>
      <c r="J158" s="91">
        <v>0.43926277450000001</v>
      </c>
      <c r="K158" s="91">
        <f>VLOOKUP(CurrentMtgRatesDataTable82527141518[[#This Row],[asofdate]],O:P,2,0)</f>
        <v>0</v>
      </c>
      <c r="L158" s="91">
        <f>VLOOKUP(CurrentMtgRatesDataTable82527141518[[#This Row],[asofdate]],S:T,2,0)</f>
        <v>1.2986059999999999E-3</v>
      </c>
      <c r="M158" s="6">
        <f ca="1">VLOOKUP(CurrentMtgRatesDataTable82527141518[[#This Row],[asofdate]]+1,Bloomberg!B:C,2,0)</f>
        <v>1917.2</v>
      </c>
      <c r="N158" s="6"/>
      <c r="O158" s="18">
        <v>41592</v>
      </c>
      <c r="P158" s="91">
        <v>0</v>
      </c>
      <c r="Q158" s="104"/>
      <c r="R158" s="104"/>
      <c r="S158" s="18">
        <v>41599</v>
      </c>
      <c r="T158" s="91">
        <v>1.2986059999999999E-3</v>
      </c>
      <c r="V158"/>
    </row>
    <row r="159" spans="2:22">
      <c r="B159" s="85">
        <v>41592</v>
      </c>
      <c r="C159" s="86">
        <v>0.44823077639999998</v>
      </c>
      <c r="D159" s="86">
        <f>VLOOKUP(CurrentMtgRatesDataTable825[[#This Row],[asofdate]],I:J,2,0)</f>
        <v>0.3881478364</v>
      </c>
      <c r="E159" s="86">
        <f>VLOOKUP(CurrentMtgRatesDataTable825[[#This Row],[asofdate]],O:P,2,0)</f>
        <v>0</v>
      </c>
      <c r="F159" s="87">
        <f ca="1">VLOOKUP(CurrentMtgRatesDataTable825[[#This Row],[asofdate]]+1,Bloomberg!B:C,2,0)</f>
        <v>1903.5</v>
      </c>
      <c r="I159" s="18">
        <v>41592</v>
      </c>
      <c r="J159" s="91">
        <v>0.3881478364</v>
      </c>
      <c r="K159" s="91">
        <f>VLOOKUP(CurrentMtgRatesDataTable82527141518[[#This Row],[asofdate]],O:P,2,0)</f>
        <v>0</v>
      </c>
      <c r="L159" s="91">
        <f>VLOOKUP(CurrentMtgRatesDataTable82527141518[[#This Row],[asofdate]],S:T,2,0)</f>
        <v>4.2373589999999999E-4</v>
      </c>
      <c r="M159" s="6">
        <f ca="1">VLOOKUP(CurrentMtgRatesDataTable82527141518[[#This Row],[asofdate]]+1,Bloomberg!B:C,2,0)</f>
        <v>1903.5</v>
      </c>
      <c r="N159" s="6"/>
      <c r="O159" s="18">
        <v>41585</v>
      </c>
      <c r="P159" s="91">
        <v>0</v>
      </c>
      <c r="Q159" s="104"/>
      <c r="R159" s="104"/>
      <c r="S159" s="18">
        <v>41592</v>
      </c>
      <c r="T159" s="91">
        <v>4.2373589999999999E-4</v>
      </c>
      <c r="V159"/>
    </row>
    <row r="160" spans="2:22">
      <c r="B160" s="85">
        <v>41585</v>
      </c>
      <c r="C160" s="86">
        <v>0.48554576319999998</v>
      </c>
      <c r="D160" s="86">
        <f>VLOOKUP(CurrentMtgRatesDataTable825[[#This Row],[asofdate]],I:J,2,0)</f>
        <v>0.45419206680000002</v>
      </c>
      <c r="E160" s="86">
        <f>VLOOKUP(CurrentMtgRatesDataTable825[[#This Row],[asofdate]],O:P,2,0)</f>
        <v>0</v>
      </c>
      <c r="F160" s="87">
        <f ca="1">VLOOKUP(CurrentMtgRatesDataTable825[[#This Row],[asofdate]]+1,Bloomberg!B:C,2,0)</f>
        <v>2056.9</v>
      </c>
      <c r="I160" s="18">
        <v>41585</v>
      </c>
      <c r="J160" s="91">
        <v>0.45419206680000002</v>
      </c>
      <c r="K160" s="91">
        <f>VLOOKUP(CurrentMtgRatesDataTable82527141518[[#This Row],[asofdate]],O:P,2,0)</f>
        <v>0</v>
      </c>
      <c r="L160" s="91">
        <f>VLOOKUP(CurrentMtgRatesDataTable82527141518[[#This Row],[asofdate]],S:T,2,0)</f>
        <v>1.9713356E-3</v>
      </c>
      <c r="M160" s="6">
        <f ca="1">VLOOKUP(CurrentMtgRatesDataTable82527141518[[#This Row],[asofdate]]+1,Bloomberg!B:C,2,0)</f>
        <v>2056.9</v>
      </c>
      <c r="N160" s="6"/>
      <c r="O160" s="18">
        <v>41578</v>
      </c>
      <c r="P160" s="91">
        <v>1.0423364E-3</v>
      </c>
      <c r="Q160" s="104"/>
      <c r="R160" s="104"/>
      <c r="S160" s="18">
        <v>41585</v>
      </c>
      <c r="T160" s="91">
        <v>1.9713356E-3</v>
      </c>
      <c r="V160"/>
    </row>
    <row r="161" spans="2:22">
      <c r="B161" s="85">
        <v>41578</v>
      </c>
      <c r="C161" s="86">
        <v>0.51712393739999996</v>
      </c>
      <c r="D161" s="86">
        <f>VLOOKUP(CurrentMtgRatesDataTable825[[#This Row],[asofdate]],I:J,2,0)</f>
        <v>0.48311372540000008</v>
      </c>
      <c r="E161" s="86">
        <f>VLOOKUP(CurrentMtgRatesDataTable825[[#This Row],[asofdate]],O:P,2,0)</f>
        <v>1.0423364E-3</v>
      </c>
      <c r="F161" s="87">
        <f ca="1">VLOOKUP(CurrentMtgRatesDataTable825[[#This Row],[asofdate]]+1,Bloomberg!B:C,2,0)</f>
        <v>2105.6</v>
      </c>
      <c r="I161" s="18">
        <v>41578</v>
      </c>
      <c r="J161" s="91">
        <v>0.48311372540000008</v>
      </c>
      <c r="K161" s="91">
        <f>VLOOKUP(CurrentMtgRatesDataTable82527141518[[#This Row],[asofdate]],O:P,2,0)</f>
        <v>1.0423364E-3</v>
      </c>
      <c r="L161" s="91">
        <f>VLOOKUP(CurrentMtgRatesDataTable82527141518[[#This Row],[asofdate]],S:T,2,0)</f>
        <v>1.2472223E-3</v>
      </c>
      <c r="M161" s="6">
        <f ca="1">VLOOKUP(CurrentMtgRatesDataTable82527141518[[#This Row],[asofdate]]+1,Bloomberg!B:C,2,0)</f>
        <v>2105.6</v>
      </c>
      <c r="N161" s="6"/>
      <c r="O161" s="18">
        <v>41571</v>
      </c>
      <c r="P161" s="91">
        <v>6.657124999999999E-4</v>
      </c>
      <c r="Q161" s="104"/>
      <c r="R161" s="104"/>
      <c r="S161" s="18">
        <v>41578</v>
      </c>
      <c r="T161" s="91">
        <v>1.2472223E-3</v>
      </c>
      <c r="V161"/>
    </row>
    <row r="162" spans="2:22">
      <c r="B162" s="85">
        <v>41571</v>
      </c>
      <c r="C162" s="86">
        <v>0.50130776170000002</v>
      </c>
      <c r="D162" s="86">
        <f>VLOOKUP(CurrentMtgRatesDataTable825[[#This Row],[asofdate]],I:J,2,0)</f>
        <v>0.46681751339999999</v>
      </c>
      <c r="E162" s="86">
        <f>VLOOKUP(CurrentMtgRatesDataTable825[[#This Row],[asofdate]],O:P,2,0)</f>
        <v>6.657124999999999E-4</v>
      </c>
      <c r="F162" s="87">
        <f ca="1">VLOOKUP(CurrentMtgRatesDataTable825[[#This Row],[asofdate]]+1,Bloomberg!B:C,2,0)</f>
        <v>2211.8000000000002</v>
      </c>
      <c r="I162" s="18">
        <v>41571</v>
      </c>
      <c r="J162" s="91">
        <v>0.46681751339999999</v>
      </c>
      <c r="K162" s="91">
        <f>VLOOKUP(CurrentMtgRatesDataTable82527141518[[#This Row],[asofdate]],O:P,2,0)</f>
        <v>6.657124999999999E-4</v>
      </c>
      <c r="L162" s="91">
        <f>VLOOKUP(CurrentMtgRatesDataTable82527141518[[#This Row],[asofdate]],S:T,2,0)</f>
        <v>7.9651050000000001E-4</v>
      </c>
      <c r="M162" s="6">
        <f ca="1">VLOOKUP(CurrentMtgRatesDataTable82527141518[[#This Row],[asofdate]]+1,Bloomberg!B:C,2,0)</f>
        <v>2211.8000000000002</v>
      </c>
      <c r="N162" s="6"/>
      <c r="O162" s="18">
        <v>41564</v>
      </c>
      <c r="P162" s="91">
        <v>0</v>
      </c>
      <c r="Q162" s="104"/>
      <c r="R162" s="104"/>
      <c r="S162" s="18">
        <v>41571</v>
      </c>
      <c r="T162" s="91">
        <v>7.9651050000000001E-4</v>
      </c>
      <c r="V162"/>
    </row>
    <row r="163" spans="2:22">
      <c r="B163" s="85">
        <v>41564</v>
      </c>
      <c r="C163" s="86">
        <v>0.48108700180000008</v>
      </c>
      <c r="D163" s="86">
        <f>VLOOKUP(CurrentMtgRatesDataTable825[[#This Row],[asofdate]],I:J,2,0)</f>
        <v>0.42500863700000002</v>
      </c>
      <c r="E163" s="86">
        <f>VLOOKUP(CurrentMtgRatesDataTable825[[#This Row],[asofdate]],O:P,2,0)</f>
        <v>0</v>
      </c>
      <c r="F163" s="87">
        <f ca="1">VLOOKUP(CurrentMtgRatesDataTable825[[#This Row],[asofdate]]+1,Bloomberg!B:C,2,0)</f>
        <v>2033.7</v>
      </c>
      <c r="I163" s="18">
        <v>41564</v>
      </c>
      <c r="J163" s="91">
        <v>0.42500863700000002</v>
      </c>
      <c r="K163" s="91">
        <f>VLOOKUP(CurrentMtgRatesDataTable82527141518[[#This Row],[asofdate]],O:P,2,0)</f>
        <v>0</v>
      </c>
      <c r="L163" s="91">
        <f>VLOOKUP(CurrentMtgRatesDataTable82527141518[[#This Row],[asofdate]],S:T,2,0)</f>
        <v>2.6763429999999999E-4</v>
      </c>
      <c r="M163" s="6">
        <f ca="1">VLOOKUP(CurrentMtgRatesDataTable82527141518[[#This Row],[asofdate]]+1,Bloomberg!B:C,2,0)</f>
        <v>2033.7</v>
      </c>
      <c r="N163" s="6"/>
      <c r="O163" s="18">
        <v>41557</v>
      </c>
      <c r="P163" s="91">
        <v>0</v>
      </c>
      <c r="Q163" s="104"/>
      <c r="R163" s="104"/>
      <c r="S163" s="18">
        <v>41564</v>
      </c>
      <c r="T163" s="91">
        <v>2.6763429999999999E-4</v>
      </c>
      <c r="V163"/>
    </row>
    <row r="164" spans="2:22">
      <c r="B164" s="85">
        <v>41557</v>
      </c>
      <c r="C164" s="86">
        <v>0.49111867190000003</v>
      </c>
      <c r="D164" s="86">
        <f>VLOOKUP(CurrentMtgRatesDataTable825[[#This Row],[asofdate]],I:J,2,0)</f>
        <v>0.45036933280000002</v>
      </c>
      <c r="E164" s="86">
        <f>VLOOKUP(CurrentMtgRatesDataTable825[[#This Row],[asofdate]],O:P,2,0)</f>
        <v>0</v>
      </c>
      <c r="F164" s="87">
        <f ca="1">VLOOKUP(CurrentMtgRatesDataTable825[[#This Row],[asofdate]]+1,Bloomberg!B:C,2,0)</f>
        <v>2102.6999999999998</v>
      </c>
      <c r="I164" s="18">
        <v>41557</v>
      </c>
      <c r="J164" s="91">
        <v>0.45036933280000002</v>
      </c>
      <c r="K164" s="91">
        <f>VLOOKUP(CurrentMtgRatesDataTable82527141518[[#This Row],[asofdate]],O:P,2,0)</f>
        <v>0</v>
      </c>
      <c r="L164" s="91">
        <f>VLOOKUP(CurrentMtgRatesDataTable82527141518[[#This Row],[asofdate]],S:T,2,0)</f>
        <v>4.333532E-4</v>
      </c>
      <c r="M164" s="6">
        <f ca="1">VLOOKUP(CurrentMtgRatesDataTable82527141518[[#This Row],[asofdate]]+1,Bloomberg!B:C,2,0)</f>
        <v>2102.6999999999998</v>
      </c>
      <c r="N164" s="6"/>
      <c r="O164" s="18">
        <v>41550</v>
      </c>
      <c r="P164" s="91">
        <v>3.2431819999999999E-4</v>
      </c>
      <c r="Q164" s="104"/>
      <c r="R164" s="104"/>
      <c r="S164" s="18">
        <v>41557</v>
      </c>
      <c r="T164" s="91">
        <v>4.333532E-4</v>
      </c>
      <c r="V164"/>
    </row>
    <row r="165" spans="2:22">
      <c r="B165" s="85">
        <v>41550</v>
      </c>
      <c r="C165" s="86">
        <v>0.49244499819999998</v>
      </c>
      <c r="D165" s="86">
        <f>VLOOKUP(CurrentMtgRatesDataTable825[[#This Row],[asofdate]],I:J,2,0)</f>
        <v>0.4507968094</v>
      </c>
      <c r="E165" s="86">
        <f>VLOOKUP(CurrentMtgRatesDataTable825[[#This Row],[asofdate]],O:P,2,0)</f>
        <v>3.2431819999999999E-4</v>
      </c>
      <c r="F165" s="87">
        <f ca="1">VLOOKUP(CurrentMtgRatesDataTable825[[#This Row],[asofdate]]+1,Bloomberg!B:C,2,0)</f>
        <v>2025.3</v>
      </c>
      <c r="I165" s="18">
        <v>41550</v>
      </c>
      <c r="J165" s="91">
        <v>0.4507968094</v>
      </c>
      <c r="K165" s="91">
        <f>VLOOKUP(CurrentMtgRatesDataTable82527141518[[#This Row],[asofdate]],O:P,2,0)</f>
        <v>3.2431819999999999E-4</v>
      </c>
      <c r="L165" s="91">
        <f>VLOOKUP(CurrentMtgRatesDataTable82527141518[[#This Row],[asofdate]],S:T,2,0)</f>
        <v>4.1454790000000001E-4</v>
      </c>
      <c r="M165" s="6">
        <f ca="1">VLOOKUP(CurrentMtgRatesDataTable82527141518[[#This Row],[asofdate]]+1,Bloomberg!B:C,2,0)</f>
        <v>2025.3</v>
      </c>
      <c r="N165" s="6"/>
      <c r="O165" s="18">
        <v>41543</v>
      </c>
      <c r="P165" s="91">
        <v>1.00191E-5</v>
      </c>
      <c r="Q165" s="104"/>
      <c r="R165" s="104"/>
      <c r="S165" s="18">
        <v>41550</v>
      </c>
      <c r="T165" s="91">
        <v>4.1454790000000001E-4</v>
      </c>
      <c r="V165"/>
    </row>
    <row r="166" spans="2:22">
      <c r="B166" s="85">
        <v>41543</v>
      </c>
      <c r="C166" s="86">
        <v>0.48977048720000005</v>
      </c>
      <c r="D166" s="86">
        <f>VLOOKUP(CurrentMtgRatesDataTable825[[#This Row],[asofdate]],I:J,2,0)</f>
        <v>0.43720376859999999</v>
      </c>
      <c r="E166" s="86">
        <f>VLOOKUP(CurrentMtgRatesDataTable825[[#This Row],[asofdate]],O:P,2,0)</f>
        <v>1.00191E-5</v>
      </c>
      <c r="F166" s="87">
        <f ca="1">VLOOKUP(CurrentMtgRatesDataTable825[[#This Row],[asofdate]]+1,Bloomberg!B:C,2,0)</f>
        <v>1956.6</v>
      </c>
      <c r="I166" s="18">
        <v>41543</v>
      </c>
      <c r="J166" s="91">
        <v>0.43720376859999999</v>
      </c>
      <c r="K166" s="91">
        <f>VLOOKUP(CurrentMtgRatesDataTable82527141518[[#This Row],[asofdate]],O:P,2,0)</f>
        <v>1.00191E-5</v>
      </c>
      <c r="L166" s="91">
        <f>VLOOKUP(CurrentMtgRatesDataTable82527141518[[#This Row],[asofdate]],S:T,2,0)</f>
        <v>4.4069100000000008E-5</v>
      </c>
      <c r="M166" s="6">
        <f ca="1">VLOOKUP(CurrentMtgRatesDataTable82527141518[[#This Row],[asofdate]]+1,Bloomberg!B:C,2,0)</f>
        <v>1956.6</v>
      </c>
      <c r="N166" s="6"/>
      <c r="O166" s="18">
        <v>41536</v>
      </c>
      <c r="P166" s="91">
        <v>3.5779999999999999E-7</v>
      </c>
      <c r="Q166" s="104"/>
      <c r="R166" s="104"/>
      <c r="S166" s="18">
        <v>41543</v>
      </c>
      <c r="T166" s="91">
        <v>4.4069100000000008E-5</v>
      </c>
      <c r="V166"/>
    </row>
    <row r="167" spans="2:22">
      <c r="B167" s="85">
        <v>41536</v>
      </c>
      <c r="C167" s="86">
        <v>0.37065214549999997</v>
      </c>
      <c r="D167" s="86">
        <f>VLOOKUP(CurrentMtgRatesDataTable825[[#This Row],[asofdate]],I:J,2,0)</f>
        <v>0.35393778970000001</v>
      </c>
      <c r="E167" s="86">
        <f>VLOOKUP(CurrentMtgRatesDataTable825[[#This Row],[asofdate]],O:P,2,0)</f>
        <v>3.5779999999999999E-7</v>
      </c>
      <c r="F167" s="87">
        <f ca="1">VLOOKUP(CurrentMtgRatesDataTable825[[#This Row],[asofdate]]+1,Bloomberg!B:C,2,0)</f>
        <v>1922.9</v>
      </c>
      <c r="I167" s="18">
        <v>41536</v>
      </c>
      <c r="J167" s="91">
        <v>0.35393778970000001</v>
      </c>
      <c r="K167" s="91">
        <f>VLOOKUP(CurrentMtgRatesDataTable82527141518[[#This Row],[asofdate]],O:P,2,0)</f>
        <v>3.5779999999999999E-7</v>
      </c>
      <c r="L167" s="91">
        <f>VLOOKUP(CurrentMtgRatesDataTable82527141518[[#This Row],[asofdate]],S:T,2,0)</f>
        <v>7.8880999999999999E-6</v>
      </c>
      <c r="M167" s="6">
        <f ca="1">VLOOKUP(CurrentMtgRatesDataTable82527141518[[#This Row],[asofdate]]+1,Bloomberg!B:C,2,0)</f>
        <v>1922.9</v>
      </c>
      <c r="N167" s="6"/>
      <c r="O167" s="18">
        <v>41529</v>
      </c>
      <c r="P167" s="91">
        <v>0</v>
      </c>
      <c r="Q167" s="104"/>
      <c r="R167" s="104"/>
      <c r="S167" s="18">
        <v>41536</v>
      </c>
      <c r="T167" s="91">
        <v>7.8880999999999999E-6</v>
      </c>
      <c r="V167"/>
    </row>
    <row r="168" spans="2:22">
      <c r="B168" s="85">
        <v>41529</v>
      </c>
      <c r="C168" s="86">
        <v>0.3430871942</v>
      </c>
      <c r="D168" s="86">
        <f>VLOOKUP(CurrentMtgRatesDataTable825[[#This Row],[asofdate]],I:J,2,0)</f>
        <v>0.32245062009999997</v>
      </c>
      <c r="E168" s="86">
        <f>VLOOKUP(CurrentMtgRatesDataTable825[[#This Row],[asofdate]],O:P,2,0)</f>
        <v>0</v>
      </c>
      <c r="F168" s="87">
        <f ca="1">VLOOKUP(CurrentMtgRatesDataTable825[[#This Row],[asofdate]]+1,Bloomberg!B:C,2,0)</f>
        <v>1814</v>
      </c>
      <c r="I168" s="18">
        <v>41529</v>
      </c>
      <c r="J168" s="91">
        <v>0.32245062009999997</v>
      </c>
      <c r="K168" s="91">
        <f>VLOOKUP(CurrentMtgRatesDataTable82527141518[[#This Row],[asofdate]],O:P,2,0)</f>
        <v>0</v>
      </c>
      <c r="L168" s="91">
        <f>VLOOKUP(CurrentMtgRatesDataTable82527141518[[#This Row],[asofdate]],S:T,2,0)</f>
        <v>1.6727999999999999E-6</v>
      </c>
      <c r="M168" s="6">
        <f ca="1">VLOOKUP(CurrentMtgRatesDataTable82527141518[[#This Row],[asofdate]]+1,Bloomberg!B:C,2,0)</f>
        <v>1814</v>
      </c>
      <c r="N168" s="6"/>
      <c r="O168" s="18">
        <v>41522</v>
      </c>
      <c r="P168" s="91">
        <v>0</v>
      </c>
      <c r="Q168" s="104"/>
      <c r="R168" s="104"/>
      <c r="S168" s="18">
        <v>41529</v>
      </c>
      <c r="T168" s="91">
        <v>1.6727999999999999E-6</v>
      </c>
      <c r="V168"/>
    </row>
    <row r="169" spans="2:22">
      <c r="B169" s="85">
        <v>41522</v>
      </c>
      <c r="C169" s="86">
        <v>0.34744397290000001</v>
      </c>
      <c r="D169" s="86">
        <f>VLOOKUP(CurrentMtgRatesDataTable825[[#This Row],[asofdate]],I:J,2,0)</f>
        <v>0.33545963779999999</v>
      </c>
      <c r="E169" s="86">
        <f>VLOOKUP(CurrentMtgRatesDataTable825[[#This Row],[asofdate]],O:P,2,0)</f>
        <v>0</v>
      </c>
      <c r="F169" s="87">
        <f ca="1">VLOOKUP(CurrentMtgRatesDataTable825[[#This Row],[asofdate]]+1,Bloomberg!B:C,2,0)</f>
        <v>1512.9</v>
      </c>
      <c r="I169" s="18">
        <v>41522</v>
      </c>
      <c r="J169" s="91">
        <v>0.33545963779999999</v>
      </c>
      <c r="K169" s="91">
        <f>VLOOKUP(CurrentMtgRatesDataTable82527141518[[#This Row],[asofdate]],O:P,2,0)</f>
        <v>0</v>
      </c>
      <c r="L169" s="91">
        <f>VLOOKUP(CurrentMtgRatesDataTable82527141518[[#This Row],[asofdate]],S:T,2,0)</f>
        <v>6.0324E-6</v>
      </c>
      <c r="M169" s="6">
        <f ca="1">VLOOKUP(CurrentMtgRatesDataTable82527141518[[#This Row],[asofdate]]+1,Bloomberg!B:C,2,0)</f>
        <v>1512.9</v>
      </c>
      <c r="N169" s="6"/>
      <c r="O169" s="18">
        <v>41515</v>
      </c>
      <c r="P169" s="91">
        <v>0</v>
      </c>
      <c r="Q169" s="104"/>
      <c r="R169" s="104"/>
      <c r="S169" s="18">
        <v>41522</v>
      </c>
      <c r="T169" s="91">
        <v>6.0324E-6</v>
      </c>
      <c r="V169"/>
    </row>
    <row r="170" spans="2:22">
      <c r="B170" s="85">
        <v>41515</v>
      </c>
      <c r="C170" s="86">
        <v>0.3789545641</v>
      </c>
      <c r="D170" s="86">
        <f>VLOOKUP(CurrentMtgRatesDataTable825[[#This Row],[asofdate]],I:J,2,0)</f>
        <v>0.36572713959999997</v>
      </c>
      <c r="E170" s="86">
        <f>VLOOKUP(CurrentMtgRatesDataTable825[[#This Row],[asofdate]],O:P,2,0)</f>
        <v>0</v>
      </c>
      <c r="F170" s="87">
        <f ca="1">VLOOKUP(CurrentMtgRatesDataTable825[[#This Row],[asofdate]]+1,Bloomberg!B:C,2,0)</f>
        <v>1909</v>
      </c>
      <c r="I170" s="18">
        <v>41515</v>
      </c>
      <c r="J170" s="91">
        <v>0.36572713959999997</v>
      </c>
      <c r="K170" s="91">
        <f>VLOOKUP(CurrentMtgRatesDataTable82527141518[[#This Row],[asofdate]],O:P,2,0)</f>
        <v>0</v>
      </c>
      <c r="L170" s="91">
        <f>VLOOKUP(CurrentMtgRatesDataTable82527141518[[#This Row],[asofdate]],S:T,2,0)</f>
        <v>5.6934000000000004E-6</v>
      </c>
      <c r="M170" s="6">
        <f ca="1">VLOOKUP(CurrentMtgRatesDataTable82527141518[[#This Row],[asofdate]]+1,Bloomberg!B:C,2,0)</f>
        <v>1909</v>
      </c>
      <c r="N170" s="6"/>
      <c r="O170" s="18">
        <v>41508</v>
      </c>
      <c r="P170" s="91">
        <v>0</v>
      </c>
      <c r="Q170" s="104"/>
      <c r="R170" s="104"/>
      <c r="S170" s="18">
        <v>41515</v>
      </c>
      <c r="T170" s="91">
        <v>5.6934000000000004E-6</v>
      </c>
      <c r="V170"/>
    </row>
    <row r="171" spans="2:22">
      <c r="B171" s="85">
        <v>41508</v>
      </c>
      <c r="C171" s="86">
        <v>0.35381697849999999</v>
      </c>
      <c r="D171" s="86">
        <f>VLOOKUP(CurrentMtgRatesDataTable825[[#This Row],[asofdate]],I:J,2,0)</f>
        <v>0.33414567940000001</v>
      </c>
      <c r="E171" s="86">
        <f>VLOOKUP(CurrentMtgRatesDataTable825[[#This Row],[asofdate]],O:P,2,0)</f>
        <v>0</v>
      </c>
      <c r="F171" s="87">
        <f ca="1">VLOOKUP(CurrentMtgRatesDataTable825[[#This Row],[asofdate]]+1,Bloomberg!B:C,2,0)</f>
        <v>1842.6</v>
      </c>
      <c r="I171" s="18">
        <v>41508</v>
      </c>
      <c r="J171" s="91">
        <v>0.33414567940000001</v>
      </c>
      <c r="K171" s="91">
        <f>VLOOKUP(CurrentMtgRatesDataTable82527141518[[#This Row],[asofdate]],O:P,2,0)</f>
        <v>0</v>
      </c>
      <c r="L171" s="91">
        <f>VLOOKUP(CurrentMtgRatesDataTable82527141518[[#This Row],[asofdate]],S:T,2,0)</f>
        <v>2.9668000000000001E-6</v>
      </c>
      <c r="M171" s="6">
        <f ca="1">VLOOKUP(CurrentMtgRatesDataTable82527141518[[#This Row],[asofdate]]+1,Bloomberg!B:C,2,0)</f>
        <v>1842.6</v>
      </c>
      <c r="N171" s="6"/>
      <c r="O171" s="18">
        <v>41501</v>
      </c>
      <c r="P171" s="91">
        <v>0</v>
      </c>
      <c r="Q171" s="104"/>
      <c r="R171" s="104"/>
      <c r="S171" s="18">
        <v>41508</v>
      </c>
      <c r="T171" s="91">
        <v>2.9668000000000001E-6</v>
      </c>
      <c r="V171"/>
    </row>
    <row r="172" spans="2:22">
      <c r="B172" s="85">
        <v>41501</v>
      </c>
      <c r="C172" s="86">
        <v>0.46056392039999999</v>
      </c>
      <c r="D172" s="86">
        <f>VLOOKUP(CurrentMtgRatesDataTable825[[#This Row],[asofdate]],I:J,2,0)</f>
        <v>0.39641450410000001</v>
      </c>
      <c r="E172" s="86">
        <f>VLOOKUP(CurrentMtgRatesDataTable825[[#This Row],[asofdate]],O:P,2,0)</f>
        <v>0</v>
      </c>
      <c r="F172" s="87">
        <f ca="1">VLOOKUP(CurrentMtgRatesDataTable825[[#This Row],[asofdate]]+1,Bloomberg!B:C,2,0)</f>
        <v>1935.1</v>
      </c>
      <c r="I172" s="18">
        <v>41501</v>
      </c>
      <c r="J172" s="91">
        <v>0.39641450410000001</v>
      </c>
      <c r="K172" s="91">
        <f>VLOOKUP(CurrentMtgRatesDataTable82527141518[[#This Row],[asofdate]],O:P,2,0)</f>
        <v>0</v>
      </c>
      <c r="L172" s="91">
        <f>VLOOKUP(CurrentMtgRatesDataTable82527141518[[#This Row],[asofdate]],S:T,2,0)</f>
        <v>9.7079999999999992E-6</v>
      </c>
      <c r="M172" s="6">
        <f ca="1">VLOOKUP(CurrentMtgRatesDataTable82527141518[[#This Row],[asofdate]]+1,Bloomberg!B:C,2,0)</f>
        <v>1935.1</v>
      </c>
      <c r="N172" s="6"/>
      <c r="O172" s="18">
        <v>41494</v>
      </c>
      <c r="P172" s="91">
        <v>0</v>
      </c>
      <c r="Q172" s="104"/>
      <c r="R172" s="104"/>
      <c r="S172" s="18">
        <v>41501</v>
      </c>
      <c r="T172" s="91">
        <v>9.7079999999999992E-6</v>
      </c>
      <c r="V172"/>
    </row>
    <row r="173" spans="2:22">
      <c r="B173" s="85">
        <v>41494</v>
      </c>
      <c r="C173" s="86">
        <v>0.46056392039999999</v>
      </c>
      <c r="D173" s="86">
        <f>VLOOKUP(CurrentMtgRatesDataTable825[[#This Row],[asofdate]],I:J,2,0)</f>
        <v>0.39641450410000001</v>
      </c>
      <c r="E173" s="86">
        <f>VLOOKUP(CurrentMtgRatesDataTable825[[#This Row],[asofdate]],O:P,2,0)</f>
        <v>0</v>
      </c>
      <c r="F173" s="87">
        <f ca="1">VLOOKUP(CurrentMtgRatesDataTable825[[#This Row],[asofdate]]+1,Bloomberg!B:C,2,0)</f>
        <v>2110.6</v>
      </c>
      <c r="I173" s="18">
        <v>41494</v>
      </c>
      <c r="J173" s="91">
        <v>0.39641450410000001</v>
      </c>
      <c r="K173" s="91">
        <f>VLOOKUP(CurrentMtgRatesDataTable82527141518[[#This Row],[asofdate]],O:P,2,0)</f>
        <v>0</v>
      </c>
      <c r="L173" s="91">
        <f>VLOOKUP(CurrentMtgRatesDataTable82527141518[[#This Row],[asofdate]],S:T,2,0)</f>
        <v>1.6226999999999999E-5</v>
      </c>
      <c r="M173" s="6">
        <f ca="1">VLOOKUP(CurrentMtgRatesDataTable82527141518[[#This Row],[asofdate]]+1,Bloomberg!B:C,2,0)</f>
        <v>2110.6</v>
      </c>
      <c r="N173" s="6"/>
      <c r="O173" s="18">
        <v>41487</v>
      </c>
      <c r="P173" s="91">
        <v>0</v>
      </c>
      <c r="Q173" s="104"/>
      <c r="R173" s="104"/>
      <c r="S173" s="18">
        <v>41494</v>
      </c>
      <c r="T173" s="91">
        <v>1.6226999999999999E-5</v>
      </c>
      <c r="V173"/>
    </row>
    <row r="174" spans="2:22">
      <c r="B174" s="85">
        <v>41487</v>
      </c>
      <c r="C174" s="86">
        <v>0.47029827790000001</v>
      </c>
      <c r="D174" s="86">
        <f>VLOOKUP(CurrentMtgRatesDataTable825[[#This Row],[asofdate]],I:J,2,0)</f>
        <v>0.39677024059999999</v>
      </c>
      <c r="E174" s="86">
        <f>VLOOKUP(CurrentMtgRatesDataTable825[[#This Row],[asofdate]],O:P,2,0)</f>
        <v>0</v>
      </c>
      <c r="F174" s="87">
        <f ca="1">VLOOKUP(CurrentMtgRatesDataTable825[[#This Row],[asofdate]]+1,Bloomberg!B:C,2,0)</f>
        <v>2228.9</v>
      </c>
      <c r="I174" s="18">
        <v>41487</v>
      </c>
      <c r="J174" s="91">
        <v>0.39677024059999999</v>
      </c>
      <c r="K174" s="91">
        <f>VLOOKUP(CurrentMtgRatesDataTable82527141518[[#This Row],[asofdate]],O:P,2,0)</f>
        <v>0</v>
      </c>
      <c r="L174" s="91">
        <f>VLOOKUP(CurrentMtgRatesDataTable82527141518[[#This Row],[asofdate]],S:T,2,0)</f>
        <v>1.6114199999999999E-5</v>
      </c>
      <c r="M174" s="6">
        <f ca="1">VLOOKUP(CurrentMtgRatesDataTable82527141518[[#This Row],[asofdate]]+1,Bloomberg!B:C,2,0)</f>
        <v>2228.9</v>
      </c>
      <c r="N174" s="6"/>
      <c r="O174" s="18">
        <v>41480</v>
      </c>
      <c r="P174" s="91">
        <v>0</v>
      </c>
      <c r="Q174" s="104"/>
      <c r="R174" s="104"/>
      <c r="S174" s="18">
        <v>41487</v>
      </c>
      <c r="T174" s="91">
        <v>1.6114199999999999E-5</v>
      </c>
      <c r="V174"/>
    </row>
    <row r="175" spans="2:22">
      <c r="B175" s="85">
        <v>41480</v>
      </c>
      <c r="C175" s="86">
        <v>0.5197386289</v>
      </c>
      <c r="D175" s="86">
        <f>VLOOKUP(CurrentMtgRatesDataTable825[[#This Row],[asofdate]],I:J,2,0)</f>
        <v>0.4442214464</v>
      </c>
      <c r="E175" s="86">
        <f>VLOOKUP(CurrentMtgRatesDataTable825[[#This Row],[asofdate]],O:P,2,0)</f>
        <v>0</v>
      </c>
      <c r="F175" s="87">
        <f ca="1">VLOOKUP(CurrentMtgRatesDataTable825[[#This Row],[asofdate]]+1,Bloomberg!B:C,2,0)</f>
        <v>2218.3000000000002</v>
      </c>
      <c r="I175" s="18">
        <v>41480</v>
      </c>
      <c r="J175" s="91">
        <v>0.4442214464</v>
      </c>
      <c r="K175" s="91">
        <f>VLOOKUP(CurrentMtgRatesDataTable82527141518[[#This Row],[asofdate]],O:P,2,0)</f>
        <v>0</v>
      </c>
      <c r="L175" s="91">
        <f>VLOOKUP(CurrentMtgRatesDataTable82527141518[[#This Row],[asofdate]],S:T,2,0)</f>
        <v>1.3372400000000001E-5</v>
      </c>
      <c r="M175" s="6">
        <f ca="1">VLOOKUP(CurrentMtgRatesDataTable82527141518[[#This Row],[asofdate]]+1,Bloomberg!B:C,2,0)</f>
        <v>2218.3000000000002</v>
      </c>
      <c r="N175" s="6"/>
      <c r="O175" s="18">
        <v>41473</v>
      </c>
      <c r="P175" s="91">
        <v>0</v>
      </c>
      <c r="Q175" s="104"/>
      <c r="R175" s="104"/>
      <c r="S175" s="18">
        <v>41480</v>
      </c>
      <c r="T175" s="91">
        <v>1.3372400000000001E-5</v>
      </c>
      <c r="V175"/>
    </row>
    <row r="176" spans="2:22">
      <c r="B176" s="85">
        <v>41473</v>
      </c>
      <c r="C176" s="86">
        <v>0.50054843439999996</v>
      </c>
      <c r="D176" s="86">
        <f>VLOOKUP(CurrentMtgRatesDataTable825[[#This Row],[asofdate]],I:J,2,0)</f>
        <v>0.44205305090000002</v>
      </c>
      <c r="E176" s="86">
        <f>VLOOKUP(CurrentMtgRatesDataTable825[[#This Row],[asofdate]],O:P,2,0)</f>
        <v>0</v>
      </c>
      <c r="F176" s="87">
        <f ca="1">VLOOKUP(CurrentMtgRatesDataTable825[[#This Row],[asofdate]]+1,Bloomberg!B:C,2,0)</f>
        <v>2288</v>
      </c>
      <c r="I176" s="18">
        <v>41473</v>
      </c>
      <c r="J176" s="91">
        <v>0.44205305090000002</v>
      </c>
      <c r="K176" s="91">
        <f>VLOOKUP(CurrentMtgRatesDataTable82527141518[[#This Row],[asofdate]],O:P,2,0)</f>
        <v>0</v>
      </c>
      <c r="L176" s="91">
        <f>VLOOKUP(CurrentMtgRatesDataTable82527141518[[#This Row],[asofdate]],S:T,2,0)</f>
        <v>1.1374700000000001E-5</v>
      </c>
      <c r="M176" s="6">
        <f ca="1">VLOOKUP(CurrentMtgRatesDataTable82527141518[[#This Row],[asofdate]]+1,Bloomberg!B:C,2,0)</f>
        <v>2288</v>
      </c>
      <c r="N176" s="6"/>
      <c r="O176" s="18">
        <v>41466</v>
      </c>
      <c r="P176" s="91">
        <v>0</v>
      </c>
      <c r="Q176" s="104"/>
      <c r="R176" s="104"/>
      <c r="S176" s="18">
        <v>41473</v>
      </c>
      <c r="T176" s="91">
        <v>1.1374700000000001E-5</v>
      </c>
      <c r="V176"/>
    </row>
    <row r="177" spans="2:22">
      <c r="B177" s="85">
        <v>41466</v>
      </c>
      <c r="C177" s="86">
        <v>0.38419434810000003</v>
      </c>
      <c r="D177" s="86">
        <f>VLOOKUP(CurrentMtgRatesDataTable825[[#This Row],[asofdate]],I:J,2,0)</f>
        <v>0.36389579640000003</v>
      </c>
      <c r="E177" s="86">
        <f>VLOOKUP(CurrentMtgRatesDataTable825[[#This Row],[asofdate]],O:P,2,0)</f>
        <v>0</v>
      </c>
      <c r="F177" s="87">
        <f ca="1">VLOOKUP(CurrentMtgRatesDataTable825[[#This Row],[asofdate]]+1,Bloomberg!B:C,2,0)</f>
        <v>2242.1999999999998</v>
      </c>
      <c r="I177" s="18">
        <v>41466</v>
      </c>
      <c r="J177" s="91">
        <v>0.36389579640000003</v>
      </c>
      <c r="K177" s="91">
        <f>VLOOKUP(CurrentMtgRatesDataTable82527141518[[#This Row],[asofdate]],O:P,2,0)</f>
        <v>0</v>
      </c>
      <c r="L177" s="91">
        <f>VLOOKUP(CurrentMtgRatesDataTable82527141518[[#This Row],[asofdate]],S:T,2,0)</f>
        <v>2.6485999999999999E-6</v>
      </c>
      <c r="M177" s="6">
        <f ca="1">VLOOKUP(CurrentMtgRatesDataTable82527141518[[#This Row],[asofdate]]+1,Bloomberg!B:C,2,0)</f>
        <v>2242.1999999999998</v>
      </c>
      <c r="N177" s="6"/>
      <c r="O177" s="18">
        <v>41458</v>
      </c>
      <c r="P177" s="91">
        <v>0</v>
      </c>
      <c r="Q177" s="104"/>
      <c r="R177" s="104"/>
      <c r="S177" s="18">
        <v>41466</v>
      </c>
      <c r="T177" s="91">
        <v>2.6485999999999999E-6</v>
      </c>
      <c r="V177"/>
    </row>
    <row r="178" spans="2:22">
      <c r="B178" s="85">
        <v>41458</v>
      </c>
      <c r="C178" s="86">
        <v>0.53319254169999997</v>
      </c>
      <c r="D178" s="86">
        <f>VLOOKUP(CurrentMtgRatesDataTable825[[#This Row],[asofdate]],I:J,2,0)</f>
        <v>0.47101926550000006</v>
      </c>
      <c r="E178" s="86">
        <f>VLOOKUP(CurrentMtgRatesDataTable825[[#This Row],[asofdate]],O:P,2,0)</f>
        <v>0</v>
      </c>
      <c r="F178" s="87" t="e">
        <f ca="1">VLOOKUP(CurrentMtgRatesDataTable825[[#This Row],[asofdate]]+1,Bloomberg!B:C,2,0)</f>
        <v>#N/A</v>
      </c>
      <c r="I178" s="18">
        <v>41458</v>
      </c>
      <c r="J178" s="91">
        <v>0.47101926550000006</v>
      </c>
      <c r="K178" s="91">
        <f>VLOOKUP(CurrentMtgRatesDataTable82527141518[[#This Row],[asofdate]],O:P,2,0)</f>
        <v>0</v>
      </c>
      <c r="L178" s="91">
        <f>VLOOKUP(CurrentMtgRatesDataTable82527141518[[#This Row],[asofdate]],S:T,2,0)</f>
        <v>2.4788900000000002E-5</v>
      </c>
      <c r="M178" s="6" t="e">
        <f ca="1">VLOOKUP(CurrentMtgRatesDataTable82527141518[[#This Row],[asofdate]]+1,Bloomberg!B:C,2,0)</f>
        <v>#N/A</v>
      </c>
      <c r="N178" s="6"/>
      <c r="O178" s="18">
        <v>41452</v>
      </c>
      <c r="P178" s="91">
        <v>0</v>
      </c>
      <c r="Q178" s="104"/>
      <c r="R178" s="104"/>
      <c r="S178" s="18">
        <v>41458</v>
      </c>
      <c r="T178" s="91">
        <v>2.4788900000000002E-5</v>
      </c>
      <c r="V178"/>
    </row>
    <row r="179" spans="2:22">
      <c r="B179" s="85">
        <v>41452</v>
      </c>
      <c r="C179" s="86">
        <v>0.41905135049999997</v>
      </c>
      <c r="D179" s="86">
        <f>VLOOKUP(CurrentMtgRatesDataTable825[[#This Row],[asofdate]],I:J,2,0)</f>
        <v>0.39165461709999999</v>
      </c>
      <c r="E179" s="86">
        <f>VLOOKUP(CurrentMtgRatesDataTable825[[#This Row],[asofdate]],O:P,2,0)</f>
        <v>0</v>
      </c>
      <c r="F179" s="87">
        <f ca="1">VLOOKUP(CurrentMtgRatesDataTable825[[#This Row],[asofdate]]+1,Bloomberg!B:C,2,0)</f>
        <v>2573.4</v>
      </c>
      <c r="I179" s="18">
        <v>41452</v>
      </c>
      <c r="J179" s="91">
        <v>0.39165461709999999</v>
      </c>
      <c r="K179" s="91">
        <f>VLOOKUP(CurrentMtgRatesDataTable82527141518[[#This Row],[asofdate]],O:P,2,0)</f>
        <v>0</v>
      </c>
      <c r="L179" s="91">
        <f>VLOOKUP(CurrentMtgRatesDataTable82527141518[[#This Row],[asofdate]],S:T,2,0)</f>
        <v>1.731E-6</v>
      </c>
      <c r="M179" s="6">
        <f ca="1">VLOOKUP(CurrentMtgRatesDataTable82527141518[[#This Row],[asofdate]]+1,Bloomberg!B:C,2,0)</f>
        <v>2573.4</v>
      </c>
      <c r="N179" s="6"/>
      <c r="O179" s="18">
        <v>41445</v>
      </c>
      <c r="P179" s="91">
        <v>0</v>
      </c>
      <c r="Q179" s="104"/>
      <c r="R179" s="104"/>
      <c r="S179" s="18">
        <v>41452</v>
      </c>
      <c r="T179" s="91">
        <v>1.731E-6</v>
      </c>
      <c r="V179"/>
    </row>
    <row r="180" spans="2:22">
      <c r="B180" s="85">
        <v>41445</v>
      </c>
      <c r="C180" s="86">
        <v>0.64225059019999997</v>
      </c>
      <c r="D180" s="86">
        <f>VLOOKUP(CurrentMtgRatesDataTable825[[#This Row],[asofdate]],I:J,2,0)</f>
        <v>0.58487392220000001</v>
      </c>
      <c r="E180" s="86">
        <f>VLOOKUP(CurrentMtgRatesDataTable825[[#This Row],[asofdate]],O:P,2,0)</f>
        <v>0</v>
      </c>
      <c r="F180" s="87">
        <f ca="1">VLOOKUP(CurrentMtgRatesDataTable825[[#This Row],[asofdate]]+1,Bloomberg!B:C,2,0)</f>
        <v>3040.1</v>
      </c>
      <c r="I180" s="18">
        <v>41445</v>
      </c>
      <c r="J180" s="91">
        <v>0.58487392220000001</v>
      </c>
      <c r="K180" s="91">
        <f>VLOOKUP(CurrentMtgRatesDataTable82527141518[[#This Row],[asofdate]],O:P,2,0)</f>
        <v>0</v>
      </c>
      <c r="L180" s="91">
        <f>VLOOKUP(CurrentMtgRatesDataTable82527141518[[#This Row],[asofdate]],S:T,2,0)</f>
        <v>1.097799E-4</v>
      </c>
      <c r="M180" s="6">
        <f ca="1">VLOOKUP(CurrentMtgRatesDataTable82527141518[[#This Row],[asofdate]]+1,Bloomberg!B:C,2,0)</f>
        <v>3040.1</v>
      </c>
      <c r="N180" s="6"/>
      <c r="O180" s="18">
        <v>41438</v>
      </c>
      <c r="P180" s="91">
        <v>0</v>
      </c>
      <c r="Q180" s="104"/>
      <c r="R180" s="104"/>
      <c r="S180" s="18">
        <v>41445</v>
      </c>
      <c r="T180" s="91">
        <v>1.097799E-4</v>
      </c>
      <c r="V180"/>
    </row>
    <row r="181" spans="2:22">
      <c r="B181" s="85">
        <v>41438</v>
      </c>
      <c r="C181" s="86">
        <v>0.63399052840000003</v>
      </c>
      <c r="D181" s="86">
        <f>VLOOKUP(CurrentMtgRatesDataTable825[[#This Row],[asofdate]],I:J,2,0)</f>
        <v>0.58336114490000002</v>
      </c>
      <c r="E181" s="86">
        <f>VLOOKUP(CurrentMtgRatesDataTable825[[#This Row],[asofdate]],O:P,2,0)</f>
        <v>0</v>
      </c>
      <c r="F181" s="87">
        <f ca="1">VLOOKUP(CurrentMtgRatesDataTable825[[#This Row],[asofdate]]+1,Bloomberg!B:C,2,0)</f>
        <v>3214.4</v>
      </c>
      <c r="I181" s="18">
        <v>41438</v>
      </c>
      <c r="J181" s="91">
        <v>0.58336114490000002</v>
      </c>
      <c r="K181" s="91">
        <f>VLOOKUP(CurrentMtgRatesDataTable82527141518[[#This Row],[asofdate]],O:P,2,0)</f>
        <v>0</v>
      </c>
      <c r="L181" s="91">
        <f>VLOOKUP(CurrentMtgRatesDataTable82527141518[[#This Row],[asofdate]],S:T,2,0)</f>
        <v>1.0584839999999999E-4</v>
      </c>
      <c r="M181" s="6">
        <f ca="1">VLOOKUP(CurrentMtgRatesDataTable82527141518[[#This Row],[asofdate]]+1,Bloomberg!B:C,2,0)</f>
        <v>3214.4</v>
      </c>
      <c r="N181" s="6"/>
      <c r="O181" s="18">
        <v>41431</v>
      </c>
      <c r="P181" s="91">
        <v>0</v>
      </c>
      <c r="Q181" s="104"/>
      <c r="R181" s="104"/>
      <c r="S181" s="18">
        <v>41438</v>
      </c>
      <c r="T181" s="91">
        <v>1.0584839999999999E-4</v>
      </c>
      <c r="V181"/>
    </row>
    <row r="182" spans="2:22">
      <c r="B182" s="85">
        <v>41431</v>
      </c>
      <c r="C182" s="86">
        <v>0.65588630510000001</v>
      </c>
      <c r="D182" s="86">
        <f>VLOOKUP(CurrentMtgRatesDataTable825[[#This Row],[asofdate]],I:J,2,0)</f>
        <v>0.60264990890000003</v>
      </c>
      <c r="E182" s="86">
        <f>VLOOKUP(CurrentMtgRatesDataTable825[[#This Row],[asofdate]],O:P,2,0)</f>
        <v>0</v>
      </c>
      <c r="F182" s="87">
        <f ca="1">VLOOKUP(CurrentMtgRatesDataTable825[[#This Row],[asofdate]]+1,Bloomberg!B:C,2,0)</f>
        <v>3339.8</v>
      </c>
      <c r="I182" s="18">
        <v>41431</v>
      </c>
      <c r="J182" s="91">
        <v>0.60264990890000003</v>
      </c>
      <c r="K182" s="91">
        <f>VLOOKUP(CurrentMtgRatesDataTable82527141518[[#This Row],[asofdate]],O:P,2,0)</f>
        <v>0</v>
      </c>
      <c r="L182" s="91">
        <f>VLOOKUP(CurrentMtgRatesDataTable82527141518[[#This Row],[asofdate]],S:T,2,0)</f>
        <v>1.4563609999999999E-4</v>
      </c>
      <c r="M182" s="6">
        <f ca="1">VLOOKUP(CurrentMtgRatesDataTable82527141518[[#This Row],[asofdate]]+1,Bloomberg!B:C,2,0)</f>
        <v>3339.8</v>
      </c>
      <c r="N182" s="6"/>
      <c r="O182" s="18">
        <v>41424</v>
      </c>
      <c r="P182" s="91">
        <v>0</v>
      </c>
      <c r="Q182" s="104"/>
      <c r="R182" s="104"/>
      <c r="S182" s="18">
        <v>41431</v>
      </c>
      <c r="T182" s="91">
        <v>1.4563609999999999E-4</v>
      </c>
      <c r="V182"/>
    </row>
    <row r="183" spans="2:22">
      <c r="B183" s="85">
        <v>41424</v>
      </c>
      <c r="C183" s="86">
        <v>0.70560329119999998</v>
      </c>
      <c r="D183" s="86">
        <f>VLOOKUP(CurrentMtgRatesDataTable825[[#This Row],[asofdate]],I:J,2,0)</f>
        <v>0.64136812509999996</v>
      </c>
      <c r="E183" s="86">
        <f>VLOOKUP(CurrentMtgRatesDataTable825[[#This Row],[asofdate]],O:P,2,0)</f>
        <v>0</v>
      </c>
      <c r="F183" s="87">
        <f ca="1">VLOOKUP(CurrentMtgRatesDataTable825[[#This Row],[asofdate]]+1,Bloomberg!B:C,2,0)</f>
        <v>3163.6</v>
      </c>
      <c r="I183" s="18">
        <v>41424</v>
      </c>
      <c r="J183" s="91">
        <v>0.64136812509999996</v>
      </c>
      <c r="K183" s="91">
        <f>VLOOKUP(CurrentMtgRatesDataTable82527141518[[#This Row],[asofdate]],O:P,2,0)</f>
        <v>0</v>
      </c>
      <c r="L183" s="91">
        <f>VLOOKUP(CurrentMtgRatesDataTable82527141518[[#This Row],[asofdate]],S:T,2,0)</f>
        <v>1.8729679999999999E-4</v>
      </c>
      <c r="M183" s="6">
        <f ca="1">VLOOKUP(CurrentMtgRatesDataTable82527141518[[#This Row],[asofdate]]+1,Bloomberg!B:C,2,0)</f>
        <v>3163.6</v>
      </c>
      <c r="N183" s="6"/>
      <c r="O183" s="18">
        <v>41417</v>
      </c>
      <c r="P183" s="91">
        <v>0</v>
      </c>
      <c r="Q183" s="104"/>
      <c r="R183" s="104"/>
      <c r="S183" s="18">
        <v>41424</v>
      </c>
      <c r="T183" s="91">
        <v>1.8729679999999999E-4</v>
      </c>
      <c r="V183"/>
    </row>
    <row r="184" spans="2:22">
      <c r="B184" s="85">
        <v>41417</v>
      </c>
      <c r="C184" s="86">
        <v>0.74422638649999995</v>
      </c>
      <c r="D184" s="86">
        <f>VLOOKUP(CurrentMtgRatesDataTable825[[#This Row],[asofdate]],I:J,2,0)</f>
        <v>0.70907111909999998</v>
      </c>
      <c r="E184" s="86">
        <f>VLOOKUP(CurrentMtgRatesDataTable825[[#This Row],[asofdate]],O:P,2,0)</f>
        <v>0</v>
      </c>
      <c r="F184" s="87">
        <f ca="1">VLOOKUP(CurrentMtgRatesDataTable825[[#This Row],[asofdate]]+1,Bloomberg!B:C,2,0)</f>
        <v>3709.4</v>
      </c>
      <c r="I184" s="18">
        <v>41417</v>
      </c>
      <c r="J184" s="91">
        <v>0.70907111909999998</v>
      </c>
      <c r="K184" s="91">
        <f>VLOOKUP(CurrentMtgRatesDataTable82527141518[[#This Row],[asofdate]],O:P,2,0)</f>
        <v>0</v>
      </c>
      <c r="L184" s="91">
        <f>VLOOKUP(CurrentMtgRatesDataTable82527141518[[#This Row],[asofdate]],S:T,2,0)</f>
        <v>8.693657E-4</v>
      </c>
      <c r="M184" s="6">
        <f ca="1">VLOOKUP(CurrentMtgRatesDataTable82527141518[[#This Row],[asofdate]]+1,Bloomberg!B:C,2,0)</f>
        <v>3709.4</v>
      </c>
      <c r="N184" s="6"/>
      <c r="O184" s="18">
        <v>41410</v>
      </c>
      <c r="P184" s="91">
        <v>0</v>
      </c>
      <c r="Q184" s="104"/>
      <c r="R184" s="104"/>
      <c r="S184" s="18">
        <v>41417</v>
      </c>
      <c r="T184" s="91">
        <v>8.693657E-4</v>
      </c>
      <c r="V184"/>
    </row>
    <row r="185" spans="2:22">
      <c r="B185" s="85">
        <v>41410</v>
      </c>
      <c r="C185" s="86">
        <v>0.77052889550000003</v>
      </c>
      <c r="D185" s="86">
        <f>VLOOKUP(CurrentMtgRatesDataTable825[[#This Row],[asofdate]],I:J,2,0)</f>
        <v>0.74298206099999997</v>
      </c>
      <c r="E185" s="86">
        <f>VLOOKUP(CurrentMtgRatesDataTable825[[#This Row],[asofdate]],O:P,2,0)</f>
        <v>0</v>
      </c>
      <c r="F185" s="87">
        <f ca="1">VLOOKUP(CurrentMtgRatesDataTable825[[#This Row],[asofdate]]+1,Bloomberg!B:C,2,0)</f>
        <v>4241.5</v>
      </c>
      <c r="I185" s="18">
        <v>41410</v>
      </c>
      <c r="J185" s="91">
        <v>0.74298206099999997</v>
      </c>
      <c r="K185" s="91">
        <f>VLOOKUP(CurrentMtgRatesDataTable82527141518[[#This Row],[asofdate]],O:P,2,0)</f>
        <v>0</v>
      </c>
      <c r="L185" s="91">
        <f>VLOOKUP(CurrentMtgRatesDataTable82527141518[[#This Row],[asofdate]],S:T,2,0)</f>
        <v>3.7372027E-3</v>
      </c>
      <c r="M185" s="6">
        <f ca="1">VLOOKUP(CurrentMtgRatesDataTable82527141518[[#This Row],[asofdate]]+1,Bloomberg!B:C,2,0)</f>
        <v>4241.5</v>
      </c>
      <c r="N185" s="6"/>
      <c r="O185" s="18">
        <v>41403</v>
      </c>
      <c r="P185" s="91">
        <v>0</v>
      </c>
      <c r="Q185" s="104"/>
      <c r="R185" s="104"/>
      <c r="S185" s="18">
        <v>41410</v>
      </c>
      <c r="T185" s="91">
        <v>3.7372027E-3</v>
      </c>
      <c r="V185"/>
    </row>
    <row r="186" spans="2:22">
      <c r="B186" s="85">
        <v>41403</v>
      </c>
      <c r="C186" s="86">
        <v>0.83206605730000005</v>
      </c>
      <c r="D186" s="86">
        <f>VLOOKUP(CurrentMtgRatesDataTable825[[#This Row],[asofdate]],I:J,2,0)</f>
        <v>0.77243230529999996</v>
      </c>
      <c r="E186" s="86">
        <f>VLOOKUP(CurrentMtgRatesDataTable825[[#This Row],[asofdate]],O:P,2,0)</f>
        <v>0</v>
      </c>
      <c r="F186" s="87">
        <f ca="1">VLOOKUP(CurrentMtgRatesDataTable825[[#This Row],[asofdate]]+1,Bloomberg!B:C,2,0)</f>
        <v>4797.2</v>
      </c>
      <c r="I186" s="18">
        <v>41403</v>
      </c>
      <c r="J186" s="91">
        <v>0.77243230529999996</v>
      </c>
      <c r="K186" s="91">
        <f>VLOOKUP(CurrentMtgRatesDataTable82527141518[[#This Row],[asofdate]],O:P,2,0)</f>
        <v>0</v>
      </c>
      <c r="L186" s="91">
        <f>VLOOKUP(CurrentMtgRatesDataTable82527141518[[#This Row],[asofdate]],S:T,2,0)</f>
        <v>9.1322767000000006E-3</v>
      </c>
      <c r="M186" s="6">
        <f ca="1">VLOOKUP(CurrentMtgRatesDataTable82527141518[[#This Row],[asofdate]]+1,Bloomberg!B:C,2,0)</f>
        <v>4797.2</v>
      </c>
      <c r="N186" s="6"/>
      <c r="O186" s="18">
        <v>41396</v>
      </c>
      <c r="P186" s="91">
        <v>5.2293966000000001E-3</v>
      </c>
      <c r="Q186" s="104"/>
      <c r="R186" s="104"/>
      <c r="S186" s="18">
        <v>41403</v>
      </c>
      <c r="T186" s="91">
        <v>9.1322767000000006E-3</v>
      </c>
      <c r="V186"/>
    </row>
    <row r="187" spans="2:22">
      <c r="B187" s="85">
        <v>41396</v>
      </c>
      <c r="C187" s="86">
        <v>0.84815010540000002</v>
      </c>
      <c r="D187" s="86">
        <f>VLOOKUP(CurrentMtgRatesDataTable825[[#This Row],[asofdate]],I:J,2,0)</f>
        <v>0.79686832949999997</v>
      </c>
      <c r="E187" s="86">
        <f>VLOOKUP(CurrentMtgRatesDataTable825[[#This Row],[asofdate]],O:P,2,0)</f>
        <v>5.2293966000000001E-3</v>
      </c>
      <c r="F187" s="87">
        <f ca="1">VLOOKUP(CurrentMtgRatesDataTable825[[#This Row],[asofdate]]+1,Bloomberg!B:C,2,0)</f>
        <v>5279.9</v>
      </c>
      <c r="I187" s="18">
        <v>41396</v>
      </c>
      <c r="J187" s="91">
        <v>0.79686832949999997</v>
      </c>
      <c r="K187" s="91">
        <f>VLOOKUP(CurrentMtgRatesDataTable82527141518[[#This Row],[asofdate]],O:P,2,0)</f>
        <v>5.2293966000000001E-3</v>
      </c>
      <c r="L187" s="91">
        <f>VLOOKUP(CurrentMtgRatesDataTable82527141518[[#This Row],[asofdate]],S:T,2,0)</f>
        <v>0.79671017649999998</v>
      </c>
      <c r="M187" s="6">
        <f ca="1">VLOOKUP(CurrentMtgRatesDataTable82527141518[[#This Row],[asofdate]]+1,Bloomberg!B:C,2,0)</f>
        <v>5279.9</v>
      </c>
      <c r="N187" s="6"/>
      <c r="O187" s="18">
        <v>41389</v>
      </c>
      <c r="P187" s="91">
        <v>0</v>
      </c>
      <c r="Q187" s="104"/>
      <c r="R187" s="104"/>
      <c r="S187" s="18">
        <v>41396</v>
      </c>
      <c r="T187" s="91">
        <v>0.79671017649999998</v>
      </c>
      <c r="V187"/>
    </row>
    <row r="188" spans="2:22">
      <c r="B188" s="85">
        <v>41389</v>
      </c>
      <c r="C188" s="86">
        <v>0.85248188820000004</v>
      </c>
      <c r="D188" s="86">
        <f>VLOOKUP(CurrentMtgRatesDataTable825[[#This Row],[asofdate]],I:J,2,0)</f>
        <v>0.78999699400000001</v>
      </c>
      <c r="E188" s="86">
        <f>VLOOKUP(CurrentMtgRatesDataTable825[[#This Row],[asofdate]],O:P,2,0)</f>
        <v>0</v>
      </c>
      <c r="F188" s="87">
        <f ca="1">VLOOKUP(CurrentMtgRatesDataTable825[[#This Row],[asofdate]]+1,Bloomberg!B:C,2,0)</f>
        <v>4854.1000000000004</v>
      </c>
      <c r="I188" s="18">
        <v>41389</v>
      </c>
      <c r="J188" s="91">
        <v>0.78999699400000001</v>
      </c>
      <c r="K188" s="91">
        <f>VLOOKUP(CurrentMtgRatesDataTable82527141518[[#This Row],[asofdate]],O:P,2,0)</f>
        <v>0</v>
      </c>
      <c r="L188" s="91">
        <f>VLOOKUP(CurrentMtgRatesDataTable82527141518[[#This Row],[asofdate]],S:T,2,0)</f>
        <v>6.9385708000000001E-3</v>
      </c>
      <c r="M188" s="6">
        <f ca="1">VLOOKUP(CurrentMtgRatesDataTable82527141518[[#This Row],[asofdate]]+1,Bloomberg!B:C,2,0)</f>
        <v>4854.1000000000004</v>
      </c>
      <c r="N188" s="6"/>
      <c r="O188" s="18">
        <v>41382</v>
      </c>
      <c r="P188" s="91">
        <v>2.1059732999999998E-3</v>
      </c>
      <c r="Q188" s="104"/>
      <c r="R188" s="104"/>
      <c r="S188" s="18">
        <v>41389</v>
      </c>
      <c r="T188" s="91">
        <v>6.9385708000000001E-3</v>
      </c>
      <c r="V188"/>
    </row>
    <row r="189" spans="2:22">
      <c r="B189" s="85">
        <v>41382</v>
      </c>
      <c r="C189" s="86">
        <v>0.85701176970000004</v>
      </c>
      <c r="D189" s="86">
        <f>VLOOKUP(CurrentMtgRatesDataTable825[[#This Row],[asofdate]],I:J,2,0)</f>
        <v>0.79094335059999998</v>
      </c>
      <c r="E189" s="86">
        <f>VLOOKUP(CurrentMtgRatesDataTable825[[#This Row],[asofdate]],O:P,2,0)</f>
        <v>2.1059732999999998E-3</v>
      </c>
      <c r="F189" s="87">
        <f ca="1">VLOOKUP(CurrentMtgRatesDataTable825[[#This Row],[asofdate]]+1,Bloomberg!B:C,2,0)</f>
        <v>4672.1000000000004</v>
      </c>
      <c r="I189" s="18">
        <v>41382</v>
      </c>
      <c r="J189" s="91">
        <v>0.79094335059999998</v>
      </c>
      <c r="K189" s="91">
        <f>VLOOKUP(CurrentMtgRatesDataTable82527141518[[#This Row],[asofdate]],O:P,2,0)</f>
        <v>2.1059732999999998E-3</v>
      </c>
      <c r="L189" s="91">
        <f>VLOOKUP(CurrentMtgRatesDataTable82527141518[[#This Row],[asofdate]],S:T,2,0)</f>
        <v>1.0720968000000001E-2</v>
      </c>
      <c r="M189" s="6">
        <f ca="1">VLOOKUP(CurrentMtgRatesDataTable82527141518[[#This Row],[asofdate]]+1,Bloomberg!B:C,2,0)</f>
        <v>4672.1000000000004</v>
      </c>
      <c r="N189" s="6"/>
      <c r="O189" s="18">
        <v>41375</v>
      </c>
      <c r="P189" s="91">
        <v>1.4715691000000001E-3</v>
      </c>
      <c r="Q189" s="104"/>
      <c r="R189" s="104"/>
      <c r="S189" s="18">
        <v>41382</v>
      </c>
      <c r="T189" s="91">
        <v>1.0720968000000001E-2</v>
      </c>
      <c r="V189"/>
    </row>
    <row r="190" spans="2:22">
      <c r="B190" s="85">
        <v>41375</v>
      </c>
      <c r="C190" s="86">
        <v>0.8378961063</v>
      </c>
      <c r="D190" s="86">
        <f>VLOOKUP(CurrentMtgRatesDataTable825[[#This Row],[asofdate]],I:J,2,0)</f>
        <v>0.76837408689999998</v>
      </c>
      <c r="E190" s="86">
        <f>VLOOKUP(CurrentMtgRatesDataTable825[[#This Row],[asofdate]],O:P,2,0)</f>
        <v>1.4715691000000001E-3</v>
      </c>
      <c r="F190" s="87">
        <f ca="1">VLOOKUP(CurrentMtgRatesDataTable825[[#This Row],[asofdate]]+1,Bloomberg!B:C,2,0)</f>
        <v>4726.8999999999996</v>
      </c>
      <c r="I190" s="18">
        <v>41375</v>
      </c>
      <c r="J190" s="91">
        <v>0.76837408689999998</v>
      </c>
      <c r="K190" s="91">
        <f>VLOOKUP(CurrentMtgRatesDataTable82527141518[[#This Row],[asofdate]],O:P,2,0)</f>
        <v>1.4715691000000001E-3</v>
      </c>
      <c r="L190" s="91">
        <f>VLOOKUP(CurrentMtgRatesDataTable82527141518[[#This Row],[asofdate]],S:T,2,0)</f>
        <v>4.8411004999999998E-3</v>
      </c>
      <c r="M190" s="6">
        <f ca="1">VLOOKUP(CurrentMtgRatesDataTable82527141518[[#This Row],[asofdate]]+1,Bloomberg!B:C,2,0)</f>
        <v>4726.8999999999996</v>
      </c>
      <c r="N190" s="6"/>
      <c r="O190" s="18">
        <v>41368</v>
      </c>
      <c r="P190" s="91">
        <v>0</v>
      </c>
      <c r="Q190" s="104"/>
      <c r="R190" s="104"/>
      <c r="S190" s="18">
        <v>41375</v>
      </c>
      <c r="T190" s="91">
        <v>4.8411004999999998E-3</v>
      </c>
      <c r="V190"/>
    </row>
    <row r="191" spans="2:22">
      <c r="B191" s="85">
        <v>41368</v>
      </c>
      <c r="C191" s="86">
        <v>0.77384529670000002</v>
      </c>
      <c r="D191" s="86">
        <f>VLOOKUP(CurrentMtgRatesDataTable825[[#This Row],[asofdate]],I:J,2,0)</f>
        <v>0.74351076270000005</v>
      </c>
      <c r="E191" s="86">
        <f>VLOOKUP(CurrentMtgRatesDataTable825[[#This Row],[asofdate]],O:P,2,0)</f>
        <v>0</v>
      </c>
      <c r="F191" s="87">
        <f ca="1">VLOOKUP(CurrentMtgRatesDataTable825[[#This Row],[asofdate]]+1,Bloomberg!B:C,2,0)</f>
        <v>4528.8999999999996</v>
      </c>
      <c r="I191" s="18">
        <v>41368</v>
      </c>
      <c r="J191" s="91">
        <v>0.74351076270000005</v>
      </c>
      <c r="K191" s="91">
        <f>VLOOKUP(CurrentMtgRatesDataTable82527141518[[#This Row],[asofdate]],O:P,2,0)</f>
        <v>0</v>
      </c>
      <c r="L191" s="91">
        <f>VLOOKUP(CurrentMtgRatesDataTable82527141518[[#This Row],[asofdate]],S:T,2,0)</f>
        <v>1.8700698000000001E-3</v>
      </c>
      <c r="M191" s="6">
        <f ca="1">VLOOKUP(CurrentMtgRatesDataTable82527141518[[#This Row],[asofdate]]+1,Bloomberg!B:C,2,0)</f>
        <v>4528.8999999999996</v>
      </c>
      <c r="N191" s="6"/>
      <c r="O191" s="18">
        <v>41361</v>
      </c>
      <c r="P191" s="91">
        <v>0</v>
      </c>
      <c r="Q191" s="104"/>
      <c r="R191" s="104"/>
      <c r="S191" s="18">
        <v>41368</v>
      </c>
      <c r="T191" s="91">
        <v>1.8700698000000001E-3</v>
      </c>
      <c r="V191"/>
    </row>
    <row r="192" spans="2:22">
      <c r="B192" s="85">
        <v>41361</v>
      </c>
      <c r="C192" s="86">
        <v>0.79003622439999999</v>
      </c>
      <c r="D192" s="86">
        <f>VLOOKUP(CurrentMtgRatesDataTable825[[#This Row],[asofdate]],I:J,2,0)</f>
        <v>0.74832071290000002</v>
      </c>
      <c r="E192" s="86">
        <f>VLOOKUP(CurrentMtgRatesDataTable825[[#This Row],[asofdate]],O:P,2,0)</f>
        <v>0</v>
      </c>
      <c r="F192" s="87">
        <f ca="1">VLOOKUP(CurrentMtgRatesDataTable825[[#This Row],[asofdate]]+1,Bloomberg!B:C,2,0)</f>
        <v>4119.2</v>
      </c>
      <c r="I192" s="18">
        <v>41361</v>
      </c>
      <c r="J192" s="91">
        <v>0.74832071290000002</v>
      </c>
      <c r="K192" s="91">
        <f>VLOOKUP(CurrentMtgRatesDataTable82527141518[[#This Row],[asofdate]],O:P,2,0)</f>
        <v>0</v>
      </c>
      <c r="L192" s="91">
        <f>VLOOKUP(CurrentMtgRatesDataTable82527141518[[#This Row],[asofdate]],S:T,2,0)</f>
        <v>8.0177180000000001E-4</v>
      </c>
      <c r="M192" s="6">
        <f ca="1">VLOOKUP(CurrentMtgRatesDataTable82527141518[[#This Row],[asofdate]]+1,Bloomberg!B:C,2,0)</f>
        <v>4119.2</v>
      </c>
      <c r="N192" s="6"/>
      <c r="O192" s="18">
        <v>41354</v>
      </c>
      <c r="P192" s="91">
        <v>0</v>
      </c>
      <c r="Q192" s="104"/>
      <c r="R192" s="104"/>
      <c r="S192" s="18">
        <v>41361</v>
      </c>
      <c r="T192" s="91">
        <v>8.0177180000000001E-4</v>
      </c>
      <c r="V192"/>
    </row>
    <row r="193" spans="2:22">
      <c r="B193" s="85">
        <v>41354</v>
      </c>
      <c r="C193" s="86">
        <v>0.7957816351</v>
      </c>
      <c r="D193" s="86">
        <f>VLOOKUP(CurrentMtgRatesDataTable825[[#This Row],[asofdate]],I:J,2,0)</f>
        <v>0.76428627579999997</v>
      </c>
      <c r="E193" s="86">
        <f>VLOOKUP(CurrentMtgRatesDataTable825[[#This Row],[asofdate]],O:P,2,0)</f>
        <v>0</v>
      </c>
      <c r="F193" s="87">
        <f ca="1">VLOOKUP(CurrentMtgRatesDataTable825[[#This Row],[asofdate]]+1,Bloomberg!B:C,2,0)</f>
        <v>4412.8999999999996</v>
      </c>
      <c r="I193" s="18">
        <v>41354</v>
      </c>
      <c r="J193" s="91">
        <v>0.76428627579999997</v>
      </c>
      <c r="K193" s="91">
        <f>VLOOKUP(CurrentMtgRatesDataTable82527141518[[#This Row],[asofdate]],O:P,2,0)</f>
        <v>0</v>
      </c>
      <c r="L193" s="91">
        <f>VLOOKUP(CurrentMtgRatesDataTable82527141518[[#This Row],[asofdate]],S:T,2,0)</f>
        <v>1.1878606E-3</v>
      </c>
      <c r="M193" s="6">
        <f ca="1">VLOOKUP(CurrentMtgRatesDataTable82527141518[[#This Row],[asofdate]]+1,Bloomberg!B:C,2,0)</f>
        <v>4412.8999999999996</v>
      </c>
      <c r="N193" s="6"/>
      <c r="O193" s="18">
        <v>41347</v>
      </c>
      <c r="P193" s="91">
        <v>0</v>
      </c>
      <c r="Q193" s="104"/>
      <c r="R193" s="104"/>
      <c r="S193" s="18">
        <v>41354</v>
      </c>
      <c r="T193" s="91">
        <v>1.1878606E-3</v>
      </c>
      <c r="V193"/>
    </row>
    <row r="194" spans="2:22">
      <c r="B194" s="85">
        <v>41347</v>
      </c>
      <c r="C194" s="86">
        <v>0.77394611589999995</v>
      </c>
      <c r="D194" s="86">
        <f>VLOOKUP(CurrentMtgRatesDataTable825[[#This Row],[asofdate]],I:J,2,0)</f>
        <v>0.73420571180000005</v>
      </c>
      <c r="E194" s="86">
        <f>VLOOKUP(CurrentMtgRatesDataTable825[[#This Row],[asofdate]],O:P,2,0)</f>
        <v>0</v>
      </c>
      <c r="F194" s="87">
        <f ca="1">VLOOKUP(CurrentMtgRatesDataTable825[[#This Row],[asofdate]]+1,Bloomberg!B:C,2,0)</f>
        <v>4111.3</v>
      </c>
      <c r="I194" s="18">
        <v>41347</v>
      </c>
      <c r="J194" s="91">
        <v>0.73420571180000005</v>
      </c>
      <c r="K194" s="91">
        <f>VLOOKUP(CurrentMtgRatesDataTable82527141518[[#This Row],[asofdate]],O:P,2,0)</f>
        <v>0</v>
      </c>
      <c r="L194" s="91">
        <f>VLOOKUP(CurrentMtgRatesDataTable82527141518[[#This Row],[asofdate]],S:T,2,0)</f>
        <v>5.728234E-4</v>
      </c>
      <c r="M194" s="6">
        <f ca="1">VLOOKUP(CurrentMtgRatesDataTable82527141518[[#This Row],[asofdate]]+1,Bloomberg!B:C,2,0)</f>
        <v>4111.3</v>
      </c>
      <c r="N194" s="6"/>
      <c r="O194" s="18">
        <v>41340</v>
      </c>
      <c r="P194" s="91">
        <v>4.1444319999999998E-4</v>
      </c>
      <c r="Q194" s="104"/>
      <c r="R194" s="104"/>
      <c r="S194" s="18">
        <v>41347</v>
      </c>
      <c r="T194" s="91">
        <v>5.728234E-4</v>
      </c>
      <c r="V194"/>
    </row>
    <row r="195" spans="2:22">
      <c r="B195" s="85">
        <v>41340</v>
      </c>
      <c r="C195" s="86">
        <v>0.81171450180000004</v>
      </c>
      <c r="D195" s="86">
        <f>VLOOKUP(CurrentMtgRatesDataTable825[[#This Row],[asofdate]],I:J,2,0)</f>
        <v>0.76834204949999996</v>
      </c>
      <c r="E195" s="86">
        <f>VLOOKUP(CurrentMtgRatesDataTable825[[#This Row],[asofdate]],O:P,2,0)</f>
        <v>4.1444319999999998E-4</v>
      </c>
      <c r="F195" s="87">
        <f ca="1">VLOOKUP(CurrentMtgRatesDataTable825[[#This Row],[asofdate]]+1,Bloomberg!B:C,2,0)</f>
        <v>4485.2</v>
      </c>
      <c r="I195" s="18">
        <v>41340</v>
      </c>
      <c r="J195" s="91">
        <v>0.76834204949999996</v>
      </c>
      <c r="K195" s="91">
        <f>VLOOKUP(CurrentMtgRatesDataTable82527141518[[#This Row],[asofdate]],O:P,2,0)</f>
        <v>4.1444319999999998E-4</v>
      </c>
      <c r="L195" s="91">
        <f>VLOOKUP(CurrentMtgRatesDataTable82527141518[[#This Row],[asofdate]],S:T,2,0)</f>
        <v>2.7074109999999998E-3</v>
      </c>
      <c r="M195" s="6">
        <f ca="1">VLOOKUP(CurrentMtgRatesDataTable82527141518[[#This Row],[asofdate]]+1,Bloomberg!B:C,2,0)</f>
        <v>4485.2</v>
      </c>
      <c r="N195" s="6"/>
      <c r="O195" s="18">
        <v>41333</v>
      </c>
      <c r="P195" s="91">
        <v>1.7306500000000001E-5</v>
      </c>
      <c r="Q195" s="104"/>
      <c r="R195" s="104"/>
      <c r="S195" s="18">
        <v>41340</v>
      </c>
      <c r="T195" s="91">
        <v>2.7074109999999998E-3</v>
      </c>
      <c r="V195"/>
    </row>
    <row r="196" spans="2:22">
      <c r="B196" s="85">
        <v>41333</v>
      </c>
      <c r="C196" s="86">
        <v>0.8270727792</v>
      </c>
      <c r="D196" s="86">
        <f>VLOOKUP(CurrentMtgRatesDataTable825[[#This Row],[asofdate]],I:J,2,0)</f>
        <v>0.7869967283</v>
      </c>
      <c r="E196" s="86">
        <f>VLOOKUP(CurrentMtgRatesDataTable825[[#This Row],[asofdate]],O:P,2,0)</f>
        <v>1.7306500000000001E-5</v>
      </c>
      <c r="F196" s="87">
        <f ca="1">VLOOKUP(CurrentMtgRatesDataTable825[[#This Row],[asofdate]]+1,Bloomberg!B:C,2,0)</f>
        <v>4724.8999999999996</v>
      </c>
      <c r="I196" s="18">
        <v>41333</v>
      </c>
      <c r="J196" s="91">
        <v>0.7869967283</v>
      </c>
      <c r="K196" s="91">
        <f>VLOOKUP(CurrentMtgRatesDataTable82527141518[[#This Row],[asofdate]],O:P,2,0)</f>
        <v>1.7306500000000001E-5</v>
      </c>
      <c r="L196" s="91">
        <f>VLOOKUP(CurrentMtgRatesDataTable82527141518[[#This Row],[asofdate]],S:T,2,0)</f>
        <v>1.8279983000000001E-3</v>
      </c>
      <c r="M196" s="6">
        <f ca="1">VLOOKUP(CurrentMtgRatesDataTable82527141518[[#This Row],[asofdate]]+1,Bloomberg!B:C,2,0)</f>
        <v>4724.8999999999996</v>
      </c>
      <c r="N196" s="6"/>
      <c r="O196" s="18">
        <v>41326</v>
      </c>
      <c r="P196" s="91">
        <v>0</v>
      </c>
      <c r="Q196" s="104"/>
      <c r="R196" s="104"/>
      <c r="S196" s="18">
        <v>41333</v>
      </c>
      <c r="T196" s="91">
        <v>1.8279983000000001E-3</v>
      </c>
      <c r="V196"/>
    </row>
    <row r="197" spans="2:22">
      <c r="B197" s="85">
        <v>41326</v>
      </c>
      <c r="C197" s="86">
        <v>0.81160085719999997</v>
      </c>
      <c r="D197" s="86">
        <f>VLOOKUP(CurrentMtgRatesDataTable825[[#This Row],[asofdate]],I:J,2,0)</f>
        <v>0.76942029720000005</v>
      </c>
      <c r="E197" s="86">
        <f>VLOOKUP(CurrentMtgRatesDataTable825[[#This Row],[asofdate]],O:P,2,0)</f>
        <v>0</v>
      </c>
      <c r="F197" s="87">
        <f ca="1">VLOOKUP(CurrentMtgRatesDataTable825[[#This Row],[asofdate]]+1,Bloomberg!B:C,2,0)</f>
        <v>4136.3</v>
      </c>
      <c r="I197" s="18">
        <v>41326</v>
      </c>
      <c r="J197" s="91">
        <v>0.76942029720000005</v>
      </c>
      <c r="K197" s="91">
        <f>VLOOKUP(CurrentMtgRatesDataTable82527141518[[#This Row],[asofdate]],O:P,2,0)</f>
        <v>0</v>
      </c>
      <c r="L197" s="91">
        <f>VLOOKUP(CurrentMtgRatesDataTable82527141518[[#This Row],[asofdate]],S:T,2,0)</f>
        <v>1.1744309000000001E-3</v>
      </c>
      <c r="M197" s="6">
        <f ca="1">VLOOKUP(CurrentMtgRatesDataTable82527141518[[#This Row],[asofdate]]+1,Bloomberg!B:C,2,0)</f>
        <v>4136.3</v>
      </c>
      <c r="N197" s="6"/>
      <c r="O197" s="18">
        <v>41319</v>
      </c>
      <c r="P197" s="91">
        <v>0</v>
      </c>
      <c r="Q197" s="104"/>
      <c r="R197" s="104"/>
      <c r="S197" s="18">
        <v>41326</v>
      </c>
      <c r="T197" s="91">
        <v>1.1744309000000001E-3</v>
      </c>
      <c r="V197"/>
    </row>
    <row r="198" spans="2:22">
      <c r="B198" s="85">
        <v>41319</v>
      </c>
      <c r="C198" s="86">
        <v>0.81835686620000003</v>
      </c>
      <c r="D198" s="86">
        <f>VLOOKUP(CurrentMtgRatesDataTable825[[#This Row],[asofdate]],I:J,2,0)</f>
        <v>0.78596707669999999</v>
      </c>
      <c r="E198" s="86">
        <f>VLOOKUP(CurrentMtgRatesDataTable825[[#This Row],[asofdate]],O:P,2,0)</f>
        <v>0</v>
      </c>
      <c r="F198" s="87">
        <f ca="1">VLOOKUP(CurrentMtgRatesDataTable825[[#This Row],[asofdate]]+1,Bloomberg!B:C,2,0)</f>
        <v>4261.8</v>
      </c>
      <c r="I198" s="18">
        <v>41319</v>
      </c>
      <c r="J198" s="91">
        <v>0.78596707669999999</v>
      </c>
      <c r="K198" s="91">
        <f>VLOOKUP(CurrentMtgRatesDataTable82527141518[[#This Row],[asofdate]],O:P,2,0)</f>
        <v>0</v>
      </c>
      <c r="L198" s="91">
        <f>VLOOKUP(CurrentMtgRatesDataTable82527141518[[#This Row],[asofdate]],S:T,2,0)</f>
        <v>1.8188139000000002E-3</v>
      </c>
      <c r="M198" s="6">
        <f ca="1">VLOOKUP(CurrentMtgRatesDataTable82527141518[[#This Row],[asofdate]]+1,Bloomberg!B:C,2,0)</f>
        <v>4261.8</v>
      </c>
      <c r="N198" s="6"/>
      <c r="O198" s="18">
        <v>41312</v>
      </c>
      <c r="P198" s="91">
        <v>0</v>
      </c>
      <c r="Q198" s="104"/>
      <c r="R198" s="104"/>
      <c r="S198" s="18">
        <v>41319</v>
      </c>
      <c r="T198" s="91">
        <v>1.8188139000000002E-3</v>
      </c>
      <c r="V198"/>
    </row>
    <row r="199" spans="2:22">
      <c r="B199" s="85">
        <v>41312</v>
      </c>
      <c r="C199" s="86">
        <v>0.81835686620000003</v>
      </c>
      <c r="D199" s="86">
        <f>VLOOKUP(CurrentMtgRatesDataTable825[[#This Row],[asofdate]],I:J,2,0)</f>
        <v>0.78596707669999999</v>
      </c>
      <c r="E199" s="86">
        <f>VLOOKUP(CurrentMtgRatesDataTable825[[#This Row],[asofdate]],O:P,2,0)</f>
        <v>0</v>
      </c>
      <c r="F199" s="87">
        <f ca="1">VLOOKUP(CurrentMtgRatesDataTable825[[#This Row],[asofdate]]+1,Bloomberg!B:C,2,0)</f>
        <v>4284.3</v>
      </c>
      <c r="I199" s="18">
        <v>41312</v>
      </c>
      <c r="J199" s="91">
        <v>0.78596707669999999</v>
      </c>
      <c r="K199" s="91">
        <f>VLOOKUP(CurrentMtgRatesDataTable82527141518[[#This Row],[asofdate]],O:P,2,0)</f>
        <v>0</v>
      </c>
      <c r="L199" s="91">
        <f>VLOOKUP(CurrentMtgRatesDataTable82527141518[[#This Row],[asofdate]],S:T,2,0)</f>
        <v>1.8016234000000002E-3</v>
      </c>
      <c r="M199" s="6">
        <f ca="1">VLOOKUP(CurrentMtgRatesDataTable82527141518[[#This Row],[asofdate]]+1,Bloomberg!B:C,2,0)</f>
        <v>4284.3</v>
      </c>
      <c r="N199" s="6"/>
      <c r="O199" s="18">
        <v>41305</v>
      </c>
      <c r="P199" s="91">
        <v>0</v>
      </c>
      <c r="Q199" s="104"/>
      <c r="R199" s="104"/>
      <c r="S199" s="18">
        <v>41312</v>
      </c>
      <c r="T199" s="91">
        <v>1.8016234000000002E-3</v>
      </c>
      <c r="V199"/>
    </row>
    <row r="200" spans="2:22">
      <c r="B200" s="85">
        <v>41305</v>
      </c>
      <c r="C200" s="86">
        <v>0.84241989009999996</v>
      </c>
      <c r="D200" s="86">
        <f>VLOOKUP(CurrentMtgRatesDataTable825[[#This Row],[asofdate]],I:J,2,0)</f>
        <v>0.80135399939999996</v>
      </c>
      <c r="E200" s="86">
        <f>VLOOKUP(CurrentMtgRatesDataTable825[[#This Row],[asofdate]],O:P,2,0)</f>
        <v>0</v>
      </c>
      <c r="F200" s="87">
        <f ca="1">VLOOKUP(CurrentMtgRatesDataTable825[[#This Row],[asofdate]]+1,Bloomberg!B:C,2,0)</f>
        <v>4579</v>
      </c>
      <c r="I200" s="18">
        <v>41305</v>
      </c>
      <c r="J200" s="91">
        <v>0.80135399939999996</v>
      </c>
      <c r="K200" s="91">
        <f>VLOOKUP(CurrentMtgRatesDataTable82527141518[[#This Row],[asofdate]],O:P,2,0)</f>
        <v>0</v>
      </c>
      <c r="L200" s="91">
        <f>VLOOKUP(CurrentMtgRatesDataTable82527141518[[#This Row],[asofdate]],S:T,2,0)</f>
        <v>1.2356666000000001E-3</v>
      </c>
      <c r="M200" s="6">
        <f ca="1">VLOOKUP(CurrentMtgRatesDataTable82527141518[[#This Row],[asofdate]]+1,Bloomberg!B:C,2,0)</f>
        <v>4579</v>
      </c>
      <c r="N200" s="6"/>
      <c r="O200" s="18">
        <v>41298</v>
      </c>
      <c r="P200" s="91">
        <v>0</v>
      </c>
      <c r="Q200" s="104"/>
      <c r="R200" s="104"/>
      <c r="S200" s="18">
        <v>41305</v>
      </c>
      <c r="T200" s="91">
        <v>1.2356666000000001E-3</v>
      </c>
      <c r="V200"/>
    </row>
    <row r="201" spans="2:22">
      <c r="B201" s="85">
        <v>41298</v>
      </c>
      <c r="C201" s="86">
        <v>0.90997267329999998</v>
      </c>
      <c r="D201" s="86">
        <f>VLOOKUP(CurrentMtgRatesDataTable825[[#This Row],[asofdate]],I:J,2,0)</f>
        <v>0.84448029719999995</v>
      </c>
      <c r="E201" s="86">
        <f>VLOOKUP(CurrentMtgRatesDataTable825[[#This Row],[asofdate]],O:P,2,0)</f>
        <v>0</v>
      </c>
      <c r="F201" s="87">
        <f ca="1">VLOOKUP(CurrentMtgRatesDataTable825[[#This Row],[asofdate]]+1,Bloomberg!B:C,2,0)</f>
        <v>4433.6000000000004</v>
      </c>
      <c r="I201" s="18">
        <v>41298</v>
      </c>
      <c r="J201" s="91">
        <v>0.84448029719999995</v>
      </c>
      <c r="K201" s="91">
        <f>VLOOKUP(CurrentMtgRatesDataTable82527141518[[#This Row],[asofdate]],O:P,2,0)</f>
        <v>0</v>
      </c>
      <c r="L201" s="91">
        <f>VLOOKUP(CurrentMtgRatesDataTable82527141518[[#This Row],[asofdate]],S:T,2,0)</f>
        <v>5.6133948999999997E-3</v>
      </c>
      <c r="M201" s="6">
        <f ca="1">VLOOKUP(CurrentMtgRatesDataTable82527141518[[#This Row],[asofdate]]+1,Bloomberg!B:C,2,0)</f>
        <v>4433.6000000000004</v>
      </c>
      <c r="N201" s="6"/>
      <c r="O201" s="18">
        <v>41291</v>
      </c>
      <c r="P201" s="91">
        <v>0</v>
      </c>
      <c r="Q201" s="104"/>
      <c r="R201" s="104"/>
      <c r="S201" s="18">
        <v>41298</v>
      </c>
      <c r="T201" s="91">
        <v>5.6133948999999997E-3</v>
      </c>
      <c r="V201"/>
    </row>
    <row r="202" spans="2:22">
      <c r="B202" s="85">
        <v>41291</v>
      </c>
      <c r="C202" s="86">
        <v>0.923612459</v>
      </c>
      <c r="D202" s="86">
        <f>VLOOKUP(CurrentMtgRatesDataTable825[[#This Row],[asofdate]],I:J,2,0)</f>
        <v>0.86335462829999998</v>
      </c>
      <c r="E202" s="86">
        <f>VLOOKUP(CurrentMtgRatesDataTable825[[#This Row],[asofdate]],O:P,2,0)</f>
        <v>0</v>
      </c>
      <c r="F202" s="87">
        <f ca="1">VLOOKUP(CurrentMtgRatesDataTable825[[#This Row],[asofdate]]+1,Bloomberg!B:C,2,0)</f>
        <v>4937.3999999999996</v>
      </c>
      <c r="I202" s="18">
        <v>41291</v>
      </c>
      <c r="J202" s="91">
        <v>0.86335462829999998</v>
      </c>
      <c r="K202" s="91">
        <f>VLOOKUP(CurrentMtgRatesDataTable82527141518[[#This Row],[asofdate]],O:P,2,0)</f>
        <v>0</v>
      </c>
      <c r="L202" s="91">
        <f>VLOOKUP(CurrentMtgRatesDataTable82527141518[[#This Row],[asofdate]],S:T,2,0)</f>
        <v>0.86332672129999999</v>
      </c>
      <c r="M202" s="6">
        <f ca="1">VLOOKUP(CurrentMtgRatesDataTable82527141518[[#This Row],[asofdate]]+1,Bloomberg!B:C,2,0)</f>
        <v>4937.3999999999996</v>
      </c>
      <c r="N202" s="6"/>
      <c r="O202" s="18">
        <v>41284</v>
      </c>
      <c r="P202" s="91">
        <v>0</v>
      </c>
      <c r="Q202" s="104"/>
      <c r="R202" s="104"/>
      <c r="S202" s="18">
        <v>41291</v>
      </c>
      <c r="T202" s="91">
        <v>0.86332672129999999</v>
      </c>
      <c r="V202"/>
    </row>
    <row r="203" spans="2:22">
      <c r="B203" s="85">
        <v>41284</v>
      </c>
      <c r="C203" s="86">
        <v>0.91705235539999996</v>
      </c>
      <c r="D203" s="86">
        <f>VLOOKUP(CurrentMtgRatesDataTable825[[#This Row],[asofdate]],I:J,2,0)</f>
        <v>0.84701127040000002</v>
      </c>
      <c r="E203" s="86">
        <f>VLOOKUP(CurrentMtgRatesDataTable825[[#This Row],[asofdate]],O:P,2,0)</f>
        <v>0</v>
      </c>
      <c r="F203" s="87">
        <f ca="1">VLOOKUP(CurrentMtgRatesDataTable825[[#This Row],[asofdate]]+1,Bloomberg!B:C,2,0)</f>
        <v>4554.3999999999996</v>
      </c>
      <c r="I203" s="18">
        <v>41284</v>
      </c>
      <c r="J203" s="91">
        <v>0.84701127040000002</v>
      </c>
      <c r="K203" s="91">
        <f>VLOOKUP(CurrentMtgRatesDataTable82527141518[[#This Row],[asofdate]],O:P,2,0)</f>
        <v>0</v>
      </c>
      <c r="L203" s="91">
        <f>VLOOKUP(CurrentMtgRatesDataTable82527141518[[#This Row],[asofdate]],S:T,2,0)</f>
        <v>5.7415477999999999E-3</v>
      </c>
      <c r="M203" s="6">
        <f ca="1">VLOOKUP(CurrentMtgRatesDataTable82527141518[[#This Row],[asofdate]]+1,Bloomberg!B:C,2,0)</f>
        <v>4554.3999999999996</v>
      </c>
      <c r="N203" s="6"/>
      <c r="O203" s="18">
        <v>41277</v>
      </c>
      <c r="P203" s="91">
        <v>0</v>
      </c>
      <c r="Q203" s="104"/>
      <c r="R203" s="104"/>
      <c r="S203" s="18">
        <v>41284</v>
      </c>
      <c r="T203" s="91">
        <v>5.7415477999999999E-3</v>
      </c>
      <c r="V203"/>
    </row>
    <row r="204" spans="2:22">
      <c r="B204" s="85">
        <v>41277</v>
      </c>
      <c r="C204" s="86">
        <v>0.92991876559999997</v>
      </c>
      <c r="D204" s="86">
        <f>VLOOKUP(CurrentMtgRatesDataTable825[[#This Row],[asofdate]],I:J,2,0)</f>
        <v>0.8673857989</v>
      </c>
      <c r="E204" s="86">
        <f>VLOOKUP(CurrentMtgRatesDataTable825[[#This Row],[asofdate]],O:P,2,0)</f>
        <v>0</v>
      </c>
      <c r="F204" s="87">
        <f ca="1">VLOOKUP(CurrentMtgRatesDataTable825[[#This Row],[asofdate]]+1,Bloomberg!B:C,2,0)</f>
        <v>3896.4</v>
      </c>
      <c r="I204" s="18">
        <v>41277</v>
      </c>
      <c r="J204" s="91">
        <v>0.8673857989</v>
      </c>
      <c r="K204" s="91">
        <f>VLOOKUP(CurrentMtgRatesDataTable82527141518[[#This Row],[asofdate]],O:P,2,0)</f>
        <v>0</v>
      </c>
      <c r="L204" s="91">
        <f>VLOOKUP(CurrentMtgRatesDataTable82527141518[[#This Row],[asofdate]],S:T,2,0)</f>
        <v>0.86713239769999995</v>
      </c>
      <c r="M204" s="6">
        <f ca="1">VLOOKUP(CurrentMtgRatesDataTable82527141518[[#This Row],[asofdate]]+1,Bloomberg!B:C,2,0)</f>
        <v>3896.4</v>
      </c>
      <c r="N204" s="6"/>
      <c r="O204" s="18">
        <v>41270</v>
      </c>
      <c r="P204" s="91">
        <v>0</v>
      </c>
      <c r="Q204" s="104"/>
      <c r="R204" s="104"/>
      <c r="S204" s="18">
        <v>41277</v>
      </c>
      <c r="T204" s="91">
        <v>0.86713239769999995</v>
      </c>
      <c r="V204"/>
    </row>
    <row r="205" spans="2:22">
      <c r="B205" s="85">
        <v>41270</v>
      </c>
      <c r="C205" s="86">
        <v>0.9551047989</v>
      </c>
      <c r="D205" s="86">
        <f>VLOOKUP(CurrentMtgRatesDataTable825[[#This Row],[asofdate]],I:J,2,0)</f>
        <v>0.89225158500000001</v>
      </c>
      <c r="E205" s="86">
        <f>VLOOKUP(CurrentMtgRatesDataTable825[[#This Row],[asofdate]],O:P,2,0)</f>
        <v>0</v>
      </c>
      <c r="F205" s="87">
        <f ca="1">VLOOKUP(CurrentMtgRatesDataTable825[[#This Row],[asofdate]]+1,Bloomberg!B:C,2,0)</f>
        <v>3488.9</v>
      </c>
      <c r="I205" s="18">
        <v>41270</v>
      </c>
      <c r="J205" s="91">
        <v>0.89225158500000001</v>
      </c>
      <c r="K205" s="91">
        <f>VLOOKUP(CurrentMtgRatesDataTable82527141518[[#This Row],[asofdate]],O:P,2,0)</f>
        <v>0</v>
      </c>
      <c r="L205" s="91">
        <f>VLOOKUP(CurrentMtgRatesDataTable82527141518[[#This Row],[asofdate]],S:T,2,0)</f>
        <v>0.89223126149999998</v>
      </c>
      <c r="M205" s="6">
        <f ca="1">VLOOKUP(CurrentMtgRatesDataTable82527141518[[#This Row],[asofdate]]+1,Bloomberg!B:C,2,0)</f>
        <v>3488.9</v>
      </c>
      <c r="N205" s="6"/>
      <c r="O205" s="18">
        <v>41263</v>
      </c>
      <c r="P205" s="91">
        <v>0</v>
      </c>
      <c r="Q205" s="104"/>
      <c r="R205" s="104"/>
      <c r="S205" s="18">
        <v>41270</v>
      </c>
      <c r="T205" s="91">
        <v>0.89223126149999998</v>
      </c>
      <c r="V205"/>
    </row>
    <row r="206" spans="2:22">
      <c r="B206" s="85">
        <v>41263</v>
      </c>
      <c r="C206" s="86">
        <v>0.95216101900000005</v>
      </c>
      <c r="D206" s="86">
        <f>VLOOKUP(CurrentMtgRatesDataTable825[[#This Row],[asofdate]],I:J,2,0)</f>
        <v>0.89030787629999997</v>
      </c>
      <c r="E206" s="86">
        <f>VLOOKUP(CurrentMtgRatesDataTable825[[#This Row],[asofdate]],O:P,2,0)</f>
        <v>0</v>
      </c>
      <c r="F206" s="87">
        <f ca="1">VLOOKUP(CurrentMtgRatesDataTable825[[#This Row],[asofdate]]+1,Bloomberg!B:C,2,0)</f>
        <v>3983.2</v>
      </c>
      <c r="I206" s="18">
        <v>41263</v>
      </c>
      <c r="J206" s="91">
        <v>0.89030787629999997</v>
      </c>
      <c r="K206" s="91">
        <f>VLOOKUP(CurrentMtgRatesDataTable82527141518[[#This Row],[asofdate]],O:P,2,0)</f>
        <v>0</v>
      </c>
      <c r="L206" s="91">
        <f>VLOOKUP(CurrentMtgRatesDataTable82527141518[[#This Row],[asofdate]],S:T,2,0)</f>
        <v>0.89028689569999997</v>
      </c>
      <c r="M206" s="6">
        <f ca="1">VLOOKUP(CurrentMtgRatesDataTable82527141518[[#This Row],[asofdate]]+1,Bloomberg!B:C,2,0)</f>
        <v>3983.2</v>
      </c>
      <c r="N206" s="6"/>
      <c r="O206" s="18">
        <v>41256</v>
      </c>
      <c r="P206" s="91">
        <v>2.061412E-4</v>
      </c>
      <c r="Q206" s="104"/>
      <c r="R206" s="104"/>
      <c r="S206" s="18">
        <v>41263</v>
      </c>
      <c r="T206" s="91">
        <v>0.89028689569999997</v>
      </c>
      <c r="V206"/>
    </row>
    <row r="207" spans="2:22">
      <c r="B207" s="85">
        <v>41256</v>
      </c>
      <c r="C207" s="86">
        <v>0.9571673316</v>
      </c>
      <c r="D207" s="86">
        <f>VLOOKUP(CurrentMtgRatesDataTable825[[#This Row],[asofdate]],I:J,2,0)</f>
        <v>0.90756086059999996</v>
      </c>
      <c r="E207" s="86">
        <f>VLOOKUP(CurrentMtgRatesDataTable825[[#This Row],[asofdate]],O:P,2,0)</f>
        <v>2.061412E-4</v>
      </c>
      <c r="F207" s="87">
        <f ca="1">VLOOKUP(CurrentMtgRatesDataTable825[[#This Row],[asofdate]]+1,Bloomberg!B:C,2,0)</f>
        <v>4564.3999999999996</v>
      </c>
      <c r="I207" s="18">
        <v>41256</v>
      </c>
      <c r="J207" s="91">
        <v>0.90756086059999996</v>
      </c>
      <c r="K207" s="91">
        <f>VLOOKUP(CurrentMtgRatesDataTable82527141518[[#This Row],[asofdate]],O:P,2,0)</f>
        <v>2.061412E-4</v>
      </c>
      <c r="L207" s="91">
        <f>VLOOKUP(CurrentMtgRatesDataTable82527141518[[#This Row],[asofdate]],S:T,2,0)</f>
        <v>0.90754307509999999</v>
      </c>
      <c r="M207" s="6">
        <f ca="1">VLOOKUP(CurrentMtgRatesDataTable82527141518[[#This Row],[asofdate]]+1,Bloomberg!B:C,2,0)</f>
        <v>4564.3999999999996</v>
      </c>
      <c r="N207" s="6"/>
      <c r="O207" s="18">
        <v>41249</v>
      </c>
      <c r="P207" s="91">
        <v>0</v>
      </c>
      <c r="Q207" s="104"/>
      <c r="R207" s="104"/>
      <c r="S207" s="18">
        <v>41256</v>
      </c>
      <c r="T207" s="91">
        <v>0.90754307509999999</v>
      </c>
      <c r="V207"/>
    </row>
    <row r="208" spans="2:22">
      <c r="B208" s="85">
        <v>41249</v>
      </c>
      <c r="C208" s="86">
        <v>0.95613736699999996</v>
      </c>
      <c r="D208" s="86">
        <f>VLOOKUP(CurrentMtgRatesDataTable825[[#This Row],[asofdate]],I:J,2,0)</f>
        <v>0.89308967149999996</v>
      </c>
      <c r="E208" s="86">
        <f>VLOOKUP(CurrentMtgRatesDataTable825[[#This Row],[asofdate]],O:P,2,0)</f>
        <v>0</v>
      </c>
      <c r="F208" s="87">
        <f ca="1">VLOOKUP(CurrentMtgRatesDataTable825[[#This Row],[asofdate]]+1,Bloomberg!B:C,2,0)</f>
        <v>5368.1</v>
      </c>
      <c r="I208" s="18">
        <v>41249</v>
      </c>
      <c r="J208" s="91">
        <v>0.89308967149999996</v>
      </c>
      <c r="K208" s="91">
        <f>VLOOKUP(CurrentMtgRatesDataTable82527141518[[#This Row],[asofdate]],O:P,2,0)</f>
        <v>0</v>
      </c>
      <c r="L208" s="91">
        <f>VLOOKUP(CurrentMtgRatesDataTable82527141518[[#This Row],[asofdate]],S:T,2,0)</f>
        <v>0.89290404879999996</v>
      </c>
      <c r="M208" s="6">
        <f ca="1">VLOOKUP(CurrentMtgRatesDataTable82527141518[[#This Row],[asofdate]]+1,Bloomberg!B:C,2,0)</f>
        <v>5368.1</v>
      </c>
      <c r="N208" s="6"/>
      <c r="O208" s="18">
        <v>41242</v>
      </c>
      <c r="P208" s="91">
        <v>0</v>
      </c>
      <c r="Q208" s="104"/>
      <c r="R208" s="104"/>
      <c r="S208" s="18">
        <v>41249</v>
      </c>
      <c r="T208" s="91">
        <v>0.89290404879999996</v>
      </c>
      <c r="V208"/>
    </row>
    <row r="209" spans="2:22">
      <c r="B209" s="85">
        <v>41242</v>
      </c>
      <c r="C209" s="86">
        <v>0.97473352089999998</v>
      </c>
      <c r="D209" s="86">
        <f>VLOOKUP(CurrentMtgRatesDataTable825[[#This Row],[asofdate]],I:J,2,0)</f>
        <v>0.91340603359999994</v>
      </c>
      <c r="E209" s="86">
        <f>VLOOKUP(CurrentMtgRatesDataTable825[[#This Row],[asofdate]],O:P,2,0)</f>
        <v>0</v>
      </c>
      <c r="F209" s="87">
        <f ca="1">VLOOKUP(CurrentMtgRatesDataTable825[[#This Row],[asofdate]]+1,Bloomberg!B:C,2,0)</f>
        <v>4943</v>
      </c>
      <c r="I209" s="18">
        <v>41242</v>
      </c>
      <c r="J209" s="91">
        <v>0.91340603359999994</v>
      </c>
      <c r="K209" s="91">
        <f>VLOOKUP(CurrentMtgRatesDataTable82527141518[[#This Row],[asofdate]],O:P,2,0)</f>
        <v>0</v>
      </c>
      <c r="L209" s="91">
        <f>VLOOKUP(CurrentMtgRatesDataTable82527141518[[#This Row],[asofdate]],S:T,2,0)</f>
        <v>0.91339134359999996</v>
      </c>
      <c r="M209" s="6">
        <f ca="1">VLOOKUP(CurrentMtgRatesDataTable82527141518[[#This Row],[asofdate]]+1,Bloomberg!B:C,2,0)</f>
        <v>4943</v>
      </c>
      <c r="N209" s="6"/>
      <c r="O209" s="18">
        <v>41234</v>
      </c>
      <c r="P209" s="91">
        <v>0.9281076654</v>
      </c>
      <c r="Q209" s="104"/>
      <c r="R209" s="104"/>
      <c r="S209" s="18">
        <v>41242</v>
      </c>
      <c r="T209" s="91">
        <v>0.91339134359999996</v>
      </c>
      <c r="V209"/>
    </row>
    <row r="210" spans="2:22">
      <c r="B210" s="85">
        <v>41234</v>
      </c>
      <c r="C210" s="86">
        <v>0.9764940312</v>
      </c>
      <c r="D210" s="86">
        <f>VLOOKUP(CurrentMtgRatesDataTable825[[#This Row],[asofdate]],I:J,2,0)</f>
        <v>0.92811980329999999</v>
      </c>
      <c r="E210" s="86">
        <f>VLOOKUP(CurrentMtgRatesDataTable825[[#This Row],[asofdate]],O:P,2,0)</f>
        <v>0.9281076654</v>
      </c>
      <c r="F210" s="87" t="e">
        <f ca="1">VLOOKUP(CurrentMtgRatesDataTable825[[#This Row],[asofdate]]+1,Bloomberg!B:C,2,0)</f>
        <v>#N/A</v>
      </c>
      <c r="I210" s="18">
        <v>41234</v>
      </c>
      <c r="J210" s="91">
        <v>0.92811980329999999</v>
      </c>
      <c r="K210" s="91">
        <f>VLOOKUP(CurrentMtgRatesDataTable82527141518[[#This Row],[asofdate]],O:P,2,0)</f>
        <v>0.9281076654</v>
      </c>
      <c r="L210" s="91">
        <f>VLOOKUP(CurrentMtgRatesDataTable82527141518[[#This Row],[asofdate]],S:T,2,0)</f>
        <v>0.9281076654</v>
      </c>
      <c r="M210" s="6" t="e">
        <f ca="1">VLOOKUP(CurrentMtgRatesDataTable82527141518[[#This Row],[asofdate]]+1,Bloomberg!B:C,2,0)</f>
        <v>#N/A</v>
      </c>
      <c r="N210" s="6"/>
      <c r="O210" s="18">
        <v>41228</v>
      </c>
      <c r="P210" s="91">
        <v>6.9942099999999996E-5</v>
      </c>
      <c r="Q210" s="104"/>
      <c r="R210" s="104"/>
      <c r="S210" s="18">
        <v>41234</v>
      </c>
      <c r="T210" s="91">
        <v>0.9281076654</v>
      </c>
      <c r="V210"/>
    </row>
    <row r="211" spans="2:22">
      <c r="B211" s="85">
        <v>41228</v>
      </c>
      <c r="C211" s="86">
        <v>0.97531301500000001</v>
      </c>
      <c r="D211" s="86">
        <f>VLOOKUP(CurrentMtgRatesDataTable825[[#This Row],[asofdate]],I:J,2,0)</f>
        <v>0.91410815519999999</v>
      </c>
      <c r="E211" s="86">
        <f>VLOOKUP(CurrentMtgRatesDataTable825[[#This Row],[asofdate]],O:P,2,0)</f>
        <v>6.9942099999999996E-5</v>
      </c>
      <c r="F211" s="87">
        <f ca="1">VLOOKUP(CurrentMtgRatesDataTable825[[#This Row],[asofdate]]+1,Bloomberg!B:C,2,0)</f>
        <v>4702.3999999999996</v>
      </c>
      <c r="I211" s="18">
        <v>41228</v>
      </c>
      <c r="J211" s="91">
        <v>0.91410815519999999</v>
      </c>
      <c r="K211" s="91">
        <f>VLOOKUP(CurrentMtgRatesDataTable82527141518[[#This Row],[asofdate]],O:P,2,0)</f>
        <v>6.9942099999999996E-5</v>
      </c>
      <c r="L211" s="91">
        <f>VLOOKUP(CurrentMtgRatesDataTable82527141518[[#This Row],[asofdate]],S:T,2,0)</f>
        <v>0.9140931699</v>
      </c>
      <c r="M211" s="6">
        <f ca="1">VLOOKUP(CurrentMtgRatesDataTable82527141518[[#This Row],[asofdate]]+1,Bloomberg!B:C,2,0)</f>
        <v>4702.3999999999996</v>
      </c>
      <c r="N211" s="6"/>
      <c r="O211" s="18">
        <v>41221</v>
      </c>
      <c r="P211" s="91">
        <v>0</v>
      </c>
      <c r="Q211" s="104"/>
      <c r="R211" s="104"/>
      <c r="S211" s="18">
        <v>41228</v>
      </c>
      <c r="T211" s="91">
        <v>0.9140931699</v>
      </c>
      <c r="V211"/>
    </row>
    <row r="212" spans="2:22">
      <c r="B212" s="85">
        <v>41221</v>
      </c>
      <c r="C212" s="86">
        <v>0.96601170540000003</v>
      </c>
      <c r="D212" s="86">
        <f>VLOOKUP(CurrentMtgRatesDataTable825[[#This Row],[asofdate]],I:J,2,0)</f>
        <v>0.89565651040000005</v>
      </c>
      <c r="E212" s="86">
        <f>VLOOKUP(CurrentMtgRatesDataTable825[[#This Row],[asofdate]],O:P,2,0)</f>
        <v>0</v>
      </c>
      <c r="F212" s="87">
        <f ca="1">VLOOKUP(CurrentMtgRatesDataTable825[[#This Row],[asofdate]]+1,Bloomberg!B:C,2,0)</f>
        <v>4856.1000000000004</v>
      </c>
      <c r="I212" s="18">
        <v>41221</v>
      </c>
      <c r="J212" s="91">
        <v>0.89565651040000005</v>
      </c>
      <c r="K212" s="91">
        <f>VLOOKUP(CurrentMtgRatesDataTable82527141518[[#This Row],[asofdate]],O:P,2,0)</f>
        <v>0</v>
      </c>
      <c r="L212" s="91">
        <f>VLOOKUP(CurrentMtgRatesDataTable82527141518[[#This Row],[asofdate]],S:T,2,0)</f>
        <v>0.89563676619999999</v>
      </c>
      <c r="M212" s="6">
        <f ca="1">VLOOKUP(CurrentMtgRatesDataTable82527141518[[#This Row],[asofdate]]+1,Bloomberg!B:C,2,0)</f>
        <v>4856.1000000000004</v>
      </c>
      <c r="N212" s="6"/>
      <c r="O212" s="18">
        <v>41214</v>
      </c>
      <c r="P212" s="91">
        <v>0</v>
      </c>
      <c r="Q212" s="104"/>
      <c r="R212" s="104"/>
      <c r="S212" s="18">
        <v>41221</v>
      </c>
      <c r="T212" s="91">
        <v>0.89563676619999999</v>
      </c>
      <c r="V212"/>
    </row>
    <row r="213" spans="2:22">
      <c r="B213" s="85">
        <v>41214</v>
      </c>
      <c r="C213" s="86">
        <v>0.96726730959999996</v>
      </c>
      <c r="D213" s="86">
        <f>VLOOKUP(CurrentMtgRatesDataTable825[[#This Row],[asofdate]],I:J,2,0)</f>
        <v>0.8960141707</v>
      </c>
      <c r="E213" s="86">
        <f>VLOOKUP(CurrentMtgRatesDataTable825[[#This Row],[asofdate]],O:P,2,0)</f>
        <v>0</v>
      </c>
      <c r="F213" s="87">
        <f ca="1">VLOOKUP(CurrentMtgRatesDataTable825[[#This Row],[asofdate]]+1,Bloomberg!B:C,2,0)</f>
        <v>4297.7</v>
      </c>
      <c r="I213" s="18">
        <v>41214</v>
      </c>
      <c r="J213" s="91">
        <v>0.8960141707</v>
      </c>
      <c r="K213" s="91">
        <f>VLOOKUP(CurrentMtgRatesDataTable82527141518[[#This Row],[asofdate]],O:P,2,0)</f>
        <v>0</v>
      </c>
      <c r="L213" s="91">
        <f>VLOOKUP(CurrentMtgRatesDataTable82527141518[[#This Row],[asofdate]],S:T,2,0)</f>
        <v>0.89593566410000003</v>
      </c>
      <c r="M213" s="6">
        <f ca="1">VLOOKUP(CurrentMtgRatesDataTable82527141518[[#This Row],[asofdate]]+1,Bloomberg!B:C,2,0)</f>
        <v>4297.7</v>
      </c>
      <c r="N213" s="6"/>
      <c r="O213" s="18">
        <v>41207</v>
      </c>
      <c r="P213" s="91">
        <v>0</v>
      </c>
      <c r="Q213" s="104"/>
      <c r="R213" s="104"/>
      <c r="S213" s="18">
        <v>41214</v>
      </c>
      <c r="T213" s="91">
        <v>0.89593566410000003</v>
      </c>
      <c r="V213"/>
    </row>
    <row r="214" spans="2:22">
      <c r="B214" s="85">
        <v>41207</v>
      </c>
      <c r="C214" s="86">
        <v>0.97626253559999998</v>
      </c>
      <c r="D214" s="86">
        <f>VLOOKUP(CurrentMtgRatesDataTable825[[#This Row],[asofdate]],I:J,2,0)</f>
        <v>0.90786686940000005</v>
      </c>
      <c r="E214" s="86">
        <f>VLOOKUP(CurrentMtgRatesDataTable825[[#This Row],[asofdate]],O:P,2,0)</f>
        <v>0</v>
      </c>
      <c r="F214" s="87">
        <f ca="1">VLOOKUP(CurrentMtgRatesDataTable825[[#This Row],[asofdate]]+1,Bloomberg!B:C,2,0)</f>
        <v>4550.7</v>
      </c>
      <c r="I214" s="18">
        <v>41207</v>
      </c>
      <c r="J214" s="91">
        <v>0.90786686940000005</v>
      </c>
      <c r="K214" s="91">
        <f>VLOOKUP(CurrentMtgRatesDataTable82527141518[[#This Row],[asofdate]],O:P,2,0)</f>
        <v>0</v>
      </c>
      <c r="L214" s="91">
        <f>VLOOKUP(CurrentMtgRatesDataTable82527141518[[#This Row],[asofdate]],S:T,2,0)</f>
        <v>0.90785050069999995</v>
      </c>
      <c r="M214" s="6">
        <f ca="1">VLOOKUP(CurrentMtgRatesDataTable82527141518[[#This Row],[asofdate]]+1,Bloomberg!B:C,2,0)</f>
        <v>4550.7</v>
      </c>
      <c r="N214" s="6"/>
      <c r="O214" s="18">
        <v>41200</v>
      </c>
      <c r="P214" s="91">
        <v>0</v>
      </c>
      <c r="Q214" s="104"/>
      <c r="R214" s="104"/>
      <c r="S214" s="18">
        <v>41207</v>
      </c>
      <c r="T214" s="91">
        <v>0.90785050069999995</v>
      </c>
      <c r="V214"/>
    </row>
    <row r="215" spans="2:22">
      <c r="B215" s="85">
        <v>41200</v>
      </c>
      <c r="C215" s="86">
        <v>0.98348944029999996</v>
      </c>
      <c r="D215" s="86">
        <f>VLOOKUP(CurrentMtgRatesDataTable825[[#This Row],[asofdate]],I:J,2,0)</f>
        <v>0.92469153400000004</v>
      </c>
      <c r="E215" s="86">
        <f>VLOOKUP(CurrentMtgRatesDataTable825[[#This Row],[asofdate]],O:P,2,0)</f>
        <v>0</v>
      </c>
      <c r="F215" s="87">
        <f ca="1">VLOOKUP(CurrentMtgRatesDataTable825[[#This Row],[asofdate]]+1,Bloomberg!B:C,2,0)</f>
        <v>4847.2</v>
      </c>
      <c r="I215" s="18">
        <v>41200</v>
      </c>
      <c r="J215" s="91">
        <v>0.92469153400000004</v>
      </c>
      <c r="K215" s="91">
        <f>VLOOKUP(CurrentMtgRatesDataTable82527141518[[#This Row],[asofdate]],O:P,2,0)</f>
        <v>0</v>
      </c>
      <c r="L215" s="91">
        <f>VLOOKUP(CurrentMtgRatesDataTable82527141518[[#This Row],[asofdate]],S:T,2,0)</f>
        <v>0.92467963080000004</v>
      </c>
      <c r="M215" s="6">
        <f ca="1">VLOOKUP(CurrentMtgRatesDataTable82527141518[[#This Row],[asofdate]]+1,Bloomberg!B:C,2,0)</f>
        <v>4847.2</v>
      </c>
      <c r="N215" s="6"/>
      <c r="O215" s="18">
        <v>41193</v>
      </c>
      <c r="P215" s="91">
        <v>0</v>
      </c>
      <c r="Q215" s="104"/>
      <c r="R215" s="104"/>
      <c r="S215" s="18">
        <v>41200</v>
      </c>
      <c r="T215" s="91">
        <v>0.92467963080000004</v>
      </c>
      <c r="V215"/>
    </row>
    <row r="216" spans="2:22">
      <c r="B216" s="85">
        <v>41193</v>
      </c>
      <c r="C216" s="86">
        <v>0.97996203599999998</v>
      </c>
      <c r="D216" s="86">
        <f>VLOOKUP(CurrentMtgRatesDataTable825[[#This Row],[asofdate]],I:J,2,0)</f>
        <v>0.91035407680000002</v>
      </c>
      <c r="E216" s="86">
        <f>VLOOKUP(CurrentMtgRatesDataTable825[[#This Row],[asofdate]],O:P,2,0)</f>
        <v>0</v>
      </c>
      <c r="F216" s="87">
        <f ca="1">VLOOKUP(CurrentMtgRatesDataTable825[[#This Row],[asofdate]]+1,Bloomberg!B:C,2,0)</f>
        <v>5572.2</v>
      </c>
      <c r="I216" s="18">
        <v>41193</v>
      </c>
      <c r="J216" s="91">
        <v>0.91035407680000002</v>
      </c>
      <c r="K216" s="91">
        <f>VLOOKUP(CurrentMtgRatesDataTable82527141518[[#This Row],[asofdate]],O:P,2,0)</f>
        <v>0</v>
      </c>
      <c r="L216" s="91">
        <f>VLOOKUP(CurrentMtgRatesDataTable82527141518[[#This Row],[asofdate]],S:T,2,0)</f>
        <v>0.91033834270000002</v>
      </c>
      <c r="M216" s="6">
        <f ca="1">VLOOKUP(CurrentMtgRatesDataTable82527141518[[#This Row],[asofdate]]+1,Bloomberg!B:C,2,0)</f>
        <v>5572.2</v>
      </c>
      <c r="N216" s="6"/>
      <c r="O216" s="18">
        <v>41186</v>
      </c>
      <c r="P216" s="91">
        <v>0.92807978840000005</v>
      </c>
      <c r="Q216" s="104"/>
      <c r="R216" s="104"/>
      <c r="S216" s="18">
        <v>41193</v>
      </c>
      <c r="T216" s="91">
        <v>0.91033834270000002</v>
      </c>
      <c r="V216"/>
    </row>
    <row r="217" spans="2:22">
      <c r="B217" s="85">
        <v>41186</v>
      </c>
      <c r="C217" s="86">
        <v>0.98524810240000005</v>
      </c>
      <c r="D217" s="86">
        <f>VLOOKUP(CurrentMtgRatesDataTable825[[#This Row],[asofdate]],I:J,2,0)</f>
        <v>0.92832683660000004</v>
      </c>
      <c r="E217" s="86">
        <f>VLOOKUP(CurrentMtgRatesDataTable825[[#This Row],[asofdate]],O:P,2,0)</f>
        <v>0.92807978840000005</v>
      </c>
      <c r="F217" s="87">
        <f ca="1">VLOOKUP(CurrentMtgRatesDataTable825[[#This Row],[asofdate]]+1,Bloomberg!B:C,2,0)</f>
        <v>5892.5</v>
      </c>
      <c r="I217" s="18">
        <v>41186</v>
      </c>
      <c r="J217" s="91">
        <v>0.92832683660000004</v>
      </c>
      <c r="K217" s="91">
        <f>VLOOKUP(CurrentMtgRatesDataTable82527141518[[#This Row],[asofdate]],O:P,2,0)</f>
        <v>0.92807978840000005</v>
      </c>
      <c r="L217" s="91">
        <f>VLOOKUP(CurrentMtgRatesDataTable82527141518[[#This Row],[asofdate]],S:T,2,0)</f>
        <v>0.92807978840000005</v>
      </c>
      <c r="M217" s="6">
        <f ca="1">VLOOKUP(CurrentMtgRatesDataTable82527141518[[#This Row],[asofdate]]+1,Bloomberg!B:C,2,0)</f>
        <v>5892.5</v>
      </c>
      <c r="N217" s="6"/>
      <c r="O217" s="18">
        <v>41179</v>
      </c>
      <c r="P217" s="91">
        <v>0.935348391</v>
      </c>
      <c r="Q217" s="104"/>
      <c r="R217" s="104"/>
      <c r="S217" s="18">
        <v>41186</v>
      </c>
      <c r="T217" s="91">
        <v>0.92807978840000005</v>
      </c>
      <c r="V217"/>
    </row>
    <row r="218" spans="2:22">
      <c r="B218" s="85">
        <v>41179</v>
      </c>
      <c r="C218" s="86">
        <v>0.99079643949999996</v>
      </c>
      <c r="D218" s="86">
        <f>VLOOKUP(CurrentMtgRatesDataTable825[[#This Row],[asofdate]],I:J,2,0)</f>
        <v>0.93535924380000002</v>
      </c>
      <c r="E218" s="86">
        <f>VLOOKUP(CurrentMtgRatesDataTable825[[#This Row],[asofdate]],O:P,2,0)</f>
        <v>0.935348391</v>
      </c>
      <c r="F218" s="87">
        <f ca="1">VLOOKUP(CurrentMtgRatesDataTable825[[#This Row],[asofdate]]+1,Bloomberg!B:C,2,0)</f>
        <v>5965.5</v>
      </c>
      <c r="I218" s="18">
        <v>41179</v>
      </c>
      <c r="J218" s="91">
        <v>0.93535924380000002</v>
      </c>
      <c r="K218" s="91">
        <f>VLOOKUP(CurrentMtgRatesDataTable82527141518[[#This Row],[asofdate]],O:P,2,0)</f>
        <v>0.935348391</v>
      </c>
      <c r="L218" s="91">
        <f>VLOOKUP(CurrentMtgRatesDataTable82527141518[[#This Row],[asofdate]],S:T,2,0)</f>
        <v>0.935348391</v>
      </c>
      <c r="M218" s="6">
        <f ca="1">VLOOKUP(CurrentMtgRatesDataTable82527141518[[#This Row],[asofdate]]+1,Bloomberg!B:C,2,0)</f>
        <v>5965.5</v>
      </c>
      <c r="N218" s="6"/>
      <c r="O218" s="18">
        <v>41172</v>
      </c>
      <c r="P218" s="91">
        <v>0.90078150499999998</v>
      </c>
      <c r="Q218" s="104"/>
      <c r="R218" s="104"/>
      <c r="S218" s="18">
        <v>41179</v>
      </c>
      <c r="T218" s="91">
        <v>0.935348391</v>
      </c>
      <c r="V218"/>
    </row>
    <row r="219" spans="2:22">
      <c r="B219" s="85">
        <v>41172</v>
      </c>
      <c r="C219" s="86">
        <v>0.96606144380000003</v>
      </c>
      <c r="D219" s="86">
        <f>VLOOKUP(CurrentMtgRatesDataTable825[[#This Row],[asofdate]],I:J,2,0)</f>
        <v>0.90080109230000005</v>
      </c>
      <c r="E219" s="86">
        <f>VLOOKUP(CurrentMtgRatesDataTable825[[#This Row],[asofdate]],O:P,2,0)</f>
        <v>0.90078150499999998</v>
      </c>
      <c r="F219" s="87">
        <f ca="1">VLOOKUP(CurrentMtgRatesDataTable825[[#This Row],[asofdate]]+1,Bloomberg!B:C,2,0)</f>
        <v>4979</v>
      </c>
      <c r="I219" s="18">
        <v>41172</v>
      </c>
      <c r="J219" s="91">
        <v>0.90080109230000005</v>
      </c>
      <c r="K219" s="91">
        <f>VLOOKUP(CurrentMtgRatesDataTable82527141518[[#This Row],[asofdate]],O:P,2,0)</f>
        <v>0.90078150499999998</v>
      </c>
      <c r="L219" s="91">
        <f>VLOOKUP(CurrentMtgRatesDataTable82527141518[[#This Row],[asofdate]],S:T,2,0)</f>
        <v>0.90078150499999998</v>
      </c>
      <c r="M219" s="6">
        <f ca="1">VLOOKUP(CurrentMtgRatesDataTable82527141518[[#This Row],[asofdate]]+1,Bloomberg!B:C,2,0)</f>
        <v>4979</v>
      </c>
      <c r="N219" s="6"/>
      <c r="O219" s="18">
        <v>41165</v>
      </c>
      <c r="P219" s="91">
        <v>1.3565838E-3</v>
      </c>
      <c r="Q219" s="104"/>
      <c r="R219" s="104"/>
      <c r="S219" s="18">
        <v>41172</v>
      </c>
      <c r="T219" s="91">
        <v>0.90078150499999998</v>
      </c>
      <c r="V219"/>
    </row>
    <row r="220" spans="2:22">
      <c r="B220" s="85">
        <v>41165</v>
      </c>
      <c r="C220" s="86">
        <v>0.92682323200000005</v>
      </c>
      <c r="D220" s="86">
        <f>VLOOKUP(CurrentMtgRatesDataTable825[[#This Row],[asofdate]],I:J,2,0)</f>
        <v>0.88554902749999997</v>
      </c>
      <c r="E220" s="86">
        <f>VLOOKUP(CurrentMtgRatesDataTable825[[#This Row],[asofdate]],O:P,2,0)</f>
        <v>1.3565838E-3</v>
      </c>
      <c r="F220" s="87">
        <f ca="1">VLOOKUP(CurrentMtgRatesDataTable825[[#This Row],[asofdate]]+1,Bloomberg!B:C,2,0)</f>
        <v>4823.3</v>
      </c>
      <c r="I220" s="18">
        <v>41165</v>
      </c>
      <c r="J220" s="91">
        <v>0.88554902749999997</v>
      </c>
      <c r="K220" s="91">
        <f>VLOOKUP(CurrentMtgRatesDataTable82527141518[[#This Row],[asofdate]],O:P,2,0)</f>
        <v>1.3565838E-3</v>
      </c>
      <c r="L220" s="91">
        <f>VLOOKUP(CurrentMtgRatesDataTable82527141518[[#This Row],[asofdate]],S:T,2,0)</f>
        <v>0.88552599899999995</v>
      </c>
      <c r="M220" s="6">
        <f ca="1">VLOOKUP(CurrentMtgRatesDataTable82527141518[[#This Row],[asofdate]]+1,Bloomberg!B:C,2,0)</f>
        <v>4823.3</v>
      </c>
      <c r="N220" s="6"/>
      <c r="O220" s="18">
        <v>41158</v>
      </c>
      <c r="P220" s="91">
        <v>0</v>
      </c>
      <c r="Q220" s="104"/>
      <c r="R220" s="104"/>
      <c r="S220" s="18">
        <v>41165</v>
      </c>
      <c r="T220" s="91">
        <v>0.88552599899999995</v>
      </c>
      <c r="V220"/>
    </row>
    <row r="221" spans="2:22">
      <c r="B221" s="85">
        <v>41158</v>
      </c>
      <c r="C221" s="86">
        <v>0.9200088891</v>
      </c>
      <c r="D221" s="86">
        <f>VLOOKUP(CurrentMtgRatesDataTable825[[#This Row],[asofdate]],I:J,2,0)</f>
        <v>0.88336087799999996</v>
      </c>
      <c r="E221" s="86">
        <f>VLOOKUP(CurrentMtgRatesDataTable825[[#This Row],[asofdate]],O:P,2,0)</f>
        <v>0</v>
      </c>
      <c r="F221" s="87">
        <f ca="1">VLOOKUP(CurrentMtgRatesDataTable825[[#This Row],[asofdate]]+1,Bloomberg!B:C,2,0)</f>
        <v>4779.1000000000004</v>
      </c>
      <c r="I221" s="18">
        <v>41158</v>
      </c>
      <c r="J221" s="91">
        <v>0.88336087799999996</v>
      </c>
      <c r="K221" s="91">
        <f>VLOOKUP(CurrentMtgRatesDataTable82527141518[[#This Row],[asofdate]],O:P,2,0)</f>
        <v>0</v>
      </c>
      <c r="L221" s="91">
        <f>VLOOKUP(CurrentMtgRatesDataTable82527141518[[#This Row],[asofdate]],S:T,2,0)</f>
        <v>0.88326700709999995</v>
      </c>
      <c r="M221" s="6">
        <f ca="1">VLOOKUP(CurrentMtgRatesDataTable82527141518[[#This Row],[asofdate]]+1,Bloomberg!B:C,2,0)</f>
        <v>4779.1000000000004</v>
      </c>
      <c r="N221" s="6"/>
      <c r="O221" s="18">
        <v>41151</v>
      </c>
      <c r="P221" s="91">
        <v>0</v>
      </c>
      <c r="Q221" s="104"/>
      <c r="R221" s="104"/>
      <c r="S221" s="18">
        <v>41158</v>
      </c>
      <c r="T221" s="91">
        <v>0.88326700709999995</v>
      </c>
      <c r="V221"/>
    </row>
    <row r="222" spans="2:22">
      <c r="B222" s="85">
        <v>41151</v>
      </c>
      <c r="C222" s="86">
        <v>0.92614215509999998</v>
      </c>
      <c r="D222" s="86">
        <f>VLOOKUP(CurrentMtgRatesDataTable825[[#This Row],[asofdate]],I:J,2,0)</f>
        <v>0.89044873329999996</v>
      </c>
      <c r="E222" s="86">
        <f>VLOOKUP(CurrentMtgRatesDataTable825[[#This Row],[asofdate]],O:P,2,0)</f>
        <v>0</v>
      </c>
      <c r="F222" s="87">
        <f ca="1">VLOOKUP(CurrentMtgRatesDataTable825[[#This Row],[asofdate]]+1,Bloomberg!B:C,2,0)</f>
        <v>4274.8</v>
      </c>
      <c r="I222" s="18">
        <v>41151</v>
      </c>
      <c r="J222" s="91">
        <v>0.89044873329999996</v>
      </c>
      <c r="K222" s="91">
        <f>VLOOKUP(CurrentMtgRatesDataTable82527141518[[#This Row],[asofdate]],O:P,2,0)</f>
        <v>0</v>
      </c>
      <c r="L222" s="91">
        <f>VLOOKUP(CurrentMtgRatesDataTable82527141518[[#This Row],[asofdate]],S:T,2,0)</f>
        <v>0.89042659729999996</v>
      </c>
      <c r="M222" s="6">
        <f ca="1">VLOOKUP(CurrentMtgRatesDataTable82527141518[[#This Row],[asofdate]]+1,Bloomberg!B:C,2,0)</f>
        <v>4274.8</v>
      </c>
      <c r="N222" s="6"/>
      <c r="O222" s="18">
        <v>41144</v>
      </c>
      <c r="P222" s="91">
        <v>0</v>
      </c>
      <c r="Q222" s="104"/>
      <c r="R222" s="104"/>
      <c r="S222" s="18">
        <v>41151</v>
      </c>
      <c r="T222" s="91">
        <v>0.89042659729999996</v>
      </c>
      <c r="V222"/>
    </row>
    <row r="223" spans="2:22">
      <c r="B223" s="85">
        <v>41144</v>
      </c>
      <c r="C223" s="86">
        <v>0.90777467359999997</v>
      </c>
      <c r="D223" s="86">
        <f>VLOOKUP(CurrentMtgRatesDataTable825[[#This Row],[asofdate]],I:J,2,0)</f>
        <v>0.86385856969999997</v>
      </c>
      <c r="E223" s="86">
        <f>VLOOKUP(CurrentMtgRatesDataTable825[[#This Row],[asofdate]],O:P,2,0)</f>
        <v>0</v>
      </c>
      <c r="F223" s="87">
        <f ca="1">VLOOKUP(CurrentMtgRatesDataTable825[[#This Row],[asofdate]]+1,Bloomberg!B:C,2,0)</f>
        <v>4414.6000000000004</v>
      </c>
      <c r="I223" s="18">
        <v>41144</v>
      </c>
      <c r="J223" s="91">
        <v>0.86385856969999997</v>
      </c>
      <c r="K223" s="91">
        <f>VLOOKUP(CurrentMtgRatesDataTable82527141518[[#This Row],[asofdate]],O:P,2,0)</f>
        <v>0</v>
      </c>
      <c r="L223" s="91">
        <f>VLOOKUP(CurrentMtgRatesDataTable82527141518[[#This Row],[asofdate]],S:T,2,0)</f>
        <v>0.86383307760000005</v>
      </c>
      <c r="M223" s="6">
        <f ca="1">VLOOKUP(CurrentMtgRatesDataTable82527141518[[#This Row],[asofdate]]+1,Bloomberg!B:C,2,0)</f>
        <v>4414.6000000000004</v>
      </c>
      <c r="N223" s="6"/>
      <c r="O223" s="18">
        <v>41137</v>
      </c>
      <c r="P223" s="91">
        <v>0</v>
      </c>
      <c r="Q223" s="104"/>
      <c r="R223" s="104"/>
      <c r="S223" s="18">
        <v>41144</v>
      </c>
      <c r="T223" s="91">
        <v>0.86383307760000005</v>
      </c>
      <c r="V223"/>
    </row>
    <row r="224" spans="2:22">
      <c r="B224" s="85">
        <v>41137</v>
      </c>
      <c r="C224" s="86">
        <v>0.92191374270000004</v>
      </c>
      <c r="D224" s="86">
        <f>VLOOKUP(CurrentMtgRatesDataTable825[[#This Row],[asofdate]],I:J,2,0)</f>
        <v>0.87702114900000017</v>
      </c>
      <c r="E224" s="86">
        <f>VLOOKUP(CurrentMtgRatesDataTable825[[#This Row],[asofdate]],O:P,2,0)</f>
        <v>0</v>
      </c>
      <c r="F224" s="87">
        <f ca="1">VLOOKUP(CurrentMtgRatesDataTable825[[#This Row],[asofdate]]+1,Bloomberg!B:C,2,0)</f>
        <v>4671.1000000000004</v>
      </c>
      <c r="I224" s="18">
        <v>41137</v>
      </c>
      <c r="J224" s="91">
        <v>0.87702114900000017</v>
      </c>
      <c r="K224" s="91">
        <f>VLOOKUP(CurrentMtgRatesDataTable82527141518[[#This Row],[asofdate]],O:P,2,0)</f>
        <v>0</v>
      </c>
      <c r="L224" s="91">
        <f>VLOOKUP(CurrentMtgRatesDataTable82527141518[[#This Row],[asofdate]],S:T,2,0)</f>
        <v>0.87699596440000005</v>
      </c>
      <c r="M224" s="6">
        <f ca="1">VLOOKUP(CurrentMtgRatesDataTable82527141518[[#This Row],[asofdate]]+1,Bloomberg!B:C,2,0)</f>
        <v>4671.1000000000004</v>
      </c>
      <c r="N224" s="6"/>
      <c r="O224" s="18">
        <v>41130</v>
      </c>
      <c r="P224" s="91">
        <v>0</v>
      </c>
      <c r="Q224" s="104"/>
      <c r="R224" s="104"/>
      <c r="S224" s="18">
        <v>41137</v>
      </c>
      <c r="T224" s="91">
        <v>0.87699596440000005</v>
      </c>
      <c r="V224"/>
    </row>
    <row r="225" spans="2:22">
      <c r="B225" s="85">
        <v>41130</v>
      </c>
      <c r="C225" s="86">
        <v>0.92614215509999998</v>
      </c>
      <c r="D225" s="86">
        <f>VLOOKUP(CurrentMtgRatesDataTable825[[#This Row],[asofdate]],I:J,2,0)</f>
        <v>0.89044873329999996</v>
      </c>
      <c r="E225" s="86">
        <f>VLOOKUP(CurrentMtgRatesDataTable825[[#This Row],[asofdate]],O:P,2,0)</f>
        <v>0</v>
      </c>
      <c r="F225" s="87">
        <f ca="1">VLOOKUP(CurrentMtgRatesDataTable825[[#This Row],[asofdate]]+1,Bloomberg!B:C,2,0)</f>
        <v>5172.2</v>
      </c>
      <c r="I225" s="18">
        <v>41130</v>
      </c>
      <c r="J225" s="91">
        <v>0.89044873329999996</v>
      </c>
      <c r="K225" s="91">
        <f>VLOOKUP(CurrentMtgRatesDataTable82527141518[[#This Row],[asofdate]],O:P,2,0)</f>
        <v>0</v>
      </c>
      <c r="L225" s="91">
        <f>VLOOKUP(CurrentMtgRatesDataTable82527141518[[#This Row],[asofdate]],S:T,2,0)</f>
        <v>0.89042659729999996</v>
      </c>
      <c r="M225" s="6">
        <f ca="1">VLOOKUP(CurrentMtgRatesDataTable82527141518[[#This Row],[asofdate]]+1,Bloomberg!B:C,2,0)</f>
        <v>5172.2</v>
      </c>
      <c r="N225" s="6"/>
      <c r="O225" s="18">
        <v>41123</v>
      </c>
      <c r="P225" s="91">
        <v>0</v>
      </c>
      <c r="Q225" s="104"/>
      <c r="R225" s="104"/>
      <c r="S225" s="18">
        <v>41130</v>
      </c>
      <c r="T225" s="91">
        <v>0.89042659729999996</v>
      </c>
      <c r="V225"/>
    </row>
    <row r="226" spans="2:22">
      <c r="B226" s="85">
        <v>41123</v>
      </c>
      <c r="C226" s="86">
        <v>0.92974026580000002</v>
      </c>
      <c r="D226" s="86">
        <f>VLOOKUP(CurrentMtgRatesDataTable825[[#This Row],[asofdate]],I:J,2,0)</f>
        <v>0.89176466350000005</v>
      </c>
      <c r="E226" s="86">
        <f>VLOOKUP(CurrentMtgRatesDataTable825[[#This Row],[asofdate]],O:P,2,0)</f>
        <v>0</v>
      </c>
      <c r="F226" s="87">
        <f ca="1">VLOOKUP(CurrentMtgRatesDataTable825[[#This Row],[asofdate]]+1,Bloomberg!B:C,2,0)</f>
        <v>5444.3</v>
      </c>
      <c r="I226" s="18">
        <v>41123</v>
      </c>
      <c r="J226" s="91">
        <v>0.89176466350000005</v>
      </c>
      <c r="K226" s="91">
        <f>VLOOKUP(CurrentMtgRatesDataTable82527141518[[#This Row],[asofdate]],O:P,2,0)</f>
        <v>0</v>
      </c>
      <c r="L226" s="91">
        <f>VLOOKUP(CurrentMtgRatesDataTable82527141518[[#This Row],[asofdate]],S:T,2,0)</f>
        <v>0.89163810899999996</v>
      </c>
      <c r="M226" s="6">
        <f ca="1">VLOOKUP(CurrentMtgRatesDataTable82527141518[[#This Row],[asofdate]]+1,Bloomberg!B:C,2,0)</f>
        <v>5444.3</v>
      </c>
      <c r="N226" s="6"/>
      <c r="O226" s="18">
        <v>41116</v>
      </c>
      <c r="P226" s="91">
        <v>0.91595412320000003</v>
      </c>
      <c r="Q226" s="104"/>
      <c r="R226" s="104"/>
      <c r="S226" s="18">
        <v>41123</v>
      </c>
      <c r="T226" s="91">
        <v>0.89163810899999996</v>
      </c>
      <c r="V226"/>
    </row>
    <row r="227" spans="2:22">
      <c r="B227" s="85">
        <v>41116</v>
      </c>
      <c r="C227" s="86">
        <v>0.96472332770000002</v>
      </c>
      <c r="D227" s="86">
        <f>VLOOKUP(CurrentMtgRatesDataTable825[[#This Row],[asofdate]],I:J,2,0)</f>
        <v>0.9159699536</v>
      </c>
      <c r="E227" s="86">
        <f>VLOOKUP(CurrentMtgRatesDataTable825[[#This Row],[asofdate]],O:P,2,0)</f>
        <v>0.91595412320000003</v>
      </c>
      <c r="F227" s="87">
        <f ca="1">VLOOKUP(CurrentMtgRatesDataTable825[[#This Row],[asofdate]]+1,Bloomberg!B:C,2,0)</f>
        <v>5492.1</v>
      </c>
      <c r="I227" s="18">
        <v>41116</v>
      </c>
      <c r="J227" s="91">
        <v>0.9159699536</v>
      </c>
      <c r="K227" s="91">
        <f>VLOOKUP(CurrentMtgRatesDataTable82527141518[[#This Row],[asofdate]],O:P,2,0)</f>
        <v>0.91595412320000003</v>
      </c>
      <c r="L227" s="91">
        <f>VLOOKUP(CurrentMtgRatesDataTable82527141518[[#This Row],[asofdate]],S:T,2,0)</f>
        <v>0.91595412320000003</v>
      </c>
      <c r="M227" s="6">
        <f ca="1">VLOOKUP(CurrentMtgRatesDataTable82527141518[[#This Row],[asofdate]]+1,Bloomberg!B:C,2,0)</f>
        <v>5492.1</v>
      </c>
      <c r="N227" s="6"/>
      <c r="O227" s="18">
        <v>41109</v>
      </c>
      <c r="P227" s="91">
        <v>0.90462039660000004</v>
      </c>
      <c r="Q227" s="104"/>
      <c r="R227" s="104"/>
      <c r="S227" s="18">
        <v>41116</v>
      </c>
      <c r="T227" s="91">
        <v>0.91595412320000003</v>
      </c>
      <c r="V227"/>
    </row>
    <row r="228" spans="2:22">
      <c r="B228" s="85">
        <v>41109</v>
      </c>
      <c r="C228" s="86">
        <v>0.94931230209999995</v>
      </c>
      <c r="D228" s="86">
        <f>VLOOKUP(CurrentMtgRatesDataTable825[[#This Row],[asofdate]],I:J,2,0)</f>
        <v>0.90463870229999999</v>
      </c>
      <c r="E228" s="86">
        <f>VLOOKUP(CurrentMtgRatesDataTable825[[#This Row],[asofdate]],O:P,2,0)</f>
        <v>0.90462039660000004</v>
      </c>
      <c r="F228" s="87">
        <f ca="1">VLOOKUP(CurrentMtgRatesDataTable825[[#This Row],[asofdate]]+1,Bloomberg!B:C,2,0)</f>
        <v>5383.1</v>
      </c>
      <c r="I228" s="18">
        <v>41109</v>
      </c>
      <c r="J228" s="91">
        <v>0.90463870229999999</v>
      </c>
      <c r="K228" s="91">
        <f>VLOOKUP(CurrentMtgRatesDataTable82527141518[[#This Row],[asofdate]],O:P,2,0)</f>
        <v>0.90462039660000004</v>
      </c>
      <c r="L228" s="91">
        <f>VLOOKUP(CurrentMtgRatesDataTable82527141518[[#This Row],[asofdate]],S:T,2,0)</f>
        <v>0.90462039660000004</v>
      </c>
      <c r="M228" s="6">
        <f ca="1">VLOOKUP(CurrentMtgRatesDataTable82527141518[[#This Row],[asofdate]]+1,Bloomberg!B:C,2,0)</f>
        <v>5383.1</v>
      </c>
      <c r="N228" s="6"/>
      <c r="O228" s="18">
        <v>41102</v>
      </c>
      <c r="P228" s="91">
        <v>0.90261395929999999</v>
      </c>
      <c r="Q228" s="104"/>
      <c r="R228" s="104"/>
      <c r="S228" s="18">
        <v>41109</v>
      </c>
      <c r="T228" s="91">
        <v>0.90462039660000004</v>
      </c>
      <c r="V228"/>
    </row>
    <row r="229" spans="2:22">
      <c r="B229" s="85">
        <v>41102</v>
      </c>
      <c r="C229" s="86">
        <v>0.94357465549999997</v>
      </c>
      <c r="D229" s="86">
        <f>VLOOKUP(CurrentMtgRatesDataTable825[[#This Row],[asofdate]],I:J,2,0)</f>
        <v>0.90263301100000004</v>
      </c>
      <c r="E229" s="86">
        <f>VLOOKUP(CurrentMtgRatesDataTable825[[#This Row],[asofdate]],O:P,2,0)</f>
        <v>0.90261395929999999</v>
      </c>
      <c r="F229" s="87">
        <f ca="1">VLOOKUP(CurrentMtgRatesDataTable825[[#This Row],[asofdate]]+1,Bloomberg!B:C,2,0)</f>
        <v>5246.8</v>
      </c>
      <c r="I229" s="18">
        <v>41102</v>
      </c>
      <c r="J229" s="91">
        <v>0.90263301100000004</v>
      </c>
      <c r="K229" s="91">
        <f>VLOOKUP(CurrentMtgRatesDataTable82527141518[[#This Row],[asofdate]],O:P,2,0)</f>
        <v>0.90261395929999999</v>
      </c>
      <c r="L229" s="91">
        <f>VLOOKUP(CurrentMtgRatesDataTable82527141518[[#This Row],[asofdate]],S:T,2,0)</f>
        <v>0.90261395929999999</v>
      </c>
      <c r="M229" s="6">
        <f ca="1">VLOOKUP(CurrentMtgRatesDataTable82527141518[[#This Row],[asofdate]]+1,Bloomberg!B:C,2,0)</f>
        <v>5246.8</v>
      </c>
      <c r="N229" s="6"/>
      <c r="O229" s="18">
        <v>41095</v>
      </c>
      <c r="P229" s="91">
        <v>0.87826553819999997</v>
      </c>
      <c r="Q229" s="104"/>
      <c r="R229" s="104"/>
      <c r="S229" s="18">
        <v>41102</v>
      </c>
      <c r="T229" s="91">
        <v>0.90261395929999999</v>
      </c>
      <c r="V229"/>
    </row>
    <row r="230" spans="2:22">
      <c r="B230" s="85">
        <v>41095</v>
      </c>
      <c r="C230" s="86">
        <v>0.92555007190000005</v>
      </c>
      <c r="D230" s="86">
        <f>VLOOKUP(CurrentMtgRatesDataTable825[[#This Row],[asofdate]],I:J,2,0)</f>
        <v>0.87835773870000011</v>
      </c>
      <c r="E230" s="86">
        <f>VLOOKUP(CurrentMtgRatesDataTable825[[#This Row],[asofdate]],O:P,2,0)</f>
        <v>0.87826553819999997</v>
      </c>
      <c r="F230" s="87">
        <f ca="1">VLOOKUP(CurrentMtgRatesDataTable825[[#This Row],[asofdate]]+1,Bloomberg!B:C,2,0)</f>
        <v>4267.8999999999996</v>
      </c>
      <c r="I230" s="18">
        <v>41095</v>
      </c>
      <c r="J230" s="91">
        <v>0.87835773870000011</v>
      </c>
      <c r="K230" s="91">
        <f>VLOOKUP(CurrentMtgRatesDataTable82527141518[[#This Row],[asofdate]],O:P,2,0)</f>
        <v>0.87826553819999997</v>
      </c>
      <c r="L230" s="91">
        <f>VLOOKUP(CurrentMtgRatesDataTable82527141518[[#This Row],[asofdate]],S:T,2,0)</f>
        <v>0.87826553819999997</v>
      </c>
      <c r="M230" s="6">
        <f ca="1">VLOOKUP(CurrentMtgRatesDataTable82527141518[[#This Row],[asofdate]]+1,Bloomberg!B:C,2,0)</f>
        <v>4267.8999999999996</v>
      </c>
      <c r="N230" s="6"/>
      <c r="O230" s="18">
        <v>41088</v>
      </c>
      <c r="P230" s="91">
        <v>0</v>
      </c>
      <c r="Q230" s="104"/>
      <c r="R230" s="104"/>
      <c r="S230" s="18">
        <v>41095</v>
      </c>
      <c r="T230" s="91">
        <v>0.87826553819999997</v>
      </c>
      <c r="V230"/>
    </row>
    <row r="231" spans="2:22">
      <c r="B231" s="85">
        <v>41088</v>
      </c>
      <c r="C231" s="86">
        <v>0.9311727138</v>
      </c>
      <c r="D231" s="86">
        <f>VLOOKUP(CurrentMtgRatesDataTable825[[#This Row],[asofdate]],I:J,2,0)</f>
        <v>0.87682347260000015</v>
      </c>
      <c r="E231" s="86">
        <f>VLOOKUP(CurrentMtgRatesDataTable825[[#This Row],[asofdate]],O:P,2,0)</f>
        <v>0</v>
      </c>
      <c r="F231" s="87">
        <f ca="1">VLOOKUP(CurrentMtgRatesDataTable825[[#This Row],[asofdate]]+1,Bloomberg!B:C,2,0)</f>
        <v>4372.2</v>
      </c>
      <c r="I231" s="18">
        <v>41088</v>
      </c>
      <c r="J231" s="91">
        <v>0.87682347260000015</v>
      </c>
      <c r="K231" s="91">
        <f>VLOOKUP(CurrentMtgRatesDataTable82527141518[[#This Row],[asofdate]],O:P,2,0)</f>
        <v>0</v>
      </c>
      <c r="L231" s="91">
        <f>VLOOKUP(CurrentMtgRatesDataTable82527141518[[#This Row],[asofdate]],S:T,2,0)</f>
        <v>0.87680139130000012</v>
      </c>
      <c r="M231" s="6">
        <f ca="1">VLOOKUP(CurrentMtgRatesDataTable82527141518[[#This Row],[asofdate]]+1,Bloomberg!B:C,2,0)</f>
        <v>4372.2</v>
      </c>
      <c r="N231" s="6"/>
      <c r="O231" s="18">
        <v>41081</v>
      </c>
      <c r="P231" s="91">
        <v>0.87680139130000012</v>
      </c>
      <c r="Q231" s="104"/>
      <c r="R231" s="104"/>
      <c r="S231" s="18">
        <v>41088</v>
      </c>
      <c r="T231" s="91">
        <v>0.87680139130000012</v>
      </c>
      <c r="V231"/>
    </row>
    <row r="232" spans="2:22">
      <c r="B232" s="85">
        <v>41081</v>
      </c>
      <c r="C232" s="86">
        <v>0.9311727138</v>
      </c>
      <c r="D232" s="86">
        <f>VLOOKUP(CurrentMtgRatesDataTable825[[#This Row],[asofdate]],I:J,2,0)</f>
        <v>0.87682347260000015</v>
      </c>
      <c r="E232" s="86">
        <f>VLOOKUP(CurrentMtgRatesDataTable825[[#This Row],[asofdate]],O:P,2,0)</f>
        <v>0.87680139130000012</v>
      </c>
      <c r="F232" s="87">
        <f ca="1">VLOOKUP(CurrentMtgRatesDataTable825[[#This Row],[asofdate]]+1,Bloomberg!B:C,2,0)</f>
        <v>4585.8</v>
      </c>
      <c r="I232" s="18">
        <v>41081</v>
      </c>
      <c r="J232" s="91">
        <v>0.87682347260000015</v>
      </c>
      <c r="K232" s="91">
        <f>VLOOKUP(CurrentMtgRatesDataTable82527141518[[#This Row],[asofdate]],O:P,2,0)</f>
        <v>0.87680139130000012</v>
      </c>
      <c r="L232" s="91">
        <f>VLOOKUP(CurrentMtgRatesDataTable82527141518[[#This Row],[asofdate]],S:T,2,0)</f>
        <v>0.87680139130000012</v>
      </c>
      <c r="M232" s="6">
        <f ca="1">VLOOKUP(CurrentMtgRatesDataTable82527141518[[#This Row],[asofdate]]+1,Bloomberg!B:C,2,0)</f>
        <v>4585.8</v>
      </c>
      <c r="N232" s="6"/>
      <c r="O232" s="18">
        <v>41074</v>
      </c>
      <c r="P232" s="91">
        <v>0</v>
      </c>
      <c r="Q232" s="104"/>
      <c r="R232" s="104"/>
      <c r="S232" s="18">
        <v>41081</v>
      </c>
      <c r="T232" s="91">
        <v>0.87680139130000012</v>
      </c>
      <c r="V232"/>
    </row>
    <row r="233" spans="2:22">
      <c r="B233" s="85">
        <v>41074</v>
      </c>
      <c r="C233" s="86">
        <v>0.9257422542</v>
      </c>
      <c r="D233" s="86">
        <f>VLOOKUP(CurrentMtgRatesDataTable825[[#This Row],[asofdate]],I:J,2,0)</f>
        <v>0.86092016650000003</v>
      </c>
      <c r="E233" s="86">
        <f>VLOOKUP(CurrentMtgRatesDataTable825[[#This Row],[asofdate]],O:P,2,0)</f>
        <v>0</v>
      </c>
      <c r="F233" s="87">
        <f ca="1">VLOOKUP(CurrentMtgRatesDataTable825[[#This Row],[asofdate]]+1,Bloomberg!B:C,2,0)</f>
        <v>4719.6000000000004</v>
      </c>
      <c r="I233" s="18">
        <v>41074</v>
      </c>
      <c r="J233" s="91">
        <v>0.86092016650000003</v>
      </c>
      <c r="K233" s="91">
        <f>VLOOKUP(CurrentMtgRatesDataTable82527141518[[#This Row],[asofdate]],O:P,2,0)</f>
        <v>0</v>
      </c>
      <c r="L233" s="91">
        <f>VLOOKUP(CurrentMtgRatesDataTable82527141518[[#This Row],[asofdate]],S:T,2,0)</f>
        <v>0.86089525339999995</v>
      </c>
      <c r="M233" s="6">
        <f ca="1">VLOOKUP(CurrentMtgRatesDataTable82527141518[[#This Row],[asofdate]]+1,Bloomberg!B:C,2,0)</f>
        <v>4719.6000000000004</v>
      </c>
      <c r="N233" s="6"/>
      <c r="O233" s="18">
        <v>41067</v>
      </c>
      <c r="P233" s="91">
        <v>0.87641126130000013</v>
      </c>
      <c r="Q233" s="104"/>
      <c r="R233" s="104"/>
      <c r="S233" s="18">
        <v>41074</v>
      </c>
      <c r="T233" s="91">
        <v>0.86089525339999995</v>
      </c>
      <c r="V233"/>
    </row>
    <row r="234" spans="2:22">
      <c r="B234" s="85">
        <v>41067</v>
      </c>
      <c r="C234" s="86">
        <v>0.93002670949999999</v>
      </c>
      <c r="D234" s="86">
        <f>VLOOKUP(CurrentMtgRatesDataTable825[[#This Row],[asofdate]],I:J,2,0)</f>
        <v>0.87650509779999997</v>
      </c>
      <c r="E234" s="86">
        <f>VLOOKUP(CurrentMtgRatesDataTable825[[#This Row],[asofdate]],O:P,2,0)</f>
        <v>0.87641126130000013</v>
      </c>
      <c r="F234" s="87">
        <f ca="1">VLOOKUP(CurrentMtgRatesDataTable825[[#This Row],[asofdate]]+1,Bloomberg!B:C,2,0)</f>
        <v>5590</v>
      </c>
      <c r="I234" s="18">
        <v>41067</v>
      </c>
      <c r="J234" s="91">
        <v>0.87650509779999997</v>
      </c>
      <c r="K234" s="91">
        <f>VLOOKUP(CurrentMtgRatesDataTable82527141518[[#This Row],[asofdate]],O:P,2,0)</f>
        <v>0.87641126130000013</v>
      </c>
      <c r="L234" s="91">
        <f>VLOOKUP(CurrentMtgRatesDataTable82527141518[[#This Row],[asofdate]],S:T,2,0)</f>
        <v>0.87641126130000013</v>
      </c>
      <c r="M234" s="6">
        <f ca="1">VLOOKUP(CurrentMtgRatesDataTable82527141518[[#This Row],[asofdate]]+1,Bloomberg!B:C,2,0)</f>
        <v>5590</v>
      </c>
      <c r="N234" s="6"/>
      <c r="O234" s="18">
        <v>41060</v>
      </c>
      <c r="P234" s="91">
        <v>0.83983334480000005</v>
      </c>
      <c r="Q234" s="104"/>
      <c r="R234" s="104"/>
      <c r="S234" s="18">
        <v>41067</v>
      </c>
      <c r="T234" s="91">
        <v>0.87641126130000013</v>
      </c>
      <c r="V234"/>
    </row>
    <row r="235" spans="2:22">
      <c r="B235" s="85">
        <v>41060</v>
      </c>
      <c r="C235" s="86">
        <v>0.93017900080000004</v>
      </c>
      <c r="D235" s="86">
        <f>VLOOKUP(CurrentMtgRatesDataTable825[[#This Row],[asofdate]],I:J,2,0)</f>
        <v>0.83986035569999995</v>
      </c>
      <c r="E235" s="86">
        <f>VLOOKUP(CurrentMtgRatesDataTable825[[#This Row],[asofdate]],O:P,2,0)</f>
        <v>0.83983334480000005</v>
      </c>
      <c r="F235" s="87">
        <f ca="1">VLOOKUP(CurrentMtgRatesDataTable825[[#This Row],[asofdate]]+1,Bloomberg!B:C,2,0)</f>
        <v>4736</v>
      </c>
      <c r="I235" s="18">
        <v>41060</v>
      </c>
      <c r="J235" s="91">
        <v>0.83986035569999995</v>
      </c>
      <c r="K235" s="91">
        <f>VLOOKUP(CurrentMtgRatesDataTable82527141518[[#This Row],[asofdate]],O:P,2,0)</f>
        <v>0.83983334480000005</v>
      </c>
      <c r="L235" s="91">
        <f>VLOOKUP(CurrentMtgRatesDataTable82527141518[[#This Row],[asofdate]],S:T,2,0)</f>
        <v>0.83983334480000005</v>
      </c>
      <c r="M235" s="6">
        <f ca="1">VLOOKUP(CurrentMtgRatesDataTable82527141518[[#This Row],[asofdate]]+1,Bloomberg!B:C,2,0)</f>
        <v>4736</v>
      </c>
      <c r="N235" s="6"/>
      <c r="O235" s="18">
        <v>41053</v>
      </c>
      <c r="P235" s="91">
        <v>0</v>
      </c>
      <c r="Q235" s="104"/>
      <c r="R235" s="104"/>
      <c r="S235" s="18">
        <v>41060</v>
      </c>
      <c r="T235" s="91">
        <v>0.83983334480000005</v>
      </c>
      <c r="V235"/>
    </row>
    <row r="236" spans="2:22">
      <c r="B236" s="85">
        <v>41053</v>
      </c>
      <c r="C236" s="86">
        <v>0.92576029410000005</v>
      </c>
      <c r="D236" s="86">
        <f>VLOOKUP(CurrentMtgRatesDataTable825[[#This Row],[asofdate]],I:J,2,0)</f>
        <v>0.83690507839999995</v>
      </c>
      <c r="E236" s="86">
        <f>VLOOKUP(CurrentMtgRatesDataTable825[[#This Row],[asofdate]],O:P,2,0)</f>
        <v>0</v>
      </c>
      <c r="F236" s="87">
        <f ca="1">VLOOKUP(CurrentMtgRatesDataTable825[[#This Row],[asofdate]]+1,Bloomberg!B:C,2,0)</f>
        <v>4675.8999999999996</v>
      </c>
      <c r="I236" s="18">
        <v>41053</v>
      </c>
      <c r="J236" s="91">
        <v>0.83690507839999995</v>
      </c>
      <c r="K236" s="91">
        <f>VLOOKUP(CurrentMtgRatesDataTable82527141518[[#This Row],[asofdate]],O:P,2,0)</f>
        <v>0</v>
      </c>
      <c r="L236" s="91">
        <f>VLOOKUP(CurrentMtgRatesDataTable82527141518[[#This Row],[asofdate]],S:T,2,0)</f>
        <v>0.8368782226</v>
      </c>
      <c r="M236" s="6">
        <f ca="1">VLOOKUP(CurrentMtgRatesDataTable82527141518[[#This Row],[asofdate]]+1,Bloomberg!B:C,2,0)</f>
        <v>4675.8999999999996</v>
      </c>
      <c r="N236" s="6"/>
      <c r="O236" s="18">
        <v>41046</v>
      </c>
      <c r="P236" s="91">
        <v>0.83830150820000005</v>
      </c>
      <c r="Q236" s="104"/>
      <c r="R236" s="104"/>
      <c r="S236" s="18">
        <v>41053</v>
      </c>
      <c r="T236" s="91">
        <v>0.8368782226</v>
      </c>
      <c r="V236"/>
    </row>
    <row r="237" spans="2:22">
      <c r="B237" s="85">
        <v>41046</v>
      </c>
      <c r="C237" s="86">
        <v>0.9281576024</v>
      </c>
      <c r="D237" s="86">
        <f>VLOOKUP(CurrentMtgRatesDataTable825[[#This Row],[asofdate]],I:J,2,0)</f>
        <v>0.83832866309999998</v>
      </c>
      <c r="E237" s="86">
        <f>VLOOKUP(CurrentMtgRatesDataTable825[[#This Row],[asofdate]],O:P,2,0)</f>
        <v>0.83830150820000005</v>
      </c>
      <c r="F237" s="87">
        <f ca="1">VLOOKUP(CurrentMtgRatesDataTable825[[#This Row],[asofdate]]+1,Bloomberg!B:C,2,0)</f>
        <v>4732</v>
      </c>
      <c r="I237" s="18">
        <v>41046</v>
      </c>
      <c r="J237" s="91">
        <v>0.83832866309999998</v>
      </c>
      <c r="K237" s="91">
        <f>VLOOKUP(CurrentMtgRatesDataTable82527141518[[#This Row],[asofdate]],O:P,2,0)</f>
        <v>0.83830150820000005</v>
      </c>
      <c r="L237" s="91">
        <f>VLOOKUP(CurrentMtgRatesDataTable82527141518[[#This Row],[asofdate]],S:T,2,0)</f>
        <v>0.83830150820000005</v>
      </c>
      <c r="M237" s="6">
        <f ca="1">VLOOKUP(CurrentMtgRatesDataTable82527141518[[#This Row],[asofdate]]+1,Bloomberg!B:C,2,0)</f>
        <v>4732</v>
      </c>
      <c r="N237" s="6"/>
      <c r="O237" s="18">
        <v>41039</v>
      </c>
      <c r="P237" s="91">
        <v>0.81730839639999997</v>
      </c>
      <c r="Q237" s="104"/>
      <c r="R237" s="104"/>
      <c r="S237" s="18">
        <v>41046</v>
      </c>
      <c r="T237" s="91">
        <v>0.83830150820000005</v>
      </c>
      <c r="V237"/>
    </row>
    <row r="238" spans="2:22">
      <c r="B238" s="85">
        <v>41039</v>
      </c>
      <c r="C238" s="86">
        <v>0.9223358317</v>
      </c>
      <c r="D238" s="86">
        <f>VLOOKUP(CurrentMtgRatesDataTable825[[#This Row],[asofdate]],I:J,2,0)</f>
        <v>0.81733943220000005</v>
      </c>
      <c r="E238" s="86">
        <f>VLOOKUP(CurrentMtgRatesDataTable825[[#This Row],[asofdate]],O:P,2,0)</f>
        <v>0.81730839639999997</v>
      </c>
      <c r="F238" s="87">
        <f ca="1">VLOOKUP(CurrentMtgRatesDataTable825[[#This Row],[asofdate]]+1,Bloomberg!B:C,2,0)</f>
        <v>4482</v>
      </c>
      <c r="I238" s="18">
        <v>41039</v>
      </c>
      <c r="J238" s="91">
        <v>0.81733943220000005</v>
      </c>
      <c r="K238" s="91">
        <f>VLOOKUP(CurrentMtgRatesDataTable82527141518[[#This Row],[asofdate]],O:P,2,0)</f>
        <v>0.81730839639999997</v>
      </c>
      <c r="L238" s="91">
        <f>VLOOKUP(CurrentMtgRatesDataTable82527141518[[#This Row],[asofdate]],S:T,2,0)</f>
        <v>0.81730839639999997</v>
      </c>
      <c r="M238" s="6">
        <f ca="1">VLOOKUP(CurrentMtgRatesDataTable82527141518[[#This Row],[asofdate]]+1,Bloomberg!B:C,2,0)</f>
        <v>4482</v>
      </c>
      <c r="N238" s="6"/>
      <c r="O238" s="18">
        <v>41032</v>
      </c>
      <c r="P238" s="91">
        <v>0.81120579599999998</v>
      </c>
      <c r="Q238" s="104"/>
      <c r="R238" s="104"/>
      <c r="S238" s="18">
        <v>41039</v>
      </c>
      <c r="T238" s="91">
        <v>0.81730839639999997</v>
      </c>
      <c r="V238"/>
    </row>
    <row r="239" spans="2:22">
      <c r="B239" s="85">
        <v>41032</v>
      </c>
      <c r="C239" s="86">
        <v>0.91391156110000005</v>
      </c>
      <c r="D239" s="86">
        <f>VLOOKUP(CurrentMtgRatesDataTable825[[#This Row],[asofdate]],I:J,2,0)</f>
        <v>0.81132074830000001</v>
      </c>
      <c r="E239" s="86">
        <f>VLOOKUP(CurrentMtgRatesDataTable825[[#This Row],[asofdate]],O:P,2,0)</f>
        <v>0.81120579599999998</v>
      </c>
      <c r="F239" s="87">
        <f ca="1">VLOOKUP(CurrentMtgRatesDataTable825[[#This Row],[asofdate]]+1,Bloomberg!B:C,2,0)</f>
        <v>3924.4</v>
      </c>
      <c r="I239" s="18">
        <v>41032</v>
      </c>
      <c r="J239" s="91">
        <v>0.81132074830000001</v>
      </c>
      <c r="K239" s="91">
        <f>VLOOKUP(CurrentMtgRatesDataTable82527141518[[#This Row],[asofdate]],O:P,2,0)</f>
        <v>0.81120579599999998</v>
      </c>
      <c r="L239" s="91">
        <f>VLOOKUP(CurrentMtgRatesDataTable82527141518[[#This Row],[asofdate]],S:T,2,0)</f>
        <v>0.81120579599999998</v>
      </c>
      <c r="M239" s="6">
        <f ca="1">VLOOKUP(CurrentMtgRatesDataTable82527141518[[#This Row],[asofdate]]+1,Bloomberg!B:C,2,0)</f>
        <v>3924.4</v>
      </c>
      <c r="N239" s="6"/>
      <c r="O239" s="18">
        <v>41025</v>
      </c>
      <c r="P239" s="91">
        <v>0</v>
      </c>
      <c r="Q239" s="104"/>
      <c r="R239" s="104"/>
      <c r="S239" s="18">
        <v>41032</v>
      </c>
      <c r="T239" s="91">
        <v>0.81120579599999998</v>
      </c>
      <c r="V239"/>
    </row>
    <row r="240" spans="2:22">
      <c r="B240" s="85">
        <v>41025</v>
      </c>
      <c r="C240" s="86">
        <v>0.91450049570000003</v>
      </c>
      <c r="D240" s="86">
        <f>VLOOKUP(CurrentMtgRatesDataTable825[[#This Row],[asofdate]],I:J,2,0)</f>
        <v>0.8034289067</v>
      </c>
      <c r="E240" s="86">
        <f>VLOOKUP(CurrentMtgRatesDataTable825[[#This Row],[asofdate]],O:P,2,0)</f>
        <v>0</v>
      </c>
      <c r="F240" s="87">
        <f ca="1">VLOOKUP(CurrentMtgRatesDataTable825[[#This Row],[asofdate]]+1,Bloomberg!B:C,2,0)</f>
        <v>3856</v>
      </c>
      <c r="I240" s="18">
        <v>41025</v>
      </c>
      <c r="J240" s="91">
        <v>0.8034289067</v>
      </c>
      <c r="K240" s="91">
        <f>VLOOKUP(CurrentMtgRatesDataTable82527141518[[#This Row],[asofdate]],O:P,2,0)</f>
        <v>0</v>
      </c>
      <c r="L240" s="91">
        <f>VLOOKUP(CurrentMtgRatesDataTable82527141518[[#This Row],[asofdate]],S:T,2,0)</f>
        <v>0.80339735970000004</v>
      </c>
      <c r="M240" s="6">
        <f ca="1">VLOOKUP(CurrentMtgRatesDataTable82527141518[[#This Row],[asofdate]]+1,Bloomberg!B:C,2,0)</f>
        <v>3856</v>
      </c>
      <c r="N240" s="6"/>
      <c r="O240" s="18">
        <v>41018</v>
      </c>
      <c r="P240" s="91">
        <v>0</v>
      </c>
      <c r="Q240" s="104"/>
      <c r="R240" s="104"/>
      <c r="S240" s="18">
        <v>41025</v>
      </c>
      <c r="T240" s="91">
        <v>0.80339735970000004</v>
      </c>
      <c r="V240"/>
    </row>
    <row r="241" spans="2:22">
      <c r="B241" s="85">
        <v>41018</v>
      </c>
      <c r="C241" s="86">
        <v>0.88678583040000003</v>
      </c>
      <c r="D241" s="86">
        <f>VLOOKUP(CurrentMtgRatesDataTable825[[#This Row],[asofdate]],I:J,2,0)</f>
        <v>0.78677306449999995</v>
      </c>
      <c r="E241" s="86">
        <f>VLOOKUP(CurrentMtgRatesDataTable825[[#This Row],[asofdate]],O:P,2,0)</f>
        <v>0</v>
      </c>
      <c r="F241" s="87">
        <f ca="1">VLOOKUP(CurrentMtgRatesDataTable825[[#This Row],[asofdate]]+1,Bloomberg!B:C,2,0)</f>
        <v>3892.2</v>
      </c>
      <c r="I241" s="18">
        <v>41018</v>
      </c>
      <c r="J241" s="91">
        <v>0.78677306449999995</v>
      </c>
      <c r="K241" s="91">
        <f>VLOOKUP(CurrentMtgRatesDataTable82527141518[[#This Row],[asofdate]],O:P,2,0)</f>
        <v>0</v>
      </c>
      <c r="L241" s="91">
        <f>VLOOKUP(CurrentMtgRatesDataTable82527141518[[#This Row],[asofdate]],S:T,2,0)</f>
        <v>0.7867426193</v>
      </c>
      <c r="M241" s="6">
        <f ca="1">VLOOKUP(CurrentMtgRatesDataTable82527141518[[#This Row],[asofdate]]+1,Bloomberg!B:C,2,0)</f>
        <v>3892.2</v>
      </c>
      <c r="N241" s="6"/>
      <c r="O241" s="18">
        <v>41011</v>
      </c>
      <c r="P241" s="91">
        <v>0.80339735970000004</v>
      </c>
      <c r="Q241" s="104"/>
      <c r="R241" s="104"/>
      <c r="S241" s="18">
        <v>41018</v>
      </c>
      <c r="T241" s="91">
        <v>0.7867426193</v>
      </c>
      <c r="V241"/>
    </row>
    <row r="242" spans="2:22">
      <c r="B242" s="85">
        <v>41011</v>
      </c>
      <c r="C242" s="86">
        <v>0.91450049570000003</v>
      </c>
      <c r="D242" s="86">
        <f>VLOOKUP(CurrentMtgRatesDataTable825[[#This Row],[asofdate]],I:J,2,0)</f>
        <v>0.8034289067</v>
      </c>
      <c r="E242" s="86">
        <f>VLOOKUP(CurrentMtgRatesDataTable825[[#This Row],[asofdate]],O:P,2,0)</f>
        <v>0.80339735970000004</v>
      </c>
      <c r="F242" s="87">
        <f ca="1">VLOOKUP(CurrentMtgRatesDataTable825[[#This Row],[asofdate]]+1,Bloomberg!B:C,2,0)</f>
        <v>4144.3</v>
      </c>
      <c r="I242" s="18">
        <v>41011</v>
      </c>
      <c r="J242" s="91">
        <v>0.8034289067</v>
      </c>
      <c r="K242" s="91">
        <f>VLOOKUP(CurrentMtgRatesDataTable82527141518[[#This Row],[asofdate]],O:P,2,0)</f>
        <v>0.80339735970000004</v>
      </c>
      <c r="L242" s="91">
        <f>VLOOKUP(CurrentMtgRatesDataTable82527141518[[#This Row],[asofdate]],S:T,2,0)</f>
        <v>0.80339735970000004</v>
      </c>
      <c r="M242" s="6">
        <f ca="1">VLOOKUP(CurrentMtgRatesDataTable82527141518[[#This Row],[asofdate]]+1,Bloomberg!B:C,2,0)</f>
        <v>4144.3</v>
      </c>
      <c r="N242" s="6"/>
      <c r="O242" s="18">
        <v>41004</v>
      </c>
      <c r="P242" s="91">
        <v>0</v>
      </c>
      <c r="Q242" s="104"/>
      <c r="R242" s="104"/>
      <c r="S242" s="18">
        <v>41011</v>
      </c>
      <c r="T242" s="91">
        <v>0.80339735970000004</v>
      </c>
      <c r="V242"/>
    </row>
    <row r="243" spans="2:22">
      <c r="B243" s="85">
        <v>41004</v>
      </c>
      <c r="C243" s="86">
        <v>0.86090378059999995</v>
      </c>
      <c r="D243" s="86">
        <f>VLOOKUP(CurrentMtgRatesDataTable825[[#This Row],[asofdate]],I:J,2,0)</f>
        <v>0.76447569309999996</v>
      </c>
      <c r="E243" s="86">
        <f>VLOOKUP(CurrentMtgRatesDataTable825[[#This Row],[asofdate]],O:P,2,0)</f>
        <v>0</v>
      </c>
      <c r="F243" s="87">
        <f ca="1">VLOOKUP(CurrentMtgRatesDataTable825[[#This Row],[asofdate]]+1,Bloomberg!B:C,2,0)</f>
        <v>3549.3</v>
      </c>
      <c r="I243" s="18">
        <v>41004</v>
      </c>
      <c r="J243" s="91">
        <v>0.76447569309999996</v>
      </c>
      <c r="K243" s="91">
        <f>VLOOKUP(CurrentMtgRatesDataTable82527141518[[#This Row],[asofdate]],O:P,2,0)</f>
        <v>0</v>
      </c>
      <c r="L243" s="91">
        <f>VLOOKUP(CurrentMtgRatesDataTable82527141518[[#This Row],[asofdate]],S:T,2,0)</f>
        <v>1.7660772999999999E-3</v>
      </c>
      <c r="M243" s="6">
        <f ca="1">VLOOKUP(CurrentMtgRatesDataTable82527141518[[#This Row],[asofdate]]+1,Bloomberg!B:C,2,0)</f>
        <v>3549.3</v>
      </c>
      <c r="N243" s="6"/>
      <c r="O243" s="18">
        <v>40997</v>
      </c>
      <c r="P243" s="91">
        <v>0</v>
      </c>
      <c r="Q243" s="104"/>
      <c r="R243" s="104"/>
      <c r="S243" s="18">
        <v>41004</v>
      </c>
      <c r="T243" s="91">
        <v>1.7660772999999999E-3</v>
      </c>
      <c r="V243"/>
    </row>
    <row r="244" spans="2:22">
      <c r="B244" s="85">
        <v>40997</v>
      </c>
      <c r="C244" s="86">
        <v>0.87346071420000015</v>
      </c>
      <c r="D244" s="86">
        <f>VLOOKUP(CurrentMtgRatesDataTable825[[#This Row],[asofdate]],I:J,2,0)</f>
        <v>0.76999415959999995</v>
      </c>
      <c r="E244" s="86">
        <f>VLOOKUP(CurrentMtgRatesDataTable825[[#This Row],[asofdate]],O:P,2,0)</f>
        <v>0</v>
      </c>
      <c r="F244" s="87">
        <f ca="1">VLOOKUP(CurrentMtgRatesDataTable825[[#This Row],[asofdate]]+1,Bloomberg!B:C,2,0)</f>
        <v>3699.5</v>
      </c>
      <c r="I244" s="18">
        <v>40997</v>
      </c>
      <c r="J244" s="91">
        <v>0.76999415959999995</v>
      </c>
      <c r="K244" s="91">
        <f>VLOOKUP(CurrentMtgRatesDataTable82527141518[[#This Row],[asofdate]],O:P,2,0)</f>
        <v>0</v>
      </c>
      <c r="L244" s="91">
        <f>VLOOKUP(CurrentMtgRatesDataTable82527141518[[#This Row],[asofdate]],S:T,2,0)</f>
        <v>1.0400513000000001E-3</v>
      </c>
      <c r="M244" s="6">
        <f ca="1">VLOOKUP(CurrentMtgRatesDataTable82527141518[[#This Row],[asofdate]]+1,Bloomberg!B:C,2,0)</f>
        <v>3699.5</v>
      </c>
      <c r="N244" s="6"/>
      <c r="O244" s="18">
        <v>40990</v>
      </c>
      <c r="P244" s="91">
        <v>0</v>
      </c>
      <c r="Q244" s="104"/>
      <c r="R244" s="104"/>
      <c r="S244" s="18">
        <v>40997</v>
      </c>
      <c r="T244" s="91">
        <v>1.0400513000000001E-3</v>
      </c>
      <c r="V244"/>
    </row>
    <row r="245" spans="2:22">
      <c r="B245" s="85">
        <v>40990</v>
      </c>
      <c r="C245" s="86">
        <v>0.82287769379999998</v>
      </c>
      <c r="D245" s="86">
        <f>VLOOKUP(CurrentMtgRatesDataTable825[[#This Row],[asofdate]],I:J,2,0)</f>
        <v>0.72909925509999995</v>
      </c>
      <c r="E245" s="86">
        <f>VLOOKUP(CurrentMtgRatesDataTable825[[#This Row],[asofdate]],O:P,2,0)</f>
        <v>0</v>
      </c>
      <c r="F245" s="87">
        <f ca="1">VLOOKUP(CurrentMtgRatesDataTable825[[#This Row],[asofdate]]+1,Bloomberg!B:C,2,0)</f>
        <v>3588.4</v>
      </c>
      <c r="I245" s="18">
        <v>40990</v>
      </c>
      <c r="J245" s="91">
        <v>0.72909925509999995</v>
      </c>
      <c r="K245" s="91">
        <f>VLOOKUP(CurrentMtgRatesDataTable82527141518[[#This Row],[asofdate]],O:P,2,0)</f>
        <v>0</v>
      </c>
      <c r="L245" s="91">
        <f>VLOOKUP(CurrentMtgRatesDataTable82527141518[[#This Row],[asofdate]],S:T,2,0)</f>
        <v>4.8803479999999998E-4</v>
      </c>
      <c r="M245" s="6">
        <f ca="1">VLOOKUP(CurrentMtgRatesDataTable82527141518[[#This Row],[asofdate]]+1,Bloomberg!B:C,2,0)</f>
        <v>3588.4</v>
      </c>
      <c r="N245" s="6"/>
      <c r="O245" s="18">
        <v>40983</v>
      </c>
      <c r="P245" s="91">
        <v>0</v>
      </c>
      <c r="Q245" s="104"/>
      <c r="R245" s="104"/>
      <c r="S245" s="18">
        <v>40990</v>
      </c>
      <c r="T245" s="91">
        <v>4.8803479999999998E-4</v>
      </c>
      <c r="V245"/>
    </row>
    <row r="246" spans="2:22">
      <c r="B246" s="85">
        <v>40983</v>
      </c>
      <c r="C246" s="86">
        <v>0.89619507860000003</v>
      </c>
      <c r="D246" s="86">
        <f>VLOOKUP(CurrentMtgRatesDataTable825[[#This Row],[asofdate]],I:J,2,0)</f>
        <v>0.79237017499999995</v>
      </c>
      <c r="E246" s="86">
        <f>VLOOKUP(CurrentMtgRatesDataTable825[[#This Row],[asofdate]],O:P,2,0)</f>
        <v>0</v>
      </c>
      <c r="F246" s="87">
        <f ca="1">VLOOKUP(CurrentMtgRatesDataTable825[[#This Row],[asofdate]]+1,Bloomberg!B:C,2,0)</f>
        <v>3715.2</v>
      </c>
      <c r="I246" s="18">
        <v>40983</v>
      </c>
      <c r="J246" s="91">
        <v>0.79237017499999995</v>
      </c>
      <c r="K246" s="91">
        <f>VLOOKUP(CurrentMtgRatesDataTable82527141518[[#This Row],[asofdate]],O:P,2,0)</f>
        <v>0</v>
      </c>
      <c r="L246" s="91">
        <f>VLOOKUP(CurrentMtgRatesDataTable82527141518[[#This Row],[asofdate]],S:T,2,0)</f>
        <v>0.79234198489999996</v>
      </c>
      <c r="M246" s="6">
        <f ca="1">VLOOKUP(CurrentMtgRatesDataTable82527141518[[#This Row],[asofdate]]+1,Bloomberg!B:C,2,0)</f>
        <v>3715.2</v>
      </c>
      <c r="N246" s="6"/>
      <c r="O246" s="18">
        <v>40976</v>
      </c>
      <c r="P246" s="91">
        <v>2.1742500000000004E-5</v>
      </c>
      <c r="Q246" s="104"/>
      <c r="R246" s="104"/>
      <c r="S246" s="18">
        <v>40983</v>
      </c>
      <c r="T246" s="91">
        <v>0.79234198489999996</v>
      </c>
      <c r="V246"/>
    </row>
    <row r="247" spans="2:22">
      <c r="B247" s="85">
        <v>40976</v>
      </c>
      <c r="C247" s="86">
        <v>0.91423594050000001</v>
      </c>
      <c r="D247" s="86">
        <f>VLOOKUP(CurrentMtgRatesDataTable825[[#This Row],[asofdate]],I:J,2,0)</f>
        <v>0.79525017919999996</v>
      </c>
      <c r="E247" s="86">
        <f>VLOOKUP(CurrentMtgRatesDataTable825[[#This Row],[asofdate]],O:P,2,0)</f>
        <v>2.1742500000000004E-5</v>
      </c>
      <c r="F247" s="87">
        <f ca="1">VLOOKUP(CurrentMtgRatesDataTable825[[#This Row],[asofdate]]+1,Bloomberg!B:C,2,0)</f>
        <v>4063.4</v>
      </c>
      <c r="I247" s="18">
        <v>40976</v>
      </c>
      <c r="J247" s="91">
        <v>0.79525017919999996</v>
      </c>
      <c r="K247" s="91">
        <f>VLOOKUP(CurrentMtgRatesDataTable82527141518[[#This Row],[asofdate]],O:P,2,0)</f>
        <v>2.1742500000000004E-5</v>
      </c>
      <c r="L247" s="91">
        <f>VLOOKUP(CurrentMtgRatesDataTable82527141518[[#This Row],[asofdate]],S:T,2,0)</f>
        <v>0.79522232680000005</v>
      </c>
      <c r="M247" s="6">
        <f ca="1">VLOOKUP(CurrentMtgRatesDataTable82527141518[[#This Row],[asofdate]]+1,Bloomberg!B:C,2,0)</f>
        <v>4063.4</v>
      </c>
      <c r="N247" s="6"/>
      <c r="O247" s="18">
        <v>40969</v>
      </c>
      <c r="P247" s="91">
        <v>0</v>
      </c>
      <c r="Q247" s="104"/>
      <c r="R247" s="104"/>
      <c r="S247" s="18">
        <v>40976</v>
      </c>
      <c r="T247" s="91">
        <v>0.79522232680000005</v>
      </c>
      <c r="V247"/>
    </row>
    <row r="248" spans="2:22">
      <c r="B248" s="85">
        <v>40969</v>
      </c>
      <c r="C248" s="86">
        <v>0.90460748329999996</v>
      </c>
      <c r="D248" s="86">
        <f>VLOOKUP(CurrentMtgRatesDataTable825[[#This Row],[asofdate]],I:J,2,0)</f>
        <v>0.79406819989999999</v>
      </c>
      <c r="E248" s="86">
        <f>VLOOKUP(CurrentMtgRatesDataTable825[[#This Row],[asofdate]],O:P,2,0)</f>
        <v>0</v>
      </c>
      <c r="F248" s="87">
        <f ca="1">VLOOKUP(CurrentMtgRatesDataTable825[[#This Row],[asofdate]]+1,Bloomberg!B:C,2,0)</f>
        <v>4277.6000000000004</v>
      </c>
      <c r="I248" s="18">
        <v>40969</v>
      </c>
      <c r="J248" s="91">
        <v>0.79406819989999999</v>
      </c>
      <c r="K248" s="91">
        <f>VLOOKUP(CurrentMtgRatesDataTable82527141518[[#This Row],[asofdate]],O:P,2,0)</f>
        <v>0</v>
      </c>
      <c r="L248" s="91">
        <f>VLOOKUP(CurrentMtgRatesDataTable82527141518[[#This Row],[asofdate]],S:T,2,0)</f>
        <v>0.79401839910000005</v>
      </c>
      <c r="M248" s="6">
        <f ca="1">VLOOKUP(CurrentMtgRatesDataTable82527141518[[#This Row],[asofdate]]+1,Bloomberg!B:C,2,0)</f>
        <v>4277.6000000000004</v>
      </c>
      <c r="N248" s="6"/>
      <c r="O248" s="18">
        <v>40962</v>
      </c>
      <c r="P248" s="91">
        <v>0</v>
      </c>
      <c r="Q248" s="104"/>
      <c r="R248" s="104"/>
      <c r="S248" s="18">
        <v>40969</v>
      </c>
      <c r="T248" s="91">
        <v>0.79401839910000005</v>
      </c>
      <c r="V248"/>
    </row>
    <row r="249" spans="2:22">
      <c r="B249" s="85">
        <v>40962</v>
      </c>
      <c r="C249" s="86">
        <v>0.89783619709999996</v>
      </c>
      <c r="D249" s="86">
        <f>VLOOKUP(CurrentMtgRatesDataTable825[[#This Row],[asofdate]],I:J,2,0)</f>
        <v>0.78677879350000002</v>
      </c>
      <c r="E249" s="86">
        <f>VLOOKUP(CurrentMtgRatesDataTable825[[#This Row],[asofdate]],O:P,2,0)</f>
        <v>0</v>
      </c>
      <c r="F249" s="87">
        <f ca="1">VLOOKUP(CurrentMtgRatesDataTable825[[#This Row],[asofdate]]+1,Bloomberg!B:C,2,0)</f>
        <v>4379.1000000000004</v>
      </c>
      <c r="I249" s="18">
        <v>40962</v>
      </c>
      <c r="J249" s="91">
        <v>0.78677879350000002</v>
      </c>
      <c r="K249" s="91">
        <f>VLOOKUP(CurrentMtgRatesDataTable82527141518[[#This Row],[asofdate]],O:P,2,0)</f>
        <v>0</v>
      </c>
      <c r="L249" s="91">
        <f>VLOOKUP(CurrentMtgRatesDataTable82527141518[[#This Row],[asofdate]],S:T,2,0)</f>
        <v>0.78675289839999996</v>
      </c>
      <c r="M249" s="6">
        <f ca="1">VLOOKUP(CurrentMtgRatesDataTable82527141518[[#This Row],[asofdate]]+1,Bloomberg!B:C,2,0)</f>
        <v>4379.1000000000004</v>
      </c>
      <c r="N249" s="6"/>
      <c r="O249" s="18">
        <v>40955</v>
      </c>
      <c r="P249" s="91">
        <v>0</v>
      </c>
      <c r="Q249" s="104"/>
      <c r="R249" s="104"/>
      <c r="S249" s="18">
        <v>40962</v>
      </c>
      <c r="T249" s="91">
        <v>0.78675289839999996</v>
      </c>
      <c r="V249"/>
    </row>
    <row r="250" spans="2:22">
      <c r="B250" s="85">
        <v>40955</v>
      </c>
      <c r="C250" s="86">
        <v>0.93603696439999995</v>
      </c>
      <c r="D250" s="86">
        <f>VLOOKUP(CurrentMtgRatesDataTable825[[#This Row],[asofdate]],I:J,2,0)</f>
        <v>0.81682312189999995</v>
      </c>
      <c r="E250" s="86">
        <f>VLOOKUP(CurrentMtgRatesDataTable825[[#This Row],[asofdate]],O:P,2,0)</f>
        <v>0</v>
      </c>
      <c r="F250" s="87">
        <f ca="1">VLOOKUP(CurrentMtgRatesDataTable825[[#This Row],[asofdate]]+1,Bloomberg!B:C,2,0)</f>
        <v>4466.8999999999996</v>
      </c>
      <c r="I250" s="18">
        <v>40955</v>
      </c>
      <c r="J250" s="91">
        <v>0.81682312189999995</v>
      </c>
      <c r="K250" s="91">
        <f>VLOOKUP(CurrentMtgRatesDataTable82527141518[[#This Row],[asofdate]],O:P,2,0)</f>
        <v>0</v>
      </c>
      <c r="L250" s="91">
        <f>VLOOKUP(CurrentMtgRatesDataTable82527141518[[#This Row],[asofdate]],S:T,2,0)</f>
        <v>0.81679852819999998</v>
      </c>
      <c r="M250" s="6">
        <f ca="1">VLOOKUP(CurrentMtgRatesDataTable82527141518[[#This Row],[asofdate]]+1,Bloomberg!B:C,2,0)</f>
        <v>4466.8999999999996</v>
      </c>
      <c r="N250" s="6"/>
      <c r="O250" s="18">
        <v>40948</v>
      </c>
      <c r="P250" s="91">
        <v>0</v>
      </c>
      <c r="Q250" s="104"/>
      <c r="R250" s="104"/>
      <c r="S250" s="18">
        <v>40955</v>
      </c>
      <c r="T250" s="91">
        <v>0.81679852819999998</v>
      </c>
      <c r="V250"/>
    </row>
    <row r="251" spans="2:22">
      <c r="B251" s="85">
        <v>40948</v>
      </c>
      <c r="C251" s="86">
        <v>0.93603696439999995</v>
      </c>
      <c r="D251" s="86">
        <f>VLOOKUP(CurrentMtgRatesDataTable825[[#This Row],[asofdate]],I:J,2,0)</f>
        <v>0.81682312189999995</v>
      </c>
      <c r="E251" s="86">
        <f>VLOOKUP(CurrentMtgRatesDataTable825[[#This Row],[asofdate]],O:P,2,0)</f>
        <v>0</v>
      </c>
      <c r="F251" s="87">
        <f ca="1">VLOOKUP(CurrentMtgRatesDataTable825[[#This Row],[asofdate]]+1,Bloomberg!B:C,2,0)</f>
        <v>4716.1000000000004</v>
      </c>
      <c r="I251" s="18">
        <v>40948</v>
      </c>
      <c r="J251" s="91">
        <v>0.81682312189999995</v>
      </c>
      <c r="K251" s="91">
        <f>VLOOKUP(CurrentMtgRatesDataTable82527141518[[#This Row],[asofdate]],O:P,2,0)</f>
        <v>0</v>
      </c>
      <c r="L251" s="91">
        <f>VLOOKUP(CurrentMtgRatesDataTable82527141518[[#This Row],[asofdate]],S:T,2,0)</f>
        <v>0.81679852819999998</v>
      </c>
      <c r="M251" s="6">
        <f ca="1">VLOOKUP(CurrentMtgRatesDataTable82527141518[[#This Row],[asofdate]]+1,Bloomberg!B:C,2,0)</f>
        <v>4716.1000000000004</v>
      </c>
      <c r="N251" s="6"/>
      <c r="O251" s="18">
        <v>40941</v>
      </c>
      <c r="P251" s="91">
        <v>0</v>
      </c>
      <c r="Q251" s="104"/>
      <c r="R251" s="104"/>
      <c r="S251" s="18">
        <v>40948</v>
      </c>
      <c r="T251" s="91">
        <v>0.81679852819999998</v>
      </c>
      <c r="V251"/>
    </row>
    <row r="252" spans="2:22">
      <c r="B252" s="85">
        <v>40941</v>
      </c>
      <c r="C252" s="86">
        <v>0.93603696439999995</v>
      </c>
      <c r="D252" s="86">
        <f>VLOOKUP(CurrentMtgRatesDataTable825[[#This Row],[asofdate]],I:J,2,0)</f>
        <v>0.81682312189999995</v>
      </c>
      <c r="E252" s="86">
        <f>VLOOKUP(CurrentMtgRatesDataTable825[[#This Row],[asofdate]],O:P,2,0)</f>
        <v>0</v>
      </c>
      <c r="F252" s="87">
        <f ca="1">VLOOKUP(CurrentMtgRatesDataTable825[[#This Row],[asofdate]]+1,Bloomberg!B:C,2,0)</f>
        <v>4617.1000000000004</v>
      </c>
      <c r="I252" s="18">
        <v>40941</v>
      </c>
      <c r="J252" s="91">
        <v>0.81682312189999995</v>
      </c>
      <c r="K252" s="91">
        <f>VLOOKUP(CurrentMtgRatesDataTable82527141518[[#This Row],[asofdate]],O:P,2,0)</f>
        <v>0</v>
      </c>
      <c r="L252" s="91">
        <f>VLOOKUP(CurrentMtgRatesDataTable82527141518[[#This Row],[asofdate]],S:T,2,0)</f>
        <v>0.81672062599999995</v>
      </c>
      <c r="M252" s="6">
        <f ca="1">VLOOKUP(CurrentMtgRatesDataTable82527141518[[#This Row],[asofdate]]+1,Bloomberg!B:C,2,0)</f>
        <v>4617.1000000000004</v>
      </c>
      <c r="N252" s="6"/>
      <c r="O252" s="18">
        <v>40934</v>
      </c>
      <c r="P252" s="91">
        <v>0</v>
      </c>
      <c r="Q252" s="104"/>
      <c r="R252" s="104"/>
      <c r="S252" s="18">
        <v>40941</v>
      </c>
      <c r="T252" s="91">
        <v>0.81672062599999995</v>
      </c>
      <c r="V252"/>
    </row>
    <row r="253" spans="2:22">
      <c r="B253" s="85">
        <v>40934</v>
      </c>
      <c r="C253" s="86">
        <v>0.90360872039999995</v>
      </c>
      <c r="D253" s="86">
        <f>VLOOKUP(CurrentMtgRatesDataTable825[[#This Row],[asofdate]],I:J,2,0)</f>
        <v>0.79482617889999996</v>
      </c>
      <c r="E253" s="86">
        <f>VLOOKUP(CurrentMtgRatesDataTable825[[#This Row],[asofdate]],O:P,2,0)</f>
        <v>0</v>
      </c>
      <c r="F253" s="87">
        <f ca="1">VLOOKUP(CurrentMtgRatesDataTable825[[#This Row],[asofdate]]+1,Bloomberg!B:C,2,0)</f>
        <v>4184.3</v>
      </c>
      <c r="I253" s="18">
        <v>40934</v>
      </c>
      <c r="J253" s="91">
        <v>0.79482617889999996</v>
      </c>
      <c r="K253" s="91">
        <f>VLOOKUP(CurrentMtgRatesDataTable82527141518[[#This Row],[asofdate]],O:P,2,0)</f>
        <v>0</v>
      </c>
      <c r="L253" s="91">
        <f>VLOOKUP(CurrentMtgRatesDataTable82527141518[[#This Row],[asofdate]],S:T,2,0)</f>
        <v>0.79480169020000002</v>
      </c>
      <c r="M253" s="6">
        <f ca="1">VLOOKUP(CurrentMtgRatesDataTable82527141518[[#This Row],[asofdate]]+1,Bloomberg!B:C,2,0)</f>
        <v>4184.3</v>
      </c>
      <c r="N253" s="6"/>
      <c r="O253" s="18">
        <v>40927</v>
      </c>
      <c r="P253" s="91">
        <v>0</v>
      </c>
      <c r="Q253" s="104"/>
      <c r="R253" s="104"/>
      <c r="S253" s="18">
        <v>40934</v>
      </c>
      <c r="T253" s="91">
        <v>0.79480169020000002</v>
      </c>
      <c r="V253"/>
    </row>
    <row r="254" spans="2:22">
      <c r="B254" s="85">
        <v>40927</v>
      </c>
      <c r="C254" s="86">
        <v>0.93403008239999996</v>
      </c>
      <c r="D254" s="86">
        <f>VLOOKUP(CurrentMtgRatesDataTable825[[#This Row],[asofdate]],I:J,2,0)</f>
        <v>0.81589622309999998</v>
      </c>
      <c r="E254" s="86">
        <f>VLOOKUP(CurrentMtgRatesDataTable825[[#This Row],[asofdate]],O:P,2,0)</f>
        <v>0</v>
      </c>
      <c r="F254" s="87">
        <f ca="1">VLOOKUP(CurrentMtgRatesDataTable825[[#This Row],[asofdate]]+1,Bloomberg!B:C,2,0)</f>
        <v>4326.3999999999996</v>
      </c>
      <c r="I254" s="18">
        <v>40927</v>
      </c>
      <c r="J254" s="91">
        <v>0.81589622309999998</v>
      </c>
      <c r="K254" s="91">
        <f>VLOOKUP(CurrentMtgRatesDataTable82527141518[[#This Row],[asofdate]],O:P,2,0)</f>
        <v>0</v>
      </c>
      <c r="L254" s="91">
        <f>VLOOKUP(CurrentMtgRatesDataTable82527141518[[#This Row],[asofdate]],S:T,2,0)</f>
        <v>0.81587214029999999</v>
      </c>
      <c r="M254" s="6">
        <f ca="1">VLOOKUP(CurrentMtgRatesDataTable82527141518[[#This Row],[asofdate]]+1,Bloomberg!B:C,2,0)</f>
        <v>4326.3999999999996</v>
      </c>
      <c r="N254" s="6"/>
      <c r="O254" s="18">
        <v>40920</v>
      </c>
      <c r="P254" s="91">
        <v>0.82555159239999998</v>
      </c>
      <c r="Q254" s="104"/>
      <c r="R254" s="104"/>
      <c r="S254" s="18">
        <v>40927</v>
      </c>
      <c r="T254" s="91">
        <v>0.81587214029999999</v>
      </c>
      <c r="V254"/>
    </row>
    <row r="255" spans="2:22">
      <c r="B255" s="85">
        <v>40920</v>
      </c>
      <c r="C255" s="86">
        <v>0.94694427430000006</v>
      </c>
      <c r="D255" s="86">
        <f>VLOOKUP(CurrentMtgRatesDataTable825[[#This Row],[asofdate]],I:J,2,0)</f>
        <v>0.82557419580000002</v>
      </c>
      <c r="E255" s="86">
        <f>VLOOKUP(CurrentMtgRatesDataTable825[[#This Row],[asofdate]],O:P,2,0)</f>
        <v>0.82555159239999998</v>
      </c>
      <c r="F255" s="87">
        <f ca="1">VLOOKUP(CurrentMtgRatesDataTable825[[#This Row],[asofdate]]+1,Bloomberg!B:C,2,0)</f>
        <v>4626.5</v>
      </c>
      <c r="I255" s="18">
        <v>40920</v>
      </c>
      <c r="J255" s="91">
        <v>0.82557419580000002</v>
      </c>
      <c r="K255" s="91">
        <f>VLOOKUP(CurrentMtgRatesDataTable82527141518[[#This Row],[asofdate]],O:P,2,0)</f>
        <v>0.82555159239999998</v>
      </c>
      <c r="L255" s="91">
        <f>VLOOKUP(CurrentMtgRatesDataTable82527141518[[#This Row],[asofdate]],S:T,2,0)</f>
        <v>0.82555159239999998</v>
      </c>
      <c r="M255" s="6">
        <f ca="1">VLOOKUP(CurrentMtgRatesDataTable82527141518[[#This Row],[asofdate]]+1,Bloomberg!B:C,2,0)</f>
        <v>4626.5</v>
      </c>
      <c r="N255" s="6"/>
      <c r="O255" s="18">
        <v>40913</v>
      </c>
      <c r="P255" s="91">
        <v>0</v>
      </c>
      <c r="Q255" s="104"/>
      <c r="R255" s="104"/>
      <c r="S255" s="18">
        <v>40920</v>
      </c>
      <c r="T255" s="91">
        <v>0.82555159239999998</v>
      </c>
      <c r="V255"/>
    </row>
    <row r="256" spans="2:22">
      <c r="B256" s="85">
        <v>40913</v>
      </c>
      <c r="C256" s="86">
        <v>0.92199370189999996</v>
      </c>
      <c r="D256" s="86">
        <f>VLOOKUP(CurrentMtgRatesDataTable825[[#This Row],[asofdate]],I:J,2,0)</f>
        <v>0.81311794920000002</v>
      </c>
      <c r="E256" s="86">
        <f>VLOOKUP(CurrentMtgRatesDataTable825[[#This Row],[asofdate]],O:P,2,0)</f>
        <v>0</v>
      </c>
      <c r="F256" s="87">
        <f ca="1">VLOOKUP(CurrentMtgRatesDataTable825[[#This Row],[asofdate]]+1,Bloomberg!B:C,2,0)</f>
        <v>3668.3</v>
      </c>
      <c r="I256" s="18">
        <v>40913</v>
      </c>
      <c r="J256" s="91">
        <v>0.81311794920000002</v>
      </c>
      <c r="K256" s="91">
        <f>VLOOKUP(CurrentMtgRatesDataTable82527141518[[#This Row],[asofdate]],O:P,2,0)</f>
        <v>0</v>
      </c>
      <c r="L256" s="91">
        <f>VLOOKUP(CurrentMtgRatesDataTable82527141518[[#This Row],[asofdate]],S:T,2,0)</f>
        <v>0.81306843449999999</v>
      </c>
      <c r="M256" s="6">
        <f ca="1">VLOOKUP(CurrentMtgRatesDataTable82527141518[[#This Row],[asofdate]]+1,Bloomberg!B:C,2,0)</f>
        <v>3668.3</v>
      </c>
      <c r="N256" s="6"/>
      <c r="O256" s="18">
        <v>40906</v>
      </c>
      <c r="P256" s="91">
        <v>0</v>
      </c>
      <c r="Q256" s="104"/>
      <c r="R256" s="104"/>
      <c r="S256" s="18">
        <v>40913</v>
      </c>
      <c r="T256" s="91">
        <v>0.81306843449999999</v>
      </c>
      <c r="V256"/>
    </row>
    <row r="257" spans="2:22">
      <c r="B257" s="85">
        <v>40906</v>
      </c>
      <c r="C257" s="86">
        <v>0.92714012680000002</v>
      </c>
      <c r="D257" s="86">
        <f>VLOOKUP(CurrentMtgRatesDataTable825[[#This Row],[asofdate]],I:J,2,0)</f>
        <v>0.82761677320000004</v>
      </c>
      <c r="E257" s="86">
        <f>VLOOKUP(CurrentMtgRatesDataTable825[[#This Row],[asofdate]],O:P,2,0)</f>
        <v>0</v>
      </c>
      <c r="F257" s="87">
        <f ca="1">VLOOKUP(CurrentMtgRatesDataTable825[[#This Row],[asofdate]]+1,Bloomberg!B:C,2,0)</f>
        <v>3608.1</v>
      </c>
      <c r="I257" s="18">
        <v>40906</v>
      </c>
      <c r="J257" s="91">
        <v>0.82761677320000004</v>
      </c>
      <c r="K257" s="91">
        <f>VLOOKUP(CurrentMtgRatesDataTable82527141518[[#This Row],[asofdate]],O:P,2,0)</f>
        <v>0</v>
      </c>
      <c r="L257" s="91">
        <f>VLOOKUP(CurrentMtgRatesDataTable82527141518[[#This Row],[asofdate]],S:T,2,0)</f>
        <v>0.82759405100000005</v>
      </c>
      <c r="M257" s="6">
        <f ca="1">VLOOKUP(CurrentMtgRatesDataTable82527141518[[#This Row],[asofdate]]+1,Bloomberg!B:C,2,0)</f>
        <v>3608.1</v>
      </c>
      <c r="N257" s="6"/>
      <c r="O257" s="18">
        <v>40899</v>
      </c>
      <c r="P257" s="91">
        <v>0.830488738</v>
      </c>
      <c r="Q257" s="104"/>
      <c r="R257" s="104"/>
      <c r="S257" s="18">
        <v>40906</v>
      </c>
      <c r="T257" s="91">
        <v>0.82759405100000005</v>
      </c>
      <c r="V257"/>
    </row>
    <row r="258" spans="2:22">
      <c r="B258" s="85">
        <v>40899</v>
      </c>
      <c r="C258" s="86">
        <v>0.94080842779999996</v>
      </c>
      <c r="D258" s="86">
        <f>VLOOKUP(CurrentMtgRatesDataTable825[[#This Row],[asofdate]],I:J,2,0)</f>
        <v>0.83051129830000003</v>
      </c>
      <c r="E258" s="86">
        <f>VLOOKUP(CurrentMtgRatesDataTable825[[#This Row],[asofdate]],O:P,2,0)</f>
        <v>0.830488738</v>
      </c>
      <c r="F258" s="87">
        <f ca="1">VLOOKUP(CurrentMtgRatesDataTable825[[#This Row],[asofdate]]+1,Bloomberg!B:C,2,0)</f>
        <v>3684.5</v>
      </c>
      <c r="I258" s="18">
        <v>40899</v>
      </c>
      <c r="J258" s="91">
        <v>0.83051129830000003</v>
      </c>
      <c r="K258" s="91">
        <f>VLOOKUP(CurrentMtgRatesDataTable82527141518[[#This Row],[asofdate]],O:P,2,0)</f>
        <v>0.830488738</v>
      </c>
      <c r="L258" s="91">
        <f>VLOOKUP(CurrentMtgRatesDataTable82527141518[[#This Row],[asofdate]],S:T,2,0)</f>
        <v>0.830488738</v>
      </c>
      <c r="M258" s="6">
        <f ca="1">VLOOKUP(CurrentMtgRatesDataTable82527141518[[#This Row],[asofdate]]+1,Bloomberg!B:C,2,0)</f>
        <v>3684.5</v>
      </c>
      <c r="N258" s="6"/>
      <c r="O258" s="18">
        <v>40892</v>
      </c>
      <c r="P258" s="91">
        <v>1.3569425E-3</v>
      </c>
      <c r="Q258" s="104"/>
      <c r="R258" s="104"/>
      <c r="S258" s="18">
        <v>40899</v>
      </c>
      <c r="T258" s="91">
        <v>0.830488738</v>
      </c>
      <c r="V258"/>
    </row>
    <row r="259" spans="2:22">
      <c r="B259" s="85">
        <v>40892</v>
      </c>
      <c r="C259" s="86">
        <v>0.92183011619999999</v>
      </c>
      <c r="D259" s="86">
        <f>VLOOKUP(CurrentMtgRatesDataTable825[[#This Row],[asofdate]],I:J,2,0)</f>
        <v>0.81140619059999997</v>
      </c>
      <c r="E259" s="86">
        <f>VLOOKUP(CurrentMtgRatesDataTable825[[#This Row],[asofdate]],O:P,2,0)</f>
        <v>1.3569425E-3</v>
      </c>
      <c r="F259" s="87">
        <f ca="1">VLOOKUP(CurrentMtgRatesDataTable825[[#This Row],[asofdate]]+1,Bloomberg!B:C,2,0)</f>
        <v>3676.1</v>
      </c>
      <c r="I259" s="18">
        <v>40892</v>
      </c>
      <c r="J259" s="91">
        <v>0.81140619059999997</v>
      </c>
      <c r="K259" s="91">
        <f>VLOOKUP(CurrentMtgRatesDataTable82527141518[[#This Row],[asofdate]],O:P,2,0)</f>
        <v>1.3569425E-3</v>
      </c>
      <c r="L259" s="91">
        <f>VLOOKUP(CurrentMtgRatesDataTable82527141518[[#This Row],[asofdate]],S:T,2,0)</f>
        <v>0.81138436970000005</v>
      </c>
      <c r="M259" s="6">
        <f ca="1">VLOOKUP(CurrentMtgRatesDataTable82527141518[[#This Row],[asofdate]]+1,Bloomberg!B:C,2,0)</f>
        <v>3676.1</v>
      </c>
      <c r="N259" s="6"/>
      <c r="O259" s="18">
        <v>40885</v>
      </c>
      <c r="P259" s="91">
        <v>1.142524E-4</v>
      </c>
      <c r="Q259" s="104"/>
      <c r="R259" s="104"/>
      <c r="S259" s="18">
        <v>40892</v>
      </c>
      <c r="T259" s="91">
        <v>0.81138436970000005</v>
      </c>
      <c r="V259"/>
    </row>
    <row r="260" spans="2:22">
      <c r="B260" s="85">
        <v>40885</v>
      </c>
      <c r="C260" s="86">
        <v>0.90637092699999999</v>
      </c>
      <c r="D260" s="86">
        <f>VLOOKUP(CurrentMtgRatesDataTable825[[#This Row],[asofdate]],I:J,2,0)</f>
        <v>0.8066320361</v>
      </c>
      <c r="E260" s="86">
        <f>VLOOKUP(CurrentMtgRatesDataTable825[[#This Row],[asofdate]],O:P,2,0)</f>
        <v>1.142524E-4</v>
      </c>
      <c r="F260" s="87">
        <f ca="1">VLOOKUP(CurrentMtgRatesDataTable825[[#This Row],[asofdate]]+1,Bloomberg!B:C,2,0)</f>
        <v>3708.6</v>
      </c>
      <c r="I260" s="18">
        <v>40885</v>
      </c>
      <c r="J260" s="91">
        <v>0.8066320361</v>
      </c>
      <c r="K260" s="91">
        <f>VLOOKUP(CurrentMtgRatesDataTable82527141518[[#This Row],[asofdate]],O:P,2,0)</f>
        <v>1.142524E-4</v>
      </c>
      <c r="L260" s="91">
        <f>VLOOKUP(CurrentMtgRatesDataTable82527141518[[#This Row],[asofdate]],S:T,2,0)</f>
        <v>0.80660984030000005</v>
      </c>
      <c r="M260" s="6">
        <f ca="1">VLOOKUP(CurrentMtgRatesDataTable82527141518[[#This Row],[asofdate]]+1,Bloomberg!B:C,2,0)</f>
        <v>3708.6</v>
      </c>
      <c r="N260" s="6"/>
      <c r="O260" s="18">
        <v>40878</v>
      </c>
      <c r="P260" s="91">
        <v>0</v>
      </c>
      <c r="Q260" s="104"/>
      <c r="R260" s="104"/>
      <c r="S260" s="18">
        <v>40885</v>
      </c>
      <c r="T260" s="91">
        <v>0.80660984030000005</v>
      </c>
      <c r="V260"/>
    </row>
    <row r="261" spans="2:22">
      <c r="B261" s="85">
        <v>40878</v>
      </c>
      <c r="C261" s="86">
        <v>0.90190909860000001</v>
      </c>
      <c r="D261" s="86">
        <f>VLOOKUP(CurrentMtgRatesDataTable825[[#This Row],[asofdate]],I:J,2,0)</f>
        <v>0.8061458252</v>
      </c>
      <c r="E261" s="86">
        <f>VLOOKUP(CurrentMtgRatesDataTable825[[#This Row],[asofdate]],O:P,2,0)</f>
        <v>0</v>
      </c>
      <c r="F261" s="87">
        <f ca="1">VLOOKUP(CurrentMtgRatesDataTable825[[#This Row],[asofdate]]+1,Bloomberg!B:C,2,0)</f>
        <v>3394.7</v>
      </c>
      <c r="I261" s="18">
        <v>40878</v>
      </c>
      <c r="J261" s="91">
        <v>0.8061458252</v>
      </c>
      <c r="K261" s="91">
        <f>VLOOKUP(CurrentMtgRatesDataTable82527141518[[#This Row],[asofdate]],O:P,2,0)</f>
        <v>0</v>
      </c>
      <c r="L261" s="91">
        <f>VLOOKUP(CurrentMtgRatesDataTable82527141518[[#This Row],[asofdate]],S:T,2,0)</f>
        <v>0.80600962949999999</v>
      </c>
      <c r="M261" s="6">
        <f ca="1">VLOOKUP(CurrentMtgRatesDataTable82527141518[[#This Row],[asofdate]]+1,Bloomberg!B:C,2,0)</f>
        <v>3394.7</v>
      </c>
      <c r="N261" s="6"/>
      <c r="O261" s="18">
        <v>40870</v>
      </c>
      <c r="P261" s="91">
        <v>1.8926290000000003E-4</v>
      </c>
      <c r="Q261" s="104"/>
      <c r="R261" s="104"/>
      <c r="S261" s="18">
        <v>40878</v>
      </c>
      <c r="T261" s="91">
        <v>0.80600962949999999</v>
      </c>
      <c r="V261"/>
    </row>
    <row r="262" spans="2:22">
      <c r="B262" s="85">
        <v>40870</v>
      </c>
      <c r="C262" s="86">
        <v>0.92150528340000004</v>
      </c>
      <c r="D262" s="86">
        <f>VLOOKUP(CurrentMtgRatesDataTable825[[#This Row],[asofdate]],I:J,2,0)</f>
        <v>0.82430845949999998</v>
      </c>
      <c r="E262" s="86">
        <f>VLOOKUP(CurrentMtgRatesDataTable825[[#This Row],[asofdate]],O:P,2,0)</f>
        <v>1.8926290000000003E-4</v>
      </c>
      <c r="F262" s="87" t="e">
        <f ca="1">VLOOKUP(CurrentMtgRatesDataTable825[[#This Row],[asofdate]]+1,Bloomberg!B:C,2,0)</f>
        <v>#N/A</v>
      </c>
      <c r="I262" s="18">
        <v>40870</v>
      </c>
      <c r="J262" s="91">
        <v>0.82430845949999998</v>
      </c>
      <c r="K262" s="91">
        <f>VLOOKUP(CurrentMtgRatesDataTable82527141518[[#This Row],[asofdate]],O:P,2,0)</f>
        <v>1.8926290000000003E-4</v>
      </c>
      <c r="L262" s="91">
        <f>VLOOKUP(CurrentMtgRatesDataTable82527141518[[#This Row],[asofdate]],S:T,2,0)</f>
        <v>0.82428877489999997</v>
      </c>
      <c r="M262" s="6" t="e">
        <f ca="1">VLOOKUP(CurrentMtgRatesDataTable82527141518[[#This Row],[asofdate]]+1,Bloomberg!B:C,2,0)</f>
        <v>#N/A</v>
      </c>
      <c r="N262" s="6"/>
      <c r="O262" s="18">
        <v>40864</v>
      </c>
      <c r="P262" s="91">
        <v>0</v>
      </c>
      <c r="Q262" s="104"/>
      <c r="R262" s="104"/>
      <c r="S262" s="18">
        <v>40870</v>
      </c>
      <c r="T262" s="91">
        <v>0.82428877489999997</v>
      </c>
      <c r="V262"/>
    </row>
    <row r="263" spans="2:22">
      <c r="B263" s="85">
        <v>40864</v>
      </c>
      <c r="C263" s="86">
        <v>0.9118126714</v>
      </c>
      <c r="D263" s="86">
        <f>VLOOKUP(CurrentMtgRatesDataTable825[[#This Row],[asofdate]],I:J,2,0)</f>
        <v>0.82078579289999998</v>
      </c>
      <c r="E263" s="86">
        <f>VLOOKUP(CurrentMtgRatesDataTable825[[#This Row],[asofdate]],O:P,2,0)</f>
        <v>0</v>
      </c>
      <c r="F263" s="87">
        <f ca="1">VLOOKUP(CurrentMtgRatesDataTable825[[#This Row],[asofdate]]+1,Bloomberg!B:C,2,0)</f>
        <v>3466.8</v>
      </c>
      <c r="I263" s="18">
        <v>40864</v>
      </c>
      <c r="J263" s="91">
        <v>0.82078579289999998</v>
      </c>
      <c r="K263" s="91">
        <f>VLOOKUP(CurrentMtgRatesDataTable82527141518[[#This Row],[asofdate]],O:P,2,0)</f>
        <v>0</v>
      </c>
      <c r="L263" s="91">
        <f>VLOOKUP(CurrentMtgRatesDataTable82527141518[[#This Row],[asofdate]],S:T,2,0)</f>
        <v>0.82076592839999996</v>
      </c>
      <c r="M263" s="6">
        <f ca="1">VLOOKUP(CurrentMtgRatesDataTable82527141518[[#This Row],[asofdate]]+1,Bloomberg!B:C,2,0)</f>
        <v>3466.8</v>
      </c>
      <c r="N263" s="6"/>
      <c r="O263" s="18">
        <v>40857</v>
      </c>
      <c r="P263" s="91">
        <v>1.8805710000000003E-4</v>
      </c>
      <c r="Q263" s="104"/>
      <c r="R263" s="104"/>
      <c r="S263" s="18">
        <v>40864</v>
      </c>
      <c r="T263" s="91">
        <v>0.82076592839999996</v>
      </c>
      <c r="V263"/>
    </row>
    <row r="264" spans="2:22">
      <c r="B264" s="85">
        <v>40857</v>
      </c>
      <c r="C264" s="86">
        <v>0.91600406219999997</v>
      </c>
      <c r="D264" s="86">
        <f>VLOOKUP(CurrentMtgRatesDataTable825[[#This Row],[asofdate]],I:J,2,0)</f>
        <v>0.82126380830000001</v>
      </c>
      <c r="E264" s="86">
        <f>VLOOKUP(CurrentMtgRatesDataTable825[[#This Row],[asofdate]],O:P,2,0)</f>
        <v>1.8805710000000003E-4</v>
      </c>
      <c r="F264" s="87">
        <f ca="1">VLOOKUP(CurrentMtgRatesDataTable825[[#This Row],[asofdate]]+1,Bloomberg!B:C,2,0)</f>
        <v>3664.5</v>
      </c>
      <c r="I264" s="18">
        <v>40857</v>
      </c>
      <c r="J264" s="91">
        <v>0.82126380830000001</v>
      </c>
      <c r="K264" s="91">
        <f>VLOOKUP(CurrentMtgRatesDataTable82527141518[[#This Row],[asofdate]],O:P,2,0)</f>
        <v>1.8805710000000003E-4</v>
      </c>
      <c r="L264" s="91">
        <f>VLOOKUP(CurrentMtgRatesDataTable82527141518[[#This Row],[asofdate]],S:T,2,0)</f>
        <v>0.82124413969999999</v>
      </c>
      <c r="M264" s="6">
        <f ca="1">VLOOKUP(CurrentMtgRatesDataTable82527141518[[#This Row],[asofdate]]+1,Bloomberg!B:C,2,0)</f>
        <v>3664.5</v>
      </c>
      <c r="N264" s="6"/>
      <c r="O264" s="18">
        <v>40850</v>
      </c>
      <c r="P264" s="91">
        <v>0</v>
      </c>
      <c r="Q264" s="104"/>
      <c r="R264" s="104"/>
      <c r="S264" s="18">
        <v>40857</v>
      </c>
      <c r="T264" s="91">
        <v>0.82124413969999999</v>
      </c>
      <c r="V264"/>
    </row>
    <row r="265" spans="2:22">
      <c r="B265" s="85">
        <v>40850</v>
      </c>
      <c r="C265" s="86">
        <v>0.9118126714</v>
      </c>
      <c r="D265" s="86">
        <f>VLOOKUP(CurrentMtgRatesDataTable825[[#This Row],[asofdate]],I:J,2,0)</f>
        <v>0.82078579289999998</v>
      </c>
      <c r="E265" s="86">
        <f>VLOOKUP(CurrentMtgRatesDataTable825[[#This Row],[asofdate]],O:P,2,0)</f>
        <v>0</v>
      </c>
      <c r="F265" s="87">
        <f ca="1">VLOOKUP(CurrentMtgRatesDataTable825[[#This Row],[asofdate]]+1,Bloomberg!B:C,2,0)</f>
        <v>4137.6000000000004</v>
      </c>
      <c r="I265" s="18">
        <v>40850</v>
      </c>
      <c r="J265" s="91">
        <v>0.82078579289999998</v>
      </c>
      <c r="K265" s="91">
        <f>VLOOKUP(CurrentMtgRatesDataTable82527141518[[#This Row],[asofdate]],O:P,2,0)</f>
        <v>0</v>
      </c>
      <c r="L265" s="91">
        <f>VLOOKUP(CurrentMtgRatesDataTable82527141518[[#This Row],[asofdate]],S:T,2,0)</f>
        <v>0.82057806970000002</v>
      </c>
      <c r="M265" s="6">
        <f ca="1">VLOOKUP(CurrentMtgRatesDataTable82527141518[[#This Row],[asofdate]]+1,Bloomberg!B:C,2,0)</f>
        <v>4137.6000000000004</v>
      </c>
      <c r="N265" s="6"/>
      <c r="O265" s="18">
        <v>40843</v>
      </c>
      <c r="P265" s="91">
        <v>0</v>
      </c>
      <c r="Q265" s="104"/>
      <c r="R265" s="104"/>
      <c r="S265" s="18">
        <v>40850</v>
      </c>
      <c r="T265" s="91">
        <v>0.82057806970000002</v>
      </c>
      <c r="V265"/>
    </row>
    <row r="266" spans="2:22">
      <c r="B266" s="85">
        <v>40843</v>
      </c>
      <c r="C266" s="86">
        <v>0.87336853640000012</v>
      </c>
      <c r="D266" s="86">
        <f>VLOOKUP(CurrentMtgRatesDataTable825[[#This Row],[asofdate]],I:J,2,0)</f>
        <v>0.7903811664</v>
      </c>
      <c r="E266" s="86">
        <f>VLOOKUP(CurrentMtgRatesDataTable825[[#This Row],[asofdate]],O:P,2,0)</f>
        <v>0</v>
      </c>
      <c r="F266" s="87">
        <f ca="1">VLOOKUP(CurrentMtgRatesDataTable825[[#This Row],[asofdate]]+1,Bloomberg!B:C,2,0)</f>
        <v>3695</v>
      </c>
      <c r="I266" s="18">
        <v>40843</v>
      </c>
      <c r="J266" s="91">
        <v>0.7903811664</v>
      </c>
      <c r="K266" s="91">
        <f>VLOOKUP(CurrentMtgRatesDataTable82527141518[[#This Row],[asofdate]],O:P,2,0)</f>
        <v>0</v>
      </c>
      <c r="L266" s="91">
        <f>VLOOKUP(CurrentMtgRatesDataTable82527141518[[#This Row],[asofdate]],S:T,2,0)</f>
        <v>0.79036593970000002</v>
      </c>
      <c r="M266" s="6">
        <f ca="1">VLOOKUP(CurrentMtgRatesDataTable82527141518[[#This Row],[asofdate]]+1,Bloomberg!B:C,2,0)</f>
        <v>3695</v>
      </c>
      <c r="N266" s="6"/>
      <c r="O266" s="18">
        <v>40836</v>
      </c>
      <c r="P266" s="91">
        <v>0</v>
      </c>
      <c r="Q266" s="104"/>
      <c r="R266" s="104"/>
      <c r="S266" s="18">
        <v>40843</v>
      </c>
      <c r="T266" s="91">
        <v>0.79036593970000002</v>
      </c>
      <c r="V266"/>
    </row>
    <row r="267" spans="2:22">
      <c r="B267" s="85">
        <v>40836</v>
      </c>
      <c r="C267" s="86">
        <v>0.87116842570000008</v>
      </c>
      <c r="D267" s="86">
        <f>VLOOKUP(CurrentMtgRatesDataTable825[[#This Row],[asofdate]],I:J,2,0)</f>
        <v>0.79024660690000004</v>
      </c>
      <c r="E267" s="86">
        <f>VLOOKUP(CurrentMtgRatesDataTable825[[#This Row],[asofdate]],O:P,2,0)</f>
        <v>0</v>
      </c>
      <c r="F267" s="87">
        <f ca="1">VLOOKUP(CurrentMtgRatesDataTable825[[#This Row],[asofdate]]+1,Bloomberg!B:C,2,0)</f>
        <v>3719.3</v>
      </c>
      <c r="I267" s="18">
        <v>40836</v>
      </c>
      <c r="J267" s="91">
        <v>0.79024660690000004</v>
      </c>
      <c r="K267" s="91">
        <f>VLOOKUP(CurrentMtgRatesDataTable82527141518[[#This Row],[asofdate]],O:P,2,0)</f>
        <v>0</v>
      </c>
      <c r="L267" s="91">
        <f>VLOOKUP(CurrentMtgRatesDataTable82527141518[[#This Row],[asofdate]],S:T,2,0)</f>
        <v>0.79023149569999995</v>
      </c>
      <c r="M267" s="6">
        <f ca="1">VLOOKUP(CurrentMtgRatesDataTable82527141518[[#This Row],[asofdate]]+1,Bloomberg!B:C,2,0)</f>
        <v>3719.3</v>
      </c>
      <c r="N267" s="6"/>
      <c r="O267" s="18">
        <v>40829</v>
      </c>
      <c r="P267" s="91">
        <v>0</v>
      </c>
      <c r="Q267" s="104"/>
      <c r="R267" s="104"/>
      <c r="S267" s="18">
        <v>40836</v>
      </c>
      <c r="T267" s="91">
        <v>0.79023149569999995</v>
      </c>
      <c r="V267"/>
    </row>
    <row r="268" spans="2:22">
      <c r="B268" s="85">
        <v>40829</v>
      </c>
      <c r="C268" s="86">
        <v>0.86920384979999998</v>
      </c>
      <c r="D268" s="86">
        <f>VLOOKUP(CurrentMtgRatesDataTable825[[#This Row],[asofdate]],I:J,2,0)</f>
        <v>0.77495922829999997</v>
      </c>
      <c r="E268" s="86">
        <f>VLOOKUP(CurrentMtgRatesDataTable825[[#This Row],[asofdate]],O:P,2,0)</f>
        <v>0</v>
      </c>
      <c r="F268" s="87">
        <f ca="1">VLOOKUP(CurrentMtgRatesDataTable825[[#This Row],[asofdate]]+1,Bloomberg!B:C,2,0)</f>
        <v>3553.2</v>
      </c>
      <c r="I268" s="18">
        <v>40829</v>
      </c>
      <c r="J268" s="91">
        <v>0.77495922829999997</v>
      </c>
      <c r="K268" s="91">
        <f>VLOOKUP(CurrentMtgRatesDataTable82527141518[[#This Row],[asofdate]],O:P,2,0)</f>
        <v>0</v>
      </c>
      <c r="L268" s="91">
        <f>VLOOKUP(CurrentMtgRatesDataTable82527141518[[#This Row],[asofdate]],S:T,2,0)</f>
        <v>0.77494347910000005</v>
      </c>
      <c r="M268" s="6">
        <f ca="1">VLOOKUP(CurrentMtgRatesDataTable82527141518[[#This Row],[asofdate]]+1,Bloomberg!B:C,2,0)</f>
        <v>3553.2</v>
      </c>
      <c r="N268" s="6"/>
      <c r="O268" s="18">
        <v>40822</v>
      </c>
      <c r="P268" s="91">
        <v>0.83641698470000003</v>
      </c>
      <c r="Q268" s="104"/>
      <c r="R268" s="104"/>
      <c r="S268" s="18">
        <v>40829</v>
      </c>
      <c r="T268" s="91">
        <v>0.77494347910000005</v>
      </c>
      <c r="V268"/>
    </row>
    <row r="269" spans="2:22">
      <c r="B269" s="85">
        <v>40822</v>
      </c>
      <c r="C269" s="86">
        <v>0.93408887910000005</v>
      </c>
      <c r="D269" s="86">
        <f>VLOOKUP(CurrentMtgRatesDataTable825[[#This Row],[asofdate]],I:J,2,0)</f>
        <v>0.83660536610000003</v>
      </c>
      <c r="E269" s="86">
        <f>VLOOKUP(CurrentMtgRatesDataTable825[[#This Row],[asofdate]],O:P,2,0)</f>
        <v>0.83641698470000003</v>
      </c>
      <c r="F269" s="87">
        <f ca="1">VLOOKUP(CurrentMtgRatesDataTable825[[#This Row],[asofdate]]+1,Bloomberg!B:C,2,0)</f>
        <v>4251.1000000000004</v>
      </c>
      <c r="I269" s="18">
        <v>40822</v>
      </c>
      <c r="J269" s="91">
        <v>0.83660536610000003</v>
      </c>
      <c r="K269" s="91">
        <f>VLOOKUP(CurrentMtgRatesDataTable82527141518[[#This Row],[asofdate]],O:P,2,0)</f>
        <v>0.83641698470000003</v>
      </c>
      <c r="L269" s="91">
        <f>VLOOKUP(CurrentMtgRatesDataTable82527141518[[#This Row],[asofdate]],S:T,2,0)</f>
        <v>0.83641698470000003</v>
      </c>
      <c r="M269" s="6">
        <f ca="1">VLOOKUP(CurrentMtgRatesDataTable82527141518[[#This Row],[asofdate]]+1,Bloomberg!B:C,2,0)</f>
        <v>4251.1000000000004</v>
      </c>
      <c r="N269" s="6"/>
      <c r="O269" s="18">
        <v>40815</v>
      </c>
      <c r="P269" s="91">
        <v>0.83290245399999996</v>
      </c>
      <c r="Q269" s="104"/>
      <c r="R269" s="104"/>
      <c r="S269" s="18">
        <v>40822</v>
      </c>
      <c r="T269" s="91">
        <v>0.83641698470000003</v>
      </c>
      <c r="V269"/>
    </row>
    <row r="270" spans="2:22">
      <c r="B270" s="85">
        <v>40815</v>
      </c>
      <c r="C270" s="86">
        <v>0.91462717179999997</v>
      </c>
      <c r="D270" s="86">
        <f>VLOOKUP(CurrentMtgRatesDataTable825[[#This Row],[asofdate]],I:J,2,0)</f>
        <v>0.83291884810000005</v>
      </c>
      <c r="E270" s="86">
        <f>VLOOKUP(CurrentMtgRatesDataTable825[[#This Row],[asofdate]],O:P,2,0)</f>
        <v>0.83290245399999996</v>
      </c>
      <c r="F270" s="87">
        <f ca="1">VLOOKUP(CurrentMtgRatesDataTable825[[#This Row],[asofdate]]+1,Bloomberg!B:C,2,0)</f>
        <v>4241.8</v>
      </c>
      <c r="I270" s="18">
        <v>40815</v>
      </c>
      <c r="J270" s="91">
        <v>0.83291884810000005</v>
      </c>
      <c r="K270" s="91">
        <f>VLOOKUP(CurrentMtgRatesDataTable82527141518[[#This Row],[asofdate]],O:P,2,0)</f>
        <v>0.83290245399999996</v>
      </c>
      <c r="L270" s="91">
        <f>VLOOKUP(CurrentMtgRatesDataTable82527141518[[#This Row],[asofdate]],S:T,2,0)</f>
        <v>0.83290245399999996</v>
      </c>
      <c r="M270" s="6">
        <f ca="1">VLOOKUP(CurrentMtgRatesDataTable82527141518[[#This Row],[asofdate]]+1,Bloomberg!B:C,2,0)</f>
        <v>4241.8</v>
      </c>
      <c r="N270" s="6"/>
      <c r="O270" s="18">
        <v>40808</v>
      </c>
      <c r="P270" s="91">
        <v>0</v>
      </c>
      <c r="Q270" s="104"/>
      <c r="R270" s="104"/>
      <c r="S270" s="18">
        <v>40815</v>
      </c>
      <c r="T270" s="91">
        <v>0.83290245399999996</v>
      </c>
      <c r="V270"/>
    </row>
    <row r="271" spans="2:22">
      <c r="B271" s="85">
        <v>40808</v>
      </c>
      <c r="C271" s="86">
        <v>0.88675076370000006</v>
      </c>
      <c r="D271" s="86">
        <f>VLOOKUP(CurrentMtgRatesDataTable825[[#This Row],[asofdate]],I:J,2,0)</f>
        <v>0.79842057590000004</v>
      </c>
      <c r="E271" s="86">
        <f>VLOOKUP(CurrentMtgRatesDataTable825[[#This Row],[asofdate]],O:P,2,0)</f>
        <v>0</v>
      </c>
      <c r="F271" s="87">
        <f ca="1">VLOOKUP(CurrentMtgRatesDataTable825[[#This Row],[asofdate]]+1,Bloomberg!B:C,2,0)</f>
        <v>4512.1000000000004</v>
      </c>
      <c r="I271" s="18">
        <v>40808</v>
      </c>
      <c r="J271" s="91">
        <v>0.79842057590000004</v>
      </c>
      <c r="K271" s="91">
        <f>VLOOKUP(CurrentMtgRatesDataTable82527141518[[#This Row],[asofdate]],O:P,2,0)</f>
        <v>0</v>
      </c>
      <c r="L271" s="91">
        <f>VLOOKUP(CurrentMtgRatesDataTable82527141518[[#This Row],[asofdate]],S:T,2,0)</f>
        <v>0.79840746299999998</v>
      </c>
      <c r="M271" s="6">
        <f ca="1">VLOOKUP(CurrentMtgRatesDataTable82527141518[[#This Row],[asofdate]]+1,Bloomberg!B:C,2,0)</f>
        <v>4512.1000000000004</v>
      </c>
      <c r="N271" s="6"/>
      <c r="O271" s="18">
        <v>40801</v>
      </c>
      <c r="P271" s="91">
        <v>0.79840746299999998</v>
      </c>
      <c r="Q271" s="104"/>
      <c r="R271" s="104"/>
      <c r="S271" s="18">
        <v>40808</v>
      </c>
      <c r="T271" s="91">
        <v>0.79840746299999998</v>
      </c>
      <c r="V271"/>
    </row>
    <row r="272" spans="2:22">
      <c r="B272" s="85">
        <v>40801</v>
      </c>
      <c r="C272" s="86">
        <v>0.88675076370000006</v>
      </c>
      <c r="D272" s="86">
        <f>VLOOKUP(CurrentMtgRatesDataTable825[[#This Row],[asofdate]],I:J,2,0)</f>
        <v>0.79842057590000004</v>
      </c>
      <c r="E272" s="86">
        <f>VLOOKUP(CurrentMtgRatesDataTable825[[#This Row],[asofdate]],O:P,2,0)</f>
        <v>0.79840746299999998</v>
      </c>
      <c r="F272" s="87">
        <f ca="1">VLOOKUP(CurrentMtgRatesDataTable825[[#This Row],[asofdate]]+1,Bloomberg!B:C,2,0)</f>
        <v>4033.8</v>
      </c>
      <c r="I272" s="18">
        <v>40801</v>
      </c>
      <c r="J272" s="91">
        <v>0.79842057590000004</v>
      </c>
      <c r="K272" s="91">
        <f>VLOOKUP(CurrentMtgRatesDataTable82527141518[[#This Row],[asofdate]],O:P,2,0)</f>
        <v>0.79840746299999998</v>
      </c>
      <c r="L272" s="91">
        <f>VLOOKUP(CurrentMtgRatesDataTable82527141518[[#This Row],[asofdate]],S:T,2,0)</f>
        <v>0.79840746299999998</v>
      </c>
      <c r="M272" s="6">
        <f ca="1">VLOOKUP(CurrentMtgRatesDataTable82527141518[[#This Row],[asofdate]]+1,Bloomberg!B:C,2,0)</f>
        <v>4033.8</v>
      </c>
      <c r="N272" s="6"/>
      <c r="O272" s="18">
        <v>40794</v>
      </c>
      <c r="P272" s="91">
        <v>0.79336326020000003</v>
      </c>
      <c r="Q272" s="104"/>
      <c r="R272" s="104"/>
      <c r="S272" s="18">
        <v>40801</v>
      </c>
      <c r="T272" s="91">
        <v>0.79840746299999998</v>
      </c>
      <c r="V272"/>
    </row>
    <row r="273" spans="2:22">
      <c r="B273" s="85">
        <v>40794</v>
      </c>
      <c r="C273" s="86">
        <v>0.87807825780000015</v>
      </c>
      <c r="D273" s="86">
        <f>VLOOKUP(CurrentMtgRatesDataTable825[[#This Row],[asofdate]],I:J,2,0)</f>
        <v>0.79337813010000002</v>
      </c>
      <c r="E273" s="86">
        <f>VLOOKUP(CurrentMtgRatesDataTable825[[#This Row],[asofdate]],O:P,2,0)</f>
        <v>0.79336326020000003</v>
      </c>
      <c r="F273" s="87">
        <f ca="1">VLOOKUP(CurrentMtgRatesDataTable825[[#This Row],[asofdate]]+1,Bloomberg!B:C,2,0)</f>
        <v>3571.7</v>
      </c>
      <c r="I273" s="18">
        <v>40794</v>
      </c>
      <c r="J273" s="91">
        <v>0.79337813010000002</v>
      </c>
      <c r="K273" s="91">
        <f>VLOOKUP(CurrentMtgRatesDataTable82527141518[[#This Row],[asofdate]],O:P,2,0)</f>
        <v>0.79336326020000003</v>
      </c>
      <c r="L273" s="91">
        <f>VLOOKUP(CurrentMtgRatesDataTable82527141518[[#This Row],[asofdate]],S:T,2,0)</f>
        <v>0.79336326020000003</v>
      </c>
      <c r="M273" s="6">
        <f ca="1">VLOOKUP(CurrentMtgRatesDataTable82527141518[[#This Row],[asofdate]]+1,Bloomberg!B:C,2,0)</f>
        <v>3571.7</v>
      </c>
      <c r="N273" s="6"/>
      <c r="O273" s="18">
        <v>40787</v>
      </c>
      <c r="P273" s="91">
        <v>0</v>
      </c>
      <c r="Q273" s="104"/>
      <c r="R273" s="104"/>
      <c r="S273" s="18">
        <v>40794</v>
      </c>
      <c r="T273" s="91">
        <v>0.79336326020000003</v>
      </c>
      <c r="V273"/>
    </row>
    <row r="274" spans="2:22">
      <c r="B274" s="85">
        <v>40787</v>
      </c>
      <c r="C274" s="86">
        <v>0.85485404639999996</v>
      </c>
      <c r="D274" s="86">
        <f>VLOOKUP(CurrentMtgRatesDataTable825[[#This Row],[asofdate]],I:J,2,0)</f>
        <v>0.74656444600000005</v>
      </c>
      <c r="E274" s="86">
        <f>VLOOKUP(CurrentMtgRatesDataTable825[[#This Row],[asofdate]],O:P,2,0)</f>
        <v>0</v>
      </c>
      <c r="F274" s="87">
        <f ca="1">VLOOKUP(CurrentMtgRatesDataTable825[[#This Row],[asofdate]]+1,Bloomberg!B:C,2,0)</f>
        <v>3372</v>
      </c>
      <c r="I274" s="18">
        <v>40787</v>
      </c>
      <c r="J274" s="91">
        <v>0.74656444600000005</v>
      </c>
      <c r="K274" s="91">
        <f>VLOOKUP(CurrentMtgRatesDataTable82527141518[[#This Row],[asofdate]],O:P,2,0)</f>
        <v>0</v>
      </c>
      <c r="L274" s="91">
        <f>VLOOKUP(CurrentMtgRatesDataTable82527141518[[#This Row],[asofdate]],S:T,2,0)</f>
        <v>0.74648771319999996</v>
      </c>
      <c r="M274" s="6">
        <f ca="1">VLOOKUP(CurrentMtgRatesDataTable82527141518[[#This Row],[asofdate]]+1,Bloomberg!B:C,2,0)</f>
        <v>3372</v>
      </c>
      <c r="N274" s="6"/>
      <c r="O274" s="18">
        <v>40780</v>
      </c>
      <c r="P274" s="91">
        <v>0</v>
      </c>
      <c r="Q274" s="104"/>
      <c r="R274" s="104"/>
      <c r="S274" s="18">
        <v>40787</v>
      </c>
      <c r="T274" s="91">
        <v>0.74648771319999996</v>
      </c>
      <c r="V274"/>
    </row>
    <row r="275" spans="2:22">
      <c r="B275" s="85">
        <v>40780</v>
      </c>
      <c r="C275" s="86">
        <v>0.8550708561</v>
      </c>
      <c r="D275" s="86">
        <f>VLOOKUP(CurrentMtgRatesDataTable825[[#This Row],[asofdate]],I:J,2,0)</f>
        <v>0.74831768210000005</v>
      </c>
      <c r="E275" s="86">
        <f>VLOOKUP(CurrentMtgRatesDataTable825[[#This Row],[asofdate]],O:P,2,0)</f>
        <v>0</v>
      </c>
      <c r="F275" s="87">
        <f ca="1">VLOOKUP(CurrentMtgRatesDataTable825[[#This Row],[asofdate]]+1,Bloomberg!B:C,2,0)</f>
        <v>3601.3</v>
      </c>
      <c r="I275" s="18">
        <v>40780</v>
      </c>
      <c r="J275" s="91">
        <v>0.74831768210000005</v>
      </c>
      <c r="K275" s="91">
        <f>VLOOKUP(CurrentMtgRatesDataTable82527141518[[#This Row],[asofdate]],O:P,2,0)</f>
        <v>0</v>
      </c>
      <c r="L275" s="91">
        <f>VLOOKUP(CurrentMtgRatesDataTable82527141518[[#This Row],[asofdate]],S:T,2,0)</f>
        <v>0.74829940930000005</v>
      </c>
      <c r="M275" s="6">
        <f ca="1">VLOOKUP(CurrentMtgRatesDataTable82527141518[[#This Row],[asofdate]]+1,Bloomberg!B:C,2,0)</f>
        <v>3601.3</v>
      </c>
      <c r="N275" s="6"/>
      <c r="O275" s="18">
        <v>40773</v>
      </c>
      <c r="P275" s="91">
        <v>0.77916685399999996</v>
      </c>
      <c r="Q275" s="104"/>
      <c r="R275" s="104"/>
      <c r="S275" s="18">
        <v>40780</v>
      </c>
      <c r="T275" s="91">
        <v>0.74829940930000005</v>
      </c>
      <c r="V275"/>
    </row>
    <row r="276" spans="2:22">
      <c r="B276" s="85">
        <v>40773</v>
      </c>
      <c r="C276" s="86">
        <v>0.87116807839999999</v>
      </c>
      <c r="D276" s="86">
        <f>VLOOKUP(CurrentMtgRatesDataTable825[[#This Row],[asofdate]],I:J,2,0)</f>
        <v>0.77918159070000004</v>
      </c>
      <c r="E276" s="86">
        <f>VLOOKUP(CurrentMtgRatesDataTable825[[#This Row],[asofdate]],O:P,2,0)</f>
        <v>0.77916685399999996</v>
      </c>
      <c r="F276" s="87">
        <f ca="1">VLOOKUP(CurrentMtgRatesDataTable825[[#This Row],[asofdate]]+1,Bloomberg!B:C,2,0)</f>
        <v>4110.8</v>
      </c>
      <c r="I276" s="18">
        <v>40773</v>
      </c>
      <c r="J276" s="91">
        <v>0.77918159070000004</v>
      </c>
      <c r="K276" s="91">
        <f>VLOOKUP(CurrentMtgRatesDataTable82527141518[[#This Row],[asofdate]],O:P,2,0)</f>
        <v>0.77916685399999996</v>
      </c>
      <c r="L276" s="91">
        <f>VLOOKUP(CurrentMtgRatesDataTable82527141518[[#This Row],[asofdate]],S:T,2,0)</f>
        <v>0.77916685399999996</v>
      </c>
      <c r="M276" s="6">
        <f ca="1">VLOOKUP(CurrentMtgRatesDataTable82527141518[[#This Row],[asofdate]]+1,Bloomberg!B:C,2,0)</f>
        <v>4110.8</v>
      </c>
      <c r="N276" s="6"/>
      <c r="O276" s="18">
        <v>40766</v>
      </c>
      <c r="P276" s="91">
        <v>2.4178990099999999E-2</v>
      </c>
      <c r="Q276" s="104"/>
      <c r="R276" s="104"/>
      <c r="S276" s="18">
        <v>40773</v>
      </c>
      <c r="T276" s="91">
        <v>0.77916685399999996</v>
      </c>
      <c r="V276"/>
    </row>
    <row r="277" spans="2:22">
      <c r="B277" s="85">
        <v>40766</v>
      </c>
      <c r="C277" s="86">
        <v>0.81358477029999998</v>
      </c>
      <c r="D277" s="86">
        <f>VLOOKUP(CurrentMtgRatesDataTable825[[#This Row],[asofdate]],I:J,2,0)</f>
        <v>0.71226119700000001</v>
      </c>
      <c r="E277" s="86">
        <f>VLOOKUP(CurrentMtgRatesDataTable825[[#This Row],[asofdate]],O:P,2,0)</f>
        <v>2.4178990099999999E-2</v>
      </c>
      <c r="F277" s="87">
        <f ca="1">VLOOKUP(CurrentMtgRatesDataTable825[[#This Row],[asofdate]]+1,Bloomberg!B:C,2,0)</f>
        <v>4184.3999999999996</v>
      </c>
      <c r="I277" s="18">
        <v>40766</v>
      </c>
      <c r="J277" s="91">
        <v>0.71226119700000001</v>
      </c>
      <c r="K277" s="91">
        <f>VLOOKUP(CurrentMtgRatesDataTable82527141518[[#This Row],[asofdate]],O:P,2,0)</f>
        <v>2.4178990099999999E-2</v>
      </c>
      <c r="L277" s="91">
        <f>VLOOKUP(CurrentMtgRatesDataTable82527141518[[#This Row],[asofdate]],S:T,2,0)</f>
        <v>0.71224306630000001</v>
      </c>
      <c r="M277" s="6">
        <f ca="1">VLOOKUP(CurrentMtgRatesDataTable82527141518[[#This Row],[asofdate]]+1,Bloomberg!B:C,2,0)</f>
        <v>4184.3999999999996</v>
      </c>
      <c r="N277" s="6"/>
      <c r="O277" s="18">
        <v>40759</v>
      </c>
      <c r="P277" s="91">
        <v>1.26126242E-2</v>
      </c>
      <c r="Q277" s="104"/>
      <c r="R277" s="104"/>
      <c r="S277" s="18">
        <v>40766</v>
      </c>
      <c r="T277" s="91">
        <v>0.71224306630000001</v>
      </c>
      <c r="V277"/>
    </row>
    <row r="278" spans="2:22">
      <c r="B278" s="85">
        <v>40759</v>
      </c>
      <c r="C278" s="86">
        <v>0.70925319720000002</v>
      </c>
      <c r="D278" s="86">
        <f>VLOOKUP(CurrentMtgRatesDataTable825[[#This Row],[asofdate]],I:J,2,0)</f>
        <v>0.63704711950000004</v>
      </c>
      <c r="E278" s="86">
        <f>VLOOKUP(CurrentMtgRatesDataTable825[[#This Row],[asofdate]],O:P,2,0)</f>
        <v>1.26126242E-2</v>
      </c>
      <c r="F278" s="87">
        <f ca="1">VLOOKUP(CurrentMtgRatesDataTable825[[#This Row],[asofdate]]+1,Bloomberg!B:C,2,0)</f>
        <v>3880.9</v>
      </c>
      <c r="I278" s="18">
        <v>40759</v>
      </c>
      <c r="J278" s="91">
        <v>0.63704711950000004</v>
      </c>
      <c r="K278" s="91">
        <f>VLOOKUP(CurrentMtgRatesDataTable82527141518[[#This Row],[asofdate]],O:P,2,0)</f>
        <v>1.26126242E-2</v>
      </c>
      <c r="L278" s="91">
        <f>VLOOKUP(CurrentMtgRatesDataTable82527141518[[#This Row],[asofdate]],S:T,2,0)</f>
        <v>0.6369486822</v>
      </c>
      <c r="M278" s="6">
        <f ca="1">VLOOKUP(CurrentMtgRatesDataTable82527141518[[#This Row],[asofdate]]+1,Bloomberg!B:C,2,0)</f>
        <v>3880.9</v>
      </c>
      <c r="N278" s="6"/>
      <c r="O278" s="18">
        <v>40752</v>
      </c>
      <c r="P278" s="91">
        <v>0</v>
      </c>
      <c r="Q278" s="104"/>
      <c r="R278" s="104"/>
      <c r="S278" s="18">
        <v>40759</v>
      </c>
      <c r="T278" s="91">
        <v>0.6369486822</v>
      </c>
      <c r="V278"/>
    </row>
    <row r="279" spans="2:22">
      <c r="B279" s="88">
        <v>40752</v>
      </c>
      <c r="C279" s="89">
        <v>0.57395904259999997</v>
      </c>
      <c r="D279" s="89">
        <f>VLOOKUP(CurrentMtgRatesDataTable825[[#This Row],[asofdate]],I:J,2,0)</f>
        <v>0.58384791359999999</v>
      </c>
      <c r="E279" s="89">
        <f>VLOOKUP(CurrentMtgRatesDataTable825[[#This Row],[asofdate]],O:P,2,0)</f>
        <v>0</v>
      </c>
      <c r="F279" s="90">
        <f ca="1">VLOOKUP(CurrentMtgRatesDataTable825[[#This Row],[asofdate]]+1,Bloomberg!B:C,2,0)</f>
        <v>2974.1</v>
      </c>
      <c r="I279" s="18">
        <v>40752</v>
      </c>
      <c r="J279" s="91">
        <v>0.58384791359999999</v>
      </c>
      <c r="K279" s="91">
        <f>VLOOKUP(CurrentMtgRatesDataTable82527141518[[#This Row],[asofdate]],O:P,2,0)</f>
        <v>0</v>
      </c>
      <c r="L279" s="91">
        <f>VLOOKUP(CurrentMtgRatesDataTable82527141518[[#This Row],[asofdate]],S:T,2,0)</f>
        <v>5.0448213999999998E-3</v>
      </c>
      <c r="M279" s="6">
        <f ca="1">VLOOKUP(CurrentMtgRatesDataTable82527141518[[#This Row],[asofdate]]+1,Bloomberg!B:C,2,0)</f>
        <v>2974.1</v>
      </c>
      <c r="N279" s="6"/>
      <c r="O279" s="18">
        <v>40745</v>
      </c>
      <c r="P279" s="91">
        <v>0</v>
      </c>
      <c r="Q279" s="104"/>
      <c r="R279" s="104"/>
      <c r="S279" s="18">
        <v>40752</v>
      </c>
      <c r="T279" s="91">
        <v>5.0448213999999998E-3</v>
      </c>
      <c r="V279"/>
    </row>
    <row r="280" spans="2:22">
      <c r="B280" s="92">
        <v>40745</v>
      </c>
      <c r="C280" s="93">
        <v>0.59331865890000002</v>
      </c>
      <c r="D280" s="93">
        <f>VLOOKUP(CurrentMtgRatesDataTable825[[#This Row],[asofdate]],I:J,2,0)</f>
        <v>0.58834884700000001</v>
      </c>
      <c r="E280" s="93">
        <f>VLOOKUP(CurrentMtgRatesDataTable825[[#This Row],[asofdate]],O:P,2,0)</f>
        <v>0</v>
      </c>
      <c r="F280" s="94">
        <f ca="1">VLOOKUP(CurrentMtgRatesDataTable825[[#This Row],[asofdate]]+1,Bloomberg!B:C,2,0)</f>
        <v>2769.6</v>
      </c>
      <c r="I280" s="18">
        <v>40745</v>
      </c>
      <c r="J280" s="91">
        <v>0.58834884700000001</v>
      </c>
      <c r="K280" s="91">
        <f>VLOOKUP(CurrentMtgRatesDataTable82527141518[[#This Row],[asofdate]],O:P,2,0)</f>
        <v>0</v>
      </c>
      <c r="L280" s="91">
        <f>VLOOKUP(CurrentMtgRatesDataTable82527141518[[#This Row],[asofdate]],S:T,2,0)</f>
        <v>5.2483534999999996E-3</v>
      </c>
      <c r="M280" s="6">
        <f ca="1">VLOOKUP(CurrentMtgRatesDataTable82527141518[[#This Row],[asofdate]]+1,Bloomberg!B:C,2,0)</f>
        <v>2769.6</v>
      </c>
      <c r="N280" s="6"/>
      <c r="O280" s="18">
        <v>40738</v>
      </c>
      <c r="P280" s="91">
        <v>3.0790400000000003E-5</v>
      </c>
      <c r="Q280" s="104"/>
      <c r="R280" s="104"/>
      <c r="S280" s="18">
        <v>40745</v>
      </c>
      <c r="T280" s="91">
        <v>5.2483534999999996E-3</v>
      </c>
      <c r="V280"/>
    </row>
    <row r="281" spans="2:22">
      <c r="B281" s="95">
        <v>40738</v>
      </c>
      <c r="C281" s="96">
        <v>0.5990050468</v>
      </c>
      <c r="D281" s="96">
        <f>VLOOKUP(CurrentMtgRatesDataTable825[[#This Row],[asofdate]],I:J,2,0)</f>
        <v>0.60388450410000005</v>
      </c>
      <c r="E281" s="96">
        <f>VLOOKUP(CurrentMtgRatesDataTable825[[#This Row],[asofdate]],O:P,2,0)</f>
        <v>3.0790400000000003E-5</v>
      </c>
      <c r="F281" s="97">
        <f ca="1">VLOOKUP(CurrentMtgRatesDataTable825[[#This Row],[asofdate]]+1,Bloomberg!B:C,2,0)</f>
        <v>2923.8</v>
      </c>
      <c r="I281" s="18">
        <v>40738</v>
      </c>
      <c r="J281" s="91">
        <v>0.60388450410000005</v>
      </c>
      <c r="K281" s="91">
        <f>VLOOKUP(CurrentMtgRatesDataTable82527141518[[#This Row],[asofdate]],O:P,2,0)</f>
        <v>3.0790400000000003E-5</v>
      </c>
      <c r="L281" s="91">
        <f>VLOOKUP(CurrentMtgRatesDataTable82527141518[[#This Row],[asofdate]],S:T,2,0)</f>
        <v>7.4002171000000002E-3</v>
      </c>
      <c r="M281" s="6">
        <f ca="1">VLOOKUP(CurrentMtgRatesDataTable82527141518[[#This Row],[asofdate]]+1,Bloomberg!B:C,2,0)</f>
        <v>2923.8</v>
      </c>
      <c r="N281" s="6"/>
      <c r="O281" s="18">
        <v>40731</v>
      </c>
      <c r="P281" s="91">
        <v>0</v>
      </c>
      <c r="Q281" s="104"/>
      <c r="R281" s="104"/>
      <c r="S281" s="18">
        <v>40738</v>
      </c>
      <c r="T281" s="91">
        <v>7.4002171000000002E-3</v>
      </c>
      <c r="V281"/>
    </row>
    <row r="282" spans="2:22">
      <c r="B282" s="95">
        <v>40731</v>
      </c>
      <c r="C282" s="96">
        <v>0.56769820100000001</v>
      </c>
      <c r="D282" s="96">
        <f>VLOOKUP(CurrentMtgRatesDataTable825[[#This Row],[asofdate]],I:J,2,0)</f>
        <v>0.56570427590000005</v>
      </c>
      <c r="E282" s="96">
        <f>VLOOKUP(CurrentMtgRatesDataTable825[[#This Row],[asofdate]],O:P,2,0)</f>
        <v>0</v>
      </c>
      <c r="F282" s="97">
        <f ca="1">VLOOKUP(CurrentMtgRatesDataTable825[[#This Row],[asofdate]]+1,Bloomberg!B:C,2,0)</f>
        <v>2362.6999999999998</v>
      </c>
      <c r="I282" s="18">
        <v>40731</v>
      </c>
      <c r="J282" s="91">
        <v>0.56570427590000005</v>
      </c>
      <c r="K282" s="91">
        <f>VLOOKUP(CurrentMtgRatesDataTable82527141518[[#This Row],[asofdate]],O:P,2,0)</f>
        <v>0</v>
      </c>
      <c r="L282" s="91">
        <f>VLOOKUP(CurrentMtgRatesDataTable82527141518[[#This Row],[asofdate]],S:T,2,0)</f>
        <v>3.8639739E-3</v>
      </c>
      <c r="M282" s="6">
        <f ca="1">VLOOKUP(CurrentMtgRatesDataTable82527141518[[#This Row],[asofdate]]+1,Bloomberg!B:C,2,0)</f>
        <v>2362.6999999999998</v>
      </c>
      <c r="N282" s="6"/>
      <c r="O282" s="18">
        <v>40724</v>
      </c>
      <c r="P282" s="91">
        <v>0</v>
      </c>
      <c r="Q282" s="104"/>
      <c r="R282" s="104"/>
      <c r="S282" s="18">
        <v>40731</v>
      </c>
      <c r="T282" s="91">
        <v>3.8639739E-3</v>
      </c>
      <c r="V282"/>
    </row>
    <row r="283" spans="2:22">
      <c r="B283" s="95">
        <v>40724</v>
      </c>
      <c r="C283" s="96">
        <v>0.60115341759999996</v>
      </c>
      <c r="D283" s="96">
        <f>VLOOKUP(CurrentMtgRatesDataTable825[[#This Row],[asofdate]],I:J,2,0)</f>
        <v>0.60588870009999996</v>
      </c>
      <c r="E283" s="96">
        <f>VLOOKUP(CurrentMtgRatesDataTable825[[#This Row],[asofdate]],O:P,2,0)</f>
        <v>0</v>
      </c>
      <c r="F283" s="97">
        <f ca="1">VLOOKUP(CurrentMtgRatesDataTable825[[#This Row],[asofdate]]+1,Bloomberg!B:C,2,0)</f>
        <v>2527.5</v>
      </c>
      <c r="I283" s="18">
        <v>40724</v>
      </c>
      <c r="J283" s="91">
        <v>0.60588870009999996</v>
      </c>
      <c r="K283" s="91">
        <f>VLOOKUP(CurrentMtgRatesDataTable82527141518[[#This Row],[asofdate]],O:P,2,0)</f>
        <v>0</v>
      </c>
      <c r="L283" s="91">
        <f>VLOOKUP(CurrentMtgRatesDataTable82527141518[[#This Row],[asofdate]],S:T,2,0)</f>
        <v>5.4026478000000003E-3</v>
      </c>
      <c r="M283" s="6">
        <f ca="1">VLOOKUP(CurrentMtgRatesDataTable82527141518[[#This Row],[asofdate]]+1,Bloomberg!B:C,2,0)</f>
        <v>2527.5</v>
      </c>
      <c r="N283" s="6"/>
      <c r="O283" s="18">
        <v>40717</v>
      </c>
      <c r="P283" s="91">
        <v>0</v>
      </c>
      <c r="Q283" s="104"/>
      <c r="R283" s="104"/>
      <c r="S283" s="18">
        <v>40724</v>
      </c>
      <c r="T283" s="91">
        <v>5.4026478000000003E-3</v>
      </c>
      <c r="V283"/>
    </row>
    <row r="284" spans="2:22">
      <c r="B284" s="95">
        <v>40717</v>
      </c>
      <c r="C284" s="96">
        <v>0.59310645480000002</v>
      </c>
      <c r="D284" s="96">
        <f>VLOOKUP(CurrentMtgRatesDataTable825[[#This Row],[asofdate]],I:J,2,0)</f>
        <v>0.59097363839999995</v>
      </c>
      <c r="E284" s="96">
        <f>VLOOKUP(CurrentMtgRatesDataTable825[[#This Row],[asofdate]],O:P,2,0)</f>
        <v>0</v>
      </c>
      <c r="F284" s="97">
        <f ca="1">VLOOKUP(CurrentMtgRatesDataTable825[[#This Row],[asofdate]]+1,Bloomberg!B:C,2,0)</f>
        <v>2809.5</v>
      </c>
      <c r="I284" s="18">
        <v>40717</v>
      </c>
      <c r="J284" s="91">
        <v>0.59097363839999995</v>
      </c>
      <c r="K284" s="91">
        <f>VLOOKUP(CurrentMtgRatesDataTable82527141518[[#This Row],[asofdate]],O:P,2,0)</f>
        <v>0</v>
      </c>
      <c r="L284" s="91">
        <f>VLOOKUP(CurrentMtgRatesDataTable82527141518[[#This Row],[asofdate]],S:T,2,0)</f>
        <v>4.2508548000000004E-3</v>
      </c>
      <c r="M284" s="6">
        <f ca="1">VLOOKUP(CurrentMtgRatesDataTable82527141518[[#This Row],[asofdate]]+1,Bloomberg!B:C,2,0)</f>
        <v>2809.5</v>
      </c>
      <c r="N284" s="6"/>
      <c r="O284" s="18">
        <v>40710</v>
      </c>
      <c r="P284" s="91">
        <v>0</v>
      </c>
      <c r="Q284" s="104"/>
      <c r="R284" s="104"/>
      <c r="S284" s="18">
        <v>40717</v>
      </c>
      <c r="T284" s="91">
        <v>4.2508548000000004E-3</v>
      </c>
      <c r="V284"/>
    </row>
    <row r="285" spans="2:22">
      <c r="B285" s="98">
        <v>40710</v>
      </c>
      <c r="C285" s="99">
        <v>0.60999447849999999</v>
      </c>
      <c r="D285" s="99">
        <f>VLOOKUP(CurrentMtgRatesDataTable825[[#This Row],[asofdate]],I:J,2,0)</f>
        <v>0.60674265890000001</v>
      </c>
      <c r="E285" s="99">
        <f>VLOOKUP(CurrentMtgRatesDataTable825[[#This Row],[asofdate]],O:P,2,0)</f>
        <v>0</v>
      </c>
      <c r="F285" s="100">
        <f ca="1">VLOOKUP(CurrentMtgRatesDataTable825[[#This Row],[asofdate]]+1,Bloomberg!B:C,2,0)</f>
        <v>2857.9</v>
      </c>
      <c r="I285" s="18">
        <v>40710</v>
      </c>
      <c r="J285" s="91">
        <v>0.60674265890000001</v>
      </c>
      <c r="K285" s="91">
        <f>VLOOKUP(CurrentMtgRatesDataTable82527141518[[#This Row],[asofdate]],O:P,2,0)</f>
        <v>0</v>
      </c>
      <c r="L285" s="91">
        <f>VLOOKUP(CurrentMtgRatesDataTable82527141518[[#This Row],[asofdate]],S:T,2,0)</f>
        <v>5.4689739000000001E-3</v>
      </c>
      <c r="M285" s="6">
        <f ca="1">VLOOKUP(CurrentMtgRatesDataTable82527141518[[#This Row],[asofdate]]+1,Bloomberg!B:C,2,0)</f>
        <v>2857.9</v>
      </c>
      <c r="N285" s="6"/>
      <c r="O285" s="18">
        <v>40703</v>
      </c>
      <c r="P285" s="91">
        <v>3.8651415000000001E-3</v>
      </c>
      <c r="Q285" s="104"/>
      <c r="R285" s="104"/>
      <c r="S285" s="18">
        <v>40710</v>
      </c>
      <c r="T285" s="91">
        <v>5.4689739000000001E-3</v>
      </c>
      <c r="V285"/>
    </row>
    <row r="286" spans="2:22">
      <c r="B286" s="98">
        <v>40703</v>
      </c>
      <c r="C286" s="99">
        <v>0.62022243639999997</v>
      </c>
      <c r="D286" s="99">
        <f>VLOOKUP(CurrentMtgRatesDataTable825[[#This Row],[asofdate]],I:J,2,0)</f>
        <v>0.60698646280000002</v>
      </c>
      <c r="E286" s="99">
        <f>VLOOKUP(CurrentMtgRatesDataTable825[[#This Row],[asofdate]],O:P,2,0)</f>
        <v>3.8651415000000001E-3</v>
      </c>
      <c r="F286" s="100">
        <f ca="1">VLOOKUP(CurrentMtgRatesDataTable825[[#This Row],[asofdate]]+1,Bloomberg!B:C,2,0)</f>
        <v>3101.7</v>
      </c>
      <c r="I286" s="18">
        <v>40703</v>
      </c>
      <c r="J286" s="91">
        <v>0.60698646280000002</v>
      </c>
      <c r="K286" s="91">
        <f>VLOOKUP(CurrentMtgRatesDataTable82527141518[[#This Row],[asofdate]],O:P,2,0)</f>
        <v>3.8651415000000001E-3</v>
      </c>
      <c r="L286" s="91">
        <f>VLOOKUP(CurrentMtgRatesDataTable82527141518[[#This Row],[asofdate]],S:T,2,0)</f>
        <v>5.4808193000000002E-3</v>
      </c>
      <c r="M286" s="6">
        <f ca="1">VLOOKUP(CurrentMtgRatesDataTable82527141518[[#This Row],[asofdate]]+1,Bloomberg!B:C,2,0)</f>
        <v>3101.7</v>
      </c>
      <c r="N286" s="6"/>
      <c r="O286" s="18">
        <v>40696</v>
      </c>
      <c r="P286" s="91">
        <v>3.0079733999999999E-3</v>
      </c>
      <c r="Q286" s="104"/>
      <c r="R286" s="104"/>
      <c r="S286" s="18">
        <v>40703</v>
      </c>
      <c r="T286" s="91">
        <v>5.4808193000000002E-3</v>
      </c>
      <c r="V286"/>
    </row>
    <row r="287" spans="2:22">
      <c r="B287" s="101">
        <v>40696</v>
      </c>
      <c r="C287" s="102">
        <v>0.59310645480000002</v>
      </c>
      <c r="D287" s="102">
        <f>VLOOKUP(CurrentMtgRatesDataTable825[[#This Row],[asofdate]],I:J,2,0)</f>
        <v>0.59097363839999995</v>
      </c>
      <c r="E287" s="102">
        <f>VLOOKUP(CurrentMtgRatesDataTable825[[#This Row],[asofdate]],O:P,2,0)</f>
        <v>3.0079733999999999E-3</v>
      </c>
      <c r="F287" s="103">
        <f ca="1">VLOOKUP(CurrentMtgRatesDataTable825[[#This Row],[asofdate]]+1,Bloomberg!B:C,2,0)</f>
        <v>2648</v>
      </c>
      <c r="I287" s="18">
        <v>40696</v>
      </c>
      <c r="J287" s="91">
        <v>0.59097363839999995</v>
      </c>
      <c r="K287" s="91">
        <f>VLOOKUP(CurrentMtgRatesDataTable82527141518[[#This Row],[asofdate]],O:P,2,0)</f>
        <v>3.0079733999999999E-3</v>
      </c>
      <c r="L287" s="91">
        <f>VLOOKUP(CurrentMtgRatesDataTable82527141518[[#This Row],[asofdate]],S:T,2,0)</f>
        <v>4.2099418999999999E-3</v>
      </c>
      <c r="M287" s="6">
        <f ca="1">VLOOKUP(CurrentMtgRatesDataTable82527141518[[#This Row],[asofdate]]+1,Bloomberg!B:C,2,0)</f>
        <v>2648</v>
      </c>
      <c r="N287" s="6"/>
      <c r="O287" s="18">
        <v>40689</v>
      </c>
      <c r="P287" s="91">
        <v>9.6633050000000001E-4</v>
      </c>
      <c r="Q287" s="104"/>
      <c r="R287" s="104"/>
      <c r="S287" s="18">
        <v>40696</v>
      </c>
      <c r="T287" s="91">
        <v>4.2099418999999999E-3</v>
      </c>
      <c r="V287"/>
    </row>
    <row r="288" spans="2:22">
      <c r="B288" s="101">
        <v>40689</v>
      </c>
      <c r="C288" s="102">
        <v>0.57348259489999998</v>
      </c>
      <c r="D288" s="102">
        <f>VLOOKUP(CurrentMtgRatesDataTable825[[#This Row],[asofdate]],I:J,2,0)</f>
        <v>0.57397086610000003</v>
      </c>
      <c r="E288" s="102">
        <f>VLOOKUP(CurrentMtgRatesDataTable825[[#This Row],[asofdate]],O:P,2,0)</f>
        <v>9.6633050000000001E-4</v>
      </c>
      <c r="F288" s="103">
        <f ca="1">VLOOKUP(CurrentMtgRatesDataTable825[[#This Row],[asofdate]]+1,Bloomberg!B:C,2,0)</f>
        <v>2619.6999999999998</v>
      </c>
      <c r="I288" s="18">
        <v>40689</v>
      </c>
      <c r="J288" s="91">
        <v>0.57397086610000003</v>
      </c>
      <c r="K288" s="91">
        <f>VLOOKUP(CurrentMtgRatesDataTable82527141518[[#This Row],[asofdate]],O:P,2,0)</f>
        <v>9.6633050000000001E-4</v>
      </c>
      <c r="L288" s="91">
        <f>VLOOKUP(CurrentMtgRatesDataTable82527141518[[#This Row],[asofdate]],S:T,2,0)</f>
        <v>1.7436814999999999E-3</v>
      </c>
      <c r="M288" s="6">
        <f ca="1">VLOOKUP(CurrentMtgRatesDataTable82527141518[[#This Row],[asofdate]]+1,Bloomberg!B:C,2,0)</f>
        <v>2619.6999999999998</v>
      </c>
      <c r="N288" s="6"/>
      <c r="O288" s="18">
        <v>40682</v>
      </c>
      <c r="P288" s="91">
        <v>9.5316439999999997E-4</v>
      </c>
      <c r="Q288" s="104"/>
      <c r="R288" s="104"/>
      <c r="S288" s="18">
        <v>40689</v>
      </c>
      <c r="T288" s="91">
        <v>1.7436814999999999E-3</v>
      </c>
      <c r="V288"/>
    </row>
    <row r="289" spans="2:22">
      <c r="B289" s="101">
        <v>40682</v>
      </c>
      <c r="C289" s="102">
        <v>0.5705515565</v>
      </c>
      <c r="D289" s="102">
        <f>VLOOKUP(CurrentMtgRatesDataTable825[[#This Row],[asofdate]],I:J,2,0)</f>
        <v>0.57236589810000005</v>
      </c>
      <c r="E289" s="102">
        <f>VLOOKUP(CurrentMtgRatesDataTable825[[#This Row],[asofdate]],O:P,2,0)</f>
        <v>9.5316439999999997E-4</v>
      </c>
      <c r="F289" s="103">
        <f ca="1">VLOOKUP(CurrentMtgRatesDataTable825[[#This Row],[asofdate]]+1,Bloomberg!B:C,2,0)</f>
        <v>2764.6</v>
      </c>
      <c r="I289" s="18">
        <v>40682</v>
      </c>
      <c r="J289" s="91">
        <v>0.57236589810000005</v>
      </c>
      <c r="K289" s="91">
        <f>VLOOKUP(CurrentMtgRatesDataTable82527141518[[#This Row],[asofdate]],O:P,2,0)</f>
        <v>9.5316439999999997E-4</v>
      </c>
      <c r="L289" s="91">
        <f>VLOOKUP(CurrentMtgRatesDataTable82527141518[[#This Row],[asofdate]],S:T,2,0)</f>
        <v>1.7274497000000001E-3</v>
      </c>
      <c r="M289" s="6">
        <f ca="1">VLOOKUP(CurrentMtgRatesDataTable82527141518[[#This Row],[asofdate]]+1,Bloomberg!B:C,2,0)</f>
        <v>2764.6</v>
      </c>
      <c r="N289" s="6"/>
      <c r="O289" s="18">
        <v>40675</v>
      </c>
      <c r="P289" s="91">
        <v>9.49525E-4</v>
      </c>
      <c r="Q289" s="104"/>
      <c r="R289" s="104"/>
      <c r="S289" s="18">
        <v>40682</v>
      </c>
      <c r="T289" s="91">
        <v>1.7274497000000001E-3</v>
      </c>
      <c r="V289"/>
    </row>
    <row r="290" spans="2:22">
      <c r="B290" s="101">
        <v>40675</v>
      </c>
      <c r="C290" s="102">
        <v>0.56672128300000002</v>
      </c>
      <c r="D290" s="102">
        <f>VLOOKUP(CurrentMtgRatesDataTable825[[#This Row],[asofdate]],I:J,2,0)</f>
        <v>0.57084324220000005</v>
      </c>
      <c r="E290" s="102">
        <f>VLOOKUP(CurrentMtgRatesDataTable825[[#This Row],[asofdate]],O:P,2,0)</f>
        <v>9.49525E-4</v>
      </c>
      <c r="F290" s="103">
        <f ca="1">VLOOKUP(CurrentMtgRatesDataTable825[[#This Row],[asofdate]]+1,Bloomberg!B:C,2,0)</f>
        <v>2742.2</v>
      </c>
      <c r="I290" s="18">
        <v>40675</v>
      </c>
      <c r="J290" s="91">
        <v>0.57084324220000005</v>
      </c>
      <c r="K290" s="91">
        <f>VLOOKUP(CurrentMtgRatesDataTable82527141518[[#This Row],[asofdate]],O:P,2,0)</f>
        <v>9.49525E-4</v>
      </c>
      <c r="L290" s="91">
        <f>VLOOKUP(CurrentMtgRatesDataTable82527141518[[#This Row],[asofdate]],S:T,2,0)</f>
        <v>1.7191680999999999E-3</v>
      </c>
      <c r="M290" s="6">
        <f ca="1">VLOOKUP(CurrentMtgRatesDataTable82527141518[[#This Row],[asofdate]]+1,Bloomberg!B:C,2,0)</f>
        <v>2742.2</v>
      </c>
      <c r="N290" s="6"/>
      <c r="O290" s="18">
        <v>40668</v>
      </c>
      <c r="P290" s="91">
        <v>4.295093E-4</v>
      </c>
      <c r="Q290" s="104"/>
      <c r="R290" s="104"/>
      <c r="S290" s="18">
        <v>40675</v>
      </c>
      <c r="T290" s="91">
        <v>1.7191680999999999E-3</v>
      </c>
      <c r="V290"/>
    </row>
    <row r="291" spans="2:22">
      <c r="B291" s="101">
        <v>40668</v>
      </c>
      <c r="C291" s="102">
        <v>0.55010519989999995</v>
      </c>
      <c r="D291" s="102">
        <f>VLOOKUP(CurrentMtgRatesDataTable825[[#This Row],[asofdate]],I:J,2,0)</f>
        <v>0.54152063220000002</v>
      </c>
      <c r="E291" s="102">
        <f>VLOOKUP(CurrentMtgRatesDataTable825[[#This Row],[asofdate]],O:P,2,0)</f>
        <v>4.295093E-4</v>
      </c>
      <c r="F291" s="103">
        <f ca="1">VLOOKUP(CurrentMtgRatesDataTable825[[#This Row],[asofdate]]+1,Bloomberg!B:C,2,0)</f>
        <v>2414.9</v>
      </c>
      <c r="I291" s="18">
        <v>40668</v>
      </c>
      <c r="J291" s="91">
        <v>0.54152063220000002</v>
      </c>
      <c r="K291" s="91">
        <f>VLOOKUP(CurrentMtgRatesDataTable82527141518[[#This Row],[asofdate]],O:P,2,0)</f>
        <v>4.295093E-4</v>
      </c>
      <c r="L291" s="91">
        <f>VLOOKUP(CurrentMtgRatesDataTable82527141518[[#This Row],[asofdate]],S:T,2,0)</f>
        <v>8.1981839999999996E-4</v>
      </c>
      <c r="M291" s="6">
        <f ca="1">VLOOKUP(CurrentMtgRatesDataTable82527141518[[#This Row],[asofdate]]+1,Bloomberg!B:C,2,0)</f>
        <v>2414.9</v>
      </c>
      <c r="N291" s="6"/>
      <c r="O291" s="18">
        <v>40661</v>
      </c>
      <c r="P291" s="91">
        <v>4.3211E-6</v>
      </c>
      <c r="Q291" s="104"/>
      <c r="R291" s="104"/>
      <c r="S291" s="18">
        <v>40668</v>
      </c>
      <c r="T291" s="91">
        <v>8.1981839999999996E-4</v>
      </c>
      <c r="V291"/>
    </row>
    <row r="292" spans="2:22">
      <c r="B292" s="101">
        <v>40661</v>
      </c>
      <c r="C292" s="102">
        <v>0.53473553439999999</v>
      </c>
      <c r="D292" s="102">
        <f>VLOOKUP(CurrentMtgRatesDataTable825[[#This Row],[asofdate]],I:J,2,0)</f>
        <v>0.53058626149999999</v>
      </c>
      <c r="E292" s="102">
        <f>VLOOKUP(CurrentMtgRatesDataTable825[[#This Row],[asofdate]],O:P,2,0)</f>
        <v>4.3211E-6</v>
      </c>
      <c r="F292" s="103">
        <f ca="1">VLOOKUP(CurrentMtgRatesDataTable825[[#This Row],[asofdate]]+1,Bloomberg!B:C,2,0)</f>
        <v>2220.1</v>
      </c>
      <c r="I292" s="18">
        <v>40661</v>
      </c>
      <c r="J292" s="91">
        <v>0.53058626149999999</v>
      </c>
      <c r="K292" s="91">
        <f>VLOOKUP(CurrentMtgRatesDataTable82527141518[[#This Row],[asofdate]],O:P,2,0)</f>
        <v>4.3211E-6</v>
      </c>
      <c r="L292" s="91">
        <f>VLOOKUP(CurrentMtgRatesDataTable82527141518[[#This Row],[asofdate]],S:T,2,0)</f>
        <v>2.459594E-4</v>
      </c>
      <c r="M292" s="6">
        <f ca="1">VLOOKUP(CurrentMtgRatesDataTable82527141518[[#This Row],[asofdate]]+1,Bloomberg!B:C,2,0)</f>
        <v>2220.1</v>
      </c>
      <c r="N292" s="6"/>
      <c r="O292" s="18">
        <v>40654</v>
      </c>
      <c r="P292" s="91">
        <v>4.3211E-6</v>
      </c>
      <c r="Q292" s="104"/>
      <c r="R292" s="104"/>
      <c r="S292" s="18">
        <v>40661</v>
      </c>
      <c r="T292" s="91">
        <v>2.459594E-4</v>
      </c>
      <c r="V292"/>
    </row>
    <row r="293" spans="2:22">
      <c r="B293" s="101">
        <v>40654</v>
      </c>
      <c r="C293" s="102">
        <v>0.52727126680000003</v>
      </c>
      <c r="D293" s="102">
        <f>VLOOKUP(CurrentMtgRatesDataTable825[[#This Row],[asofdate]],I:J,2,0)</f>
        <v>0.529569964</v>
      </c>
      <c r="E293" s="102">
        <f>VLOOKUP(CurrentMtgRatesDataTable825[[#This Row],[asofdate]],O:P,2,0)</f>
        <v>4.3211E-6</v>
      </c>
      <c r="F293" s="103">
        <f ca="1">VLOOKUP(CurrentMtgRatesDataTable825[[#This Row],[asofdate]]+1,Bloomberg!B:C,2,0)</f>
        <v>2091.4</v>
      </c>
      <c r="I293" s="18">
        <v>40654</v>
      </c>
      <c r="J293" s="91">
        <v>0.529569964</v>
      </c>
      <c r="K293" s="91">
        <f>VLOOKUP(CurrentMtgRatesDataTable82527141518[[#This Row],[asofdate]],O:P,2,0)</f>
        <v>4.3211E-6</v>
      </c>
      <c r="L293" s="91">
        <f>VLOOKUP(CurrentMtgRatesDataTable82527141518[[#This Row],[asofdate]],S:T,2,0)</f>
        <v>2.441136E-4</v>
      </c>
      <c r="M293" s="6">
        <f ca="1">VLOOKUP(CurrentMtgRatesDataTable82527141518[[#This Row],[asofdate]]+1,Bloomberg!B:C,2,0)</f>
        <v>2091.4</v>
      </c>
      <c r="N293" s="6"/>
      <c r="O293" s="18">
        <v>40647</v>
      </c>
      <c r="P293" s="91">
        <v>0</v>
      </c>
      <c r="Q293" s="104"/>
      <c r="R293" s="104"/>
      <c r="S293" s="18">
        <v>40654</v>
      </c>
      <c r="T293" s="91">
        <v>2.441136E-4</v>
      </c>
      <c r="V293"/>
    </row>
    <row r="294" spans="2:22">
      <c r="B294" s="101">
        <v>40647</v>
      </c>
      <c r="C294" s="102">
        <v>0.49577828569999999</v>
      </c>
      <c r="D294" s="102">
        <f>VLOOKUP(CurrentMtgRatesDataTable825[[#This Row],[asofdate]],I:J,2,0)</f>
        <v>0.50893139949999999</v>
      </c>
      <c r="E294" s="102">
        <f>VLOOKUP(CurrentMtgRatesDataTable825[[#This Row],[asofdate]],O:P,2,0)</f>
        <v>0</v>
      </c>
      <c r="F294" s="103">
        <f ca="1">VLOOKUP(CurrentMtgRatesDataTable825[[#This Row],[asofdate]]+1,Bloomberg!B:C,2,0)</f>
        <v>2065.3000000000002</v>
      </c>
      <c r="I294" s="18">
        <v>40647</v>
      </c>
      <c r="J294" s="91">
        <v>0.50893139949999999</v>
      </c>
      <c r="K294" s="91">
        <f>VLOOKUP(CurrentMtgRatesDataTable82527141518[[#This Row],[asofdate]],O:P,2,0)</f>
        <v>0</v>
      </c>
      <c r="L294" s="91">
        <f>VLOOKUP(CurrentMtgRatesDataTable82527141518[[#This Row],[asofdate]],S:T,2,0)</f>
        <v>7.0255399999999998E-5</v>
      </c>
      <c r="M294" s="6">
        <f ca="1">VLOOKUP(CurrentMtgRatesDataTable82527141518[[#This Row],[asofdate]]+1,Bloomberg!B:C,2,0)</f>
        <v>2065.3000000000002</v>
      </c>
      <c r="N294" s="6"/>
      <c r="O294" s="18">
        <v>40640</v>
      </c>
      <c r="P294" s="91">
        <v>0</v>
      </c>
      <c r="Q294" s="104"/>
      <c r="R294" s="104"/>
      <c r="S294" s="18">
        <v>40647</v>
      </c>
      <c r="T294" s="91">
        <v>7.0255399999999998E-5</v>
      </c>
      <c r="V294"/>
    </row>
    <row r="295" spans="2:22">
      <c r="B295" s="101">
        <v>40640</v>
      </c>
      <c r="C295" s="102">
        <v>0.50344599359999997</v>
      </c>
      <c r="D295" s="102">
        <f>VLOOKUP(CurrentMtgRatesDataTable825[[#This Row],[asofdate]],I:J,2,0)</f>
        <v>0.51267998920000002</v>
      </c>
      <c r="E295" s="102">
        <f>VLOOKUP(CurrentMtgRatesDataTable825[[#This Row],[asofdate]],O:P,2,0)</f>
        <v>0</v>
      </c>
      <c r="F295" s="103">
        <f ca="1">VLOOKUP(CurrentMtgRatesDataTable825[[#This Row],[asofdate]]+1,Bloomberg!B:C,2,0)</f>
        <v>2010.6</v>
      </c>
      <c r="I295" s="18">
        <v>40640</v>
      </c>
      <c r="J295" s="91">
        <v>0.51267998920000002</v>
      </c>
      <c r="K295" s="91">
        <f>VLOOKUP(CurrentMtgRatesDataTable82527141518[[#This Row],[asofdate]],O:P,2,0)</f>
        <v>0</v>
      </c>
      <c r="L295" s="91">
        <f>VLOOKUP(CurrentMtgRatesDataTable82527141518[[#This Row],[asofdate]],S:T,2,0)</f>
        <v>6.8381599999999996E-5</v>
      </c>
      <c r="M295" s="6">
        <f ca="1">VLOOKUP(CurrentMtgRatesDataTable82527141518[[#This Row],[asofdate]]+1,Bloomberg!B:C,2,0)</f>
        <v>2010.6</v>
      </c>
      <c r="N295" s="6"/>
      <c r="O295" s="18">
        <v>40633</v>
      </c>
      <c r="P295" s="91">
        <v>0</v>
      </c>
      <c r="Q295" s="104"/>
      <c r="R295" s="104"/>
      <c r="S295" s="18">
        <v>40640</v>
      </c>
      <c r="T295" s="91">
        <v>6.8381599999999996E-5</v>
      </c>
      <c r="V295"/>
    </row>
    <row r="296" spans="2:22">
      <c r="B296" s="101">
        <v>40633</v>
      </c>
      <c r="C296" s="102">
        <v>0.52375787650000005</v>
      </c>
      <c r="D296" s="102">
        <f>VLOOKUP(CurrentMtgRatesDataTable825[[#This Row],[asofdate]],I:J,2,0)</f>
        <v>0.52857622039999996</v>
      </c>
      <c r="E296" s="102">
        <f>VLOOKUP(CurrentMtgRatesDataTable825[[#This Row],[asofdate]],O:P,2,0)</f>
        <v>0</v>
      </c>
      <c r="F296" s="103">
        <f ca="1">VLOOKUP(CurrentMtgRatesDataTable825[[#This Row],[asofdate]]+1,Bloomberg!B:C,2,0)</f>
        <v>2194.4</v>
      </c>
      <c r="I296" s="18">
        <v>40633</v>
      </c>
      <c r="J296" s="91">
        <v>0.52857622039999996</v>
      </c>
      <c r="K296" s="91">
        <f>VLOOKUP(CurrentMtgRatesDataTable82527141518[[#This Row],[asofdate]],O:P,2,0)</f>
        <v>0</v>
      </c>
      <c r="L296" s="91">
        <f>VLOOKUP(CurrentMtgRatesDataTable82527141518[[#This Row],[asofdate]],S:T,2,0)</f>
        <v>6.8061700000000006E-5</v>
      </c>
      <c r="M296" s="6">
        <f ca="1">VLOOKUP(CurrentMtgRatesDataTable82527141518[[#This Row],[asofdate]]+1,Bloomberg!B:C,2,0)</f>
        <v>2194.4</v>
      </c>
      <c r="N296" s="6"/>
      <c r="O296" s="18">
        <v>40626</v>
      </c>
      <c r="P296" s="91">
        <v>0</v>
      </c>
      <c r="Q296" s="104"/>
      <c r="R296" s="104"/>
      <c r="S296" s="18">
        <v>40633</v>
      </c>
      <c r="T296" s="91">
        <v>6.8061700000000006E-5</v>
      </c>
      <c r="V296"/>
    </row>
    <row r="297" spans="2:22">
      <c r="B297" s="101">
        <v>40626</v>
      </c>
      <c r="C297" s="102">
        <v>0.53978755850000004</v>
      </c>
      <c r="D297" s="102">
        <f>VLOOKUP(CurrentMtgRatesDataTable825[[#This Row],[asofdate]],I:J,2,0)</f>
        <v>0.54507029809999996</v>
      </c>
      <c r="E297" s="102">
        <f>VLOOKUP(CurrentMtgRatesDataTable825[[#This Row],[asofdate]],O:P,2,0)</f>
        <v>0</v>
      </c>
      <c r="F297" s="103">
        <f ca="1">VLOOKUP(CurrentMtgRatesDataTable825[[#This Row],[asofdate]]+1,Bloomberg!B:C,2,0)</f>
        <v>2350.6999999999998</v>
      </c>
      <c r="I297" s="18">
        <v>40626</v>
      </c>
      <c r="J297" s="91">
        <v>0.54507029809999996</v>
      </c>
      <c r="K297" s="91">
        <f>VLOOKUP(CurrentMtgRatesDataTable82527141518[[#This Row],[asofdate]],O:P,2,0)</f>
        <v>0</v>
      </c>
      <c r="L297" s="91">
        <f>VLOOKUP(CurrentMtgRatesDataTable82527141518[[#This Row],[asofdate]],S:T,2,0)</f>
        <v>1.752143E-4</v>
      </c>
      <c r="M297" s="6">
        <f ca="1">VLOOKUP(CurrentMtgRatesDataTable82527141518[[#This Row],[asofdate]]+1,Bloomberg!B:C,2,0)</f>
        <v>2350.6999999999998</v>
      </c>
      <c r="N297" s="6"/>
      <c r="O297" s="18">
        <v>40619</v>
      </c>
      <c r="P297" s="91">
        <v>2.2781200000000005E-5</v>
      </c>
      <c r="Q297" s="104"/>
      <c r="R297" s="104"/>
      <c r="S297" s="18">
        <v>40626</v>
      </c>
      <c r="T297" s="91">
        <v>1.752143E-4</v>
      </c>
      <c r="V297"/>
    </row>
    <row r="298" spans="2:22">
      <c r="B298" s="101">
        <v>40619</v>
      </c>
      <c r="C298" s="102">
        <v>0.56208097560000003</v>
      </c>
      <c r="D298" s="102">
        <f>VLOOKUP(CurrentMtgRatesDataTable825[[#This Row],[asofdate]],I:J,2,0)</f>
        <v>0.56219164870000005</v>
      </c>
      <c r="E298" s="102">
        <f>VLOOKUP(CurrentMtgRatesDataTable825[[#This Row],[asofdate]],O:P,2,0)</f>
        <v>2.2781200000000005E-5</v>
      </c>
      <c r="F298" s="103">
        <f ca="1">VLOOKUP(CurrentMtgRatesDataTable825[[#This Row],[asofdate]]+1,Bloomberg!B:C,2,0)</f>
        <v>2620.8000000000002</v>
      </c>
      <c r="I298" s="18">
        <v>40619</v>
      </c>
      <c r="J298" s="91">
        <v>0.56219164870000005</v>
      </c>
      <c r="K298" s="91">
        <f>VLOOKUP(CurrentMtgRatesDataTable82527141518[[#This Row],[asofdate]],O:P,2,0)</f>
        <v>2.2781200000000005E-5</v>
      </c>
      <c r="L298" s="91">
        <f>VLOOKUP(CurrentMtgRatesDataTable82527141518[[#This Row],[asofdate]],S:T,2,0)</f>
        <v>4.507925E-4</v>
      </c>
      <c r="M298" s="6">
        <f ca="1">VLOOKUP(CurrentMtgRatesDataTable82527141518[[#This Row],[asofdate]]+1,Bloomberg!B:C,2,0)</f>
        <v>2620.8000000000002</v>
      </c>
      <c r="N298" s="6"/>
      <c r="O298" s="18">
        <v>40612</v>
      </c>
      <c r="P298" s="91">
        <v>0</v>
      </c>
      <c r="Q298" s="104"/>
      <c r="R298" s="104"/>
      <c r="S298" s="18">
        <v>40619</v>
      </c>
      <c r="T298" s="91">
        <v>4.507925E-4</v>
      </c>
      <c r="V298"/>
    </row>
    <row r="299" spans="2:22">
      <c r="B299" s="101">
        <v>40612</v>
      </c>
      <c r="C299" s="102">
        <v>0.5148197189</v>
      </c>
      <c r="D299" s="102">
        <f>VLOOKUP(CurrentMtgRatesDataTable825[[#This Row],[asofdate]],I:J,2,0)</f>
        <v>0.52634717639999995</v>
      </c>
      <c r="E299" s="102">
        <f>VLOOKUP(CurrentMtgRatesDataTable825[[#This Row],[asofdate]],O:P,2,0)</f>
        <v>0</v>
      </c>
      <c r="F299" s="103">
        <f ca="1">VLOOKUP(CurrentMtgRatesDataTable825[[#This Row],[asofdate]]+1,Bloomberg!B:C,2,0)</f>
        <v>2563.6</v>
      </c>
      <c r="I299" s="18">
        <v>40612</v>
      </c>
      <c r="J299" s="91">
        <v>0.52634717639999995</v>
      </c>
      <c r="K299" s="91">
        <f>VLOOKUP(CurrentMtgRatesDataTable82527141518[[#This Row],[asofdate]],O:P,2,0)</f>
        <v>0</v>
      </c>
      <c r="L299" s="91">
        <f>VLOOKUP(CurrentMtgRatesDataTable82527141518[[#This Row],[asofdate]],S:T,2,0)</f>
        <v>6.7790400000000001E-5</v>
      </c>
      <c r="M299" s="6">
        <f ca="1">VLOOKUP(CurrentMtgRatesDataTable82527141518[[#This Row],[asofdate]]+1,Bloomberg!B:C,2,0)</f>
        <v>2563.6</v>
      </c>
      <c r="N299" s="6"/>
      <c r="O299" s="18">
        <v>40605</v>
      </c>
      <c r="P299" s="91">
        <v>0</v>
      </c>
      <c r="Q299" s="104"/>
      <c r="R299" s="104"/>
      <c r="S299" s="18">
        <v>40612</v>
      </c>
      <c r="T299" s="91">
        <v>6.7790400000000001E-5</v>
      </c>
      <c r="V299"/>
    </row>
    <row r="300" spans="2:22">
      <c r="B300" s="101">
        <v>40605</v>
      </c>
      <c r="C300" s="102">
        <v>0.51942399480000001</v>
      </c>
      <c r="D300" s="102">
        <f>VLOOKUP(CurrentMtgRatesDataTable825[[#This Row],[asofdate]],I:J,2,0)</f>
        <v>0.5279836094</v>
      </c>
      <c r="E300" s="102">
        <f>VLOOKUP(CurrentMtgRatesDataTable825[[#This Row],[asofdate]],O:P,2,0)</f>
        <v>0</v>
      </c>
      <c r="F300" s="103">
        <f ca="1">VLOOKUP(CurrentMtgRatesDataTable825[[#This Row],[asofdate]]+1,Bloomberg!B:C,2,0)</f>
        <v>2539.4</v>
      </c>
      <c r="I300" s="18">
        <v>40605</v>
      </c>
      <c r="J300" s="91">
        <v>0.5279836094</v>
      </c>
      <c r="K300" s="91">
        <f>VLOOKUP(CurrentMtgRatesDataTable82527141518[[#This Row],[asofdate]],O:P,2,0)</f>
        <v>0</v>
      </c>
      <c r="L300" s="91">
        <f>VLOOKUP(CurrentMtgRatesDataTable82527141518[[#This Row],[asofdate]],S:T,2,0)</f>
        <v>6.8061700000000006E-5</v>
      </c>
      <c r="M300" s="6">
        <f ca="1">VLOOKUP(CurrentMtgRatesDataTable82527141518[[#This Row],[asofdate]]+1,Bloomberg!B:C,2,0)</f>
        <v>2539.4</v>
      </c>
      <c r="N300" s="6"/>
      <c r="O300" s="18">
        <v>40598</v>
      </c>
      <c r="P300" s="91">
        <v>0</v>
      </c>
      <c r="Q300" s="104"/>
      <c r="R300" s="104"/>
      <c r="S300" s="18">
        <v>40605</v>
      </c>
      <c r="T300" s="91">
        <v>6.8061700000000006E-5</v>
      </c>
      <c r="V300"/>
    </row>
    <row r="301" spans="2:22">
      <c r="B301" s="101">
        <v>40598</v>
      </c>
      <c r="C301" s="102">
        <v>0.508720438</v>
      </c>
      <c r="D301" s="102">
        <f>VLOOKUP(CurrentMtgRatesDataTable825[[#This Row],[asofdate]],I:J,2,0)</f>
        <v>0.51712340239999999</v>
      </c>
      <c r="E301" s="102">
        <f>VLOOKUP(CurrentMtgRatesDataTable825[[#This Row],[asofdate]],O:P,2,0)</f>
        <v>0</v>
      </c>
      <c r="F301" s="103">
        <f ca="1">VLOOKUP(CurrentMtgRatesDataTable825[[#This Row],[asofdate]]+1,Bloomberg!B:C,2,0)</f>
        <v>2155.5</v>
      </c>
      <c r="I301" s="18">
        <v>40598</v>
      </c>
      <c r="J301" s="91">
        <v>0.51712340239999999</v>
      </c>
      <c r="K301" s="91">
        <f>VLOOKUP(CurrentMtgRatesDataTable82527141518[[#This Row],[asofdate]],O:P,2,0)</f>
        <v>0</v>
      </c>
      <c r="L301" s="91">
        <f>VLOOKUP(CurrentMtgRatesDataTable82527141518[[#This Row],[asofdate]],S:T,2,0)</f>
        <v>3.87933E-5</v>
      </c>
      <c r="M301" s="6">
        <f ca="1">VLOOKUP(CurrentMtgRatesDataTable82527141518[[#This Row],[asofdate]]+1,Bloomberg!B:C,2,0)</f>
        <v>2155.5</v>
      </c>
      <c r="N301" s="6"/>
      <c r="O301" s="18">
        <v>40591</v>
      </c>
      <c r="P301" s="91">
        <v>0</v>
      </c>
      <c r="Q301" s="104"/>
      <c r="R301" s="104"/>
      <c r="S301" s="18">
        <v>40598</v>
      </c>
      <c r="T301" s="91">
        <v>3.87933E-5</v>
      </c>
      <c r="V301"/>
    </row>
    <row r="302" spans="2:22">
      <c r="B302" s="101">
        <v>40591</v>
      </c>
      <c r="C302" s="102">
        <v>0.47639406890000002</v>
      </c>
      <c r="D302" s="102">
        <f>VLOOKUP(CurrentMtgRatesDataTable825[[#This Row],[asofdate]],I:J,2,0)</f>
        <v>0.48985835570000003</v>
      </c>
      <c r="E302" s="102">
        <f>VLOOKUP(CurrentMtgRatesDataTable825[[#This Row],[asofdate]],O:P,2,0)</f>
        <v>0</v>
      </c>
      <c r="F302" s="103">
        <f ca="1">VLOOKUP(CurrentMtgRatesDataTable825[[#This Row],[asofdate]]+1,Bloomberg!B:C,2,0)</f>
        <v>2325.3000000000002</v>
      </c>
      <c r="I302" s="18">
        <v>40591</v>
      </c>
      <c r="J302" s="91">
        <v>0.48985835570000003</v>
      </c>
      <c r="K302" s="91">
        <f>VLOOKUP(CurrentMtgRatesDataTable82527141518[[#This Row],[asofdate]],O:P,2,0)</f>
        <v>0</v>
      </c>
      <c r="L302" s="91">
        <f>VLOOKUP(CurrentMtgRatesDataTable82527141518[[#This Row],[asofdate]],S:T,2,0)</f>
        <v>2.3976100000000002E-5</v>
      </c>
      <c r="M302" s="6">
        <f ca="1">VLOOKUP(CurrentMtgRatesDataTable82527141518[[#This Row],[asofdate]]+1,Bloomberg!B:C,2,0)</f>
        <v>2325.3000000000002</v>
      </c>
      <c r="N302" s="6"/>
      <c r="O302" s="18">
        <v>40584</v>
      </c>
      <c r="P302" s="91">
        <v>0</v>
      </c>
      <c r="Q302" s="104"/>
      <c r="R302" s="104"/>
      <c r="S302" s="18">
        <v>40591</v>
      </c>
      <c r="T302" s="91">
        <v>2.3976100000000002E-5</v>
      </c>
      <c r="V302"/>
    </row>
    <row r="303" spans="2:22">
      <c r="B303" s="101">
        <v>40584</v>
      </c>
      <c r="C303" s="102">
        <v>0.45403412139999999</v>
      </c>
      <c r="D303" s="102">
        <f>VLOOKUP(CurrentMtgRatesDataTable825[[#This Row],[asofdate]],I:J,2,0)</f>
        <v>0.46490756020000001</v>
      </c>
      <c r="E303" s="102">
        <f>VLOOKUP(CurrentMtgRatesDataTable825[[#This Row],[asofdate]],O:P,2,0)</f>
        <v>0</v>
      </c>
      <c r="F303" s="103">
        <f ca="1">VLOOKUP(CurrentMtgRatesDataTable825[[#This Row],[asofdate]]+1,Bloomberg!B:C,2,0)</f>
        <v>1953.2</v>
      </c>
      <c r="I303" s="18">
        <v>40584</v>
      </c>
      <c r="J303" s="91">
        <v>0.46490756020000001</v>
      </c>
      <c r="K303" s="91">
        <f>VLOOKUP(CurrentMtgRatesDataTable82527141518[[#This Row],[asofdate]],O:P,2,0)</f>
        <v>0</v>
      </c>
      <c r="L303" s="91">
        <f>VLOOKUP(CurrentMtgRatesDataTable82527141518[[#This Row],[asofdate]],S:T,2,0)</f>
        <v>1.7607900000000001E-5</v>
      </c>
      <c r="M303" s="6">
        <f ca="1">VLOOKUP(CurrentMtgRatesDataTable82527141518[[#This Row],[asofdate]]+1,Bloomberg!B:C,2,0)</f>
        <v>1953.2</v>
      </c>
      <c r="N303" s="6"/>
      <c r="O303" s="18">
        <v>40577</v>
      </c>
      <c r="P303" s="91">
        <v>0</v>
      </c>
      <c r="Q303" s="104"/>
      <c r="R303" s="104"/>
      <c r="S303" s="18">
        <v>40584</v>
      </c>
      <c r="T303" s="91">
        <v>1.7607900000000001E-5</v>
      </c>
      <c r="V303"/>
    </row>
    <row r="304" spans="2:22">
      <c r="B304" s="101">
        <v>40577</v>
      </c>
      <c r="C304" s="102">
        <v>0.5489494976</v>
      </c>
      <c r="D304" s="102">
        <f>VLOOKUP(CurrentMtgRatesDataTable825[[#This Row],[asofdate]],I:J,2,0)</f>
        <v>0.54654675470000003</v>
      </c>
      <c r="E304" s="102">
        <f>VLOOKUP(CurrentMtgRatesDataTable825[[#This Row],[asofdate]],O:P,2,0)</f>
        <v>0</v>
      </c>
      <c r="F304" s="103">
        <f ca="1">VLOOKUP(CurrentMtgRatesDataTable825[[#This Row],[asofdate]]+1,Bloomberg!B:C,2,0)</f>
        <v>2190.4</v>
      </c>
      <c r="I304" s="18">
        <v>40577</v>
      </c>
      <c r="J304" s="91">
        <v>0.54654675470000003</v>
      </c>
      <c r="K304" s="91">
        <f>VLOOKUP(CurrentMtgRatesDataTable82527141518[[#This Row],[asofdate]],O:P,2,0)</f>
        <v>0</v>
      </c>
      <c r="L304" s="91">
        <f>VLOOKUP(CurrentMtgRatesDataTable82527141518[[#This Row],[asofdate]],S:T,2,0)</f>
        <v>1.0595339999999999E-4</v>
      </c>
      <c r="M304" s="6">
        <f ca="1">VLOOKUP(CurrentMtgRatesDataTable82527141518[[#This Row],[asofdate]]+1,Bloomberg!B:C,2,0)</f>
        <v>2190.4</v>
      </c>
      <c r="N304" s="6"/>
      <c r="O304" s="18">
        <v>40570</v>
      </c>
      <c r="P304" s="91">
        <v>0</v>
      </c>
      <c r="Q304" s="104"/>
      <c r="R304" s="104"/>
      <c r="S304" s="18">
        <v>40577</v>
      </c>
      <c r="T304" s="91">
        <v>1.0595339999999999E-4</v>
      </c>
      <c r="V304"/>
    </row>
    <row r="305" spans="2:22">
      <c r="B305" s="101">
        <v>40570</v>
      </c>
      <c r="C305" s="102">
        <v>0.58888948990000001</v>
      </c>
      <c r="D305" s="102">
        <f>VLOOKUP(CurrentMtgRatesDataTable825[[#This Row],[asofdate]],I:J,2,0)</f>
        <v>0.58133855670000001</v>
      </c>
      <c r="E305" s="102">
        <f>VLOOKUP(CurrentMtgRatesDataTable825[[#This Row],[asofdate]],O:P,2,0)</f>
        <v>0</v>
      </c>
      <c r="F305" s="103">
        <f ca="1">VLOOKUP(CurrentMtgRatesDataTable825[[#This Row],[asofdate]]+1,Bloomberg!B:C,2,0)</f>
        <v>2371.1</v>
      </c>
      <c r="I305" s="18">
        <v>40570</v>
      </c>
      <c r="J305" s="91">
        <v>0.58133855670000001</v>
      </c>
      <c r="K305" s="91">
        <f>VLOOKUP(CurrentMtgRatesDataTable82527141518[[#This Row],[asofdate]],O:P,2,0)</f>
        <v>0</v>
      </c>
      <c r="L305" s="91">
        <f>VLOOKUP(CurrentMtgRatesDataTable82527141518[[#This Row],[asofdate]],S:T,2,0)</f>
        <v>1.2575109999999999E-4</v>
      </c>
      <c r="M305" s="6">
        <f ca="1">VLOOKUP(CurrentMtgRatesDataTable82527141518[[#This Row],[asofdate]]+1,Bloomberg!B:C,2,0)</f>
        <v>2371.1</v>
      </c>
      <c r="N305" s="6"/>
      <c r="O305" s="18">
        <v>40563</v>
      </c>
      <c r="P305" s="91">
        <v>0</v>
      </c>
      <c r="Q305" s="104"/>
      <c r="R305" s="104"/>
      <c r="S305" s="18">
        <v>40570</v>
      </c>
      <c r="T305" s="91">
        <v>1.2575109999999999E-4</v>
      </c>
      <c r="V305"/>
    </row>
    <row r="306" spans="2:22">
      <c r="B306" s="101">
        <v>40563</v>
      </c>
      <c r="C306" s="102">
        <v>0.60501972319999997</v>
      </c>
      <c r="D306" s="102">
        <f>VLOOKUP(CurrentMtgRatesDataTable825[[#This Row],[asofdate]],I:J,2,0)</f>
        <v>0.58325702479999997</v>
      </c>
      <c r="E306" s="102">
        <f>VLOOKUP(CurrentMtgRatesDataTable825[[#This Row],[asofdate]],O:P,2,0)</f>
        <v>0</v>
      </c>
      <c r="F306" s="103">
        <f ca="1">VLOOKUP(CurrentMtgRatesDataTable825[[#This Row],[asofdate]]+1,Bloomberg!B:C,2,0)</f>
        <v>2129.6999999999998</v>
      </c>
      <c r="I306" s="18">
        <v>40563</v>
      </c>
      <c r="J306" s="91">
        <v>0.58325702479999997</v>
      </c>
      <c r="K306" s="91">
        <f>VLOOKUP(CurrentMtgRatesDataTable82527141518[[#This Row],[asofdate]],O:P,2,0)</f>
        <v>0</v>
      </c>
      <c r="L306" s="91">
        <f>VLOOKUP(CurrentMtgRatesDataTable82527141518[[#This Row],[asofdate]],S:T,2,0)</f>
        <v>2.7941290000000002E-4</v>
      </c>
      <c r="M306" s="6">
        <f ca="1">VLOOKUP(CurrentMtgRatesDataTable82527141518[[#This Row],[asofdate]]+1,Bloomberg!B:C,2,0)</f>
        <v>2129.6999999999998</v>
      </c>
      <c r="N306" s="6"/>
      <c r="O306" s="18">
        <v>40556</v>
      </c>
      <c r="P306" s="91">
        <v>3.4087999999999999E-6</v>
      </c>
      <c r="Q306" s="104"/>
      <c r="R306" s="104"/>
      <c r="S306" s="18">
        <v>40563</v>
      </c>
      <c r="T306" s="91">
        <v>2.7941290000000002E-4</v>
      </c>
      <c r="V306"/>
    </row>
    <row r="307" spans="2:22">
      <c r="B307" s="101">
        <v>40556</v>
      </c>
      <c r="C307" s="102">
        <v>0.6205579832</v>
      </c>
      <c r="D307" s="102">
        <f>VLOOKUP(CurrentMtgRatesDataTable825[[#This Row],[asofdate]],I:J,2,0)</f>
        <v>0.60116222669999997</v>
      </c>
      <c r="E307" s="102">
        <f>VLOOKUP(CurrentMtgRatesDataTable825[[#This Row],[asofdate]],O:P,2,0)</f>
        <v>3.4087999999999999E-6</v>
      </c>
      <c r="F307" s="103">
        <f ca="1">VLOOKUP(CurrentMtgRatesDataTable825[[#This Row],[asofdate]]+1,Bloomberg!B:C,2,0)</f>
        <v>2528.6999999999998</v>
      </c>
      <c r="I307" s="18">
        <v>40556</v>
      </c>
      <c r="J307" s="91">
        <v>0.60116222669999997</v>
      </c>
      <c r="K307" s="91">
        <f>VLOOKUP(CurrentMtgRatesDataTable82527141518[[#This Row],[asofdate]],O:P,2,0)</f>
        <v>3.4087999999999999E-6</v>
      </c>
      <c r="L307" s="91">
        <f>VLOOKUP(CurrentMtgRatesDataTable82527141518[[#This Row],[asofdate]],S:T,2,0)</f>
        <v>4.067427E-4</v>
      </c>
      <c r="M307" s="6">
        <f ca="1">VLOOKUP(CurrentMtgRatesDataTable82527141518[[#This Row],[asofdate]]+1,Bloomberg!B:C,2,0)</f>
        <v>2528.6999999999998</v>
      </c>
      <c r="N307" s="6"/>
      <c r="O307" s="18">
        <v>40549</v>
      </c>
      <c r="P307" s="91">
        <v>0</v>
      </c>
      <c r="Q307" s="104"/>
      <c r="R307" s="104"/>
      <c r="S307" s="18">
        <v>40556</v>
      </c>
      <c r="T307" s="91">
        <v>4.067427E-4</v>
      </c>
      <c r="V307"/>
    </row>
    <row r="308" spans="2:22">
      <c r="B308" s="101">
        <v>40549</v>
      </c>
      <c r="C308" s="102">
        <v>0.59347128179999997</v>
      </c>
      <c r="D308" s="102">
        <f>VLOOKUP(CurrentMtgRatesDataTable825[[#This Row],[asofdate]],I:J,2,0)</f>
        <v>0.58148518429999996</v>
      </c>
      <c r="E308" s="102">
        <f>VLOOKUP(CurrentMtgRatesDataTable825[[#This Row],[asofdate]],O:P,2,0)</f>
        <v>0</v>
      </c>
      <c r="F308" s="103">
        <f ca="1">VLOOKUP(CurrentMtgRatesDataTable825[[#This Row],[asofdate]]+1,Bloomberg!B:C,2,0)</f>
        <v>2344.3000000000002</v>
      </c>
      <c r="I308" s="18">
        <v>40549</v>
      </c>
      <c r="J308" s="91">
        <v>0.58148518429999996</v>
      </c>
      <c r="K308" s="91">
        <f>VLOOKUP(CurrentMtgRatesDataTable82527141518[[#This Row],[asofdate]],O:P,2,0)</f>
        <v>0</v>
      </c>
      <c r="L308" s="91">
        <f>VLOOKUP(CurrentMtgRatesDataTable82527141518[[#This Row],[asofdate]],S:T,2,0)</f>
        <v>2.7164890000000002E-4</v>
      </c>
      <c r="M308" s="6">
        <f ca="1">VLOOKUP(CurrentMtgRatesDataTable82527141518[[#This Row],[asofdate]]+1,Bloomberg!B:C,2,0)</f>
        <v>2344.3000000000002</v>
      </c>
      <c r="N308" s="6"/>
      <c r="O308" s="18">
        <v>40542</v>
      </c>
      <c r="P308" s="91">
        <v>0</v>
      </c>
      <c r="Q308" s="104"/>
      <c r="R308" s="104"/>
      <c r="S308" s="18">
        <v>40549</v>
      </c>
      <c r="T308" s="91">
        <v>2.7164890000000002E-4</v>
      </c>
      <c r="V308"/>
    </row>
    <row r="309" spans="2:22">
      <c r="B309" s="101">
        <v>40542</v>
      </c>
      <c r="C309" s="102">
        <v>0.56063199370000005</v>
      </c>
      <c r="D309" s="102">
        <f>VLOOKUP(CurrentMtgRatesDataTable825[[#This Row],[asofdate]],I:J,2,0)</f>
        <v>0.57125989649999998</v>
      </c>
      <c r="E309" s="102">
        <f>VLOOKUP(CurrentMtgRatesDataTable825[[#This Row],[asofdate]],O:P,2,0)</f>
        <v>0</v>
      </c>
      <c r="F309" s="103">
        <f ca="1">VLOOKUP(CurrentMtgRatesDataTable825[[#This Row],[asofdate]]+1,Bloomberg!B:C,2,0)</f>
        <v>2249.6</v>
      </c>
      <c r="I309" s="18">
        <v>40542</v>
      </c>
      <c r="J309" s="91">
        <v>0.57125989649999998</v>
      </c>
      <c r="K309" s="91">
        <f>VLOOKUP(CurrentMtgRatesDataTable82527141518[[#This Row],[asofdate]],O:P,2,0)</f>
        <v>0</v>
      </c>
      <c r="L309" s="91">
        <f>VLOOKUP(CurrentMtgRatesDataTable82527141518[[#This Row],[asofdate]],S:T,2,0)</f>
        <v>1.1514540000000001E-4</v>
      </c>
      <c r="M309" s="6">
        <f ca="1">VLOOKUP(CurrentMtgRatesDataTable82527141518[[#This Row],[asofdate]]+1,Bloomberg!B:C,2,0)</f>
        <v>2249.6</v>
      </c>
      <c r="N309" s="6"/>
      <c r="O309" s="18">
        <v>40535</v>
      </c>
      <c r="P309" s="91">
        <v>0</v>
      </c>
      <c r="Q309" s="104"/>
      <c r="R309" s="104"/>
      <c r="S309" s="18">
        <v>40542</v>
      </c>
      <c r="T309" s="91">
        <v>1.1514540000000001E-4</v>
      </c>
      <c r="V309"/>
    </row>
    <row r="310" spans="2:22">
      <c r="B310" s="101">
        <v>40535</v>
      </c>
      <c r="C310" s="102">
        <v>0.60318650750000002</v>
      </c>
      <c r="D310" s="102">
        <f>VLOOKUP(CurrentMtgRatesDataTable825[[#This Row],[asofdate]],I:J,2,0)</f>
        <v>0.59675222760000002</v>
      </c>
      <c r="E310" s="102">
        <f>VLOOKUP(CurrentMtgRatesDataTable825[[#This Row],[asofdate]],O:P,2,0)</f>
        <v>0</v>
      </c>
      <c r="F310" s="103">
        <f ca="1">VLOOKUP(CurrentMtgRatesDataTable825[[#This Row],[asofdate]]+1,Bloomberg!B:C,2,0)</f>
        <v>2185.5</v>
      </c>
      <c r="I310" s="18">
        <v>40535</v>
      </c>
      <c r="J310" s="91">
        <v>0.59675222760000002</v>
      </c>
      <c r="K310" s="91">
        <f>VLOOKUP(CurrentMtgRatesDataTable82527141518[[#This Row],[asofdate]],O:P,2,0)</f>
        <v>0</v>
      </c>
      <c r="L310" s="91">
        <f>VLOOKUP(CurrentMtgRatesDataTable82527141518[[#This Row],[asofdate]],S:T,2,0)</f>
        <v>2.180665E-4</v>
      </c>
      <c r="M310" s="6">
        <f ca="1">VLOOKUP(CurrentMtgRatesDataTable82527141518[[#This Row],[asofdate]]+1,Bloomberg!B:C,2,0)</f>
        <v>2185.5</v>
      </c>
      <c r="N310" s="6"/>
      <c r="O310" s="18">
        <v>40528</v>
      </c>
      <c r="P310" s="91">
        <v>0</v>
      </c>
      <c r="Q310" s="104"/>
      <c r="R310" s="104"/>
      <c r="S310" s="18">
        <v>40535</v>
      </c>
      <c r="T310" s="91">
        <v>2.180665E-4</v>
      </c>
      <c r="V310"/>
    </row>
    <row r="311" spans="2:22">
      <c r="B311" s="101">
        <v>40528</v>
      </c>
      <c r="C311" s="102">
        <v>0.58904679879999999</v>
      </c>
      <c r="D311" s="102">
        <f>VLOOKUP(CurrentMtgRatesDataTable825[[#This Row],[asofdate]],I:J,2,0)</f>
        <v>0.57757226409999995</v>
      </c>
      <c r="E311" s="102">
        <f>VLOOKUP(CurrentMtgRatesDataTable825[[#This Row],[asofdate]],O:P,2,0)</f>
        <v>0</v>
      </c>
      <c r="F311" s="103">
        <f ca="1">VLOOKUP(CurrentMtgRatesDataTable825[[#This Row],[asofdate]]+1,Bloomberg!B:C,2,0)</f>
        <v>2319.9</v>
      </c>
      <c r="I311" s="18">
        <v>40528</v>
      </c>
      <c r="J311" s="91">
        <v>0.57757226409999995</v>
      </c>
      <c r="K311" s="91">
        <f>VLOOKUP(CurrentMtgRatesDataTable82527141518[[#This Row],[asofdate]],O:P,2,0)</f>
        <v>0</v>
      </c>
      <c r="L311" s="91">
        <f>VLOOKUP(CurrentMtgRatesDataTable82527141518[[#This Row],[asofdate]],S:T,2,0)</f>
        <v>1.217348E-4</v>
      </c>
      <c r="M311" s="6">
        <f ca="1">VLOOKUP(CurrentMtgRatesDataTable82527141518[[#This Row],[asofdate]]+1,Bloomberg!B:C,2,0)</f>
        <v>2319.9</v>
      </c>
      <c r="N311" s="6"/>
      <c r="O311" s="18">
        <v>40521</v>
      </c>
      <c r="P311" s="91">
        <v>0</v>
      </c>
      <c r="Q311" s="104"/>
      <c r="R311" s="104"/>
      <c r="S311" s="18">
        <v>40528</v>
      </c>
      <c r="T311" s="91">
        <v>1.217348E-4</v>
      </c>
      <c r="V311"/>
    </row>
    <row r="312" spans="2:22">
      <c r="B312" s="101">
        <v>40521</v>
      </c>
      <c r="C312" s="102">
        <v>0.67175467840000003</v>
      </c>
      <c r="D312" s="102">
        <f>VLOOKUP(CurrentMtgRatesDataTable825[[#This Row],[asofdate]],I:J,2,0)</f>
        <v>0.65605300519999998</v>
      </c>
      <c r="E312" s="102">
        <f>VLOOKUP(CurrentMtgRatesDataTable825[[#This Row],[asofdate]],O:P,2,0)</f>
        <v>0</v>
      </c>
      <c r="F312" s="103">
        <f ca="1">VLOOKUP(CurrentMtgRatesDataTable825[[#This Row],[asofdate]]+1,Bloomberg!B:C,2,0)</f>
        <v>3067.3</v>
      </c>
      <c r="I312" s="18">
        <v>40521</v>
      </c>
      <c r="J312" s="91">
        <v>0.65605300519999998</v>
      </c>
      <c r="K312" s="91">
        <f>VLOOKUP(CurrentMtgRatesDataTable82527141518[[#This Row],[asofdate]],O:P,2,0)</f>
        <v>0</v>
      </c>
      <c r="L312" s="91">
        <f>VLOOKUP(CurrentMtgRatesDataTable82527141518[[#This Row],[asofdate]],S:T,2,0)</f>
        <v>6.9437969999999998E-4</v>
      </c>
      <c r="M312" s="6">
        <f ca="1">VLOOKUP(CurrentMtgRatesDataTable82527141518[[#This Row],[asofdate]]+1,Bloomberg!B:C,2,0)</f>
        <v>3067.3</v>
      </c>
      <c r="N312" s="6"/>
      <c r="O312" s="18">
        <v>40514</v>
      </c>
      <c r="P312" s="91">
        <v>0</v>
      </c>
      <c r="Q312" s="104"/>
      <c r="R312" s="104"/>
      <c r="S312" s="18">
        <v>40521</v>
      </c>
      <c r="T312" s="91">
        <v>6.9437969999999998E-4</v>
      </c>
      <c r="V312"/>
    </row>
    <row r="313" spans="2:22">
      <c r="B313" s="101">
        <v>40514</v>
      </c>
      <c r="C313" s="102">
        <v>0.73298549680000002</v>
      </c>
      <c r="D313" s="102">
        <f>VLOOKUP(CurrentMtgRatesDataTable825[[#This Row],[asofdate]],I:J,2,0)</f>
        <v>0.69918673009999999</v>
      </c>
      <c r="E313" s="102">
        <f>VLOOKUP(CurrentMtgRatesDataTable825[[#This Row],[asofdate]],O:P,2,0)</f>
        <v>0</v>
      </c>
      <c r="F313" s="103">
        <f ca="1">VLOOKUP(CurrentMtgRatesDataTable825[[#This Row],[asofdate]]+1,Bloomberg!B:C,2,0)</f>
        <v>3066.2</v>
      </c>
      <c r="I313" s="18">
        <v>40514</v>
      </c>
      <c r="J313" s="91">
        <v>0.69918673009999999</v>
      </c>
      <c r="K313" s="91">
        <f>VLOOKUP(CurrentMtgRatesDataTable82527141518[[#This Row],[asofdate]],O:P,2,0)</f>
        <v>0</v>
      </c>
      <c r="L313" s="91">
        <f>VLOOKUP(CurrentMtgRatesDataTable82527141518[[#This Row],[asofdate]],S:T,2,0)</f>
        <v>1.3575178E-3</v>
      </c>
      <c r="M313" s="6">
        <f ca="1">VLOOKUP(CurrentMtgRatesDataTable82527141518[[#This Row],[asofdate]]+1,Bloomberg!B:C,2,0)</f>
        <v>3066.2</v>
      </c>
      <c r="N313" s="6"/>
      <c r="O313" s="18">
        <v>40506</v>
      </c>
      <c r="P313" s="91">
        <v>0</v>
      </c>
      <c r="Q313" s="104"/>
      <c r="R313" s="104"/>
      <c r="S313" s="18">
        <v>40514</v>
      </c>
      <c r="T313" s="91">
        <v>1.3575178E-3</v>
      </c>
      <c r="V313"/>
    </row>
    <row r="314" spans="2:22">
      <c r="B314" s="101">
        <v>40506</v>
      </c>
      <c r="C314" s="102">
        <v>0.82198260339999996</v>
      </c>
      <c r="D314" s="102">
        <f>VLOOKUP(CurrentMtgRatesDataTable825[[#This Row],[asofdate]],I:J,2,0)</f>
        <v>0.75475562129999996</v>
      </c>
      <c r="E314" s="102">
        <f>VLOOKUP(CurrentMtgRatesDataTable825[[#This Row],[asofdate]],O:P,2,0)</f>
        <v>0</v>
      </c>
      <c r="F314" s="103" t="e">
        <f ca="1">VLOOKUP(CurrentMtgRatesDataTable825[[#This Row],[asofdate]]+1,Bloomberg!B:C,2,0)</f>
        <v>#N/A</v>
      </c>
      <c r="I314" s="18">
        <v>40506</v>
      </c>
      <c r="J314" s="91">
        <v>0.75475562129999996</v>
      </c>
      <c r="K314" s="91">
        <f>VLOOKUP(CurrentMtgRatesDataTable82527141518[[#This Row],[asofdate]],O:P,2,0)</f>
        <v>0</v>
      </c>
      <c r="L314" s="91">
        <f>VLOOKUP(CurrentMtgRatesDataTable82527141518[[#This Row],[asofdate]],S:T,2,0)</f>
        <v>4.1857947000000003E-3</v>
      </c>
      <c r="M314" s="6" t="e">
        <f ca="1">VLOOKUP(CurrentMtgRatesDataTable82527141518[[#This Row],[asofdate]]+1,Bloomberg!B:C,2,0)</f>
        <v>#N/A</v>
      </c>
      <c r="N314" s="6"/>
      <c r="O314" s="18">
        <v>40500</v>
      </c>
      <c r="P314" s="91">
        <v>0</v>
      </c>
      <c r="Q314" s="104"/>
      <c r="R314" s="104"/>
      <c r="S314" s="18">
        <v>40506</v>
      </c>
      <c r="T314" s="91">
        <v>4.1857947000000003E-3</v>
      </c>
      <c r="V314"/>
    </row>
    <row r="315" spans="2:22">
      <c r="B315" s="101">
        <v>40500</v>
      </c>
      <c r="C315" s="102">
        <v>0.79909835509999994</v>
      </c>
      <c r="D315" s="102">
        <f>VLOOKUP(CurrentMtgRatesDataTable825[[#This Row],[asofdate]],I:J,2,0)</f>
        <v>0.75447953670000001</v>
      </c>
      <c r="E315" s="102">
        <f>VLOOKUP(CurrentMtgRatesDataTable825[[#This Row],[asofdate]],O:P,2,0)</f>
        <v>0</v>
      </c>
      <c r="F315" s="103">
        <f ca="1">VLOOKUP(CurrentMtgRatesDataTable825[[#This Row],[asofdate]]+1,Bloomberg!B:C,2,0)</f>
        <v>4009.2</v>
      </c>
      <c r="I315" s="18">
        <v>40500</v>
      </c>
      <c r="J315" s="91">
        <v>0.75447953670000001</v>
      </c>
      <c r="K315" s="91">
        <f>VLOOKUP(CurrentMtgRatesDataTable82527141518[[#This Row],[asofdate]],O:P,2,0)</f>
        <v>0</v>
      </c>
      <c r="L315" s="91">
        <f>VLOOKUP(CurrentMtgRatesDataTable82527141518[[#This Row],[asofdate]],S:T,2,0)</f>
        <v>4.1800915000000001E-3</v>
      </c>
      <c r="M315" s="6">
        <f ca="1">VLOOKUP(CurrentMtgRatesDataTable82527141518[[#This Row],[asofdate]]+1,Bloomberg!B:C,2,0)</f>
        <v>4009.2</v>
      </c>
      <c r="N315" s="6"/>
      <c r="O315" s="18">
        <v>40493</v>
      </c>
      <c r="P315" s="91">
        <v>0.87849900790000013</v>
      </c>
      <c r="Q315" s="104"/>
      <c r="R315" s="104"/>
      <c r="S315" s="18">
        <v>40500</v>
      </c>
      <c r="T315" s="91">
        <v>4.1800915000000001E-3</v>
      </c>
      <c r="V315"/>
    </row>
    <row r="316" spans="2:22">
      <c r="B316" s="101">
        <v>40493</v>
      </c>
      <c r="C316" s="102">
        <v>0.94834647279999995</v>
      </c>
      <c r="D316" s="102">
        <f>VLOOKUP(CurrentMtgRatesDataTable825[[#This Row],[asofdate]],I:J,2,0)</f>
        <v>0.8785058455000001</v>
      </c>
      <c r="E316" s="102">
        <f>VLOOKUP(CurrentMtgRatesDataTable825[[#This Row],[asofdate]],O:P,2,0)</f>
        <v>0.87849900790000013</v>
      </c>
      <c r="F316" s="103">
        <f ca="1">VLOOKUP(CurrentMtgRatesDataTable825[[#This Row],[asofdate]]+1,Bloomberg!B:C,2,0)</f>
        <v>4015.2</v>
      </c>
      <c r="I316" s="18">
        <v>40493</v>
      </c>
      <c r="J316" s="91">
        <v>0.8785058455000001</v>
      </c>
      <c r="K316" s="91">
        <f>VLOOKUP(CurrentMtgRatesDataTable82527141518[[#This Row],[asofdate]],O:P,2,0)</f>
        <v>0.87849900790000013</v>
      </c>
      <c r="L316" s="91">
        <f>VLOOKUP(CurrentMtgRatesDataTable82527141518[[#This Row],[asofdate]],S:T,2,0)</f>
        <v>0.87849900790000013</v>
      </c>
      <c r="M316" s="6">
        <f ca="1">VLOOKUP(CurrentMtgRatesDataTable82527141518[[#This Row],[asofdate]]+1,Bloomberg!B:C,2,0)</f>
        <v>4015.2</v>
      </c>
      <c r="N316" s="6"/>
      <c r="O316" s="18">
        <v>40486</v>
      </c>
      <c r="P316" s="91">
        <v>0</v>
      </c>
      <c r="Q316" s="104"/>
      <c r="R316" s="104"/>
      <c r="S316" s="18">
        <v>40493</v>
      </c>
      <c r="T316" s="91">
        <v>0.87849900790000013</v>
      </c>
      <c r="V316"/>
    </row>
    <row r="317" spans="2:22">
      <c r="B317" s="101">
        <v>40486</v>
      </c>
      <c r="C317" s="102">
        <v>0.93243236860000001</v>
      </c>
      <c r="D317" s="102">
        <f>VLOOKUP(CurrentMtgRatesDataTable825[[#This Row],[asofdate]],I:J,2,0)</f>
        <v>0.83169925109999998</v>
      </c>
      <c r="E317" s="102">
        <f>VLOOKUP(CurrentMtgRatesDataTable825[[#This Row],[asofdate]],O:P,2,0)</f>
        <v>0</v>
      </c>
      <c r="F317" s="103">
        <f ca="1">VLOOKUP(CurrentMtgRatesDataTable825[[#This Row],[asofdate]]+1,Bloomberg!B:C,2,0)</f>
        <v>4836.3999999999996</v>
      </c>
      <c r="I317" s="18">
        <v>40486</v>
      </c>
      <c r="J317" s="91">
        <v>0.83169925109999998</v>
      </c>
      <c r="K317" s="91">
        <f>VLOOKUP(CurrentMtgRatesDataTable82527141518[[#This Row],[asofdate]],O:P,2,0)</f>
        <v>0</v>
      </c>
      <c r="L317" s="91">
        <f>VLOOKUP(CurrentMtgRatesDataTable82527141518[[#This Row],[asofdate]],S:T,2,0)</f>
        <v>0.83158081500000003</v>
      </c>
      <c r="M317" s="6">
        <f ca="1">VLOOKUP(CurrentMtgRatesDataTable82527141518[[#This Row],[asofdate]]+1,Bloomberg!B:C,2,0)</f>
        <v>4836.3999999999996</v>
      </c>
      <c r="N317" s="6"/>
      <c r="O317" s="18">
        <v>40479</v>
      </c>
      <c r="P317" s="91">
        <v>0</v>
      </c>
      <c r="Q317" s="104"/>
      <c r="R317" s="104"/>
      <c r="S317" s="18">
        <v>40486</v>
      </c>
      <c r="T317" s="91">
        <v>0.83158081500000003</v>
      </c>
      <c r="V317"/>
    </row>
    <row r="318" spans="2:22">
      <c r="B318" s="101">
        <v>40479</v>
      </c>
      <c r="C318" s="102">
        <v>0.95074042540000003</v>
      </c>
      <c r="D318" s="102">
        <f>VLOOKUP(CurrentMtgRatesDataTable825[[#This Row],[asofdate]],I:J,2,0)</f>
        <v>0.87353389479999999</v>
      </c>
      <c r="E318" s="102">
        <f>VLOOKUP(CurrentMtgRatesDataTable825[[#This Row],[asofdate]],O:P,2,0)</f>
        <v>0</v>
      </c>
      <c r="F318" s="103">
        <f ca="1">VLOOKUP(CurrentMtgRatesDataTable825[[#This Row],[asofdate]]+1,Bloomberg!B:C,2,0)</f>
        <v>4568.1000000000004</v>
      </c>
      <c r="I318" s="18">
        <v>40479</v>
      </c>
      <c r="J318" s="91">
        <v>0.87353389479999999</v>
      </c>
      <c r="K318" s="91">
        <f>VLOOKUP(CurrentMtgRatesDataTable82527141518[[#This Row],[asofdate]],O:P,2,0)</f>
        <v>0</v>
      </c>
      <c r="L318" s="91">
        <f>VLOOKUP(CurrentMtgRatesDataTable82527141518[[#This Row],[asofdate]],S:T,2,0)</f>
        <v>0.87352285470000002</v>
      </c>
      <c r="M318" s="6">
        <f ca="1">VLOOKUP(CurrentMtgRatesDataTable82527141518[[#This Row],[asofdate]]+1,Bloomberg!B:C,2,0)</f>
        <v>4568.1000000000004</v>
      </c>
      <c r="N318" s="6"/>
      <c r="O318" s="18">
        <v>40472</v>
      </c>
      <c r="P318" s="91">
        <v>0</v>
      </c>
      <c r="Q318" s="104"/>
      <c r="R318" s="104"/>
      <c r="S318" s="18">
        <v>40479</v>
      </c>
      <c r="T318" s="91">
        <v>0.87352285470000002</v>
      </c>
      <c r="V318"/>
    </row>
    <row r="319" spans="2:22">
      <c r="B319" s="101">
        <v>40472</v>
      </c>
      <c r="C319" s="102">
        <v>0.9515616254</v>
      </c>
      <c r="D319" s="102">
        <f>VLOOKUP(CurrentMtgRatesDataTable825[[#This Row],[asofdate]],I:J,2,0)</f>
        <v>0.87406466520000015</v>
      </c>
      <c r="E319" s="102">
        <f>VLOOKUP(CurrentMtgRatesDataTable825[[#This Row],[asofdate]],O:P,2,0)</f>
        <v>0</v>
      </c>
      <c r="F319" s="103">
        <f ca="1">VLOOKUP(CurrentMtgRatesDataTable825[[#This Row],[asofdate]]+1,Bloomberg!B:C,2,0)</f>
        <v>4904.2</v>
      </c>
      <c r="I319" s="18">
        <v>40472</v>
      </c>
      <c r="J319" s="91">
        <v>0.87406466520000015</v>
      </c>
      <c r="K319" s="91">
        <f>VLOOKUP(CurrentMtgRatesDataTable82527141518[[#This Row],[asofdate]],O:P,2,0)</f>
        <v>0</v>
      </c>
      <c r="L319" s="91">
        <f>VLOOKUP(CurrentMtgRatesDataTable82527141518[[#This Row],[asofdate]],S:T,2,0)</f>
        <v>0.87405301849999995</v>
      </c>
      <c r="M319" s="6">
        <f ca="1">VLOOKUP(CurrentMtgRatesDataTable82527141518[[#This Row],[asofdate]]+1,Bloomberg!B:C,2,0)</f>
        <v>4904.2</v>
      </c>
      <c r="N319" s="6"/>
      <c r="O319" s="18">
        <v>40465</v>
      </c>
      <c r="P319" s="91">
        <v>0.87668126219999998</v>
      </c>
      <c r="Q319" s="104"/>
      <c r="R319" s="104"/>
      <c r="S319" s="18">
        <v>40472</v>
      </c>
      <c r="T319" s="91">
        <v>0.87405301849999995</v>
      </c>
      <c r="V319"/>
    </row>
    <row r="320" spans="2:22">
      <c r="B320" s="101">
        <v>40465</v>
      </c>
      <c r="C320" s="102">
        <v>0.95265037860000001</v>
      </c>
      <c r="D320" s="102">
        <f>VLOOKUP(CurrentMtgRatesDataTable825[[#This Row],[asofdate]],I:J,2,0)</f>
        <v>0.87669213730000006</v>
      </c>
      <c r="E320" s="102">
        <f>VLOOKUP(CurrentMtgRatesDataTable825[[#This Row],[asofdate]],O:P,2,0)</f>
        <v>0.87668126219999998</v>
      </c>
      <c r="F320" s="103">
        <f ca="1">VLOOKUP(CurrentMtgRatesDataTable825[[#This Row],[asofdate]]+1,Bloomberg!B:C,2,0)</f>
        <v>4768.6000000000004</v>
      </c>
      <c r="I320" s="18">
        <v>40465</v>
      </c>
      <c r="J320" s="91">
        <v>0.87669213730000006</v>
      </c>
      <c r="K320" s="91">
        <f>VLOOKUP(CurrentMtgRatesDataTable82527141518[[#This Row],[asofdate]],O:P,2,0)</f>
        <v>0.87668126219999998</v>
      </c>
      <c r="L320" s="91">
        <f>VLOOKUP(CurrentMtgRatesDataTable82527141518[[#This Row],[asofdate]],S:T,2,0)</f>
        <v>0.87668126219999998</v>
      </c>
      <c r="M320" s="6">
        <f ca="1">VLOOKUP(CurrentMtgRatesDataTable82527141518[[#This Row],[asofdate]]+1,Bloomberg!B:C,2,0)</f>
        <v>4768.6000000000004</v>
      </c>
      <c r="N320" s="6"/>
      <c r="O320" s="18">
        <v>40458</v>
      </c>
      <c r="P320" s="91">
        <v>0.84601650620000002</v>
      </c>
      <c r="Q320" s="104"/>
      <c r="R320" s="104"/>
      <c r="S320" s="18">
        <v>40465</v>
      </c>
      <c r="T320" s="91">
        <v>0.87668126219999998</v>
      </c>
      <c r="V320"/>
    </row>
    <row r="321" spans="2:22">
      <c r="B321" s="101">
        <v>40458</v>
      </c>
      <c r="C321" s="102">
        <v>0.93741406800000004</v>
      </c>
      <c r="D321" s="102">
        <f>VLOOKUP(CurrentMtgRatesDataTable825[[#This Row],[asofdate]],I:J,2,0)</f>
        <v>0.84608171109999997</v>
      </c>
      <c r="E321" s="102">
        <f>VLOOKUP(CurrentMtgRatesDataTable825[[#This Row],[asofdate]],O:P,2,0)</f>
        <v>0.84601650620000002</v>
      </c>
      <c r="F321" s="103">
        <f ca="1">VLOOKUP(CurrentMtgRatesDataTable825[[#This Row],[asofdate]]+1,Bloomberg!B:C,2,0)</f>
        <v>5455.4</v>
      </c>
      <c r="I321" s="18">
        <v>40458</v>
      </c>
      <c r="J321" s="91">
        <v>0.84608171109999997</v>
      </c>
      <c r="K321" s="91">
        <f>VLOOKUP(CurrentMtgRatesDataTable82527141518[[#This Row],[asofdate]],O:P,2,0)</f>
        <v>0.84601650620000002</v>
      </c>
      <c r="L321" s="91">
        <f>VLOOKUP(CurrentMtgRatesDataTable82527141518[[#This Row],[asofdate]],S:T,2,0)</f>
        <v>0.84601650620000002</v>
      </c>
      <c r="M321" s="6">
        <f ca="1">VLOOKUP(CurrentMtgRatesDataTable82527141518[[#This Row],[asofdate]]+1,Bloomberg!B:C,2,0)</f>
        <v>5455.4</v>
      </c>
      <c r="N321" s="6"/>
      <c r="O321" s="18">
        <v>40451</v>
      </c>
      <c r="P321" s="91">
        <v>0</v>
      </c>
      <c r="Q321" s="104"/>
      <c r="R321" s="104"/>
      <c r="S321" s="18">
        <v>40458</v>
      </c>
      <c r="T321" s="91">
        <v>0.84601650620000002</v>
      </c>
      <c r="V321"/>
    </row>
    <row r="322" spans="2:22">
      <c r="B322" s="101">
        <v>40451</v>
      </c>
      <c r="C322" s="102">
        <v>0.92460704859999998</v>
      </c>
      <c r="D322" s="102">
        <f>VLOOKUP(CurrentMtgRatesDataTable825[[#This Row],[asofdate]],I:J,2,0)</f>
        <v>0.82257295500000005</v>
      </c>
      <c r="E322" s="102">
        <f>VLOOKUP(CurrentMtgRatesDataTable825[[#This Row],[asofdate]],O:P,2,0)</f>
        <v>0</v>
      </c>
      <c r="F322" s="103">
        <f ca="1">VLOOKUP(CurrentMtgRatesDataTable825[[#This Row],[asofdate]]+1,Bloomberg!B:C,2,0)</f>
        <v>4395.5</v>
      </c>
      <c r="I322" s="18">
        <v>40451</v>
      </c>
      <c r="J322" s="91">
        <v>0.82257295500000005</v>
      </c>
      <c r="K322" s="91">
        <f>VLOOKUP(CurrentMtgRatesDataTable82527141518[[#This Row],[asofdate]],O:P,2,0)</f>
        <v>0</v>
      </c>
      <c r="L322" s="91">
        <f>VLOOKUP(CurrentMtgRatesDataTable82527141518[[#This Row],[asofdate]],S:T,2,0)</f>
        <v>0.82255319569999996</v>
      </c>
      <c r="M322" s="6">
        <f ca="1">VLOOKUP(CurrentMtgRatesDataTable82527141518[[#This Row],[asofdate]]+1,Bloomberg!B:C,2,0)</f>
        <v>4395.5</v>
      </c>
      <c r="N322" s="6"/>
      <c r="O322" s="18">
        <v>40444</v>
      </c>
      <c r="P322" s="91">
        <v>0</v>
      </c>
      <c r="Q322" s="104"/>
      <c r="R322" s="104"/>
      <c r="S322" s="18">
        <v>40451</v>
      </c>
      <c r="T322" s="91">
        <v>0.82255319569999996</v>
      </c>
      <c r="V322"/>
    </row>
    <row r="323" spans="2:22">
      <c r="B323" s="101">
        <v>40444</v>
      </c>
      <c r="C323" s="102">
        <v>0.91580087529999998</v>
      </c>
      <c r="D323" s="102">
        <f>VLOOKUP(CurrentMtgRatesDataTable825[[#This Row],[asofdate]],I:J,2,0)</f>
        <v>0.82067381179999999</v>
      </c>
      <c r="E323" s="102">
        <f>VLOOKUP(CurrentMtgRatesDataTable825[[#This Row],[asofdate]],O:P,2,0)</f>
        <v>0</v>
      </c>
      <c r="F323" s="103">
        <f ca="1">VLOOKUP(CurrentMtgRatesDataTable825[[#This Row],[asofdate]]+1,Bloomberg!B:C,2,0)</f>
        <v>4549.3</v>
      </c>
      <c r="I323" s="18">
        <v>40444</v>
      </c>
      <c r="J323" s="91">
        <v>0.82067381179999999</v>
      </c>
      <c r="K323" s="91">
        <f>VLOOKUP(CurrentMtgRatesDataTable82527141518[[#This Row],[asofdate]],O:P,2,0)</f>
        <v>0</v>
      </c>
      <c r="L323" s="91">
        <f>VLOOKUP(CurrentMtgRatesDataTable82527141518[[#This Row],[asofdate]],S:T,2,0)</f>
        <v>0.82065378529999999</v>
      </c>
      <c r="M323" s="6">
        <f ca="1">VLOOKUP(CurrentMtgRatesDataTable82527141518[[#This Row],[asofdate]]+1,Bloomberg!B:C,2,0)</f>
        <v>4549.3</v>
      </c>
      <c r="N323" s="6"/>
      <c r="O323" s="18">
        <v>40437</v>
      </c>
      <c r="P323" s="91">
        <v>0</v>
      </c>
      <c r="Q323" s="104"/>
      <c r="R323" s="104"/>
      <c r="S323" s="18">
        <v>40444</v>
      </c>
      <c r="T323" s="91">
        <v>0.82065378529999999</v>
      </c>
      <c r="V323"/>
    </row>
    <row r="324" spans="2:22">
      <c r="B324" s="101">
        <v>40437</v>
      </c>
      <c r="C324" s="102">
        <v>0.91580087529999998</v>
      </c>
      <c r="D324" s="102">
        <f>VLOOKUP(CurrentMtgRatesDataTable825[[#This Row],[asofdate]],I:J,2,0)</f>
        <v>0.82067381179999999</v>
      </c>
      <c r="E324" s="102">
        <f>VLOOKUP(CurrentMtgRatesDataTable825[[#This Row],[asofdate]],O:P,2,0)</f>
        <v>0</v>
      </c>
      <c r="F324" s="103">
        <f ca="1">VLOOKUP(CurrentMtgRatesDataTable825[[#This Row],[asofdate]]+1,Bloomberg!B:C,2,0)</f>
        <v>4624.6000000000004</v>
      </c>
      <c r="I324" s="18">
        <v>40437</v>
      </c>
      <c r="J324" s="91">
        <v>0.82067381179999999</v>
      </c>
      <c r="K324" s="91">
        <f>VLOOKUP(CurrentMtgRatesDataTable82527141518[[#This Row],[asofdate]],O:P,2,0)</f>
        <v>0</v>
      </c>
      <c r="L324" s="91">
        <f>VLOOKUP(CurrentMtgRatesDataTable82527141518[[#This Row],[asofdate]],S:T,2,0)</f>
        <v>0.82065378529999999</v>
      </c>
      <c r="M324" s="6">
        <f ca="1">VLOOKUP(CurrentMtgRatesDataTable82527141518[[#This Row],[asofdate]]+1,Bloomberg!B:C,2,0)</f>
        <v>4624.6000000000004</v>
      </c>
      <c r="N324" s="6"/>
      <c r="O324" s="18">
        <v>40430</v>
      </c>
      <c r="P324" s="91">
        <v>0</v>
      </c>
      <c r="Q324" s="104"/>
      <c r="R324" s="104"/>
      <c r="S324" s="18">
        <v>40437</v>
      </c>
      <c r="T324" s="91">
        <v>0.82065378529999999</v>
      </c>
      <c r="V324"/>
    </row>
    <row r="325" spans="2:22">
      <c r="B325" s="101">
        <v>40430</v>
      </c>
      <c r="C325" s="102">
        <v>0.92336794280000001</v>
      </c>
      <c r="D325" s="102">
        <f>VLOOKUP(CurrentMtgRatesDataTable825[[#This Row],[asofdate]],I:J,2,0)</f>
        <v>0.82251853900000005</v>
      </c>
      <c r="E325" s="102">
        <f>VLOOKUP(CurrentMtgRatesDataTable825[[#This Row],[asofdate]],O:P,2,0)</f>
        <v>0</v>
      </c>
      <c r="F325" s="103">
        <f ca="1">VLOOKUP(CurrentMtgRatesDataTable825[[#This Row],[asofdate]]+1,Bloomberg!B:C,2,0)</f>
        <v>4663.8</v>
      </c>
      <c r="I325" s="18">
        <v>40430</v>
      </c>
      <c r="J325" s="91">
        <v>0.82251853900000005</v>
      </c>
      <c r="K325" s="91">
        <f>VLOOKUP(CurrentMtgRatesDataTable82527141518[[#This Row],[asofdate]],O:P,2,0)</f>
        <v>0</v>
      </c>
      <c r="L325" s="91">
        <f>VLOOKUP(CurrentMtgRatesDataTable82527141518[[#This Row],[asofdate]],S:T,2,0)</f>
        <v>0.82249875709999998</v>
      </c>
      <c r="M325" s="6">
        <f ca="1">VLOOKUP(CurrentMtgRatesDataTable82527141518[[#This Row],[asofdate]]+1,Bloomberg!B:C,2,0)</f>
        <v>4663.8</v>
      </c>
      <c r="N325" s="6"/>
      <c r="O325" s="18">
        <v>40423</v>
      </c>
      <c r="P325" s="91">
        <v>0.8595783092</v>
      </c>
      <c r="Q325" s="104"/>
      <c r="R325" s="104"/>
      <c r="S325" s="18">
        <v>40430</v>
      </c>
      <c r="T325" s="91">
        <v>0.82249875709999998</v>
      </c>
      <c r="V325"/>
    </row>
    <row r="326" spans="2:22">
      <c r="B326" s="101">
        <v>40423</v>
      </c>
      <c r="C326" s="102">
        <v>0.93385942560000001</v>
      </c>
      <c r="D326" s="102">
        <f>VLOOKUP(CurrentMtgRatesDataTable825[[#This Row],[asofdate]],I:J,2,0)</f>
        <v>0.85995861939999996</v>
      </c>
      <c r="E326" s="102">
        <f>VLOOKUP(CurrentMtgRatesDataTable825[[#This Row],[asofdate]],O:P,2,0)</f>
        <v>0.8595783092</v>
      </c>
      <c r="F326" s="103">
        <f ca="1">VLOOKUP(CurrentMtgRatesDataTable825[[#This Row],[asofdate]]+1,Bloomberg!B:C,2,0)</f>
        <v>5214.6000000000004</v>
      </c>
      <c r="I326" s="18">
        <v>40423</v>
      </c>
      <c r="J326" s="91">
        <v>0.85995861939999996</v>
      </c>
      <c r="K326" s="91">
        <f>VLOOKUP(CurrentMtgRatesDataTable82527141518[[#This Row],[asofdate]],O:P,2,0)</f>
        <v>0.8595783092</v>
      </c>
      <c r="L326" s="91">
        <f>VLOOKUP(CurrentMtgRatesDataTable82527141518[[#This Row],[asofdate]],S:T,2,0)</f>
        <v>0.8595783092</v>
      </c>
      <c r="M326" s="6">
        <f ca="1">VLOOKUP(CurrentMtgRatesDataTable82527141518[[#This Row],[asofdate]]+1,Bloomberg!B:C,2,0)</f>
        <v>5214.6000000000004</v>
      </c>
      <c r="N326" s="6"/>
      <c r="O326" s="18">
        <v>40416</v>
      </c>
      <c r="P326" s="91">
        <v>0.83767788539999999</v>
      </c>
      <c r="Q326" s="104"/>
      <c r="R326" s="104"/>
      <c r="S326" s="18">
        <v>40423</v>
      </c>
      <c r="T326" s="91">
        <v>0.8595783092</v>
      </c>
      <c r="V326"/>
    </row>
    <row r="327" spans="2:22">
      <c r="B327" s="101">
        <v>40416</v>
      </c>
      <c r="C327" s="102">
        <v>0.92103950720000005</v>
      </c>
      <c r="D327" s="102">
        <f>VLOOKUP(CurrentMtgRatesDataTable825[[#This Row],[asofdate]],I:J,2,0)</f>
        <v>0.83768871420000002</v>
      </c>
      <c r="E327" s="102">
        <f>VLOOKUP(CurrentMtgRatesDataTable825[[#This Row],[asofdate]],O:P,2,0)</f>
        <v>0.83767788539999999</v>
      </c>
      <c r="F327" s="103">
        <f ca="1">VLOOKUP(CurrentMtgRatesDataTable825[[#This Row],[asofdate]]+1,Bloomberg!B:C,2,0)</f>
        <v>5431.5</v>
      </c>
      <c r="I327" s="18">
        <v>40416</v>
      </c>
      <c r="J327" s="91">
        <v>0.83768871420000002</v>
      </c>
      <c r="K327" s="91">
        <f>VLOOKUP(CurrentMtgRatesDataTable82527141518[[#This Row],[asofdate]],O:P,2,0)</f>
        <v>0.83767788539999999</v>
      </c>
      <c r="L327" s="91">
        <f>VLOOKUP(CurrentMtgRatesDataTable82527141518[[#This Row],[asofdate]],S:T,2,0)</f>
        <v>0.83767788539999999</v>
      </c>
      <c r="M327" s="6">
        <f ca="1">VLOOKUP(CurrentMtgRatesDataTable82527141518[[#This Row],[asofdate]]+1,Bloomberg!B:C,2,0)</f>
        <v>5431.5</v>
      </c>
      <c r="N327" s="6"/>
      <c r="O327" s="18">
        <v>40409</v>
      </c>
      <c r="P327" s="91">
        <v>0.80875793200000001</v>
      </c>
      <c r="Q327" s="104"/>
      <c r="R327" s="104"/>
      <c r="S327" s="18">
        <v>40416</v>
      </c>
      <c r="T327" s="91">
        <v>0.83767788539999999</v>
      </c>
      <c r="V327"/>
    </row>
    <row r="328" spans="2:22">
      <c r="B328" s="101">
        <v>40409</v>
      </c>
      <c r="C328" s="102">
        <v>0.86898326420000005</v>
      </c>
      <c r="D328" s="102">
        <f>VLOOKUP(CurrentMtgRatesDataTable825[[#This Row],[asofdate]],I:J,2,0)</f>
        <v>0.80876442169999996</v>
      </c>
      <c r="E328" s="102">
        <f>VLOOKUP(CurrentMtgRatesDataTable825[[#This Row],[asofdate]],O:P,2,0)</f>
        <v>0.80875793200000001</v>
      </c>
      <c r="F328" s="103">
        <f ca="1">VLOOKUP(CurrentMtgRatesDataTable825[[#This Row],[asofdate]]+1,Bloomberg!B:C,2,0)</f>
        <v>5260.7</v>
      </c>
      <c r="I328" s="18">
        <v>40409</v>
      </c>
      <c r="J328" s="91">
        <v>0.80876442169999996</v>
      </c>
      <c r="K328" s="91">
        <f>VLOOKUP(CurrentMtgRatesDataTable82527141518[[#This Row],[asofdate]],O:P,2,0)</f>
        <v>0.80875793200000001</v>
      </c>
      <c r="L328" s="91">
        <f>VLOOKUP(CurrentMtgRatesDataTable82527141518[[#This Row],[asofdate]],S:T,2,0)</f>
        <v>0.80875793200000001</v>
      </c>
      <c r="M328" s="6">
        <f ca="1">VLOOKUP(CurrentMtgRatesDataTable82527141518[[#This Row],[asofdate]]+1,Bloomberg!B:C,2,0)</f>
        <v>5260.7</v>
      </c>
      <c r="N328" s="6"/>
      <c r="O328" s="18">
        <v>40402</v>
      </c>
      <c r="P328" s="91">
        <v>0.80814178439999995</v>
      </c>
      <c r="Q328" s="104"/>
      <c r="R328" s="104"/>
      <c r="S328" s="18">
        <v>40409</v>
      </c>
      <c r="T328" s="91">
        <v>0.80875793200000001</v>
      </c>
      <c r="V328"/>
    </row>
    <row r="329" spans="2:22">
      <c r="B329" s="101">
        <v>40402</v>
      </c>
      <c r="C329" s="102">
        <v>0.83410549239999998</v>
      </c>
      <c r="D329" s="102">
        <f>VLOOKUP(CurrentMtgRatesDataTable825[[#This Row],[asofdate]],I:J,2,0)</f>
        <v>0.80814767710000002</v>
      </c>
      <c r="E329" s="102">
        <f>VLOOKUP(CurrentMtgRatesDataTable825[[#This Row],[asofdate]],O:P,2,0)</f>
        <v>0.80814178439999995</v>
      </c>
      <c r="F329" s="103">
        <f ca="1">VLOOKUP(CurrentMtgRatesDataTable825[[#This Row],[asofdate]]+1,Bloomberg!B:C,2,0)</f>
        <v>4940.8999999999996</v>
      </c>
      <c r="I329" s="18">
        <v>40402</v>
      </c>
      <c r="J329" s="91">
        <v>0.80814767710000002</v>
      </c>
      <c r="K329" s="91">
        <f>VLOOKUP(CurrentMtgRatesDataTable82527141518[[#This Row],[asofdate]],O:P,2,0)</f>
        <v>0.80814178439999995</v>
      </c>
      <c r="L329" s="91">
        <f>VLOOKUP(CurrentMtgRatesDataTable82527141518[[#This Row],[asofdate]],S:T,2,0)</f>
        <v>0.80814178439999995</v>
      </c>
      <c r="M329" s="6">
        <f ca="1">VLOOKUP(CurrentMtgRatesDataTable82527141518[[#This Row],[asofdate]]+1,Bloomberg!B:C,2,0)</f>
        <v>4940.8999999999996</v>
      </c>
      <c r="N329" s="6"/>
      <c r="O329" s="18">
        <v>40395</v>
      </c>
      <c r="P329" s="91">
        <v>0.77103122199999996</v>
      </c>
      <c r="Q329" s="104"/>
      <c r="R329" s="104"/>
      <c r="S329" s="18">
        <v>40402</v>
      </c>
      <c r="T329" s="91">
        <v>0.80814178439999995</v>
      </c>
      <c r="V329"/>
    </row>
    <row r="330" spans="2:22">
      <c r="B330" s="101">
        <v>40395</v>
      </c>
      <c r="C330" s="102">
        <v>0.78585671720000005</v>
      </c>
      <c r="D330" s="102">
        <f>VLOOKUP(CurrentMtgRatesDataTable825[[#This Row],[asofdate]],I:J,2,0)</f>
        <v>0.77128568099999995</v>
      </c>
      <c r="E330" s="102">
        <f>VLOOKUP(CurrentMtgRatesDataTable825[[#This Row],[asofdate]],O:P,2,0)</f>
        <v>0.77103122199999996</v>
      </c>
      <c r="F330" s="103">
        <f ca="1">VLOOKUP(CurrentMtgRatesDataTable825[[#This Row],[asofdate]]+1,Bloomberg!B:C,2,0)</f>
        <v>4147.1000000000004</v>
      </c>
      <c r="I330" s="18">
        <v>40395</v>
      </c>
      <c r="J330" s="91">
        <v>0.77128568099999995</v>
      </c>
      <c r="K330" s="91">
        <f>VLOOKUP(CurrentMtgRatesDataTable82527141518[[#This Row],[asofdate]],O:P,2,0)</f>
        <v>0.77103122199999996</v>
      </c>
      <c r="L330" s="91">
        <f>VLOOKUP(CurrentMtgRatesDataTable82527141518[[#This Row],[asofdate]],S:T,2,0)</f>
        <v>0.77103122199999996</v>
      </c>
      <c r="M330" s="6">
        <f ca="1">VLOOKUP(CurrentMtgRatesDataTable82527141518[[#This Row],[asofdate]]+1,Bloomberg!B:C,2,0)</f>
        <v>4147.1000000000004</v>
      </c>
      <c r="N330" s="6"/>
      <c r="O330" s="18">
        <v>40388</v>
      </c>
      <c r="P330" s="91">
        <v>0.76295205990000003</v>
      </c>
      <c r="Q330" s="104"/>
      <c r="R330" s="104"/>
      <c r="S330" s="18">
        <v>40395</v>
      </c>
      <c r="T330" s="91">
        <v>0.77103122199999996</v>
      </c>
      <c r="V330"/>
    </row>
    <row r="331" spans="2:22">
      <c r="B331" s="101">
        <v>40388</v>
      </c>
      <c r="C331" s="102">
        <v>0.75383836250000003</v>
      </c>
      <c r="D331" s="102">
        <f>VLOOKUP(CurrentMtgRatesDataTable825[[#This Row],[asofdate]],I:J,2,0)</f>
        <v>0.76292758309999997</v>
      </c>
      <c r="E331" s="102">
        <f>VLOOKUP(CurrentMtgRatesDataTable825[[#This Row],[asofdate]],O:P,2,0)</f>
        <v>0.76295205990000003</v>
      </c>
      <c r="F331" s="103">
        <f ca="1">VLOOKUP(CurrentMtgRatesDataTable825[[#This Row],[asofdate]]+1,Bloomberg!B:C,2,0)</f>
        <v>4155.5</v>
      </c>
      <c r="I331" s="18">
        <v>40388</v>
      </c>
      <c r="J331" s="91">
        <v>0.76292758309999997</v>
      </c>
      <c r="K331" s="91">
        <f>VLOOKUP(CurrentMtgRatesDataTable82527141518[[#This Row],[asofdate]],O:P,2,0)</f>
        <v>0.76295205990000003</v>
      </c>
      <c r="L331" s="91">
        <f>VLOOKUP(CurrentMtgRatesDataTable82527141518[[#This Row],[asofdate]],S:T,2,0)</f>
        <v>0.76295205990000003</v>
      </c>
      <c r="M331" s="6">
        <f ca="1">VLOOKUP(CurrentMtgRatesDataTable82527141518[[#This Row],[asofdate]]+1,Bloomberg!B:C,2,0)</f>
        <v>4155.5</v>
      </c>
      <c r="N331" s="6"/>
      <c r="O331" s="18">
        <v>40381</v>
      </c>
      <c r="P331" s="91">
        <v>0.76214313</v>
      </c>
      <c r="Q331" s="104"/>
      <c r="R331" s="104"/>
      <c r="S331" s="18">
        <v>40388</v>
      </c>
      <c r="T331" s="91">
        <v>0.76295205990000003</v>
      </c>
      <c r="V331"/>
    </row>
    <row r="332" spans="2:22">
      <c r="B332" s="101">
        <v>40381</v>
      </c>
      <c r="C332" s="102">
        <v>0.74772968299999998</v>
      </c>
      <c r="D332" s="102">
        <f>VLOOKUP(CurrentMtgRatesDataTable825[[#This Row],[asofdate]],I:J,2,0)</f>
        <v>0.76211849809999999</v>
      </c>
      <c r="E332" s="102">
        <f>VLOOKUP(CurrentMtgRatesDataTable825[[#This Row],[asofdate]],O:P,2,0)</f>
        <v>0.76214313</v>
      </c>
      <c r="F332" s="103">
        <f ca="1">VLOOKUP(CurrentMtgRatesDataTable825[[#This Row],[asofdate]]+1,Bloomberg!B:C,2,0)</f>
        <v>4097.3</v>
      </c>
      <c r="I332" s="18">
        <v>40381</v>
      </c>
      <c r="J332" s="91">
        <v>0.76211849809999999</v>
      </c>
      <c r="K332" s="91">
        <f>VLOOKUP(CurrentMtgRatesDataTable82527141518[[#This Row],[asofdate]],O:P,2,0)</f>
        <v>0.76214313</v>
      </c>
      <c r="L332" s="91">
        <f>VLOOKUP(CurrentMtgRatesDataTable82527141518[[#This Row],[asofdate]],S:T,2,0)</f>
        <v>0.76214313</v>
      </c>
      <c r="M332" s="6">
        <f ca="1">VLOOKUP(CurrentMtgRatesDataTable82527141518[[#This Row],[asofdate]]+1,Bloomberg!B:C,2,0)</f>
        <v>4097.3</v>
      </c>
      <c r="N332" s="6"/>
      <c r="O332" s="18">
        <v>40374</v>
      </c>
      <c r="P332" s="91">
        <v>0</v>
      </c>
      <c r="Q332" s="104"/>
      <c r="R332" s="104"/>
      <c r="S332" s="18">
        <v>40381</v>
      </c>
      <c r="T332" s="91">
        <v>0.76214313</v>
      </c>
      <c r="V332"/>
    </row>
    <row r="333" spans="2:22">
      <c r="B333" s="101">
        <v>40374</v>
      </c>
      <c r="C333" s="102">
        <v>0.74536445709999999</v>
      </c>
      <c r="D333" s="102">
        <f>VLOOKUP(CurrentMtgRatesDataTable825[[#This Row],[asofdate]],I:J,2,0)</f>
        <v>0.76124590260000002</v>
      </c>
      <c r="E333" s="102">
        <f>VLOOKUP(CurrentMtgRatesDataTable825[[#This Row],[asofdate]],O:P,2,0)</f>
        <v>0</v>
      </c>
      <c r="F333" s="103">
        <f ca="1">VLOOKUP(CurrentMtgRatesDataTable825[[#This Row],[asofdate]]+1,Bloomberg!B:C,2,0)</f>
        <v>4345.3999999999996</v>
      </c>
      <c r="I333" s="18">
        <v>40374</v>
      </c>
      <c r="J333" s="91">
        <v>0.76124590260000002</v>
      </c>
      <c r="K333" s="91">
        <f>VLOOKUP(CurrentMtgRatesDataTable82527141518[[#This Row],[asofdate]],O:P,2,0)</f>
        <v>0</v>
      </c>
      <c r="L333" s="91">
        <f>VLOOKUP(CurrentMtgRatesDataTable82527141518[[#This Row],[asofdate]],S:T,2,0)</f>
        <v>0.76127916539999996</v>
      </c>
      <c r="M333" s="6">
        <f ca="1">VLOOKUP(CurrentMtgRatesDataTable82527141518[[#This Row],[asofdate]]+1,Bloomberg!B:C,2,0)</f>
        <v>4345.3999999999996</v>
      </c>
      <c r="N333" s="6"/>
      <c r="O333" s="18">
        <v>40367</v>
      </c>
      <c r="P333" s="91">
        <v>0.76127916539999996</v>
      </c>
      <c r="Q333" s="104"/>
      <c r="R333" s="104"/>
      <c r="S333" s="18">
        <v>40374</v>
      </c>
      <c r="T333" s="91">
        <v>0.76127916539999996</v>
      </c>
      <c r="V333"/>
    </row>
    <row r="334" spans="2:22">
      <c r="B334" s="101">
        <v>40367</v>
      </c>
      <c r="C334" s="102">
        <v>0.74536445709999999</v>
      </c>
      <c r="D334" s="102">
        <f>VLOOKUP(CurrentMtgRatesDataTable825[[#This Row],[asofdate]],I:J,2,0)</f>
        <v>0.76124590260000002</v>
      </c>
      <c r="E334" s="102">
        <f>VLOOKUP(CurrentMtgRatesDataTable825[[#This Row],[asofdate]],O:P,2,0)</f>
        <v>0.76127916539999996</v>
      </c>
      <c r="F334" s="103">
        <f ca="1">VLOOKUP(CurrentMtgRatesDataTable825[[#This Row],[asofdate]]+1,Bloomberg!B:C,2,0)</f>
        <v>3925.8</v>
      </c>
      <c r="I334" s="18">
        <v>40367</v>
      </c>
      <c r="J334" s="91">
        <v>0.76124590260000002</v>
      </c>
      <c r="K334" s="91">
        <f>VLOOKUP(CurrentMtgRatesDataTable82527141518[[#This Row],[asofdate]],O:P,2,0)</f>
        <v>0.76127916539999996</v>
      </c>
      <c r="L334" s="91">
        <f>VLOOKUP(CurrentMtgRatesDataTable82527141518[[#This Row],[asofdate]],S:T,2,0)</f>
        <v>0.76127916539999996</v>
      </c>
      <c r="M334" s="6">
        <f ca="1">VLOOKUP(CurrentMtgRatesDataTable82527141518[[#This Row],[asofdate]]+1,Bloomberg!B:C,2,0)</f>
        <v>3925.8</v>
      </c>
      <c r="N334" s="6"/>
      <c r="O334" s="18">
        <v>40360</v>
      </c>
      <c r="P334" s="91">
        <v>0.74095838449999996</v>
      </c>
      <c r="Q334" s="104"/>
      <c r="R334" s="104"/>
      <c r="S334" s="18">
        <v>40367</v>
      </c>
      <c r="T334" s="91">
        <v>0.76127916539999996</v>
      </c>
      <c r="V334"/>
    </row>
    <row r="335" spans="2:22">
      <c r="B335" s="101">
        <v>40360</v>
      </c>
      <c r="C335" s="102">
        <v>0.74344977459999995</v>
      </c>
      <c r="D335" s="102">
        <f>VLOOKUP(CurrentMtgRatesDataTable825[[#This Row],[asofdate]],I:J,2,0)</f>
        <v>0.74099265550000004</v>
      </c>
      <c r="E335" s="102">
        <f>VLOOKUP(CurrentMtgRatesDataTable825[[#This Row],[asofdate]],O:P,2,0)</f>
        <v>0.74095838449999996</v>
      </c>
      <c r="F335" s="103">
        <f ca="1">VLOOKUP(CurrentMtgRatesDataTable825[[#This Row],[asofdate]]+1,Bloomberg!B:C,2,0)</f>
        <v>3925.9</v>
      </c>
      <c r="I335" s="18">
        <v>40360</v>
      </c>
      <c r="J335" s="91">
        <v>0.74099265550000004</v>
      </c>
      <c r="K335" s="91">
        <f>VLOOKUP(CurrentMtgRatesDataTable82527141518[[#This Row],[asofdate]],O:P,2,0)</f>
        <v>0.74095838449999996</v>
      </c>
      <c r="L335" s="91">
        <f>VLOOKUP(CurrentMtgRatesDataTable82527141518[[#This Row],[asofdate]],S:T,2,0)</f>
        <v>0.74095838449999996</v>
      </c>
      <c r="M335" s="6">
        <f ca="1">VLOOKUP(CurrentMtgRatesDataTable82527141518[[#This Row],[asofdate]]+1,Bloomberg!B:C,2,0)</f>
        <v>3925.9</v>
      </c>
      <c r="N335" s="6"/>
      <c r="O335" s="18">
        <v>40353</v>
      </c>
      <c r="P335" s="91">
        <v>0.72360327089999998</v>
      </c>
      <c r="Q335" s="104"/>
      <c r="R335" s="104"/>
      <c r="S335" s="18">
        <v>40360</v>
      </c>
      <c r="T335" s="91">
        <v>0.74095838449999996</v>
      </c>
      <c r="V335"/>
    </row>
    <row r="336" spans="2:22">
      <c r="B336" s="101">
        <v>40353</v>
      </c>
      <c r="C336" s="102">
        <v>0.72851500570000005</v>
      </c>
      <c r="D336" s="102">
        <f>VLOOKUP(CurrentMtgRatesDataTable825[[#This Row],[asofdate]],I:J,2,0)</f>
        <v>0.7235605061</v>
      </c>
      <c r="E336" s="102">
        <f>VLOOKUP(CurrentMtgRatesDataTable825[[#This Row],[asofdate]],O:P,2,0)</f>
        <v>0.72360327089999998</v>
      </c>
      <c r="F336" s="103">
        <f ca="1">VLOOKUP(CurrentMtgRatesDataTable825[[#This Row],[asofdate]]+1,Bloomberg!B:C,2,0)</f>
        <v>3546.2</v>
      </c>
      <c r="I336" s="18">
        <v>40353</v>
      </c>
      <c r="J336" s="91">
        <v>0.7235605061</v>
      </c>
      <c r="K336" s="91">
        <f>VLOOKUP(CurrentMtgRatesDataTable82527141518[[#This Row],[asofdate]],O:P,2,0)</f>
        <v>0.72360327089999998</v>
      </c>
      <c r="L336" s="91">
        <f>VLOOKUP(CurrentMtgRatesDataTable82527141518[[#This Row],[asofdate]],S:T,2,0)</f>
        <v>0.72360327089999998</v>
      </c>
      <c r="M336" s="6">
        <f ca="1">VLOOKUP(CurrentMtgRatesDataTable82527141518[[#This Row],[asofdate]]+1,Bloomberg!B:C,2,0)</f>
        <v>3546.2</v>
      </c>
      <c r="N336" s="6"/>
      <c r="O336" s="18">
        <v>40346</v>
      </c>
      <c r="P336" s="91">
        <v>0</v>
      </c>
      <c r="Q336" s="104"/>
      <c r="R336" s="104"/>
      <c r="S336" s="18">
        <v>40353</v>
      </c>
      <c r="T336" s="91">
        <v>0.72360327089999998</v>
      </c>
      <c r="V336"/>
    </row>
    <row r="337" spans="2:22">
      <c r="B337" s="101">
        <v>40346</v>
      </c>
      <c r="C337" s="102">
        <v>0.71486622489999996</v>
      </c>
      <c r="D337" s="102">
        <f>VLOOKUP(CurrentMtgRatesDataTable825[[#This Row],[asofdate]],I:J,2,0)</f>
        <v>0.70330276270000003</v>
      </c>
      <c r="E337" s="102">
        <f>VLOOKUP(CurrentMtgRatesDataTable825[[#This Row],[asofdate]],O:P,2,0)</f>
        <v>0</v>
      </c>
      <c r="F337" s="103">
        <f ca="1">VLOOKUP(CurrentMtgRatesDataTable825[[#This Row],[asofdate]]+1,Bloomberg!B:C,2,0)</f>
        <v>3107.1</v>
      </c>
      <c r="I337" s="18">
        <v>40346</v>
      </c>
      <c r="J337" s="91">
        <v>0.70330276270000003</v>
      </c>
      <c r="K337" s="91">
        <f>VLOOKUP(CurrentMtgRatesDataTable82527141518[[#This Row],[asofdate]],O:P,2,0)</f>
        <v>0</v>
      </c>
      <c r="L337" s="91">
        <f>VLOOKUP(CurrentMtgRatesDataTable82527141518[[#This Row],[asofdate]],S:T,2,0)</f>
        <v>0.7033472181</v>
      </c>
      <c r="M337" s="6">
        <f ca="1">VLOOKUP(CurrentMtgRatesDataTable82527141518[[#This Row],[asofdate]]+1,Bloomberg!B:C,2,0)</f>
        <v>3107.1</v>
      </c>
      <c r="N337" s="6"/>
      <c r="O337" s="18">
        <v>40339</v>
      </c>
      <c r="P337" s="91">
        <v>8.9007627999999998E-3</v>
      </c>
      <c r="Q337" s="104"/>
      <c r="R337" s="104"/>
      <c r="S337" s="18">
        <v>40346</v>
      </c>
      <c r="T337" s="91">
        <v>0.7033472181</v>
      </c>
      <c r="V337"/>
    </row>
    <row r="338" spans="2:22">
      <c r="B338" s="101">
        <v>40339</v>
      </c>
      <c r="C338" s="102">
        <v>0.72048233520000005</v>
      </c>
      <c r="D338" s="102">
        <f>VLOOKUP(CurrentMtgRatesDataTable825[[#This Row],[asofdate]],I:J,2,0)</f>
        <v>0.70507020519999997</v>
      </c>
      <c r="E338" s="102">
        <f>VLOOKUP(CurrentMtgRatesDataTable825[[#This Row],[asofdate]],O:P,2,0)</f>
        <v>8.9007627999999998E-3</v>
      </c>
      <c r="F338" s="103">
        <f ca="1">VLOOKUP(CurrentMtgRatesDataTable825[[#This Row],[asofdate]]+1,Bloomberg!B:C,2,0)</f>
        <v>3387.8</v>
      </c>
      <c r="I338" s="18">
        <v>40339</v>
      </c>
      <c r="J338" s="91">
        <v>0.70507020519999997</v>
      </c>
      <c r="K338" s="91">
        <f>VLOOKUP(CurrentMtgRatesDataTable82527141518[[#This Row],[asofdate]],O:P,2,0)</f>
        <v>8.9007627999999998E-3</v>
      </c>
      <c r="L338" s="91">
        <f>VLOOKUP(CurrentMtgRatesDataTable82527141518[[#This Row],[asofdate]],S:T,2,0)</f>
        <v>0.70511369130000001</v>
      </c>
      <c r="M338" s="6">
        <f ca="1">VLOOKUP(CurrentMtgRatesDataTable82527141518[[#This Row],[asofdate]]+1,Bloomberg!B:C,2,0)</f>
        <v>3387.8</v>
      </c>
      <c r="N338" s="6"/>
      <c r="O338" s="18">
        <v>40332</v>
      </c>
      <c r="P338" s="91">
        <v>0</v>
      </c>
      <c r="Q338" s="104"/>
      <c r="R338" s="104"/>
      <c r="S338" s="18">
        <v>40339</v>
      </c>
      <c r="T338" s="91">
        <v>0.70511369130000001</v>
      </c>
      <c r="V338"/>
    </row>
    <row r="339" spans="2:22">
      <c r="B339" s="101">
        <v>40332</v>
      </c>
      <c r="C339" s="102">
        <v>0.68469003900000003</v>
      </c>
      <c r="D339" s="102">
        <f>VLOOKUP(CurrentMtgRatesDataTable825[[#This Row],[asofdate]],I:J,2,0)</f>
        <v>0.68308270429999995</v>
      </c>
      <c r="E339" s="102">
        <f>VLOOKUP(CurrentMtgRatesDataTable825[[#This Row],[asofdate]],O:P,2,0)</f>
        <v>0</v>
      </c>
      <c r="F339" s="103">
        <f ca="1">VLOOKUP(CurrentMtgRatesDataTable825[[#This Row],[asofdate]]+1,Bloomberg!B:C,2,0)</f>
        <v>2781.6</v>
      </c>
      <c r="I339" s="18">
        <v>40332</v>
      </c>
      <c r="J339" s="91">
        <v>0.68308270429999995</v>
      </c>
      <c r="K339" s="91">
        <f>VLOOKUP(CurrentMtgRatesDataTable82527141518[[#This Row],[asofdate]],O:P,2,0)</f>
        <v>0</v>
      </c>
      <c r="L339" s="91">
        <f>VLOOKUP(CurrentMtgRatesDataTable82527141518[[#This Row],[asofdate]],S:T,2,0)</f>
        <v>0.68294508980000002</v>
      </c>
      <c r="M339" s="6">
        <f ca="1">VLOOKUP(CurrentMtgRatesDataTable82527141518[[#This Row],[asofdate]]+1,Bloomberg!B:C,2,0)</f>
        <v>2781.6</v>
      </c>
      <c r="N339" s="6"/>
      <c r="O339" s="18">
        <v>40325</v>
      </c>
      <c r="P339" s="91">
        <v>3.6171073000000002E-3</v>
      </c>
      <c r="Q339" s="104"/>
      <c r="R339" s="104"/>
      <c r="S339" s="18">
        <v>40332</v>
      </c>
      <c r="T339" s="91">
        <v>0.68294508980000002</v>
      </c>
      <c r="V339"/>
    </row>
    <row r="340" spans="2:22">
      <c r="B340" s="101">
        <v>40325</v>
      </c>
      <c r="C340" s="102">
        <v>0.70986019460000005</v>
      </c>
      <c r="D340" s="102">
        <f>VLOOKUP(CurrentMtgRatesDataTable825[[#This Row],[asofdate]],I:J,2,0)</f>
        <v>0.69742454840000001</v>
      </c>
      <c r="E340" s="102">
        <f>VLOOKUP(CurrentMtgRatesDataTable825[[#This Row],[asofdate]],O:P,2,0)</f>
        <v>3.6171073000000002E-3</v>
      </c>
      <c r="F340" s="103">
        <f ca="1">VLOOKUP(CurrentMtgRatesDataTable825[[#This Row],[asofdate]]+1,Bloomberg!B:C,2,0)</f>
        <v>3239.2</v>
      </c>
      <c r="I340" s="18">
        <v>40325</v>
      </c>
      <c r="J340" s="91">
        <v>0.69742454840000001</v>
      </c>
      <c r="K340" s="91">
        <f>VLOOKUP(CurrentMtgRatesDataTable82527141518[[#This Row],[asofdate]],O:P,2,0)</f>
        <v>3.6171073000000002E-3</v>
      </c>
      <c r="L340" s="91">
        <f>VLOOKUP(CurrentMtgRatesDataTable82527141518[[#This Row],[asofdate]],S:T,2,0)</f>
        <v>0.69746715989999997</v>
      </c>
      <c r="M340" s="6">
        <f ca="1">VLOOKUP(CurrentMtgRatesDataTable82527141518[[#This Row],[asofdate]]+1,Bloomberg!B:C,2,0)</f>
        <v>3239.2</v>
      </c>
      <c r="N340" s="6"/>
      <c r="O340" s="18">
        <v>40318</v>
      </c>
      <c r="P340" s="91">
        <v>1.8994548999999999E-3</v>
      </c>
      <c r="Q340" s="104"/>
      <c r="R340" s="104"/>
      <c r="S340" s="18">
        <v>40325</v>
      </c>
      <c r="T340" s="91">
        <v>0.69746715989999997</v>
      </c>
      <c r="V340"/>
    </row>
    <row r="341" spans="2:22">
      <c r="B341" s="101">
        <v>40318</v>
      </c>
      <c r="C341" s="102">
        <v>0.6807497723</v>
      </c>
      <c r="D341" s="102">
        <f>VLOOKUP(CurrentMtgRatesDataTable825[[#This Row],[asofdate]],I:J,2,0)</f>
        <v>0.67388407520000004</v>
      </c>
      <c r="E341" s="102">
        <f>VLOOKUP(CurrentMtgRatesDataTable825[[#This Row],[asofdate]],O:P,2,0)</f>
        <v>1.8994548999999999E-3</v>
      </c>
      <c r="F341" s="103">
        <f ca="1">VLOOKUP(CurrentMtgRatesDataTable825[[#This Row],[asofdate]]+1,Bloomberg!B:C,2,0)</f>
        <v>3154.9</v>
      </c>
      <c r="I341" s="18">
        <v>40318</v>
      </c>
      <c r="J341" s="91">
        <v>0.67388407520000004</v>
      </c>
      <c r="K341" s="91">
        <f>VLOOKUP(CurrentMtgRatesDataTable82527141518[[#This Row],[asofdate]],O:P,2,0)</f>
        <v>1.8994548999999999E-3</v>
      </c>
      <c r="L341" s="91">
        <f>VLOOKUP(CurrentMtgRatesDataTable82527141518[[#This Row],[asofdate]],S:T,2,0)</f>
        <v>0.67392174719999998</v>
      </c>
      <c r="M341" s="6">
        <f ca="1">VLOOKUP(CurrentMtgRatesDataTable82527141518[[#This Row],[asofdate]]+1,Bloomberg!B:C,2,0)</f>
        <v>3154.9</v>
      </c>
      <c r="N341" s="6"/>
      <c r="O341" s="18">
        <v>40311</v>
      </c>
      <c r="P341" s="91">
        <v>2.9471480000000001E-4</v>
      </c>
      <c r="Q341" s="104"/>
      <c r="R341" s="104"/>
      <c r="S341" s="18">
        <v>40318</v>
      </c>
      <c r="T341" s="91">
        <v>0.67392174719999998</v>
      </c>
      <c r="V341"/>
    </row>
    <row r="342" spans="2:22">
      <c r="B342" s="101">
        <v>40311</v>
      </c>
      <c r="C342" s="102">
        <v>0.63168664299999999</v>
      </c>
      <c r="D342" s="102">
        <f>VLOOKUP(CurrentMtgRatesDataTable825[[#This Row],[asofdate]],I:J,2,0)</f>
        <v>0.6466666673</v>
      </c>
      <c r="E342" s="102">
        <f>VLOOKUP(CurrentMtgRatesDataTable825[[#This Row],[asofdate]],O:P,2,0)</f>
        <v>2.9471480000000001E-4</v>
      </c>
      <c r="F342" s="103">
        <f ca="1">VLOOKUP(CurrentMtgRatesDataTable825[[#This Row],[asofdate]]+1,Bloomberg!B:C,2,0)</f>
        <v>2668.6</v>
      </c>
      <c r="I342" s="18">
        <v>40311</v>
      </c>
      <c r="J342" s="91">
        <v>0.6466666673</v>
      </c>
      <c r="K342" s="91">
        <f>VLOOKUP(CurrentMtgRatesDataTable82527141518[[#This Row],[asofdate]],O:P,2,0)</f>
        <v>2.9471480000000001E-4</v>
      </c>
      <c r="L342" s="91">
        <f>VLOOKUP(CurrentMtgRatesDataTable82527141518[[#This Row],[asofdate]],S:T,2,0)</f>
        <v>1.7426468099999998E-2</v>
      </c>
      <c r="M342" s="6">
        <f ca="1">VLOOKUP(CurrentMtgRatesDataTable82527141518[[#This Row],[asofdate]]+1,Bloomberg!B:C,2,0)</f>
        <v>2668.6</v>
      </c>
      <c r="N342" s="6"/>
      <c r="O342" s="18">
        <v>40304</v>
      </c>
      <c r="P342" s="91">
        <v>5.6751000000000009E-6</v>
      </c>
      <c r="Q342" s="104"/>
      <c r="R342" s="104"/>
      <c r="S342" s="18">
        <v>40311</v>
      </c>
      <c r="T342" s="91">
        <v>1.7426468099999998E-2</v>
      </c>
      <c r="V342"/>
    </row>
    <row r="343" spans="2:22">
      <c r="B343" s="101">
        <v>40304</v>
      </c>
      <c r="C343" s="102">
        <v>0.58772384690000001</v>
      </c>
      <c r="D343" s="102">
        <f>VLOOKUP(CurrentMtgRatesDataTable825[[#This Row],[asofdate]],I:J,2,0)</f>
        <v>0.60828599319999999</v>
      </c>
      <c r="E343" s="102">
        <f>VLOOKUP(CurrentMtgRatesDataTable825[[#This Row],[asofdate]],O:P,2,0)</f>
        <v>5.6751000000000009E-6</v>
      </c>
      <c r="F343" s="103">
        <f ca="1">VLOOKUP(CurrentMtgRatesDataTable825[[#This Row],[asofdate]]+1,Bloomberg!B:C,2,0)</f>
        <v>2303.6</v>
      </c>
      <c r="I343" s="18">
        <v>40304</v>
      </c>
      <c r="J343" s="91">
        <v>0.60828599319999999</v>
      </c>
      <c r="K343" s="91">
        <f>VLOOKUP(CurrentMtgRatesDataTable82527141518[[#This Row],[asofdate]],O:P,2,0)</f>
        <v>5.6751000000000009E-6</v>
      </c>
      <c r="L343" s="91">
        <f>VLOOKUP(CurrentMtgRatesDataTable82527141518[[#This Row],[asofdate]],S:T,2,0)</f>
        <v>1.2717029000000001E-3</v>
      </c>
      <c r="M343" s="6">
        <f ca="1">VLOOKUP(CurrentMtgRatesDataTable82527141518[[#This Row],[asofdate]]+1,Bloomberg!B:C,2,0)</f>
        <v>2303.6</v>
      </c>
      <c r="N343" s="6"/>
      <c r="O343" s="18">
        <v>40297</v>
      </c>
      <c r="P343" s="91">
        <v>0</v>
      </c>
      <c r="Q343" s="104"/>
      <c r="R343" s="104"/>
      <c r="S343" s="18">
        <v>40304</v>
      </c>
      <c r="T343" s="91">
        <v>1.2717029000000001E-3</v>
      </c>
      <c r="V343"/>
    </row>
    <row r="344" spans="2:22">
      <c r="B344" s="101">
        <v>40297</v>
      </c>
      <c r="C344" s="102">
        <v>0.56863720760000003</v>
      </c>
      <c r="D344" s="102">
        <f>VLOOKUP(CurrentMtgRatesDataTable825[[#This Row],[asofdate]],I:J,2,0)</f>
        <v>0.59002327259999998</v>
      </c>
      <c r="E344" s="102">
        <f>VLOOKUP(CurrentMtgRatesDataTable825[[#This Row],[asofdate]],O:P,2,0)</f>
        <v>0</v>
      </c>
      <c r="F344" s="103">
        <f ca="1">VLOOKUP(CurrentMtgRatesDataTable825[[#This Row],[asofdate]]+1,Bloomberg!B:C,2,0)</f>
        <v>1953.3</v>
      </c>
      <c r="I344" s="18">
        <v>40297</v>
      </c>
      <c r="J344" s="91">
        <v>0.59002327259999998</v>
      </c>
      <c r="K344" s="91">
        <f>VLOOKUP(CurrentMtgRatesDataTable82527141518[[#This Row],[asofdate]],O:P,2,0)</f>
        <v>0</v>
      </c>
      <c r="L344" s="91">
        <f>VLOOKUP(CurrentMtgRatesDataTable82527141518[[#This Row],[asofdate]],S:T,2,0)</f>
        <v>2.9468639999999998E-4</v>
      </c>
      <c r="M344" s="6">
        <f ca="1">VLOOKUP(CurrentMtgRatesDataTable82527141518[[#This Row],[asofdate]]+1,Bloomberg!B:C,2,0)</f>
        <v>1953.3</v>
      </c>
      <c r="N344" s="6"/>
      <c r="O344" s="18">
        <v>40290</v>
      </c>
      <c r="P344" s="91">
        <v>0</v>
      </c>
      <c r="Q344" s="104"/>
      <c r="R344" s="104"/>
      <c r="S344" s="18">
        <v>40297</v>
      </c>
      <c r="T344" s="91">
        <v>2.9468639999999998E-4</v>
      </c>
      <c r="V344"/>
    </row>
    <row r="345" spans="2:22">
      <c r="B345" s="101">
        <v>40290</v>
      </c>
      <c r="C345" s="102">
        <v>0.56287953099999999</v>
      </c>
      <c r="D345" s="102">
        <f>VLOOKUP(CurrentMtgRatesDataTable825[[#This Row],[asofdate]],I:J,2,0)</f>
        <v>0.58672429169999996</v>
      </c>
      <c r="E345" s="102">
        <f>VLOOKUP(CurrentMtgRatesDataTable825[[#This Row],[asofdate]],O:P,2,0)</f>
        <v>0</v>
      </c>
      <c r="F345" s="103">
        <f ca="1">VLOOKUP(CurrentMtgRatesDataTable825[[#This Row],[asofdate]]+1,Bloomberg!B:C,2,0)</f>
        <v>1984.5</v>
      </c>
      <c r="I345" s="18">
        <v>40290</v>
      </c>
      <c r="J345" s="91">
        <v>0.58672429169999996</v>
      </c>
      <c r="K345" s="91">
        <f>VLOOKUP(CurrentMtgRatesDataTable82527141518[[#This Row],[asofdate]],O:P,2,0)</f>
        <v>0</v>
      </c>
      <c r="L345" s="91">
        <f>VLOOKUP(CurrentMtgRatesDataTable82527141518[[#This Row],[asofdate]],S:T,2,0)</f>
        <v>2.9192680000000003E-4</v>
      </c>
      <c r="M345" s="6">
        <f ca="1">VLOOKUP(CurrentMtgRatesDataTable82527141518[[#This Row],[asofdate]]+1,Bloomberg!B:C,2,0)</f>
        <v>1984.5</v>
      </c>
      <c r="N345" s="6"/>
      <c r="O345" s="18">
        <v>40283</v>
      </c>
      <c r="P345" s="91">
        <v>0</v>
      </c>
      <c r="Q345" s="104"/>
      <c r="R345" s="104"/>
      <c r="S345" s="18">
        <v>40290</v>
      </c>
      <c r="T345" s="91">
        <v>2.9192680000000003E-4</v>
      </c>
      <c r="V345"/>
    </row>
    <row r="346" spans="2:22">
      <c r="B346" s="101">
        <v>40283</v>
      </c>
      <c r="C346" s="102">
        <v>0.57665684220000002</v>
      </c>
      <c r="D346" s="102">
        <f>VLOOKUP(CurrentMtgRatesDataTable825[[#This Row],[asofdate]],I:J,2,0)</f>
        <v>0.5951682895</v>
      </c>
      <c r="E346" s="102">
        <f>VLOOKUP(CurrentMtgRatesDataTable825[[#This Row],[asofdate]],O:P,2,0)</f>
        <v>0</v>
      </c>
      <c r="F346" s="103">
        <f ca="1">VLOOKUP(CurrentMtgRatesDataTable825[[#This Row],[asofdate]]+1,Bloomberg!B:C,2,0)</f>
        <v>2217</v>
      </c>
      <c r="I346" s="18">
        <v>40283</v>
      </c>
      <c r="J346" s="91">
        <v>0.5951682895</v>
      </c>
      <c r="K346" s="91">
        <f>VLOOKUP(CurrentMtgRatesDataTable82527141518[[#This Row],[asofdate]],O:P,2,0)</f>
        <v>0</v>
      </c>
      <c r="L346" s="91">
        <f>VLOOKUP(CurrentMtgRatesDataTable82527141518[[#This Row],[asofdate]],S:T,2,0)</f>
        <v>6.7993339999999989E-4</v>
      </c>
      <c r="M346" s="6">
        <f ca="1">VLOOKUP(CurrentMtgRatesDataTable82527141518[[#This Row],[asofdate]]+1,Bloomberg!B:C,2,0)</f>
        <v>2217</v>
      </c>
      <c r="N346" s="6"/>
      <c r="O346" s="18">
        <v>40276</v>
      </c>
      <c r="P346" s="91">
        <v>0</v>
      </c>
      <c r="Q346" s="104"/>
      <c r="R346" s="104"/>
      <c r="S346" s="18">
        <v>40283</v>
      </c>
      <c r="T346" s="91">
        <v>6.7993339999999989E-4</v>
      </c>
      <c r="V346"/>
    </row>
    <row r="347" spans="2:22">
      <c r="B347" s="101">
        <v>40276</v>
      </c>
      <c r="C347" s="102">
        <v>0.50387103229999997</v>
      </c>
      <c r="D347" s="102">
        <f>VLOOKUP(CurrentMtgRatesDataTable825[[#This Row],[asofdate]],I:J,2,0)</f>
        <v>0.53152003339999998</v>
      </c>
      <c r="E347" s="102">
        <f>VLOOKUP(CurrentMtgRatesDataTable825[[#This Row],[asofdate]],O:P,2,0)</f>
        <v>0</v>
      </c>
      <c r="F347" s="103">
        <f ca="1">VLOOKUP(CurrentMtgRatesDataTable825[[#This Row],[asofdate]]+1,Bloomberg!B:C,2,0)</f>
        <v>1892.5</v>
      </c>
      <c r="I347" s="18">
        <v>40276</v>
      </c>
      <c r="J347" s="91">
        <v>0.53152003339999998</v>
      </c>
      <c r="K347" s="91">
        <f>VLOOKUP(CurrentMtgRatesDataTable82527141518[[#This Row],[asofdate]],O:P,2,0)</f>
        <v>0</v>
      </c>
      <c r="L347" s="91">
        <f>VLOOKUP(CurrentMtgRatesDataTable82527141518[[#This Row],[asofdate]],S:T,2,0)</f>
        <v>3.2240799999999998E-5</v>
      </c>
      <c r="M347" s="6">
        <f ca="1">VLOOKUP(CurrentMtgRatesDataTable82527141518[[#This Row],[asofdate]]+1,Bloomberg!B:C,2,0)</f>
        <v>1892.5</v>
      </c>
      <c r="N347" s="6"/>
      <c r="O347" s="18">
        <v>40269</v>
      </c>
      <c r="P347" s="91">
        <v>0</v>
      </c>
      <c r="Q347" s="104"/>
      <c r="R347" s="104"/>
      <c r="S347" s="18">
        <v>40276</v>
      </c>
      <c r="T347" s="91">
        <v>3.2240799999999998E-5</v>
      </c>
      <c r="V347"/>
    </row>
    <row r="348" spans="2:22">
      <c r="B348" s="101">
        <v>40269</v>
      </c>
      <c r="C348" s="102">
        <v>0.55408346909999995</v>
      </c>
      <c r="D348" s="102">
        <f>VLOOKUP(CurrentMtgRatesDataTable825[[#This Row],[asofdate]],I:J,2,0)</f>
        <v>0.57205809490000004</v>
      </c>
      <c r="E348" s="102">
        <f>VLOOKUP(CurrentMtgRatesDataTable825[[#This Row],[asofdate]],O:P,2,0)</f>
        <v>0</v>
      </c>
      <c r="F348" s="103">
        <f ca="1">VLOOKUP(CurrentMtgRatesDataTable825[[#This Row],[asofdate]]+1,Bloomberg!B:C,2,0)</f>
        <v>2051.3000000000002</v>
      </c>
      <c r="I348" s="18">
        <v>40269</v>
      </c>
      <c r="J348" s="91">
        <v>0.57205809490000004</v>
      </c>
      <c r="K348" s="91">
        <f>VLOOKUP(CurrentMtgRatesDataTable82527141518[[#This Row],[asofdate]],O:P,2,0)</f>
        <v>0</v>
      </c>
      <c r="L348" s="91">
        <f>VLOOKUP(CurrentMtgRatesDataTable82527141518[[#This Row],[asofdate]],S:T,2,0)</f>
        <v>1.615617E-4</v>
      </c>
      <c r="M348" s="6">
        <f ca="1">VLOOKUP(CurrentMtgRatesDataTable82527141518[[#This Row],[asofdate]]+1,Bloomberg!B:C,2,0)</f>
        <v>2051.3000000000002</v>
      </c>
      <c r="N348" s="6"/>
      <c r="O348" s="18">
        <v>40262</v>
      </c>
      <c r="P348" s="91">
        <v>0</v>
      </c>
      <c r="Q348" s="104"/>
      <c r="R348" s="104"/>
      <c r="S348" s="18">
        <v>40269</v>
      </c>
      <c r="T348" s="91">
        <v>1.615617E-4</v>
      </c>
      <c r="V348"/>
    </row>
    <row r="349" spans="2:22">
      <c r="B349" s="101">
        <v>40262</v>
      </c>
      <c r="C349" s="102">
        <v>0.6445245879</v>
      </c>
      <c r="D349" s="102">
        <f>VLOOKUP(CurrentMtgRatesDataTable825[[#This Row],[asofdate]],I:J,2,0)</f>
        <v>0.65739584390000005</v>
      </c>
      <c r="E349" s="102">
        <f>VLOOKUP(CurrentMtgRatesDataTable825[[#This Row],[asofdate]],O:P,2,0)</f>
        <v>0</v>
      </c>
      <c r="F349" s="103">
        <f ca="1">VLOOKUP(CurrentMtgRatesDataTable825[[#This Row],[asofdate]]+1,Bloomberg!B:C,2,0)</f>
        <v>2577.1999999999998</v>
      </c>
      <c r="I349" s="18">
        <v>40262</v>
      </c>
      <c r="J349" s="91">
        <v>0.65739584390000005</v>
      </c>
      <c r="K349" s="91">
        <f>VLOOKUP(CurrentMtgRatesDataTable82527141518[[#This Row],[asofdate]],O:P,2,0)</f>
        <v>0</v>
      </c>
      <c r="L349" s="91">
        <f>VLOOKUP(CurrentMtgRatesDataTable82527141518[[#This Row],[asofdate]],S:T,2,0)</f>
        <v>1.8597026000000002E-3</v>
      </c>
      <c r="M349" s="6">
        <f ca="1">VLOOKUP(CurrentMtgRatesDataTable82527141518[[#This Row],[asofdate]]+1,Bloomberg!B:C,2,0)</f>
        <v>2577.1999999999998</v>
      </c>
      <c r="N349" s="6"/>
      <c r="O349" s="18">
        <v>40255</v>
      </c>
      <c r="P349" s="91">
        <v>0</v>
      </c>
      <c r="Q349" s="104"/>
      <c r="R349" s="104"/>
      <c r="S349" s="18">
        <v>40262</v>
      </c>
      <c r="T349" s="91">
        <v>1.8597026000000002E-3</v>
      </c>
      <c r="V349"/>
    </row>
    <row r="350" spans="2:22">
      <c r="B350" s="101">
        <v>40255</v>
      </c>
      <c r="C350" s="102">
        <v>0.64585810600000004</v>
      </c>
      <c r="D350" s="102">
        <f>VLOOKUP(CurrentMtgRatesDataTable825[[#This Row],[asofdate]],I:J,2,0)</f>
        <v>0.65825550310000003</v>
      </c>
      <c r="E350" s="102">
        <f>VLOOKUP(CurrentMtgRatesDataTable825[[#This Row],[asofdate]],O:P,2,0)</f>
        <v>0</v>
      </c>
      <c r="F350" s="103">
        <f ca="1">VLOOKUP(CurrentMtgRatesDataTable825[[#This Row],[asofdate]]+1,Bloomberg!B:C,2,0)</f>
        <v>2617.6999999999998</v>
      </c>
      <c r="I350" s="18">
        <v>40255</v>
      </c>
      <c r="J350" s="91">
        <v>0.65825550310000003</v>
      </c>
      <c r="K350" s="91">
        <f>VLOOKUP(CurrentMtgRatesDataTable82527141518[[#This Row],[asofdate]],O:P,2,0)</f>
        <v>0</v>
      </c>
      <c r="L350" s="91">
        <f>VLOOKUP(CurrentMtgRatesDataTable82527141518[[#This Row],[asofdate]],S:T,2,0)</f>
        <v>8.1109384E-3</v>
      </c>
      <c r="M350" s="6">
        <f ca="1">VLOOKUP(CurrentMtgRatesDataTable82527141518[[#This Row],[asofdate]]+1,Bloomberg!B:C,2,0)</f>
        <v>2617.6999999999998</v>
      </c>
      <c r="N350" s="6"/>
      <c r="O350" s="18">
        <v>40248</v>
      </c>
      <c r="P350" s="91">
        <v>0</v>
      </c>
      <c r="Q350" s="104"/>
      <c r="R350" s="104"/>
      <c r="S350" s="18">
        <v>40255</v>
      </c>
      <c r="T350" s="91">
        <v>8.1109384E-3</v>
      </c>
      <c r="V350"/>
    </row>
    <row r="351" spans="2:22">
      <c r="B351" s="101">
        <v>40248</v>
      </c>
      <c r="C351" s="102">
        <v>0.65681393619999995</v>
      </c>
      <c r="D351" s="102">
        <f>VLOOKUP(CurrentMtgRatesDataTable825[[#This Row],[asofdate]],I:J,2,0)</f>
        <v>0.67713837769999996</v>
      </c>
      <c r="E351" s="102">
        <f>VLOOKUP(CurrentMtgRatesDataTable825[[#This Row],[asofdate]],O:P,2,0)</f>
        <v>0</v>
      </c>
      <c r="F351" s="103">
        <f ca="1">VLOOKUP(CurrentMtgRatesDataTable825[[#This Row],[asofdate]]+1,Bloomberg!B:C,2,0)</f>
        <v>2847.2</v>
      </c>
      <c r="I351" s="18">
        <v>40248</v>
      </c>
      <c r="J351" s="91">
        <v>0.67713837769999996</v>
      </c>
      <c r="K351" s="91">
        <f>VLOOKUP(CurrentMtgRatesDataTable82527141518[[#This Row],[asofdate]],O:P,2,0)</f>
        <v>0</v>
      </c>
      <c r="L351" s="91">
        <f>VLOOKUP(CurrentMtgRatesDataTable82527141518[[#This Row],[asofdate]],S:T,2,0)</f>
        <v>1.18532042E-2</v>
      </c>
      <c r="M351" s="6">
        <f ca="1">VLOOKUP(CurrentMtgRatesDataTable82527141518[[#This Row],[asofdate]]+1,Bloomberg!B:C,2,0)</f>
        <v>2847.2</v>
      </c>
      <c r="N351" s="6"/>
      <c r="O351" s="18">
        <v>40241</v>
      </c>
      <c r="P351" s="91">
        <v>0</v>
      </c>
      <c r="Q351" s="104"/>
      <c r="R351" s="104"/>
      <c r="S351" s="18">
        <v>40248</v>
      </c>
      <c r="T351" s="91">
        <v>1.18532042E-2</v>
      </c>
      <c r="V351"/>
    </row>
    <row r="352" spans="2:22">
      <c r="B352" s="101">
        <v>40241</v>
      </c>
      <c r="C352" s="102">
        <v>0.64074062669999998</v>
      </c>
      <c r="D352" s="102">
        <f>VLOOKUP(CurrentMtgRatesDataTable825[[#This Row],[asofdate]],I:J,2,0)</f>
        <v>0.6548459458</v>
      </c>
      <c r="E352" s="102">
        <f>VLOOKUP(CurrentMtgRatesDataTable825[[#This Row],[asofdate]],O:P,2,0)</f>
        <v>0</v>
      </c>
      <c r="F352" s="103">
        <f ca="1">VLOOKUP(CurrentMtgRatesDataTable825[[#This Row],[asofdate]]+1,Bloomberg!B:C,2,0)</f>
        <v>2937.6</v>
      </c>
      <c r="I352" s="18">
        <v>40241</v>
      </c>
      <c r="J352" s="91">
        <v>0.6548459458</v>
      </c>
      <c r="K352" s="91">
        <f>VLOOKUP(CurrentMtgRatesDataTable82527141518[[#This Row],[asofdate]],O:P,2,0)</f>
        <v>0</v>
      </c>
      <c r="L352" s="91">
        <f>VLOOKUP(CurrentMtgRatesDataTable82527141518[[#This Row],[asofdate]],S:T,2,0)</f>
        <v>8.0942342999999993E-3</v>
      </c>
      <c r="M352" s="6">
        <f ca="1">VLOOKUP(CurrentMtgRatesDataTable82527141518[[#This Row],[asofdate]]+1,Bloomberg!B:C,2,0)</f>
        <v>2937.6</v>
      </c>
      <c r="N352" s="6"/>
      <c r="O352" s="18">
        <v>40234</v>
      </c>
      <c r="P352" s="91">
        <v>0</v>
      </c>
      <c r="Q352" s="104"/>
      <c r="R352" s="104"/>
      <c r="S352" s="18">
        <v>40241</v>
      </c>
      <c r="T352" s="91">
        <v>8.0942342999999993E-3</v>
      </c>
      <c r="V352"/>
    </row>
    <row r="353" spans="2:22">
      <c r="B353" s="101">
        <v>40234</v>
      </c>
      <c r="C353" s="102">
        <v>0.61413878499999996</v>
      </c>
      <c r="D353" s="102">
        <f>VLOOKUP(CurrentMtgRatesDataTable825[[#This Row],[asofdate]],I:J,2,0)</f>
        <v>0.6355630457</v>
      </c>
      <c r="E353" s="102">
        <f>VLOOKUP(CurrentMtgRatesDataTable825[[#This Row],[asofdate]],O:P,2,0)</f>
        <v>0</v>
      </c>
      <c r="F353" s="103">
        <f ca="1">VLOOKUP(CurrentMtgRatesDataTable825[[#This Row],[asofdate]]+1,Bloomberg!B:C,2,0)</f>
        <v>2971.5</v>
      </c>
      <c r="I353" s="18">
        <v>40234</v>
      </c>
      <c r="J353" s="91">
        <v>0.6355630457</v>
      </c>
      <c r="K353" s="91">
        <f>VLOOKUP(CurrentMtgRatesDataTable82527141518[[#This Row],[asofdate]],O:P,2,0)</f>
        <v>0</v>
      </c>
      <c r="L353" s="91">
        <f>VLOOKUP(CurrentMtgRatesDataTable82527141518[[#This Row],[asofdate]],S:T,2,0)</f>
        <v>2.6490880000000001E-4</v>
      </c>
      <c r="M353" s="6">
        <f ca="1">VLOOKUP(CurrentMtgRatesDataTable82527141518[[#This Row],[asofdate]]+1,Bloomberg!B:C,2,0)</f>
        <v>2971.5</v>
      </c>
      <c r="N353" s="6"/>
      <c r="O353" s="18">
        <v>40227</v>
      </c>
      <c r="P353" s="91">
        <v>1.2029E-5</v>
      </c>
      <c r="Q353" s="104"/>
      <c r="R353" s="104"/>
      <c r="S353" s="18">
        <v>40234</v>
      </c>
      <c r="T353" s="91">
        <v>2.6490880000000001E-4</v>
      </c>
      <c r="V353"/>
    </row>
    <row r="354" spans="2:22">
      <c r="B354" s="101">
        <v>40227</v>
      </c>
      <c r="C354" s="102">
        <v>0.68641483309999995</v>
      </c>
      <c r="D354" s="102">
        <f>VLOOKUP(CurrentMtgRatesDataTable825[[#This Row],[asofdate]],I:J,2,0)</f>
        <v>0.70305248779999996</v>
      </c>
      <c r="E354" s="102">
        <f>VLOOKUP(CurrentMtgRatesDataTable825[[#This Row],[asofdate]],O:P,2,0)</f>
        <v>1.2029E-5</v>
      </c>
      <c r="F354" s="103">
        <f ca="1">VLOOKUP(CurrentMtgRatesDataTable825[[#This Row],[asofdate]]+1,Bloomberg!B:C,2,0)</f>
        <v>2474.9</v>
      </c>
      <c r="I354" s="18">
        <v>40227</v>
      </c>
      <c r="J354" s="91">
        <v>0.70305248779999996</v>
      </c>
      <c r="K354" s="91">
        <f>VLOOKUP(CurrentMtgRatesDataTable82527141518[[#This Row],[asofdate]],O:P,2,0)</f>
        <v>1.2029E-5</v>
      </c>
      <c r="L354" s="91">
        <f>VLOOKUP(CurrentMtgRatesDataTable82527141518[[#This Row],[asofdate]],S:T,2,0)</f>
        <v>1.5519953899999999E-2</v>
      </c>
      <c r="M354" s="6">
        <f ca="1">VLOOKUP(CurrentMtgRatesDataTable82527141518[[#This Row],[asofdate]]+1,Bloomberg!B:C,2,0)</f>
        <v>2474.9</v>
      </c>
      <c r="N354" s="6"/>
      <c r="O354" s="18">
        <v>40220</v>
      </c>
      <c r="P354" s="91">
        <v>0</v>
      </c>
      <c r="Q354" s="104"/>
      <c r="R354" s="104"/>
      <c r="S354" s="18">
        <v>40227</v>
      </c>
      <c r="T354" s="91">
        <v>1.5519953899999999E-2</v>
      </c>
      <c r="V354"/>
    </row>
    <row r="355" spans="2:22">
      <c r="B355" s="101">
        <v>40220</v>
      </c>
      <c r="C355" s="102">
        <v>0.65499093070000003</v>
      </c>
      <c r="D355" s="102">
        <f>VLOOKUP(CurrentMtgRatesDataTable825[[#This Row],[asofdate]],I:J,2,0)</f>
        <v>0.67221846299999999</v>
      </c>
      <c r="E355" s="102">
        <f>VLOOKUP(CurrentMtgRatesDataTable825[[#This Row],[asofdate]],O:P,2,0)</f>
        <v>0</v>
      </c>
      <c r="F355" s="103">
        <f ca="1">VLOOKUP(CurrentMtgRatesDataTable825[[#This Row],[asofdate]]+1,Bloomberg!B:C,2,0)</f>
        <v>2781.2</v>
      </c>
      <c r="I355" s="18">
        <v>40220</v>
      </c>
      <c r="J355" s="91">
        <v>0.67221846299999999</v>
      </c>
      <c r="K355" s="91">
        <f>VLOOKUP(CurrentMtgRatesDataTable82527141518[[#This Row],[asofdate]],O:P,2,0)</f>
        <v>0</v>
      </c>
      <c r="L355" s="91">
        <f>VLOOKUP(CurrentMtgRatesDataTable82527141518[[#This Row],[asofdate]],S:T,2,0)</f>
        <v>7.9416000999999996E-3</v>
      </c>
      <c r="M355" s="6">
        <f ca="1">VLOOKUP(CurrentMtgRatesDataTable82527141518[[#This Row],[asofdate]]+1,Bloomberg!B:C,2,0)</f>
        <v>2781.2</v>
      </c>
      <c r="N355" s="6"/>
      <c r="O355" s="18">
        <v>40213</v>
      </c>
      <c r="P355" s="91">
        <v>0</v>
      </c>
      <c r="Q355" s="104"/>
      <c r="R355" s="104"/>
      <c r="S355" s="18">
        <v>40220</v>
      </c>
      <c r="T355" s="91">
        <v>7.9416000999999996E-3</v>
      </c>
      <c r="V355"/>
    </row>
    <row r="356" spans="2:22">
      <c r="B356" s="101">
        <v>40213</v>
      </c>
      <c r="C356" s="102">
        <v>0.63505398229999999</v>
      </c>
      <c r="D356" s="102">
        <f>VLOOKUP(CurrentMtgRatesDataTable825[[#This Row],[asofdate]],I:J,2,0)</f>
        <v>0.66032668179999998</v>
      </c>
      <c r="E356" s="102">
        <f>VLOOKUP(CurrentMtgRatesDataTable825[[#This Row],[asofdate]],O:P,2,0)</f>
        <v>0</v>
      </c>
      <c r="F356" s="103">
        <f ca="1">VLOOKUP(CurrentMtgRatesDataTable825[[#This Row],[asofdate]]+1,Bloomberg!B:C,2,0)</f>
        <v>2807.8</v>
      </c>
      <c r="I356" s="18">
        <v>40213</v>
      </c>
      <c r="J356" s="91">
        <v>0.66032668179999998</v>
      </c>
      <c r="K356" s="91">
        <f>VLOOKUP(CurrentMtgRatesDataTable82527141518[[#This Row],[asofdate]],O:P,2,0)</f>
        <v>0</v>
      </c>
      <c r="L356" s="91">
        <f>VLOOKUP(CurrentMtgRatesDataTable82527141518[[#This Row],[asofdate]],S:T,2,0)</f>
        <v>1.5017113999999999E-3</v>
      </c>
      <c r="M356" s="6">
        <f ca="1">VLOOKUP(CurrentMtgRatesDataTable82527141518[[#This Row],[asofdate]]+1,Bloomberg!B:C,2,0)</f>
        <v>2807.8</v>
      </c>
      <c r="N356" s="6"/>
      <c r="O356" s="18">
        <v>40206</v>
      </c>
      <c r="P356" s="91">
        <v>0</v>
      </c>
      <c r="Q356" s="104"/>
      <c r="R356" s="104"/>
      <c r="S356" s="18">
        <v>40213</v>
      </c>
      <c r="T356" s="91">
        <v>1.5017113999999999E-3</v>
      </c>
      <c r="V356"/>
    </row>
    <row r="357" spans="2:22">
      <c r="B357" s="101">
        <v>40206</v>
      </c>
      <c r="C357" s="102">
        <v>0.68432757779999998</v>
      </c>
      <c r="D357" s="102">
        <f>VLOOKUP(CurrentMtgRatesDataTable825[[#This Row],[asofdate]],I:J,2,0)</f>
        <v>0.69423377870000003</v>
      </c>
      <c r="E357" s="102">
        <f>VLOOKUP(CurrentMtgRatesDataTable825[[#This Row],[asofdate]],O:P,2,0)</f>
        <v>0</v>
      </c>
      <c r="F357" s="103">
        <f ca="1">VLOOKUP(CurrentMtgRatesDataTable825[[#This Row],[asofdate]]+1,Bloomberg!B:C,2,0)</f>
        <v>2763.6</v>
      </c>
      <c r="I357" s="18">
        <v>40206</v>
      </c>
      <c r="J357" s="91">
        <v>0.69423377870000003</v>
      </c>
      <c r="K357" s="91">
        <f>VLOOKUP(CurrentMtgRatesDataTable82527141518[[#This Row],[asofdate]],O:P,2,0)</f>
        <v>0</v>
      </c>
      <c r="L357" s="91">
        <f>VLOOKUP(CurrentMtgRatesDataTable82527141518[[#This Row],[asofdate]],S:T,2,0)</f>
        <v>7.3673740000000003E-3</v>
      </c>
      <c r="M357" s="6">
        <f ca="1">VLOOKUP(CurrentMtgRatesDataTable82527141518[[#This Row],[asofdate]]+1,Bloomberg!B:C,2,0)</f>
        <v>2763.6</v>
      </c>
      <c r="N357" s="6"/>
      <c r="O357" s="18">
        <v>40199</v>
      </c>
      <c r="P357" s="91">
        <v>0</v>
      </c>
      <c r="Q357" s="104"/>
      <c r="R357" s="104"/>
      <c r="S357" s="18">
        <v>40206</v>
      </c>
      <c r="T357" s="91">
        <v>7.3673740000000003E-3</v>
      </c>
      <c r="V357"/>
    </row>
    <row r="358" spans="2:22">
      <c r="B358" s="101">
        <v>40199</v>
      </c>
      <c r="C358" s="102">
        <v>0.66395755720000005</v>
      </c>
      <c r="D358" s="102">
        <f>VLOOKUP(CurrentMtgRatesDataTable825[[#This Row],[asofdate]],I:J,2,0)</f>
        <v>0.68028804070000004</v>
      </c>
      <c r="E358" s="102">
        <f>VLOOKUP(CurrentMtgRatesDataTable825[[#This Row],[asofdate]],O:P,2,0)</f>
        <v>0</v>
      </c>
      <c r="F358" s="103">
        <f ca="1">VLOOKUP(CurrentMtgRatesDataTable825[[#This Row],[asofdate]]+1,Bloomberg!B:C,2,0)</f>
        <v>2192.1</v>
      </c>
      <c r="I358" s="18">
        <v>40199</v>
      </c>
      <c r="J358" s="91">
        <v>0.68028804070000004</v>
      </c>
      <c r="K358" s="91">
        <f>VLOOKUP(CurrentMtgRatesDataTable82527141518[[#This Row],[asofdate]],O:P,2,0)</f>
        <v>0</v>
      </c>
      <c r="L358" s="91">
        <f>VLOOKUP(CurrentMtgRatesDataTable82527141518[[#This Row],[asofdate]],S:T,2,0)</f>
        <v>7.3323073999999999E-3</v>
      </c>
      <c r="M358" s="6">
        <f ca="1">VLOOKUP(CurrentMtgRatesDataTable82527141518[[#This Row],[asofdate]]+1,Bloomberg!B:C,2,0)</f>
        <v>2192.1</v>
      </c>
      <c r="N358" s="6"/>
      <c r="O358" s="18">
        <v>40192</v>
      </c>
      <c r="P358" s="91">
        <v>0</v>
      </c>
      <c r="Q358" s="104"/>
      <c r="R358" s="104"/>
      <c r="S358" s="18">
        <v>40199</v>
      </c>
      <c r="T358" s="91">
        <v>7.3323073999999999E-3</v>
      </c>
      <c r="V358"/>
    </row>
    <row r="359" spans="2:22">
      <c r="B359" s="101">
        <v>40192</v>
      </c>
      <c r="C359" s="102">
        <v>0.62543256140000003</v>
      </c>
      <c r="D359" s="102">
        <f>VLOOKUP(CurrentMtgRatesDataTable825[[#This Row],[asofdate]],I:J,2,0)</f>
        <v>0.64568973490000003</v>
      </c>
      <c r="E359" s="102">
        <f>VLOOKUP(CurrentMtgRatesDataTable825[[#This Row],[asofdate]],O:P,2,0)</f>
        <v>0</v>
      </c>
      <c r="F359" s="103">
        <f ca="1">VLOOKUP(CurrentMtgRatesDataTable825[[#This Row],[asofdate]]+1,Bloomberg!B:C,2,0)</f>
        <v>2638.2</v>
      </c>
      <c r="I359" s="18">
        <v>40192</v>
      </c>
      <c r="J359" s="91">
        <v>0.64568973490000003</v>
      </c>
      <c r="K359" s="91">
        <f>VLOOKUP(CurrentMtgRatesDataTable82527141518[[#This Row],[asofdate]],O:P,2,0)</f>
        <v>0</v>
      </c>
      <c r="L359" s="91">
        <f>VLOOKUP(CurrentMtgRatesDataTable82527141518[[#This Row],[asofdate]],S:T,2,0)</f>
        <v>5.125997E-4</v>
      </c>
      <c r="M359" s="6">
        <f ca="1">VLOOKUP(CurrentMtgRatesDataTable82527141518[[#This Row],[asofdate]]+1,Bloomberg!B:C,2,0)</f>
        <v>2638.2</v>
      </c>
      <c r="N359" s="6"/>
      <c r="O359" s="18">
        <v>40185</v>
      </c>
      <c r="P359" s="91">
        <v>0</v>
      </c>
      <c r="Q359" s="104"/>
      <c r="R359" s="104"/>
      <c r="S359" s="18">
        <v>40192</v>
      </c>
      <c r="T359" s="91">
        <v>5.125997E-4</v>
      </c>
      <c r="V359"/>
    </row>
    <row r="360" spans="2:22">
      <c r="B360" s="101">
        <v>40185</v>
      </c>
      <c r="C360" s="102">
        <v>0.60621552560000003</v>
      </c>
      <c r="D360" s="102">
        <f>VLOOKUP(CurrentMtgRatesDataTable825[[#This Row],[asofdate]],I:J,2,0)</f>
        <v>0.62467013979999997</v>
      </c>
      <c r="E360" s="102">
        <f>VLOOKUP(CurrentMtgRatesDataTable825[[#This Row],[asofdate]],O:P,2,0)</f>
        <v>0</v>
      </c>
      <c r="F360" s="103">
        <f ca="1">VLOOKUP(CurrentMtgRatesDataTable825[[#This Row],[asofdate]]+1,Bloomberg!B:C,2,0)</f>
        <v>2430</v>
      </c>
      <c r="I360" s="18">
        <v>40185</v>
      </c>
      <c r="J360" s="91">
        <v>0.62467013979999997</v>
      </c>
      <c r="K360" s="91">
        <f>VLOOKUP(CurrentMtgRatesDataTable82527141518[[#This Row],[asofdate]],O:P,2,0)</f>
        <v>0</v>
      </c>
      <c r="L360" s="91">
        <f>VLOOKUP(CurrentMtgRatesDataTable82527141518[[#This Row],[asofdate]],S:T,2,0)</f>
        <v>3.354365E-4</v>
      </c>
      <c r="M360" s="6">
        <f ca="1">VLOOKUP(CurrentMtgRatesDataTable82527141518[[#This Row],[asofdate]]+1,Bloomberg!B:C,2,0)</f>
        <v>2430</v>
      </c>
      <c r="N360" s="6"/>
      <c r="O360" s="18">
        <v>40178</v>
      </c>
      <c r="P360" s="91">
        <v>0</v>
      </c>
      <c r="Q360" s="104"/>
      <c r="R360" s="104"/>
      <c r="S360" s="18">
        <v>40185</v>
      </c>
      <c r="T360" s="91">
        <v>3.354365E-4</v>
      </c>
      <c r="V360"/>
    </row>
    <row r="361" spans="2:22">
      <c r="B361" s="101">
        <v>40178</v>
      </c>
      <c r="C361" s="102">
        <v>0.58858815880000004</v>
      </c>
      <c r="D361" s="102">
        <f>VLOOKUP(CurrentMtgRatesDataTable825[[#This Row],[asofdate]],I:J,2,0)</f>
        <v>0.60269502220000004</v>
      </c>
      <c r="E361" s="102">
        <f>VLOOKUP(CurrentMtgRatesDataTable825[[#This Row],[asofdate]],O:P,2,0)</f>
        <v>0</v>
      </c>
      <c r="F361" s="103">
        <f ca="1">VLOOKUP(CurrentMtgRatesDataTable825[[#This Row],[asofdate]]+1,Bloomberg!B:C,2,0)</f>
        <v>2021.1</v>
      </c>
      <c r="I361" s="18">
        <v>40178</v>
      </c>
      <c r="J361" s="91">
        <v>0.60269502220000004</v>
      </c>
      <c r="K361" s="91">
        <f>VLOOKUP(CurrentMtgRatesDataTable82527141518[[#This Row],[asofdate]],O:P,2,0)</f>
        <v>0</v>
      </c>
      <c r="L361" s="91">
        <f>VLOOKUP(CurrentMtgRatesDataTable82527141518[[#This Row],[asofdate]],S:T,2,0)</f>
        <v>1.3941899999999999E-5</v>
      </c>
      <c r="M361" s="6">
        <f ca="1">VLOOKUP(CurrentMtgRatesDataTable82527141518[[#This Row],[asofdate]]+1,Bloomberg!B:C,2,0)</f>
        <v>2021.1</v>
      </c>
      <c r="N361" s="6"/>
      <c r="O361" s="18">
        <v>40171</v>
      </c>
      <c r="P361" s="91">
        <v>0</v>
      </c>
      <c r="Q361" s="104"/>
      <c r="R361" s="104"/>
      <c r="S361" s="18">
        <v>40178</v>
      </c>
      <c r="T361" s="91">
        <v>1.3941899999999999E-5</v>
      </c>
      <c r="V361"/>
    </row>
    <row r="362" spans="2:22">
      <c r="B362" s="101">
        <v>40171</v>
      </c>
      <c r="C362" s="102">
        <v>0.64531897579999997</v>
      </c>
      <c r="D362" s="102">
        <f>VLOOKUP(CurrentMtgRatesDataTable825[[#This Row],[asofdate]],I:J,2,0)</f>
        <v>0.66173262710000003</v>
      </c>
      <c r="E362" s="102">
        <f>VLOOKUP(CurrentMtgRatesDataTable825[[#This Row],[asofdate]],O:P,2,0)</f>
        <v>0</v>
      </c>
      <c r="F362" s="103">
        <f ca="1">VLOOKUP(CurrentMtgRatesDataTable825[[#This Row],[asofdate]]+1,Bloomberg!B:C,2,0)</f>
        <v>2038.4</v>
      </c>
      <c r="I362" s="18">
        <v>40171</v>
      </c>
      <c r="J362" s="91">
        <v>0.66173262710000003</v>
      </c>
      <c r="K362" s="91">
        <f>VLOOKUP(CurrentMtgRatesDataTable82527141518[[#This Row],[asofdate]],O:P,2,0)</f>
        <v>0</v>
      </c>
      <c r="L362" s="91">
        <f>VLOOKUP(CurrentMtgRatesDataTable82527141518[[#This Row],[asofdate]],S:T,2,0)</f>
        <v>7.6324699999999999E-4</v>
      </c>
      <c r="M362" s="6">
        <f ca="1">VLOOKUP(CurrentMtgRatesDataTable82527141518[[#This Row],[asofdate]]+1,Bloomberg!B:C,2,0)</f>
        <v>2038.4</v>
      </c>
      <c r="N362" s="6"/>
      <c r="O362" s="18">
        <v>40164</v>
      </c>
      <c r="P362" s="91">
        <v>0</v>
      </c>
      <c r="Q362" s="104"/>
      <c r="R362" s="104"/>
      <c r="S362" s="18">
        <v>40171</v>
      </c>
      <c r="T362" s="91">
        <v>7.6324699999999999E-4</v>
      </c>
      <c r="V362"/>
    </row>
    <row r="363" spans="2:22">
      <c r="B363" s="101">
        <v>40164</v>
      </c>
      <c r="C363" s="102">
        <v>0.71195240599999998</v>
      </c>
      <c r="D363" s="102">
        <f>VLOOKUP(CurrentMtgRatesDataTable825[[#This Row],[asofdate]],I:J,2,0)</f>
        <v>0.72694464729999997</v>
      </c>
      <c r="E363" s="102">
        <f>VLOOKUP(CurrentMtgRatesDataTable825[[#This Row],[asofdate]],O:P,2,0)</f>
        <v>0</v>
      </c>
      <c r="F363" s="103">
        <f ca="1">VLOOKUP(CurrentMtgRatesDataTable825[[#This Row],[asofdate]]+1,Bloomberg!B:C,2,0)</f>
        <v>2988.7</v>
      </c>
      <c r="I363" s="18">
        <v>40164</v>
      </c>
      <c r="J363" s="91">
        <v>0.72694464729999997</v>
      </c>
      <c r="K363" s="91">
        <f>VLOOKUP(CurrentMtgRatesDataTable82527141518[[#This Row],[asofdate]],O:P,2,0)</f>
        <v>0</v>
      </c>
      <c r="L363" s="91">
        <f>VLOOKUP(CurrentMtgRatesDataTable82527141518[[#This Row],[asofdate]],S:T,2,0)</f>
        <v>1.26402865E-2</v>
      </c>
      <c r="M363" s="6">
        <f ca="1">VLOOKUP(CurrentMtgRatesDataTable82527141518[[#This Row],[asofdate]]+1,Bloomberg!B:C,2,0)</f>
        <v>2988.7</v>
      </c>
      <c r="N363" s="6"/>
      <c r="O363" s="18">
        <v>40157</v>
      </c>
      <c r="P363" s="91">
        <v>0</v>
      </c>
      <c r="Q363" s="104"/>
      <c r="R363" s="104"/>
      <c r="S363" s="18">
        <v>40164</v>
      </c>
      <c r="T363" s="91">
        <v>1.26402865E-2</v>
      </c>
      <c r="V363"/>
    </row>
    <row r="364" spans="2:22">
      <c r="B364" s="101">
        <v>40157</v>
      </c>
      <c r="C364" s="102">
        <v>0.77762352670000001</v>
      </c>
      <c r="D364" s="102">
        <f>VLOOKUP(CurrentMtgRatesDataTable825[[#This Row],[asofdate]],I:J,2,0)</f>
        <v>0.77484347180000002</v>
      </c>
      <c r="E364" s="102">
        <f>VLOOKUP(CurrentMtgRatesDataTable825[[#This Row],[asofdate]],O:P,2,0)</f>
        <v>0</v>
      </c>
      <c r="F364" s="103">
        <f ca="1">VLOOKUP(CurrentMtgRatesDataTable825[[#This Row],[asofdate]]+1,Bloomberg!B:C,2,0)</f>
        <v>3354</v>
      </c>
      <c r="I364" s="18">
        <v>40157</v>
      </c>
      <c r="J364" s="91">
        <v>0.77484347180000002</v>
      </c>
      <c r="K364" s="91">
        <f>VLOOKUP(CurrentMtgRatesDataTable82527141518[[#This Row],[asofdate]],O:P,2,0)</f>
        <v>0</v>
      </c>
      <c r="L364" s="91">
        <f>VLOOKUP(CurrentMtgRatesDataTable82527141518[[#This Row],[asofdate]],S:T,2,0)</f>
        <v>0.77487696129999994</v>
      </c>
      <c r="M364" s="6">
        <f ca="1">VLOOKUP(CurrentMtgRatesDataTable82527141518[[#This Row],[asofdate]]+1,Bloomberg!B:C,2,0)</f>
        <v>3354</v>
      </c>
      <c r="N364" s="6"/>
      <c r="O364" s="18">
        <v>40150</v>
      </c>
      <c r="P364" s="91">
        <v>0.79182101829999996</v>
      </c>
      <c r="Q364" s="104"/>
      <c r="R364" s="104"/>
      <c r="S364" s="18">
        <v>40157</v>
      </c>
      <c r="T364" s="91">
        <v>0.77487696129999994</v>
      </c>
      <c r="V364"/>
    </row>
    <row r="365" spans="2:22">
      <c r="B365" s="101">
        <v>40150</v>
      </c>
      <c r="C365" s="102">
        <v>0.79405461349999995</v>
      </c>
      <c r="D365" s="102">
        <f>VLOOKUP(CurrentMtgRatesDataTable825[[#This Row],[asofdate]],I:J,2,0)</f>
        <v>0.79178966220000002</v>
      </c>
      <c r="E365" s="102">
        <f>VLOOKUP(CurrentMtgRatesDataTable825[[#This Row],[asofdate]],O:P,2,0)</f>
        <v>0.79182101829999996</v>
      </c>
      <c r="F365" s="103">
        <f ca="1">VLOOKUP(CurrentMtgRatesDataTable825[[#This Row],[asofdate]]+1,Bloomberg!B:C,2,0)</f>
        <v>3312.7</v>
      </c>
      <c r="I365" s="18">
        <v>40150</v>
      </c>
      <c r="J365" s="91">
        <v>0.79178966220000002</v>
      </c>
      <c r="K365" s="91">
        <f>VLOOKUP(CurrentMtgRatesDataTable82527141518[[#This Row],[asofdate]],O:P,2,0)</f>
        <v>0.79182101829999996</v>
      </c>
      <c r="L365" s="91">
        <f>VLOOKUP(CurrentMtgRatesDataTable82527141518[[#This Row],[asofdate]],S:T,2,0)</f>
        <v>0.79182101829999996</v>
      </c>
      <c r="M365" s="6">
        <f ca="1">VLOOKUP(CurrentMtgRatesDataTable82527141518[[#This Row],[asofdate]]+1,Bloomberg!B:C,2,0)</f>
        <v>3312.7</v>
      </c>
      <c r="N365" s="6"/>
      <c r="O365" s="18">
        <v>40142</v>
      </c>
      <c r="P365" s="91">
        <v>1.7464750599999999E-2</v>
      </c>
      <c r="Q365" s="104"/>
      <c r="R365" s="104"/>
      <c r="S365" s="18">
        <v>40150</v>
      </c>
      <c r="T365" s="91">
        <v>0.79182101829999996</v>
      </c>
      <c r="V365"/>
    </row>
    <row r="366" spans="2:22">
      <c r="B366" s="101">
        <v>40142</v>
      </c>
      <c r="C366" s="102">
        <v>0.78805376930000004</v>
      </c>
      <c r="D366" s="102">
        <f>VLOOKUP(CurrentMtgRatesDataTable825[[#This Row],[asofdate]],I:J,2,0)</f>
        <v>0.78923868119999996</v>
      </c>
      <c r="E366" s="102">
        <f>VLOOKUP(CurrentMtgRatesDataTable825[[#This Row],[asofdate]],O:P,2,0)</f>
        <v>1.7464750599999999E-2</v>
      </c>
      <c r="F366" s="103" t="e">
        <f ca="1">VLOOKUP(CurrentMtgRatesDataTable825[[#This Row],[asofdate]]+1,Bloomberg!B:C,2,0)</f>
        <v>#N/A</v>
      </c>
      <c r="I366" s="18">
        <v>40142</v>
      </c>
      <c r="J366" s="91">
        <v>0.78923868119999996</v>
      </c>
      <c r="K366" s="91">
        <f>VLOOKUP(CurrentMtgRatesDataTable82527141518[[#This Row],[asofdate]],O:P,2,0)</f>
        <v>1.7464750599999999E-2</v>
      </c>
      <c r="L366" s="91">
        <f>VLOOKUP(CurrentMtgRatesDataTable82527141518[[#This Row],[asofdate]],S:T,2,0)</f>
        <v>0.78926948910000005</v>
      </c>
      <c r="M366" s="6" t="e">
        <f ca="1">VLOOKUP(CurrentMtgRatesDataTable82527141518[[#This Row],[asofdate]]+1,Bloomberg!B:C,2,0)</f>
        <v>#N/A</v>
      </c>
      <c r="N366" s="6"/>
      <c r="O366" s="18">
        <v>40136</v>
      </c>
      <c r="P366" s="91">
        <v>8.4279416000000006E-3</v>
      </c>
      <c r="Q366" s="104"/>
      <c r="R366" s="104"/>
      <c r="S366" s="18">
        <v>40142</v>
      </c>
      <c r="T366" s="91">
        <v>0.78926948910000005</v>
      </c>
      <c r="V366"/>
    </row>
    <row r="367" spans="2:22">
      <c r="B367" s="101">
        <v>40136</v>
      </c>
      <c r="C367" s="102">
        <v>0.77244808050000002</v>
      </c>
      <c r="D367" s="102">
        <f>VLOOKUP(CurrentMtgRatesDataTable825[[#This Row],[asofdate]],I:J,2,0)</f>
        <v>0.77040720750000002</v>
      </c>
      <c r="E367" s="102">
        <f>VLOOKUP(CurrentMtgRatesDataTable825[[#This Row],[asofdate]],O:P,2,0)</f>
        <v>8.4279416000000006E-3</v>
      </c>
      <c r="F367" s="103">
        <f ca="1">VLOOKUP(CurrentMtgRatesDataTable825[[#This Row],[asofdate]]+1,Bloomberg!B:C,2,0)</f>
        <v>2815.1</v>
      </c>
      <c r="I367" s="18">
        <v>40136</v>
      </c>
      <c r="J367" s="91">
        <v>0.77040720750000002</v>
      </c>
      <c r="K367" s="91">
        <f>VLOOKUP(CurrentMtgRatesDataTable82527141518[[#This Row],[asofdate]],O:P,2,0)</f>
        <v>8.4279416000000006E-3</v>
      </c>
      <c r="L367" s="91">
        <f>VLOOKUP(CurrentMtgRatesDataTable82527141518[[#This Row],[asofdate]],S:T,2,0)</f>
        <v>0.77043178379999999</v>
      </c>
      <c r="M367" s="6">
        <f ca="1">VLOOKUP(CurrentMtgRatesDataTable82527141518[[#This Row],[asofdate]]+1,Bloomberg!B:C,2,0)</f>
        <v>2815.1</v>
      </c>
      <c r="N367" s="6"/>
      <c r="O367" s="18">
        <v>40129</v>
      </c>
      <c r="P367" s="91">
        <v>0</v>
      </c>
      <c r="Q367" s="104"/>
      <c r="R367" s="104"/>
      <c r="S367" s="18">
        <v>40136</v>
      </c>
      <c r="T367" s="91">
        <v>0.77043178379999999</v>
      </c>
      <c r="V367"/>
    </row>
    <row r="368" spans="2:22">
      <c r="B368" s="101">
        <v>40129</v>
      </c>
      <c r="C368" s="102">
        <v>0.73860401099999995</v>
      </c>
      <c r="D368" s="102">
        <f>VLOOKUP(CurrentMtgRatesDataTable825[[#This Row],[asofdate]],I:J,2,0)</f>
        <v>0.74775831650000002</v>
      </c>
      <c r="E368" s="102">
        <f>VLOOKUP(CurrentMtgRatesDataTable825[[#This Row],[asofdate]],O:P,2,0)</f>
        <v>0</v>
      </c>
      <c r="F368" s="103">
        <f ca="1">VLOOKUP(CurrentMtgRatesDataTable825[[#This Row],[asofdate]]+1,Bloomberg!B:C,2,0)</f>
        <v>3117</v>
      </c>
      <c r="I368" s="18">
        <v>40129</v>
      </c>
      <c r="J368" s="91">
        <v>0.74775831650000002</v>
      </c>
      <c r="K368" s="91">
        <f>VLOOKUP(CurrentMtgRatesDataTable82527141518[[#This Row],[asofdate]],O:P,2,0)</f>
        <v>0</v>
      </c>
      <c r="L368" s="91">
        <f>VLOOKUP(CurrentMtgRatesDataTable82527141518[[#This Row],[asofdate]],S:T,2,0)</f>
        <v>0.747663572</v>
      </c>
      <c r="M368" s="6">
        <f ca="1">VLOOKUP(CurrentMtgRatesDataTable82527141518[[#This Row],[asofdate]]+1,Bloomberg!B:C,2,0)</f>
        <v>3117</v>
      </c>
      <c r="N368" s="6"/>
      <c r="O368" s="18">
        <v>40122</v>
      </c>
      <c r="P368" s="91">
        <v>0</v>
      </c>
      <c r="Q368" s="104"/>
      <c r="R368" s="104"/>
      <c r="S368" s="18">
        <v>40129</v>
      </c>
      <c r="T368" s="91">
        <v>0.747663572</v>
      </c>
      <c r="V368"/>
    </row>
    <row r="369" spans="2:22">
      <c r="B369" s="101">
        <v>40122</v>
      </c>
      <c r="C369" s="102">
        <v>0.69334613379999999</v>
      </c>
      <c r="D369" s="102">
        <f>VLOOKUP(CurrentMtgRatesDataTable825[[#This Row],[asofdate]],I:J,2,0)</f>
        <v>0.70960038569999995</v>
      </c>
      <c r="E369" s="102">
        <f>VLOOKUP(CurrentMtgRatesDataTable825[[#This Row],[asofdate]],O:P,2,0)</f>
        <v>0</v>
      </c>
      <c r="F369" s="103">
        <f ca="1">VLOOKUP(CurrentMtgRatesDataTable825[[#This Row],[asofdate]]+1,Bloomberg!B:C,2,0)</f>
        <v>2996</v>
      </c>
      <c r="I369" s="18">
        <v>40122</v>
      </c>
      <c r="J369" s="91">
        <v>0.70960038569999995</v>
      </c>
      <c r="K369" s="91">
        <f>VLOOKUP(CurrentMtgRatesDataTable82527141518[[#This Row],[asofdate]],O:P,2,0)</f>
        <v>0</v>
      </c>
      <c r="L369" s="91">
        <f>VLOOKUP(CurrentMtgRatesDataTable82527141518[[#This Row],[asofdate]],S:T,2,0)</f>
        <v>9.4062940000000008E-3</v>
      </c>
      <c r="M369" s="6">
        <f ca="1">VLOOKUP(CurrentMtgRatesDataTable82527141518[[#This Row],[asofdate]]+1,Bloomberg!B:C,2,0)</f>
        <v>2996</v>
      </c>
      <c r="N369" s="6"/>
      <c r="O369" s="18">
        <v>40115</v>
      </c>
      <c r="P369" s="91">
        <v>0</v>
      </c>
      <c r="Q369" s="104"/>
      <c r="R369" s="104"/>
      <c r="S369" s="18">
        <v>40122</v>
      </c>
      <c r="T369" s="91">
        <v>9.4062940000000008E-3</v>
      </c>
      <c r="V369"/>
    </row>
    <row r="370" spans="2:22">
      <c r="B370" s="101">
        <v>40115</v>
      </c>
      <c r="C370" s="102">
        <v>0.68194236509999995</v>
      </c>
      <c r="D370" s="102">
        <f>VLOOKUP(CurrentMtgRatesDataTable825[[#This Row],[asofdate]],I:J,2,0)</f>
        <v>0.70441895249999997</v>
      </c>
      <c r="E370" s="102">
        <f>VLOOKUP(CurrentMtgRatesDataTable825[[#This Row],[asofdate]],O:P,2,0)</f>
        <v>0</v>
      </c>
      <c r="F370" s="103">
        <f ca="1">VLOOKUP(CurrentMtgRatesDataTable825[[#This Row],[asofdate]]+1,Bloomberg!B:C,2,0)</f>
        <v>2715.2</v>
      </c>
      <c r="I370" s="18">
        <v>40115</v>
      </c>
      <c r="J370" s="91">
        <v>0.70441895249999997</v>
      </c>
      <c r="K370" s="91">
        <f>VLOOKUP(CurrentMtgRatesDataTable82527141518[[#This Row],[asofdate]],O:P,2,0)</f>
        <v>0</v>
      </c>
      <c r="L370" s="91">
        <f>VLOOKUP(CurrentMtgRatesDataTable82527141518[[#This Row],[asofdate]],S:T,2,0)</f>
        <v>4.9326667000000003E-3</v>
      </c>
      <c r="M370" s="6">
        <f ca="1">VLOOKUP(CurrentMtgRatesDataTable82527141518[[#This Row],[asofdate]]+1,Bloomberg!B:C,2,0)</f>
        <v>2715.2</v>
      </c>
      <c r="N370" s="6"/>
      <c r="O370" s="18">
        <v>40108</v>
      </c>
      <c r="P370" s="91">
        <v>0</v>
      </c>
      <c r="Q370" s="104"/>
      <c r="R370" s="104"/>
      <c r="S370" s="18">
        <v>40115</v>
      </c>
      <c r="T370" s="91">
        <v>4.9326667000000003E-3</v>
      </c>
      <c r="V370"/>
    </row>
    <row r="371" spans="2:22">
      <c r="B371" s="101">
        <v>40108</v>
      </c>
      <c r="C371" s="102">
        <v>0.70027208269999996</v>
      </c>
      <c r="D371" s="102">
        <f>VLOOKUP(CurrentMtgRatesDataTable825[[#This Row],[asofdate]],I:J,2,0)</f>
        <v>0.72756030579999997</v>
      </c>
      <c r="E371" s="102">
        <f>VLOOKUP(CurrentMtgRatesDataTable825[[#This Row],[asofdate]],O:P,2,0)</f>
        <v>0</v>
      </c>
      <c r="F371" s="103">
        <f ca="1">VLOOKUP(CurrentMtgRatesDataTable825[[#This Row],[asofdate]]+1,Bloomberg!B:C,2,0)</f>
        <v>2304</v>
      </c>
      <c r="I371" s="18">
        <v>40108</v>
      </c>
      <c r="J371" s="91">
        <v>0.72756030579999997</v>
      </c>
      <c r="K371" s="91">
        <f>VLOOKUP(CurrentMtgRatesDataTable82527141518[[#This Row],[asofdate]],O:P,2,0)</f>
        <v>0</v>
      </c>
      <c r="L371" s="91">
        <f>VLOOKUP(CurrentMtgRatesDataTable82527141518[[#This Row],[asofdate]],S:T,2,0)</f>
        <v>8.2292375999999997E-3</v>
      </c>
      <c r="M371" s="6">
        <f ca="1">VLOOKUP(CurrentMtgRatesDataTable82527141518[[#This Row],[asofdate]]+1,Bloomberg!B:C,2,0)</f>
        <v>2304</v>
      </c>
      <c r="N371" s="6"/>
      <c r="O371" s="18">
        <v>40101</v>
      </c>
      <c r="P371" s="91">
        <v>0</v>
      </c>
      <c r="Q371" s="104"/>
      <c r="R371" s="104"/>
      <c r="S371" s="18">
        <v>40108</v>
      </c>
      <c r="T371" s="91">
        <v>8.2292375999999997E-3</v>
      </c>
      <c r="V371"/>
    </row>
    <row r="372" spans="2:22">
      <c r="B372" s="101">
        <v>40101</v>
      </c>
      <c r="C372" s="102">
        <v>0.74934790669999995</v>
      </c>
      <c r="D372" s="102">
        <f>VLOOKUP(CurrentMtgRatesDataTable825[[#This Row],[asofdate]],I:J,2,0)</f>
        <v>0.768372108</v>
      </c>
      <c r="E372" s="102">
        <f>VLOOKUP(CurrentMtgRatesDataTable825[[#This Row],[asofdate]],O:P,2,0)</f>
        <v>0</v>
      </c>
      <c r="F372" s="103">
        <f ca="1">VLOOKUP(CurrentMtgRatesDataTable825[[#This Row],[asofdate]]+1,Bloomberg!B:C,2,0)</f>
        <v>2774.7</v>
      </c>
      <c r="I372" s="18">
        <v>40101</v>
      </c>
      <c r="J372" s="91">
        <v>0.768372108</v>
      </c>
      <c r="K372" s="91">
        <f>VLOOKUP(CurrentMtgRatesDataTable82527141518[[#This Row],[asofdate]],O:P,2,0)</f>
        <v>0</v>
      </c>
      <c r="L372" s="91">
        <f>VLOOKUP(CurrentMtgRatesDataTable82527141518[[#This Row],[asofdate]],S:T,2,0)</f>
        <v>0.76839137859999995</v>
      </c>
      <c r="M372" s="6">
        <f ca="1">VLOOKUP(CurrentMtgRatesDataTable82527141518[[#This Row],[asofdate]]+1,Bloomberg!B:C,2,0)</f>
        <v>2774.7</v>
      </c>
      <c r="N372" s="6"/>
      <c r="O372" s="18">
        <v>40094</v>
      </c>
      <c r="P372" s="91">
        <v>5.3882499999999998E-3</v>
      </c>
      <c r="Q372" s="104"/>
      <c r="R372" s="104"/>
      <c r="S372" s="18">
        <v>40101</v>
      </c>
      <c r="T372" s="91">
        <v>0.76839137859999995</v>
      </c>
      <c r="V372"/>
    </row>
    <row r="373" spans="2:22">
      <c r="B373" s="101">
        <v>40094</v>
      </c>
      <c r="C373" s="102">
        <v>0.77259198549999997</v>
      </c>
      <c r="D373" s="102">
        <f>VLOOKUP(CurrentMtgRatesDataTable825[[#This Row],[asofdate]],I:J,2,0)</f>
        <v>0.79042688480000001</v>
      </c>
      <c r="E373" s="102">
        <f>VLOOKUP(CurrentMtgRatesDataTable825[[#This Row],[asofdate]],O:P,2,0)</f>
        <v>5.3882499999999998E-3</v>
      </c>
      <c r="F373" s="103">
        <f ca="1">VLOOKUP(CurrentMtgRatesDataTable825[[#This Row],[asofdate]]+1,Bloomberg!B:C,2,0)</f>
        <v>3280.3</v>
      </c>
      <c r="I373" s="18">
        <v>40094</v>
      </c>
      <c r="J373" s="91">
        <v>0.79042688480000001</v>
      </c>
      <c r="K373" s="91">
        <f>VLOOKUP(CurrentMtgRatesDataTable82527141518[[#This Row],[asofdate]],O:P,2,0)</f>
        <v>5.3882499999999998E-3</v>
      </c>
      <c r="L373" s="91">
        <f>VLOOKUP(CurrentMtgRatesDataTable82527141518[[#This Row],[asofdate]],S:T,2,0)</f>
        <v>0.79045908549999999</v>
      </c>
      <c r="M373" s="6">
        <f ca="1">VLOOKUP(CurrentMtgRatesDataTable82527141518[[#This Row],[asofdate]]+1,Bloomberg!B:C,2,0)</f>
        <v>3280.3</v>
      </c>
      <c r="N373" s="6"/>
      <c r="O373" s="18">
        <v>40087</v>
      </c>
      <c r="P373" s="91">
        <v>4.1859721000000001E-3</v>
      </c>
      <c r="Q373" s="104"/>
      <c r="R373" s="104"/>
      <c r="S373" s="18">
        <v>40094</v>
      </c>
      <c r="T373" s="91">
        <v>0.79045908549999999</v>
      </c>
      <c r="V373"/>
    </row>
    <row r="374" spans="2:22">
      <c r="B374" s="101">
        <v>40087</v>
      </c>
      <c r="C374" s="102">
        <v>0.73905376229999997</v>
      </c>
      <c r="D374" s="102">
        <f>VLOOKUP(CurrentMtgRatesDataTable825[[#This Row],[asofdate]],I:J,2,0)</f>
        <v>0.76424793329999996</v>
      </c>
      <c r="E374" s="102">
        <f>VLOOKUP(CurrentMtgRatesDataTable825[[#This Row],[asofdate]],O:P,2,0)</f>
        <v>4.1859721000000001E-3</v>
      </c>
      <c r="F374" s="103">
        <f ca="1">VLOOKUP(CurrentMtgRatesDataTable825[[#This Row],[asofdate]]+1,Bloomberg!B:C,2,0)</f>
        <v>3230.9</v>
      </c>
      <c r="I374" s="18">
        <v>40087</v>
      </c>
      <c r="J374" s="91">
        <v>0.76424793329999996</v>
      </c>
      <c r="K374" s="91">
        <f>VLOOKUP(CurrentMtgRatesDataTable82527141518[[#This Row],[asofdate]],O:P,2,0)</f>
        <v>4.1859721000000001E-3</v>
      </c>
      <c r="L374" s="91">
        <f>VLOOKUP(CurrentMtgRatesDataTable82527141518[[#This Row],[asofdate]],S:T,2,0)</f>
        <v>0.76420351740000003</v>
      </c>
      <c r="M374" s="6">
        <f ca="1">VLOOKUP(CurrentMtgRatesDataTable82527141518[[#This Row],[asofdate]]+1,Bloomberg!B:C,2,0)</f>
        <v>3230.9</v>
      </c>
      <c r="N374" s="6"/>
      <c r="O374" s="18">
        <v>40080</v>
      </c>
      <c r="P374" s="91">
        <v>1.882552E-3</v>
      </c>
      <c r="Q374" s="104"/>
      <c r="R374" s="104"/>
      <c r="S374" s="18">
        <v>40087</v>
      </c>
      <c r="T374" s="91">
        <v>0.76420351740000003</v>
      </c>
      <c r="V374"/>
    </row>
    <row r="375" spans="2:22">
      <c r="B375" s="101">
        <v>40080</v>
      </c>
      <c r="C375" s="102">
        <v>0.7101193495</v>
      </c>
      <c r="D375" s="102">
        <f>VLOOKUP(CurrentMtgRatesDataTable825[[#This Row],[asofdate]],I:J,2,0)</f>
        <v>0.73044929209999998</v>
      </c>
      <c r="E375" s="102">
        <f>VLOOKUP(CurrentMtgRatesDataTable825[[#This Row],[asofdate]],O:P,2,0)</f>
        <v>1.882552E-3</v>
      </c>
      <c r="F375" s="103">
        <f ca="1">VLOOKUP(CurrentMtgRatesDataTable825[[#This Row],[asofdate]]+1,Bloomberg!B:C,2,0)</f>
        <v>2655.8</v>
      </c>
      <c r="I375" s="18">
        <v>40080</v>
      </c>
      <c r="J375" s="91">
        <v>0.73044929209999998</v>
      </c>
      <c r="K375" s="91">
        <f>VLOOKUP(CurrentMtgRatesDataTable82527141518[[#This Row],[asofdate]],O:P,2,0)</f>
        <v>1.882552E-3</v>
      </c>
      <c r="L375" s="91">
        <f>VLOOKUP(CurrentMtgRatesDataTable82527141518[[#This Row],[asofdate]],S:T,2,0)</f>
        <v>1.51329173E-2</v>
      </c>
      <c r="M375" s="6">
        <f ca="1">VLOOKUP(CurrentMtgRatesDataTable82527141518[[#This Row],[asofdate]]+1,Bloomberg!B:C,2,0)</f>
        <v>2655.8</v>
      </c>
      <c r="N375" s="6"/>
      <c r="O375" s="18">
        <v>40073</v>
      </c>
      <c r="P375" s="91">
        <v>1.8440702000000002E-3</v>
      </c>
      <c r="Q375" s="104"/>
      <c r="R375" s="104"/>
      <c r="S375" s="18">
        <v>40080</v>
      </c>
      <c r="T375" s="91">
        <v>1.51329173E-2</v>
      </c>
      <c r="V375"/>
    </row>
    <row r="376" spans="2:22">
      <c r="B376" s="101">
        <v>40073</v>
      </c>
      <c r="C376" s="102">
        <v>0.69825520549999998</v>
      </c>
      <c r="D376" s="102">
        <f>VLOOKUP(CurrentMtgRatesDataTable825[[#This Row],[asofdate]],I:J,2,0)</f>
        <v>0.72287040550000004</v>
      </c>
      <c r="E376" s="102">
        <f>VLOOKUP(CurrentMtgRatesDataTable825[[#This Row],[asofdate]],O:P,2,0)</f>
        <v>1.8440702000000002E-3</v>
      </c>
      <c r="F376" s="103">
        <f ca="1">VLOOKUP(CurrentMtgRatesDataTable825[[#This Row],[asofdate]]+1,Bloomberg!B:C,2,0)</f>
        <v>2632.2</v>
      </c>
      <c r="I376" s="18">
        <v>40073</v>
      </c>
      <c r="J376" s="91">
        <v>0.72287040550000004</v>
      </c>
      <c r="K376" s="91">
        <f>VLOOKUP(CurrentMtgRatesDataTable82527141518[[#This Row],[asofdate]],O:P,2,0)</f>
        <v>1.8440702000000002E-3</v>
      </c>
      <c r="L376" s="91">
        <f>VLOOKUP(CurrentMtgRatesDataTable82527141518[[#This Row],[asofdate]],S:T,2,0)</f>
        <v>9.0398625000000007E-3</v>
      </c>
      <c r="M376" s="6">
        <f ca="1">VLOOKUP(CurrentMtgRatesDataTable82527141518[[#This Row],[asofdate]]+1,Bloomberg!B:C,2,0)</f>
        <v>2632.2</v>
      </c>
      <c r="N376" s="6"/>
      <c r="O376" s="18">
        <v>40066</v>
      </c>
      <c r="P376" s="91">
        <v>1.8238699E-3</v>
      </c>
      <c r="Q376" s="104"/>
      <c r="R376" s="104"/>
      <c r="S376" s="18">
        <v>40073</v>
      </c>
      <c r="T376" s="91">
        <v>9.0398625000000007E-3</v>
      </c>
      <c r="V376"/>
    </row>
    <row r="377" spans="2:22">
      <c r="B377" s="101">
        <v>40066</v>
      </c>
      <c r="C377" s="102">
        <v>0.68080495220000004</v>
      </c>
      <c r="D377" s="102">
        <f>VLOOKUP(CurrentMtgRatesDataTable825[[#This Row],[asofdate]],I:J,2,0)</f>
        <v>0.71195266859999995</v>
      </c>
      <c r="E377" s="102">
        <f>VLOOKUP(CurrentMtgRatesDataTable825[[#This Row],[asofdate]],O:P,2,0)</f>
        <v>1.8238699E-3</v>
      </c>
      <c r="F377" s="103">
        <f ca="1">VLOOKUP(CurrentMtgRatesDataTable825[[#This Row],[asofdate]]+1,Bloomberg!B:C,2,0)</f>
        <v>2216.3000000000002</v>
      </c>
      <c r="I377" s="18">
        <v>40066</v>
      </c>
      <c r="J377" s="91">
        <v>0.71195266859999995</v>
      </c>
      <c r="K377" s="91">
        <f>VLOOKUP(CurrentMtgRatesDataTable82527141518[[#This Row],[asofdate]],O:P,2,0)</f>
        <v>1.8238699E-3</v>
      </c>
      <c r="L377" s="91">
        <f>VLOOKUP(CurrentMtgRatesDataTable82527141518[[#This Row],[asofdate]],S:T,2,0)</f>
        <v>9.0105779000000004E-3</v>
      </c>
      <c r="M377" s="6">
        <f ca="1">VLOOKUP(CurrentMtgRatesDataTable82527141518[[#This Row],[asofdate]]+1,Bloomberg!B:C,2,0)</f>
        <v>2216.3000000000002</v>
      </c>
      <c r="N377" s="6"/>
      <c r="O377" s="18">
        <v>40059</v>
      </c>
      <c r="P377" s="91">
        <v>1.4198030000000001E-3</v>
      </c>
      <c r="Q377" s="104"/>
      <c r="R377" s="104"/>
      <c r="S377" s="18">
        <v>40066</v>
      </c>
      <c r="T377" s="91">
        <v>9.0105779000000004E-3</v>
      </c>
      <c r="V377"/>
    </row>
    <row r="378" spans="2:22">
      <c r="B378" s="101">
        <v>40059</v>
      </c>
      <c r="C378" s="102">
        <v>0.67081675360000004</v>
      </c>
      <c r="D378" s="102">
        <f>VLOOKUP(CurrentMtgRatesDataTable825[[#This Row],[asofdate]],I:J,2,0)</f>
        <v>0.69597172249999995</v>
      </c>
      <c r="E378" s="102">
        <f>VLOOKUP(CurrentMtgRatesDataTable825[[#This Row],[asofdate]],O:P,2,0)</f>
        <v>1.4198030000000001E-3</v>
      </c>
      <c r="F378" s="103">
        <f ca="1">VLOOKUP(CurrentMtgRatesDataTable825[[#This Row],[asofdate]]+1,Bloomberg!B:C,2,0)</f>
        <v>2383.6999999999998</v>
      </c>
      <c r="I378" s="18">
        <v>40059</v>
      </c>
      <c r="J378" s="91">
        <v>0.69597172249999995</v>
      </c>
      <c r="K378" s="91">
        <f>VLOOKUP(CurrentMtgRatesDataTable82527141518[[#This Row],[asofdate]],O:P,2,0)</f>
        <v>1.4198030000000001E-3</v>
      </c>
      <c r="L378" s="91">
        <f>VLOOKUP(CurrentMtgRatesDataTable82527141518[[#This Row],[asofdate]],S:T,2,0)</f>
        <v>7.4750987999999997E-3</v>
      </c>
      <c r="M378" s="6">
        <f ca="1">VLOOKUP(CurrentMtgRatesDataTable82527141518[[#This Row],[asofdate]]+1,Bloomberg!B:C,2,0)</f>
        <v>2383.6999999999998</v>
      </c>
      <c r="N378" s="6"/>
      <c r="O378" s="18">
        <v>40052</v>
      </c>
      <c r="P378" s="91">
        <v>0</v>
      </c>
      <c r="Q378" s="104"/>
      <c r="R378" s="104"/>
      <c r="S378" s="18">
        <v>40059</v>
      </c>
      <c r="T378" s="91">
        <v>7.4750987999999997E-3</v>
      </c>
      <c r="V378"/>
    </row>
    <row r="379" spans="2:22">
      <c r="B379" s="101">
        <v>40052</v>
      </c>
      <c r="C379" s="102">
        <v>0.65629975750000002</v>
      </c>
      <c r="D379" s="102">
        <f>VLOOKUP(CurrentMtgRatesDataTable825[[#This Row],[asofdate]],I:J,2,0)</f>
        <v>0.68787756899999997</v>
      </c>
      <c r="E379" s="102">
        <f>VLOOKUP(CurrentMtgRatesDataTable825[[#This Row],[asofdate]],O:P,2,0)</f>
        <v>0</v>
      </c>
      <c r="F379" s="103">
        <f ca="1">VLOOKUP(CurrentMtgRatesDataTable825[[#This Row],[asofdate]]+1,Bloomberg!B:C,2,0)</f>
        <v>1955.9</v>
      </c>
      <c r="I379" s="18">
        <v>40052</v>
      </c>
      <c r="J379" s="91">
        <v>0.68787756899999997</v>
      </c>
      <c r="K379" s="91">
        <f>VLOOKUP(CurrentMtgRatesDataTable82527141518[[#This Row],[asofdate]],O:P,2,0)</f>
        <v>0</v>
      </c>
      <c r="L379" s="91">
        <f>VLOOKUP(CurrentMtgRatesDataTable82527141518[[#This Row],[asofdate]],S:T,2,0)</f>
        <v>3.8280061000000002E-3</v>
      </c>
      <c r="M379" s="6">
        <f ca="1">VLOOKUP(CurrentMtgRatesDataTable82527141518[[#This Row],[asofdate]]+1,Bloomberg!B:C,2,0)</f>
        <v>1955.9</v>
      </c>
      <c r="N379" s="6"/>
      <c r="O379" s="18">
        <v>40045</v>
      </c>
      <c r="P379" s="91">
        <v>7.3150190000000005E-4</v>
      </c>
      <c r="Q379" s="104"/>
      <c r="R379" s="104"/>
      <c r="S379" s="18">
        <v>40052</v>
      </c>
      <c r="T379" s="91">
        <v>3.8280061000000002E-3</v>
      </c>
      <c r="V379"/>
    </row>
    <row r="380" spans="2:22">
      <c r="B380" s="101">
        <v>40045</v>
      </c>
      <c r="C380" s="102">
        <v>0.67752276570000003</v>
      </c>
      <c r="D380" s="102">
        <f>VLOOKUP(CurrentMtgRatesDataTable825[[#This Row],[asofdate]],I:J,2,0)</f>
        <v>0.71911560149999998</v>
      </c>
      <c r="E380" s="102">
        <f>VLOOKUP(CurrentMtgRatesDataTable825[[#This Row],[asofdate]],O:P,2,0)</f>
        <v>7.3150190000000005E-4</v>
      </c>
      <c r="F380" s="103">
        <f ca="1">VLOOKUP(CurrentMtgRatesDataTable825[[#This Row],[asofdate]]+1,Bloomberg!B:C,2,0)</f>
        <v>1983.2</v>
      </c>
      <c r="I380" s="18">
        <v>40045</v>
      </c>
      <c r="J380" s="91">
        <v>0.71911560149999998</v>
      </c>
      <c r="K380" s="91">
        <f>VLOOKUP(CurrentMtgRatesDataTable82527141518[[#This Row],[asofdate]],O:P,2,0)</f>
        <v>7.3150190000000005E-4</v>
      </c>
      <c r="L380" s="91">
        <f>VLOOKUP(CurrentMtgRatesDataTable82527141518[[#This Row],[asofdate]],S:T,2,0)</f>
        <v>6.7441365000000001E-3</v>
      </c>
      <c r="M380" s="6">
        <f ca="1">VLOOKUP(CurrentMtgRatesDataTable82527141518[[#This Row],[asofdate]]+1,Bloomberg!B:C,2,0)</f>
        <v>1983.2</v>
      </c>
      <c r="N380" s="6"/>
      <c r="O380" s="18">
        <v>40038</v>
      </c>
      <c r="P380" s="91">
        <v>0</v>
      </c>
      <c r="Q380" s="104"/>
      <c r="R380" s="104"/>
      <c r="S380" s="18">
        <v>40045</v>
      </c>
      <c r="T380" s="91">
        <v>6.7441365000000001E-3</v>
      </c>
      <c r="V380"/>
    </row>
    <row r="381" spans="2:22">
      <c r="B381" s="101">
        <v>40038</v>
      </c>
      <c r="C381" s="102">
        <v>0.56350972649999997</v>
      </c>
      <c r="D381" s="102">
        <f>VLOOKUP(CurrentMtgRatesDataTable825[[#This Row],[asofdate]],I:J,2,0)</f>
        <v>0.5942714322</v>
      </c>
      <c r="E381" s="102">
        <f>VLOOKUP(CurrentMtgRatesDataTable825[[#This Row],[asofdate]],O:P,2,0)</f>
        <v>0</v>
      </c>
      <c r="F381" s="103">
        <f ca="1">VLOOKUP(CurrentMtgRatesDataTable825[[#This Row],[asofdate]]+1,Bloomberg!B:C,2,0)</f>
        <v>1782.2</v>
      </c>
      <c r="I381" s="18">
        <v>40038</v>
      </c>
      <c r="J381" s="91">
        <v>0.5942714322</v>
      </c>
      <c r="K381" s="91">
        <f>VLOOKUP(CurrentMtgRatesDataTable82527141518[[#This Row],[asofdate]],O:P,2,0)</f>
        <v>0</v>
      </c>
      <c r="L381" s="91">
        <f>VLOOKUP(CurrentMtgRatesDataTable82527141518[[#This Row],[asofdate]],S:T,2,0)</f>
        <v>1.407658E-3</v>
      </c>
      <c r="M381" s="6">
        <f ca="1">VLOOKUP(CurrentMtgRatesDataTable82527141518[[#This Row],[asofdate]]+1,Bloomberg!B:C,2,0)</f>
        <v>1782.2</v>
      </c>
      <c r="N381" s="6"/>
      <c r="O381" s="18">
        <v>40031</v>
      </c>
      <c r="P381" s="91">
        <v>0</v>
      </c>
      <c r="Q381" s="104"/>
      <c r="R381" s="104"/>
      <c r="S381" s="18">
        <v>40038</v>
      </c>
      <c r="T381" s="91">
        <v>1.407658E-3</v>
      </c>
      <c r="V381"/>
    </row>
    <row r="382" spans="2:22">
      <c r="B382" s="101">
        <v>40031</v>
      </c>
      <c r="C382" s="102">
        <v>0.62840261080000004</v>
      </c>
      <c r="D382" s="102">
        <f>VLOOKUP(CurrentMtgRatesDataTable825[[#This Row],[asofdate]],I:J,2,0)</f>
        <v>0.67630454740000001</v>
      </c>
      <c r="E382" s="102">
        <f>VLOOKUP(CurrentMtgRatesDataTable825[[#This Row],[asofdate]],O:P,2,0)</f>
        <v>0</v>
      </c>
      <c r="F382" s="103">
        <f ca="1">VLOOKUP(CurrentMtgRatesDataTable825[[#This Row],[asofdate]]+1,Bloomberg!B:C,2,0)</f>
        <v>1659.1</v>
      </c>
      <c r="I382" s="18">
        <v>40031</v>
      </c>
      <c r="J382" s="91">
        <v>0.67630454740000001</v>
      </c>
      <c r="K382" s="91">
        <f>VLOOKUP(CurrentMtgRatesDataTable82527141518[[#This Row],[asofdate]],O:P,2,0)</f>
        <v>0</v>
      </c>
      <c r="L382" s="91">
        <f>VLOOKUP(CurrentMtgRatesDataTable82527141518[[#This Row],[asofdate]],S:T,2,0)</f>
        <v>3.6532496000000001E-3</v>
      </c>
      <c r="M382" s="6">
        <f ca="1">VLOOKUP(CurrentMtgRatesDataTable82527141518[[#This Row],[asofdate]]+1,Bloomberg!B:C,2,0)</f>
        <v>1659.1</v>
      </c>
      <c r="N382" s="6"/>
      <c r="O382" s="18">
        <v>40024</v>
      </c>
      <c r="P382" s="91">
        <v>0</v>
      </c>
      <c r="Q382" s="104"/>
      <c r="R382" s="104"/>
      <c r="S382" s="18">
        <v>40031</v>
      </c>
      <c r="T382" s="91">
        <v>3.6532496000000001E-3</v>
      </c>
      <c r="V382"/>
    </row>
    <row r="383" spans="2:22">
      <c r="B383" s="101">
        <v>40024</v>
      </c>
      <c r="C383" s="102">
        <v>0.63187604159999999</v>
      </c>
      <c r="D383" s="102">
        <f>VLOOKUP(CurrentMtgRatesDataTable825[[#This Row],[asofdate]],I:J,2,0)</f>
        <v>0.67072310170000005</v>
      </c>
      <c r="E383" s="102">
        <f>VLOOKUP(CurrentMtgRatesDataTable825[[#This Row],[asofdate]],O:P,2,0)</f>
        <v>0</v>
      </c>
      <c r="F383" s="103">
        <f ca="1">VLOOKUP(CurrentMtgRatesDataTable825[[#This Row],[asofdate]]+1,Bloomberg!B:C,2,0)</f>
        <v>1826</v>
      </c>
      <c r="I383" s="18">
        <v>40024</v>
      </c>
      <c r="J383" s="91">
        <v>0.67072310170000005</v>
      </c>
      <c r="K383" s="91">
        <f>VLOOKUP(CurrentMtgRatesDataTable82527141518[[#This Row],[asofdate]],O:P,2,0)</f>
        <v>0</v>
      </c>
      <c r="L383" s="91">
        <f>VLOOKUP(CurrentMtgRatesDataTable82527141518[[#This Row],[asofdate]],S:T,2,0)</f>
        <v>2.0640286000000001E-3</v>
      </c>
      <c r="M383" s="6">
        <f ca="1">VLOOKUP(CurrentMtgRatesDataTable82527141518[[#This Row],[asofdate]]+1,Bloomberg!B:C,2,0)</f>
        <v>1826</v>
      </c>
      <c r="N383" s="6"/>
      <c r="O383" s="18">
        <v>40017</v>
      </c>
      <c r="P383" s="91">
        <v>0</v>
      </c>
      <c r="Q383" s="104"/>
      <c r="R383" s="104"/>
      <c r="S383" s="18">
        <v>40024</v>
      </c>
      <c r="T383" s="91">
        <v>2.0640286000000001E-3</v>
      </c>
      <c r="V383"/>
    </row>
    <row r="384" spans="2:22">
      <c r="B384" s="101">
        <v>40017</v>
      </c>
      <c r="C384" s="102">
        <v>0.65469587100000004</v>
      </c>
      <c r="D384" s="102">
        <f>VLOOKUP(CurrentMtgRatesDataTable825[[#This Row],[asofdate]],I:J,2,0)</f>
        <v>0.69678739609999996</v>
      </c>
      <c r="E384" s="102">
        <f>VLOOKUP(CurrentMtgRatesDataTable825[[#This Row],[asofdate]],O:P,2,0)</f>
        <v>0</v>
      </c>
      <c r="F384" s="103">
        <f ca="1">VLOOKUP(CurrentMtgRatesDataTable825[[#This Row],[asofdate]]+1,Bloomberg!B:C,2,0)</f>
        <v>1702.7</v>
      </c>
      <c r="I384" s="18">
        <v>40017</v>
      </c>
      <c r="J384" s="91">
        <v>0.69678739609999996</v>
      </c>
      <c r="K384" s="91">
        <f>VLOOKUP(CurrentMtgRatesDataTable82527141518[[#This Row],[asofdate]],O:P,2,0)</f>
        <v>0</v>
      </c>
      <c r="L384" s="91">
        <f>VLOOKUP(CurrentMtgRatesDataTable82527141518[[#This Row],[asofdate]],S:T,2,0)</f>
        <v>2.4396846999999999E-3</v>
      </c>
      <c r="M384" s="6">
        <f ca="1">VLOOKUP(CurrentMtgRatesDataTable82527141518[[#This Row],[asofdate]]+1,Bloomberg!B:C,2,0)</f>
        <v>1702.7</v>
      </c>
      <c r="N384" s="6"/>
      <c r="O384" s="18">
        <v>40010</v>
      </c>
      <c r="P384" s="91">
        <v>6.1317399999999997E-5</v>
      </c>
      <c r="Q384" s="104"/>
      <c r="R384" s="104"/>
      <c r="S384" s="18">
        <v>40017</v>
      </c>
      <c r="T384" s="91">
        <v>2.4396846999999999E-3</v>
      </c>
      <c r="V384"/>
    </row>
    <row r="385" spans="2:22">
      <c r="B385" s="101">
        <v>40010</v>
      </c>
      <c r="C385" s="102">
        <v>0.68774564520000003</v>
      </c>
      <c r="D385" s="102">
        <f>VLOOKUP(CurrentMtgRatesDataTable825[[#This Row],[asofdate]],I:J,2,0)</f>
        <v>0.71116433310000005</v>
      </c>
      <c r="E385" s="102">
        <f>VLOOKUP(CurrentMtgRatesDataTable825[[#This Row],[asofdate]],O:P,2,0)</f>
        <v>6.1317399999999997E-5</v>
      </c>
      <c r="F385" s="103">
        <f ca="1">VLOOKUP(CurrentMtgRatesDataTable825[[#This Row],[asofdate]]+1,Bloomberg!B:C,2,0)</f>
        <v>1982.8</v>
      </c>
      <c r="I385" s="18">
        <v>40010</v>
      </c>
      <c r="J385" s="91">
        <v>0.71116433310000005</v>
      </c>
      <c r="K385" s="91">
        <f>VLOOKUP(CurrentMtgRatesDataTable82527141518[[#This Row],[asofdate]],O:P,2,0)</f>
        <v>6.1317399999999997E-5</v>
      </c>
      <c r="L385" s="91">
        <f>VLOOKUP(CurrentMtgRatesDataTable82527141518[[#This Row],[asofdate]],S:T,2,0)</f>
        <v>4.5963966000000002E-3</v>
      </c>
      <c r="M385" s="6">
        <f ca="1">VLOOKUP(CurrentMtgRatesDataTable82527141518[[#This Row],[asofdate]]+1,Bloomberg!B:C,2,0)</f>
        <v>1982.8</v>
      </c>
      <c r="N385" s="6"/>
      <c r="O385" s="18">
        <v>40003</v>
      </c>
      <c r="P385" s="91">
        <v>5.5602200000000001E-5</v>
      </c>
      <c r="Q385" s="104"/>
      <c r="R385" s="104"/>
      <c r="S385" s="18">
        <v>40010</v>
      </c>
      <c r="T385" s="91">
        <v>4.5963966000000002E-3</v>
      </c>
      <c r="V385"/>
    </row>
    <row r="386" spans="2:22">
      <c r="B386" s="101">
        <v>40003</v>
      </c>
      <c r="C386" s="102">
        <v>0.65469587100000004</v>
      </c>
      <c r="D386" s="102">
        <f>VLOOKUP(CurrentMtgRatesDataTable825[[#This Row],[asofdate]],I:J,2,0)</f>
        <v>0.69678739609999996</v>
      </c>
      <c r="E386" s="102">
        <f>VLOOKUP(CurrentMtgRatesDataTable825[[#This Row],[asofdate]],O:P,2,0)</f>
        <v>5.5602200000000001E-5</v>
      </c>
      <c r="F386" s="103">
        <f ca="1">VLOOKUP(CurrentMtgRatesDataTable825[[#This Row],[asofdate]]+1,Bloomberg!B:C,2,0)</f>
        <v>1915.5</v>
      </c>
      <c r="I386" s="18">
        <v>40003</v>
      </c>
      <c r="J386" s="91">
        <v>0.69678739609999996</v>
      </c>
      <c r="K386" s="91">
        <f>VLOOKUP(CurrentMtgRatesDataTable82527141518[[#This Row],[asofdate]],O:P,2,0)</f>
        <v>5.5602200000000001E-5</v>
      </c>
      <c r="L386" s="91">
        <f>VLOOKUP(CurrentMtgRatesDataTable82527141518[[#This Row],[asofdate]],S:T,2,0)</f>
        <v>2.4396846999999999E-3</v>
      </c>
      <c r="M386" s="6">
        <f ca="1">VLOOKUP(CurrentMtgRatesDataTable82527141518[[#This Row],[asofdate]]+1,Bloomberg!B:C,2,0)</f>
        <v>1915.5</v>
      </c>
      <c r="N386" s="6"/>
      <c r="O386" s="18">
        <v>39996</v>
      </c>
      <c r="P386" s="91">
        <v>0</v>
      </c>
      <c r="Q386" s="104"/>
      <c r="R386" s="104"/>
      <c r="S386" s="18">
        <v>40003</v>
      </c>
      <c r="T386" s="91">
        <v>2.4396846999999999E-3</v>
      </c>
      <c r="V386"/>
    </row>
    <row r="387" spans="2:22">
      <c r="B387" s="101">
        <v>39996</v>
      </c>
      <c r="C387" s="102">
        <v>0.56899485500000002</v>
      </c>
      <c r="D387" s="102">
        <f>VLOOKUP(CurrentMtgRatesDataTable825[[#This Row],[asofdate]],I:J,2,0)</f>
        <v>0.60429288550000004</v>
      </c>
      <c r="E387" s="102">
        <f>VLOOKUP(CurrentMtgRatesDataTable825[[#This Row],[asofdate]],O:P,2,0)</f>
        <v>0</v>
      </c>
      <c r="F387" s="103">
        <f ca="1">VLOOKUP(CurrentMtgRatesDataTable825[[#This Row],[asofdate]]+1,Bloomberg!B:C,2,0)</f>
        <v>1583.5</v>
      </c>
      <c r="I387" s="18">
        <v>39996</v>
      </c>
      <c r="J387" s="91">
        <v>0.60429288550000004</v>
      </c>
      <c r="K387" s="91">
        <f>VLOOKUP(CurrentMtgRatesDataTable82527141518[[#This Row],[asofdate]],O:P,2,0)</f>
        <v>0</v>
      </c>
      <c r="L387" s="91">
        <f>VLOOKUP(CurrentMtgRatesDataTable82527141518[[#This Row],[asofdate]],S:T,2,0)</f>
        <v>1.6449741E-3</v>
      </c>
      <c r="M387" s="6">
        <f ca="1">VLOOKUP(CurrentMtgRatesDataTable82527141518[[#This Row],[asofdate]]+1,Bloomberg!B:C,2,0)</f>
        <v>1583.5</v>
      </c>
      <c r="N387" s="6"/>
      <c r="O387" s="18">
        <v>39989</v>
      </c>
      <c r="P387" s="91">
        <v>0</v>
      </c>
      <c r="Q387" s="104"/>
      <c r="R387" s="104"/>
      <c r="S387" s="18">
        <v>39996</v>
      </c>
      <c r="T387" s="91">
        <v>1.6449741E-3</v>
      </c>
      <c r="V387"/>
    </row>
    <row r="388" spans="2:22">
      <c r="B388" s="101">
        <v>39989</v>
      </c>
      <c r="C388" s="102">
        <v>0.5060874809</v>
      </c>
      <c r="D388" s="102">
        <f>VLOOKUP(CurrentMtgRatesDataTable825[[#This Row],[asofdate]],I:J,2,0)</f>
        <v>0.53936109320000003</v>
      </c>
      <c r="E388" s="102">
        <f>VLOOKUP(CurrentMtgRatesDataTable825[[#This Row],[asofdate]],O:P,2,0)</f>
        <v>0</v>
      </c>
      <c r="F388" s="103">
        <f ca="1">VLOOKUP(CurrentMtgRatesDataTable825[[#This Row],[asofdate]]+1,Bloomberg!B:C,2,0)</f>
        <v>1328.1</v>
      </c>
      <c r="I388" s="18">
        <v>39989</v>
      </c>
      <c r="J388" s="91">
        <v>0.53936109320000003</v>
      </c>
      <c r="K388" s="91">
        <f>VLOOKUP(CurrentMtgRatesDataTable82527141518[[#This Row],[asofdate]],O:P,2,0)</f>
        <v>0</v>
      </c>
      <c r="L388" s="91">
        <f>VLOOKUP(CurrentMtgRatesDataTable82527141518[[#This Row],[asofdate]],S:T,2,0)</f>
        <v>4.422645E-4</v>
      </c>
      <c r="M388" s="6">
        <f ca="1">VLOOKUP(CurrentMtgRatesDataTable82527141518[[#This Row],[asofdate]]+1,Bloomberg!B:C,2,0)</f>
        <v>1328.1</v>
      </c>
      <c r="N388" s="6"/>
      <c r="O388" s="18">
        <v>39982</v>
      </c>
      <c r="P388" s="91">
        <v>0</v>
      </c>
      <c r="Q388" s="104"/>
      <c r="R388" s="104"/>
      <c r="S388" s="18">
        <v>39989</v>
      </c>
      <c r="T388" s="91">
        <v>4.422645E-4</v>
      </c>
      <c r="V388"/>
    </row>
    <row r="389" spans="2:22">
      <c r="B389" s="101">
        <v>39982</v>
      </c>
      <c r="C389" s="102">
        <v>0.5459267511</v>
      </c>
      <c r="D389" s="102">
        <f>VLOOKUP(CurrentMtgRatesDataTable825[[#This Row],[asofdate]],I:J,2,0)</f>
        <v>0.58454767249999995</v>
      </c>
      <c r="E389" s="102">
        <f>VLOOKUP(CurrentMtgRatesDataTable825[[#This Row],[asofdate]],O:P,2,0)</f>
        <v>0</v>
      </c>
      <c r="F389" s="103">
        <f ca="1">VLOOKUP(CurrentMtgRatesDataTable825[[#This Row],[asofdate]]+1,Bloomberg!B:C,2,0)</f>
        <v>1504.6</v>
      </c>
      <c r="I389" s="18">
        <v>39982</v>
      </c>
      <c r="J389" s="91">
        <v>0.58454767249999995</v>
      </c>
      <c r="K389" s="91">
        <f>VLOOKUP(CurrentMtgRatesDataTable82527141518[[#This Row],[asofdate]],O:P,2,0)</f>
        <v>0</v>
      </c>
      <c r="L389" s="91">
        <f>VLOOKUP(CurrentMtgRatesDataTable82527141518[[#This Row],[asofdate]],S:T,2,0)</f>
        <v>5.4072379999999995E-4</v>
      </c>
      <c r="M389" s="6">
        <f ca="1">VLOOKUP(CurrentMtgRatesDataTable82527141518[[#This Row],[asofdate]]+1,Bloomberg!B:C,2,0)</f>
        <v>1504.6</v>
      </c>
      <c r="N389" s="6"/>
      <c r="O389" s="18">
        <v>39975</v>
      </c>
      <c r="P389" s="91">
        <v>0</v>
      </c>
      <c r="Q389" s="104"/>
      <c r="R389" s="104"/>
      <c r="S389" s="18">
        <v>39982</v>
      </c>
      <c r="T389" s="91">
        <v>5.4072379999999995E-4</v>
      </c>
      <c r="V389"/>
    </row>
    <row r="390" spans="2:22">
      <c r="B390" s="101">
        <v>39975</v>
      </c>
      <c r="C390" s="102">
        <v>0.3809668907</v>
      </c>
      <c r="D390" s="102">
        <f>VLOOKUP(CurrentMtgRatesDataTable825[[#This Row],[asofdate]],I:J,2,0)</f>
        <v>0.42999902099999998</v>
      </c>
      <c r="E390" s="102">
        <f>VLOOKUP(CurrentMtgRatesDataTable825[[#This Row],[asofdate]],O:P,2,0)</f>
        <v>0</v>
      </c>
      <c r="F390" s="103">
        <f ca="1">VLOOKUP(CurrentMtgRatesDataTable825[[#This Row],[asofdate]]+1,Bloomberg!B:C,2,0)</f>
        <v>1482.7</v>
      </c>
      <c r="I390" s="18">
        <v>39975</v>
      </c>
      <c r="J390" s="91">
        <v>0.42999902099999998</v>
      </c>
      <c r="K390" s="91">
        <f>VLOOKUP(CurrentMtgRatesDataTable82527141518[[#This Row],[asofdate]],O:P,2,0)</f>
        <v>0</v>
      </c>
      <c r="L390" s="91">
        <f>VLOOKUP(CurrentMtgRatesDataTable82527141518[[#This Row],[asofdate]],S:T,2,0)</f>
        <v>2.6793020000000001E-4</v>
      </c>
      <c r="M390" s="6">
        <f ca="1">VLOOKUP(CurrentMtgRatesDataTable82527141518[[#This Row],[asofdate]]+1,Bloomberg!B:C,2,0)</f>
        <v>1482.7</v>
      </c>
      <c r="N390" s="6"/>
      <c r="O390" s="18">
        <v>39968</v>
      </c>
      <c r="P390" s="91">
        <v>0</v>
      </c>
      <c r="Q390" s="104"/>
      <c r="R390" s="104"/>
      <c r="S390" s="18">
        <v>39975</v>
      </c>
      <c r="T390" s="91">
        <v>2.6793020000000001E-4</v>
      </c>
      <c r="V390"/>
    </row>
    <row r="391" spans="2:22">
      <c r="B391" s="101">
        <v>39968</v>
      </c>
      <c r="C391" s="102">
        <v>0.61185159430000002</v>
      </c>
      <c r="D391" s="102">
        <f>VLOOKUP(CurrentMtgRatesDataTable825[[#This Row],[asofdate]],I:J,2,0)</f>
        <v>0.63826923999999996</v>
      </c>
      <c r="E391" s="102">
        <f>VLOOKUP(CurrentMtgRatesDataTable825[[#This Row],[asofdate]],O:P,2,0)</f>
        <v>0</v>
      </c>
      <c r="F391" s="103">
        <f ca="1">VLOOKUP(CurrentMtgRatesDataTable825[[#This Row],[asofdate]]+1,Bloomberg!B:C,2,0)</f>
        <v>2156.5</v>
      </c>
      <c r="I391" s="18">
        <v>39968</v>
      </c>
      <c r="J391" s="91">
        <v>0.63826923999999996</v>
      </c>
      <c r="K391" s="91">
        <f>VLOOKUP(CurrentMtgRatesDataTable82527141518[[#This Row],[asofdate]],O:P,2,0)</f>
        <v>0</v>
      </c>
      <c r="L391" s="91">
        <f>VLOOKUP(CurrentMtgRatesDataTable82527141518[[#This Row],[asofdate]],S:T,2,0)</f>
        <v>6.9875139999999998E-4</v>
      </c>
      <c r="M391" s="6">
        <f ca="1">VLOOKUP(CurrentMtgRatesDataTable82527141518[[#This Row],[asofdate]]+1,Bloomberg!B:C,2,0)</f>
        <v>2156.5</v>
      </c>
      <c r="N391" s="6"/>
      <c r="O391" s="18">
        <v>39961</v>
      </c>
      <c r="P391" s="91">
        <v>0</v>
      </c>
      <c r="Q391" s="104"/>
      <c r="R391" s="104"/>
      <c r="S391" s="18">
        <v>39968</v>
      </c>
      <c r="T391" s="91">
        <v>6.9875139999999998E-4</v>
      </c>
      <c r="V391"/>
    </row>
    <row r="392" spans="2:22">
      <c r="B392" s="101">
        <v>39961</v>
      </c>
      <c r="C392" s="102">
        <v>0.89171080709999995</v>
      </c>
      <c r="D392" s="102">
        <f>VLOOKUP(CurrentMtgRatesDataTable825[[#This Row],[asofdate]],I:J,2,0)</f>
        <v>0.91704575720000003</v>
      </c>
      <c r="E392" s="102">
        <f>VLOOKUP(CurrentMtgRatesDataTable825[[#This Row],[asofdate]],O:P,2,0)</f>
        <v>0</v>
      </c>
      <c r="F392" s="103">
        <f ca="1">VLOOKUP(CurrentMtgRatesDataTable825[[#This Row],[asofdate]]+1,Bloomberg!B:C,2,0)</f>
        <v>2583</v>
      </c>
      <c r="I392" s="18">
        <v>39961</v>
      </c>
      <c r="J392" s="91">
        <v>0.91704575720000003</v>
      </c>
      <c r="K392" s="91">
        <f>VLOOKUP(CurrentMtgRatesDataTable82527141518[[#This Row],[asofdate]],O:P,2,0)</f>
        <v>0</v>
      </c>
      <c r="L392" s="91">
        <f>VLOOKUP(CurrentMtgRatesDataTable82527141518[[#This Row],[asofdate]],S:T,2,0)</f>
        <v>0.91703471479999998</v>
      </c>
      <c r="M392" s="6">
        <f ca="1">VLOOKUP(CurrentMtgRatesDataTable82527141518[[#This Row],[asofdate]]+1,Bloomberg!B:C,2,0)</f>
        <v>2583</v>
      </c>
      <c r="N392" s="6"/>
      <c r="O392" s="18">
        <v>39954</v>
      </c>
      <c r="P392" s="91">
        <v>0</v>
      </c>
      <c r="Q392" s="104"/>
      <c r="R392" s="104"/>
      <c r="S392" s="18">
        <v>39961</v>
      </c>
      <c r="T392" s="91">
        <v>0.91703471479999998</v>
      </c>
      <c r="V392"/>
    </row>
    <row r="393" spans="2:22">
      <c r="B393" s="101">
        <v>39954</v>
      </c>
      <c r="C393" s="102">
        <v>0.91709385860000003</v>
      </c>
      <c r="D393" s="102">
        <f>VLOOKUP(CurrentMtgRatesDataTable825[[#This Row],[asofdate]],I:J,2,0)</f>
        <v>0.95044574390000003</v>
      </c>
      <c r="E393" s="102">
        <f>VLOOKUP(CurrentMtgRatesDataTable825[[#This Row],[asofdate]],O:P,2,0)</f>
        <v>0</v>
      </c>
      <c r="F393" s="103">
        <f ca="1">VLOOKUP(CurrentMtgRatesDataTable825[[#This Row],[asofdate]]+1,Bloomberg!B:C,2,0)</f>
        <v>3590.1</v>
      </c>
      <c r="I393" s="18">
        <v>39954</v>
      </c>
      <c r="J393" s="91">
        <v>0.95044574390000003</v>
      </c>
      <c r="K393" s="91">
        <f>VLOOKUP(CurrentMtgRatesDataTable82527141518[[#This Row],[asofdate]],O:P,2,0)</f>
        <v>0</v>
      </c>
      <c r="L393" s="91">
        <f>VLOOKUP(CurrentMtgRatesDataTable82527141518[[#This Row],[asofdate]],S:T,2,0)</f>
        <v>0.95023078650000004</v>
      </c>
      <c r="M393" s="6">
        <f ca="1">VLOOKUP(CurrentMtgRatesDataTable82527141518[[#This Row],[asofdate]]+1,Bloomberg!B:C,2,0)</f>
        <v>3590.1</v>
      </c>
      <c r="N393" s="6"/>
      <c r="O393" s="18">
        <v>39947</v>
      </c>
      <c r="P393" s="91">
        <v>0</v>
      </c>
      <c r="Q393" s="104"/>
      <c r="R393" s="104"/>
      <c r="S393" s="18">
        <v>39954</v>
      </c>
      <c r="T393" s="91">
        <v>0.95023078650000004</v>
      </c>
      <c r="V393"/>
    </row>
    <row r="394" spans="2:22">
      <c r="B394" s="101">
        <v>39947</v>
      </c>
      <c r="C394" s="102">
        <v>0.90920854770000004</v>
      </c>
      <c r="D394" s="102">
        <f>VLOOKUP(CurrentMtgRatesDataTable825[[#This Row],[asofdate]],I:J,2,0)</f>
        <v>0.9382914872</v>
      </c>
      <c r="E394" s="102">
        <f>VLOOKUP(CurrentMtgRatesDataTable825[[#This Row],[asofdate]],O:P,2,0)</f>
        <v>0</v>
      </c>
      <c r="F394" s="103">
        <f ca="1">VLOOKUP(CurrentMtgRatesDataTable825[[#This Row],[asofdate]]+1,Bloomberg!B:C,2,0)</f>
        <v>4586.2</v>
      </c>
      <c r="I394" s="18">
        <v>39947</v>
      </c>
      <c r="J394" s="91">
        <v>0.9382914872</v>
      </c>
      <c r="K394" s="91">
        <f>VLOOKUP(CurrentMtgRatesDataTable82527141518[[#This Row],[asofdate]],O:P,2,0)</f>
        <v>0</v>
      </c>
      <c r="L394" s="91">
        <f>VLOOKUP(CurrentMtgRatesDataTable82527141518[[#This Row],[asofdate]],S:T,2,0)</f>
        <v>0.9382895819</v>
      </c>
      <c r="M394" s="6">
        <f ca="1">VLOOKUP(CurrentMtgRatesDataTable82527141518[[#This Row],[asofdate]]+1,Bloomberg!B:C,2,0)</f>
        <v>4586.2</v>
      </c>
      <c r="N394" s="6"/>
      <c r="O394" s="18">
        <v>39940</v>
      </c>
      <c r="P394" s="91">
        <v>0</v>
      </c>
      <c r="Q394" s="104"/>
      <c r="R394" s="104"/>
      <c r="S394" s="18">
        <v>39947</v>
      </c>
      <c r="T394" s="91">
        <v>0.9382895819</v>
      </c>
      <c r="V394"/>
    </row>
    <row r="395" spans="2:22">
      <c r="B395" s="101">
        <v>39940</v>
      </c>
      <c r="C395" s="102">
        <v>0.90879210379999997</v>
      </c>
      <c r="D395" s="102">
        <f>VLOOKUP(CurrentMtgRatesDataTable825[[#This Row],[asofdate]],I:J,2,0)</f>
        <v>0.93819874619999999</v>
      </c>
      <c r="E395" s="102">
        <f>VLOOKUP(CurrentMtgRatesDataTable825[[#This Row],[asofdate]],O:P,2,0)</f>
        <v>0</v>
      </c>
      <c r="F395" s="103">
        <f ca="1">VLOOKUP(CurrentMtgRatesDataTable825[[#This Row],[asofdate]]+1,Bloomberg!B:C,2,0)</f>
        <v>4353.1000000000004</v>
      </c>
      <c r="I395" s="18">
        <v>39940</v>
      </c>
      <c r="J395" s="91">
        <v>0.93819874619999999</v>
      </c>
      <c r="K395" s="91">
        <f>VLOOKUP(CurrentMtgRatesDataTable82527141518[[#This Row],[asofdate]],O:P,2,0)</f>
        <v>0</v>
      </c>
      <c r="L395" s="91">
        <f>VLOOKUP(CurrentMtgRatesDataTable82527141518[[#This Row],[asofdate]],S:T,2,0)</f>
        <v>0.93819680849999998</v>
      </c>
      <c r="M395" s="6">
        <f ca="1">VLOOKUP(CurrentMtgRatesDataTable82527141518[[#This Row],[asofdate]]+1,Bloomberg!B:C,2,0)</f>
        <v>4353.1000000000004</v>
      </c>
      <c r="N395" s="6"/>
      <c r="O395" s="18">
        <v>39933</v>
      </c>
      <c r="P395" s="91">
        <v>0</v>
      </c>
      <c r="Q395" s="104"/>
      <c r="R395" s="104"/>
      <c r="S395" s="18">
        <v>39940</v>
      </c>
      <c r="T395" s="91">
        <v>0.93819680849999998</v>
      </c>
      <c r="V395"/>
    </row>
    <row r="396" spans="2:22">
      <c r="B396" s="101">
        <v>39933</v>
      </c>
      <c r="C396" s="102">
        <v>0.95820903840000005</v>
      </c>
      <c r="D396" s="102">
        <f>VLOOKUP(CurrentMtgRatesDataTable825[[#This Row],[asofdate]],I:J,2,0)</f>
        <v>0.96780518839999996</v>
      </c>
      <c r="E396" s="102">
        <f>VLOOKUP(CurrentMtgRatesDataTable825[[#This Row],[asofdate]],O:P,2,0)</f>
        <v>0</v>
      </c>
      <c r="F396" s="103">
        <f ca="1">VLOOKUP(CurrentMtgRatesDataTable825[[#This Row],[asofdate]]+1,Bloomberg!B:C,2,0)</f>
        <v>5084.2</v>
      </c>
      <c r="I396" s="18">
        <v>39933</v>
      </c>
      <c r="J396" s="91">
        <v>0.96780518839999996</v>
      </c>
      <c r="K396" s="91">
        <f>VLOOKUP(CurrentMtgRatesDataTable82527141518[[#This Row],[asofdate]],O:P,2,0)</f>
        <v>0</v>
      </c>
      <c r="L396" s="91">
        <f>VLOOKUP(CurrentMtgRatesDataTable82527141518[[#This Row],[asofdate]],S:T,2,0)</f>
        <v>0.96773525760000001</v>
      </c>
      <c r="M396" s="6">
        <f ca="1">VLOOKUP(CurrentMtgRatesDataTable82527141518[[#This Row],[asofdate]]+1,Bloomberg!B:C,2,0)</f>
        <v>5084.2</v>
      </c>
      <c r="N396" s="6"/>
      <c r="O396" s="18">
        <v>39926</v>
      </c>
      <c r="P396" s="91">
        <v>0</v>
      </c>
      <c r="Q396" s="104"/>
      <c r="R396" s="104"/>
      <c r="S396" s="18">
        <v>39933</v>
      </c>
      <c r="T396" s="91">
        <v>0.96773525760000001</v>
      </c>
      <c r="V396"/>
    </row>
    <row r="397" spans="2:22">
      <c r="B397" s="101">
        <v>39926</v>
      </c>
      <c r="C397" s="102">
        <v>0.95465763439999995</v>
      </c>
      <c r="D397" s="102">
        <f>VLOOKUP(CurrentMtgRatesDataTable825[[#This Row],[asofdate]],I:J,2,0)</f>
        <v>0.96668737410000005</v>
      </c>
      <c r="E397" s="102">
        <f>VLOOKUP(CurrentMtgRatesDataTable825[[#This Row],[asofdate]],O:P,2,0)</f>
        <v>0</v>
      </c>
      <c r="F397" s="103">
        <f ca="1">VLOOKUP(CurrentMtgRatesDataTable825[[#This Row],[asofdate]]+1,Bloomberg!B:C,2,0)</f>
        <v>4957.8999999999996</v>
      </c>
      <c r="I397" s="18">
        <v>39926</v>
      </c>
      <c r="J397" s="91">
        <v>0.96668737410000005</v>
      </c>
      <c r="K397" s="91">
        <f>VLOOKUP(CurrentMtgRatesDataTable82527141518[[#This Row],[asofdate]],O:P,2,0)</f>
        <v>0</v>
      </c>
      <c r="L397" s="91">
        <f>VLOOKUP(CurrentMtgRatesDataTable82527141518[[#This Row],[asofdate]],S:T,2,0)</f>
        <v>0.96668307070000004</v>
      </c>
      <c r="M397" s="6">
        <f ca="1">VLOOKUP(CurrentMtgRatesDataTable82527141518[[#This Row],[asofdate]]+1,Bloomberg!B:C,2,0)</f>
        <v>4957.8999999999996</v>
      </c>
      <c r="N397" s="6"/>
      <c r="O397" s="18">
        <v>39919</v>
      </c>
      <c r="P397" s="91">
        <v>0</v>
      </c>
      <c r="Q397" s="104"/>
      <c r="R397" s="104"/>
      <c r="S397" s="18">
        <v>39926</v>
      </c>
      <c r="T397" s="91">
        <v>0.96668307070000004</v>
      </c>
      <c r="V397"/>
    </row>
    <row r="398" spans="2:22">
      <c r="B398" s="101">
        <v>39919</v>
      </c>
      <c r="C398" s="102">
        <v>0.95712912230000002</v>
      </c>
      <c r="D398" s="102">
        <f>VLOOKUP(CurrentMtgRatesDataTable825[[#This Row],[asofdate]],I:J,2,0)</f>
        <v>0.96711777980000002</v>
      </c>
      <c r="E398" s="102">
        <f>VLOOKUP(CurrentMtgRatesDataTable825[[#This Row],[asofdate]],O:P,2,0)</f>
        <v>0</v>
      </c>
      <c r="F398" s="103">
        <f ca="1">VLOOKUP(CurrentMtgRatesDataTable825[[#This Row],[asofdate]]+1,Bloomberg!B:C,2,0)</f>
        <v>6547.2</v>
      </c>
      <c r="I398" s="18">
        <v>39919</v>
      </c>
      <c r="J398" s="91">
        <v>0.96711777980000002</v>
      </c>
      <c r="K398" s="91">
        <f>VLOOKUP(CurrentMtgRatesDataTable82527141518[[#This Row],[asofdate]],O:P,2,0)</f>
        <v>0</v>
      </c>
      <c r="L398" s="91">
        <f>VLOOKUP(CurrentMtgRatesDataTable82527141518[[#This Row],[asofdate]],S:T,2,0)</f>
        <v>0.96711362749999996</v>
      </c>
      <c r="M398" s="6">
        <f ca="1">VLOOKUP(CurrentMtgRatesDataTable82527141518[[#This Row],[asofdate]]+1,Bloomberg!B:C,2,0)</f>
        <v>6547.2</v>
      </c>
      <c r="N398" s="6"/>
      <c r="O398" s="18">
        <v>39912</v>
      </c>
      <c r="P398" s="91">
        <v>0</v>
      </c>
      <c r="Q398" s="104"/>
      <c r="R398" s="104"/>
      <c r="S398" s="18">
        <v>39919</v>
      </c>
      <c r="T398" s="91">
        <v>0.96711362749999996</v>
      </c>
      <c r="V398"/>
    </row>
    <row r="399" spans="2:22">
      <c r="B399" s="101">
        <v>39912</v>
      </c>
      <c r="C399" s="102">
        <v>0.94094154419999998</v>
      </c>
      <c r="D399" s="102">
        <f>VLOOKUP(CurrentMtgRatesDataTable825[[#This Row],[asofdate]],I:J,2,0)</f>
        <v>0.95133847890000001</v>
      </c>
      <c r="E399" s="102">
        <f>VLOOKUP(CurrentMtgRatesDataTable825[[#This Row],[asofdate]],O:P,2,0)</f>
        <v>0</v>
      </c>
      <c r="F399" s="103">
        <f ca="1">VLOOKUP(CurrentMtgRatesDataTable825[[#This Row],[asofdate]]+1,Bloomberg!B:C,2,0)</f>
        <v>6127.3</v>
      </c>
      <c r="I399" s="18">
        <v>39912</v>
      </c>
      <c r="J399" s="91">
        <v>0.95133847890000001</v>
      </c>
      <c r="K399" s="91">
        <f>VLOOKUP(CurrentMtgRatesDataTable82527141518[[#This Row],[asofdate]],O:P,2,0)</f>
        <v>0</v>
      </c>
      <c r="L399" s="91">
        <f>VLOOKUP(CurrentMtgRatesDataTable82527141518[[#This Row],[asofdate]],S:T,2,0)</f>
        <v>0.9513298858</v>
      </c>
      <c r="M399" s="6">
        <f ca="1">VLOOKUP(CurrentMtgRatesDataTable82527141518[[#This Row],[asofdate]]+1,Bloomberg!B:C,2,0)</f>
        <v>6127.3</v>
      </c>
      <c r="N399" s="6"/>
      <c r="O399" s="18">
        <v>39905</v>
      </c>
      <c r="P399" s="91">
        <v>0.96773525760000001</v>
      </c>
      <c r="Q399" s="104"/>
      <c r="R399" s="104"/>
      <c r="S399" s="18">
        <v>39912</v>
      </c>
      <c r="T399" s="91">
        <v>0.9513298858</v>
      </c>
      <c r="V399"/>
    </row>
    <row r="400" spans="2:22">
      <c r="B400" s="101">
        <v>39905</v>
      </c>
      <c r="C400" s="102">
        <v>0.95820903840000005</v>
      </c>
      <c r="D400" s="102">
        <f>VLOOKUP(CurrentMtgRatesDataTable825[[#This Row],[asofdate]],I:J,2,0)</f>
        <v>0.96780518839999996</v>
      </c>
      <c r="E400" s="102">
        <f>VLOOKUP(CurrentMtgRatesDataTable825[[#This Row],[asofdate]],O:P,2,0)</f>
        <v>0.96773525760000001</v>
      </c>
      <c r="F400" s="103">
        <f ca="1">VLOOKUP(CurrentMtgRatesDataTable825[[#This Row],[asofdate]]+1,Bloomberg!B:C,2,0)</f>
        <v>6734.2</v>
      </c>
      <c r="I400" s="18">
        <v>39905</v>
      </c>
      <c r="J400" s="91">
        <v>0.96780518839999996</v>
      </c>
      <c r="K400" s="91">
        <f>VLOOKUP(CurrentMtgRatesDataTable82527141518[[#This Row],[asofdate]],O:P,2,0)</f>
        <v>0.96773525760000001</v>
      </c>
      <c r="L400" s="91">
        <f>VLOOKUP(CurrentMtgRatesDataTable82527141518[[#This Row],[asofdate]],S:T,2,0)</f>
        <v>0.96773525760000001</v>
      </c>
      <c r="M400" s="6">
        <f ca="1">VLOOKUP(CurrentMtgRatesDataTable82527141518[[#This Row],[asofdate]]+1,Bloomberg!B:C,2,0)</f>
        <v>6734.2</v>
      </c>
      <c r="N400" s="6"/>
      <c r="O400" s="18">
        <v>39898</v>
      </c>
      <c r="P400" s="91">
        <v>0.95662482240000002</v>
      </c>
      <c r="Q400" s="104"/>
      <c r="R400" s="104"/>
      <c r="S400" s="18">
        <v>39905</v>
      </c>
      <c r="T400" s="91">
        <v>0.96773525760000001</v>
      </c>
      <c r="V400"/>
    </row>
    <row r="401" spans="2:22">
      <c r="B401" s="101">
        <v>39898</v>
      </c>
      <c r="C401" s="102">
        <v>0.95896771780000001</v>
      </c>
      <c r="D401" s="102">
        <f>VLOOKUP(CurrentMtgRatesDataTable825[[#This Row],[asofdate]],I:J,2,0)</f>
        <v>0.95662948010000004</v>
      </c>
      <c r="E401" s="102">
        <f>VLOOKUP(CurrentMtgRatesDataTable825[[#This Row],[asofdate]],O:P,2,0)</f>
        <v>0.95662482240000002</v>
      </c>
      <c r="F401" s="103">
        <f ca="1">VLOOKUP(CurrentMtgRatesDataTable825[[#This Row],[asofdate]]+1,Bloomberg!B:C,2,0)</f>
        <v>6522</v>
      </c>
      <c r="I401" s="18">
        <v>39898</v>
      </c>
      <c r="J401" s="91">
        <v>0.95662948010000004</v>
      </c>
      <c r="K401" s="91">
        <f>VLOOKUP(CurrentMtgRatesDataTable82527141518[[#This Row],[asofdate]],O:P,2,0)</f>
        <v>0.95662482240000002</v>
      </c>
      <c r="L401" s="91">
        <f>VLOOKUP(CurrentMtgRatesDataTable82527141518[[#This Row],[asofdate]],S:T,2,0)</f>
        <v>0.95662482240000002</v>
      </c>
      <c r="M401" s="6">
        <f ca="1">VLOOKUP(CurrentMtgRatesDataTable82527141518[[#This Row],[asofdate]]+1,Bloomberg!B:C,2,0)</f>
        <v>6522</v>
      </c>
      <c r="N401" s="6"/>
      <c r="O401" s="18">
        <v>39891</v>
      </c>
      <c r="P401" s="91">
        <v>3.6109559999999996E-4</v>
      </c>
      <c r="Q401" s="104"/>
      <c r="R401" s="104"/>
      <c r="S401" s="18">
        <v>39898</v>
      </c>
      <c r="T401" s="91">
        <v>0.95662482240000002</v>
      </c>
      <c r="V401"/>
    </row>
    <row r="402" spans="2:22">
      <c r="B402" s="101">
        <v>39891</v>
      </c>
      <c r="C402" s="102">
        <v>0.90097231310000003</v>
      </c>
      <c r="D402" s="102">
        <f>VLOOKUP(CurrentMtgRatesDataTable825[[#This Row],[asofdate]],I:J,2,0)</f>
        <v>0.89917207740000005</v>
      </c>
      <c r="E402" s="102">
        <f>VLOOKUP(CurrentMtgRatesDataTable825[[#This Row],[asofdate]],O:P,2,0)</f>
        <v>3.6109559999999996E-4</v>
      </c>
      <c r="F402" s="103">
        <f ca="1">VLOOKUP(CurrentMtgRatesDataTable825[[#This Row],[asofdate]]+1,Bloomberg!B:C,2,0)</f>
        <v>6374.7</v>
      </c>
      <c r="I402" s="18">
        <v>39891</v>
      </c>
      <c r="J402" s="91">
        <v>0.89917207740000005</v>
      </c>
      <c r="K402" s="91">
        <f>VLOOKUP(CurrentMtgRatesDataTable82527141518[[#This Row],[asofdate]],O:P,2,0)</f>
        <v>3.6109559999999996E-4</v>
      </c>
      <c r="L402" s="91">
        <f>VLOOKUP(CurrentMtgRatesDataTable82527141518[[#This Row],[asofdate]],S:T,2,0)</f>
        <v>0.89907836969999999</v>
      </c>
      <c r="M402" s="6">
        <f ca="1">VLOOKUP(CurrentMtgRatesDataTable82527141518[[#This Row],[asofdate]]+1,Bloomberg!B:C,2,0)</f>
        <v>6374.7</v>
      </c>
      <c r="N402" s="6"/>
      <c r="O402" s="18">
        <v>39884</v>
      </c>
      <c r="P402" s="91">
        <v>3.4018710000000002E-4</v>
      </c>
      <c r="Q402" s="104"/>
      <c r="R402" s="104"/>
      <c r="S402" s="18">
        <v>39891</v>
      </c>
      <c r="T402" s="91">
        <v>0.89907836969999999</v>
      </c>
      <c r="V402"/>
    </row>
    <row r="403" spans="2:22">
      <c r="B403" s="101">
        <v>39884</v>
      </c>
      <c r="C403" s="102">
        <v>0.87167889590000014</v>
      </c>
      <c r="D403" s="102">
        <f>VLOOKUP(CurrentMtgRatesDataTable825[[#This Row],[asofdate]],I:J,2,0)</f>
        <v>0.86878816510000001</v>
      </c>
      <c r="E403" s="102">
        <f>VLOOKUP(CurrentMtgRatesDataTable825[[#This Row],[asofdate]],O:P,2,0)</f>
        <v>3.4018710000000002E-4</v>
      </c>
      <c r="F403" s="103">
        <f ca="1">VLOOKUP(CurrentMtgRatesDataTable825[[#This Row],[asofdate]]+1,Bloomberg!B:C,2,0)</f>
        <v>4428.1000000000004</v>
      </c>
      <c r="I403" s="18">
        <v>39884</v>
      </c>
      <c r="J403" s="91">
        <v>0.86878816510000001</v>
      </c>
      <c r="K403" s="91">
        <f>VLOOKUP(CurrentMtgRatesDataTable82527141518[[#This Row],[asofdate]],O:P,2,0)</f>
        <v>3.4018710000000002E-4</v>
      </c>
      <c r="L403" s="91">
        <f>VLOOKUP(CurrentMtgRatesDataTable82527141518[[#This Row],[asofdate]],S:T,2,0)</f>
        <v>0.86873115099999998</v>
      </c>
      <c r="M403" s="6">
        <f ca="1">VLOOKUP(CurrentMtgRatesDataTable82527141518[[#This Row],[asofdate]]+1,Bloomberg!B:C,2,0)</f>
        <v>4428.1000000000004</v>
      </c>
      <c r="N403" s="6"/>
      <c r="O403" s="18">
        <v>39877</v>
      </c>
      <c r="P403" s="91">
        <v>0</v>
      </c>
      <c r="Q403" s="104"/>
      <c r="R403" s="104"/>
      <c r="S403" s="18">
        <v>39884</v>
      </c>
      <c r="T403" s="91">
        <v>0.86873115099999998</v>
      </c>
      <c r="V403"/>
    </row>
    <row r="404" spans="2:22">
      <c r="B404" s="101">
        <v>39877</v>
      </c>
      <c r="C404" s="102">
        <v>0.78597676670000005</v>
      </c>
      <c r="D404" s="102">
        <f>VLOOKUP(CurrentMtgRatesDataTable825[[#This Row],[asofdate]],I:J,2,0)</f>
        <v>0.78972320240000005</v>
      </c>
      <c r="E404" s="102">
        <f>VLOOKUP(CurrentMtgRatesDataTable825[[#This Row],[asofdate]],O:P,2,0)</f>
        <v>0</v>
      </c>
      <c r="F404" s="103">
        <f ca="1">VLOOKUP(CurrentMtgRatesDataTable825[[#This Row],[asofdate]]+1,Bloomberg!B:C,2,0)</f>
        <v>3352.8</v>
      </c>
      <c r="I404" s="18">
        <v>39877</v>
      </c>
      <c r="J404" s="91">
        <v>0.78972320240000005</v>
      </c>
      <c r="K404" s="91">
        <f>VLOOKUP(CurrentMtgRatesDataTable82527141518[[#This Row],[asofdate]],O:P,2,0)</f>
        <v>0</v>
      </c>
      <c r="L404" s="91">
        <f>VLOOKUP(CurrentMtgRatesDataTable82527141518[[#This Row],[asofdate]],S:T,2,0)</f>
        <v>0.78969731409999999</v>
      </c>
      <c r="M404" s="6">
        <f ca="1">VLOOKUP(CurrentMtgRatesDataTable82527141518[[#This Row],[asofdate]]+1,Bloomberg!B:C,2,0)</f>
        <v>3352.8</v>
      </c>
      <c r="N404" s="6"/>
      <c r="O404" s="18">
        <v>39870</v>
      </c>
      <c r="P404" s="91">
        <v>0</v>
      </c>
      <c r="Q404" s="104"/>
      <c r="R404" s="104"/>
      <c r="S404" s="18">
        <v>39877</v>
      </c>
      <c r="T404" s="91">
        <v>0.78969731409999999</v>
      </c>
      <c r="V404"/>
    </row>
    <row r="405" spans="2:22">
      <c r="B405" s="101">
        <v>39870</v>
      </c>
      <c r="C405" s="102">
        <v>0.85195386939999995</v>
      </c>
      <c r="D405" s="102">
        <f>VLOOKUP(CurrentMtgRatesDataTable825[[#This Row],[asofdate]],I:J,2,0)</f>
        <v>0.85338869260000005</v>
      </c>
      <c r="E405" s="102">
        <f>VLOOKUP(CurrentMtgRatesDataTable825[[#This Row],[asofdate]],O:P,2,0)</f>
        <v>0</v>
      </c>
      <c r="F405" s="103">
        <f ca="1">VLOOKUP(CurrentMtgRatesDataTable825[[#This Row],[asofdate]]+1,Bloomberg!B:C,2,0)</f>
        <v>2945.5</v>
      </c>
      <c r="I405" s="18">
        <v>39870</v>
      </c>
      <c r="J405" s="91">
        <v>0.85338869260000005</v>
      </c>
      <c r="K405" s="91">
        <f>VLOOKUP(CurrentMtgRatesDataTable82527141518[[#This Row],[asofdate]],O:P,2,0)</f>
        <v>0</v>
      </c>
      <c r="L405" s="91">
        <f>VLOOKUP(CurrentMtgRatesDataTable82527141518[[#This Row],[asofdate]],S:T,2,0)</f>
        <v>0.85325570760000002</v>
      </c>
      <c r="M405" s="6">
        <f ca="1">VLOOKUP(CurrentMtgRatesDataTable82527141518[[#This Row],[asofdate]]+1,Bloomberg!B:C,2,0)</f>
        <v>2945.5</v>
      </c>
      <c r="N405" s="6"/>
      <c r="O405" s="18">
        <v>39863</v>
      </c>
      <c r="P405" s="91">
        <v>0</v>
      </c>
      <c r="Q405" s="104"/>
      <c r="R405" s="104"/>
      <c r="S405" s="18">
        <v>39870</v>
      </c>
      <c r="T405" s="91">
        <v>0.85325570760000002</v>
      </c>
      <c r="V405"/>
    </row>
    <row r="406" spans="2:22">
      <c r="B406" s="101">
        <v>39863</v>
      </c>
      <c r="C406" s="102">
        <v>0.87232807749999997</v>
      </c>
      <c r="D406" s="102">
        <f>VLOOKUP(CurrentMtgRatesDataTable825[[#This Row],[asofdate]],I:J,2,0)</f>
        <v>0.86644801189999998</v>
      </c>
      <c r="E406" s="102">
        <f>VLOOKUP(CurrentMtgRatesDataTable825[[#This Row],[asofdate]],O:P,2,0)</f>
        <v>0</v>
      </c>
      <c r="F406" s="103">
        <f ca="1">VLOOKUP(CurrentMtgRatesDataTable825[[#This Row],[asofdate]]+1,Bloomberg!B:C,2,0)</f>
        <v>3531.5</v>
      </c>
      <c r="I406" s="18">
        <v>39863</v>
      </c>
      <c r="J406" s="91">
        <v>0.86644801189999998</v>
      </c>
      <c r="K406" s="91">
        <f>VLOOKUP(CurrentMtgRatesDataTable82527141518[[#This Row],[asofdate]],O:P,2,0)</f>
        <v>0</v>
      </c>
      <c r="L406" s="91">
        <f>VLOOKUP(CurrentMtgRatesDataTable82527141518[[#This Row],[asofdate]],S:T,2,0)</f>
        <v>0.86630603630000003</v>
      </c>
      <c r="M406" s="6">
        <f ca="1">VLOOKUP(CurrentMtgRatesDataTable82527141518[[#This Row],[asofdate]]+1,Bloomberg!B:C,2,0)</f>
        <v>3531.5</v>
      </c>
      <c r="N406" s="6"/>
      <c r="O406" s="18">
        <v>39856</v>
      </c>
      <c r="P406" s="91">
        <v>0</v>
      </c>
      <c r="Q406" s="104"/>
      <c r="R406" s="104"/>
      <c r="S406" s="18">
        <v>39863</v>
      </c>
      <c r="T406" s="91">
        <v>0.86630603630000003</v>
      </c>
      <c r="V406"/>
    </row>
    <row r="407" spans="2:22">
      <c r="B407" s="101">
        <v>39856</v>
      </c>
      <c r="C407" s="102">
        <v>0.78575978540000002</v>
      </c>
      <c r="D407" s="102">
        <f>VLOOKUP(CurrentMtgRatesDataTable825[[#This Row],[asofdate]],I:J,2,0)</f>
        <v>0.78839131539999996</v>
      </c>
      <c r="E407" s="102">
        <f>VLOOKUP(CurrentMtgRatesDataTable825[[#This Row],[asofdate]],O:P,2,0)</f>
        <v>0</v>
      </c>
      <c r="F407" s="103">
        <f ca="1">VLOOKUP(CurrentMtgRatesDataTable825[[#This Row],[asofdate]]+1,Bloomberg!B:C,2,0)</f>
        <v>4564.5</v>
      </c>
      <c r="I407" s="18">
        <v>39856</v>
      </c>
      <c r="J407" s="91">
        <v>0.78839131539999996</v>
      </c>
      <c r="K407" s="91">
        <f>VLOOKUP(CurrentMtgRatesDataTable82527141518[[#This Row],[asofdate]],O:P,2,0)</f>
        <v>0</v>
      </c>
      <c r="L407" s="91">
        <f>VLOOKUP(CurrentMtgRatesDataTable82527141518[[#This Row],[asofdate]],S:T,2,0)</f>
        <v>0.78832157729999996</v>
      </c>
      <c r="M407" s="6">
        <f ca="1">VLOOKUP(CurrentMtgRatesDataTable82527141518[[#This Row],[asofdate]]+1,Bloomberg!B:C,2,0)</f>
        <v>4564.5</v>
      </c>
      <c r="N407" s="6"/>
      <c r="O407" s="18">
        <v>39849</v>
      </c>
      <c r="P407" s="91">
        <v>0</v>
      </c>
      <c r="Q407" s="104"/>
      <c r="R407" s="104"/>
      <c r="S407" s="18">
        <v>39856</v>
      </c>
      <c r="T407" s="91">
        <v>0.78832157729999996</v>
      </c>
      <c r="V407"/>
    </row>
    <row r="408" spans="2:22">
      <c r="B408" s="101">
        <v>39849</v>
      </c>
      <c r="C408" s="102">
        <v>0.69855204130000004</v>
      </c>
      <c r="D408" s="102">
        <f>VLOOKUP(CurrentMtgRatesDataTable825[[#This Row],[asofdate]],I:J,2,0)</f>
        <v>0.69670158640000002</v>
      </c>
      <c r="E408" s="102">
        <f>VLOOKUP(CurrentMtgRatesDataTable825[[#This Row],[asofdate]],O:P,2,0)</f>
        <v>0</v>
      </c>
      <c r="F408" s="103">
        <f ca="1">VLOOKUP(CurrentMtgRatesDataTable825[[#This Row],[asofdate]]+1,Bloomberg!B:C,2,0)</f>
        <v>2611.1</v>
      </c>
      <c r="I408" s="18">
        <v>39849</v>
      </c>
      <c r="J408" s="91">
        <v>0.69670158640000002</v>
      </c>
      <c r="K408" s="91">
        <f>VLOOKUP(CurrentMtgRatesDataTable82527141518[[#This Row],[asofdate]],O:P,2,0)</f>
        <v>0</v>
      </c>
      <c r="L408" s="91">
        <f>VLOOKUP(CurrentMtgRatesDataTable82527141518[[#This Row],[asofdate]],S:T,2,0)</f>
        <v>0.69663565689999996</v>
      </c>
      <c r="M408" s="6">
        <f ca="1">VLOOKUP(CurrentMtgRatesDataTable82527141518[[#This Row],[asofdate]]+1,Bloomberg!B:C,2,0)</f>
        <v>2611.1</v>
      </c>
      <c r="N408" s="6"/>
      <c r="O408" s="18">
        <v>39842</v>
      </c>
      <c r="P408" s="91">
        <v>0</v>
      </c>
      <c r="Q408" s="104"/>
      <c r="R408" s="104"/>
      <c r="S408" s="18">
        <v>39849</v>
      </c>
      <c r="T408" s="91">
        <v>0.69663565689999996</v>
      </c>
      <c r="V408"/>
    </row>
    <row r="409" spans="2:22">
      <c r="B409" s="101">
        <v>39842</v>
      </c>
      <c r="C409" s="102">
        <v>0.83006388230000006</v>
      </c>
      <c r="D409" s="102">
        <f>VLOOKUP(CurrentMtgRatesDataTable825[[#This Row],[asofdate]],I:J,2,0)</f>
        <v>0.83111971529999995</v>
      </c>
      <c r="E409" s="102">
        <f>VLOOKUP(CurrentMtgRatesDataTable825[[#This Row],[asofdate]],O:P,2,0)</f>
        <v>0</v>
      </c>
      <c r="F409" s="103">
        <f ca="1">VLOOKUP(CurrentMtgRatesDataTable825[[#This Row],[asofdate]]+1,Bloomberg!B:C,2,0)</f>
        <v>3871.3</v>
      </c>
      <c r="I409" s="18">
        <v>39842</v>
      </c>
      <c r="J409" s="91">
        <v>0.83111971529999995</v>
      </c>
      <c r="K409" s="91">
        <f>VLOOKUP(CurrentMtgRatesDataTable82527141518[[#This Row],[asofdate]],O:P,2,0)</f>
        <v>0</v>
      </c>
      <c r="L409" s="91">
        <f>VLOOKUP(CurrentMtgRatesDataTable82527141518[[#This Row],[asofdate]],S:T,2,0)</f>
        <v>0.83093630070000002</v>
      </c>
      <c r="M409" s="6">
        <f ca="1">VLOOKUP(CurrentMtgRatesDataTable82527141518[[#This Row],[asofdate]]+1,Bloomberg!B:C,2,0)</f>
        <v>3871.3</v>
      </c>
      <c r="N409" s="6"/>
      <c r="O409" s="18">
        <v>39835</v>
      </c>
      <c r="P409" s="91">
        <v>0</v>
      </c>
      <c r="Q409" s="104"/>
      <c r="R409" s="104"/>
      <c r="S409" s="18">
        <v>39842</v>
      </c>
      <c r="T409" s="91">
        <v>0.83093630070000002</v>
      </c>
      <c r="V409"/>
    </row>
    <row r="410" spans="2:22">
      <c r="B410" s="101">
        <v>39835</v>
      </c>
      <c r="C410" s="102">
        <v>0.82036723730000005</v>
      </c>
      <c r="D410" s="102">
        <f>VLOOKUP(CurrentMtgRatesDataTable825[[#This Row],[asofdate]],I:J,2,0)</f>
        <v>0.82597915460000004</v>
      </c>
      <c r="E410" s="102">
        <f>VLOOKUP(CurrentMtgRatesDataTable825[[#This Row],[asofdate]],O:P,2,0)</f>
        <v>0</v>
      </c>
      <c r="F410" s="103">
        <f ca="1">VLOOKUP(CurrentMtgRatesDataTable825[[#This Row],[asofdate]]+1,Bloomberg!B:C,2,0)</f>
        <v>3300.6</v>
      </c>
      <c r="I410" s="18">
        <v>39835</v>
      </c>
      <c r="J410" s="91">
        <v>0.82597915460000004</v>
      </c>
      <c r="K410" s="91">
        <f>VLOOKUP(CurrentMtgRatesDataTable82527141518[[#This Row],[asofdate]],O:P,2,0)</f>
        <v>0</v>
      </c>
      <c r="L410" s="91">
        <f>VLOOKUP(CurrentMtgRatesDataTable82527141518[[#This Row],[asofdate]],S:T,2,0)</f>
        <v>0.82580071769999996</v>
      </c>
      <c r="M410" s="6">
        <f ca="1">VLOOKUP(CurrentMtgRatesDataTable82527141518[[#This Row],[asofdate]]+1,Bloomberg!B:C,2,0)</f>
        <v>3300.6</v>
      </c>
      <c r="N410" s="6"/>
      <c r="O410" s="18">
        <v>39828</v>
      </c>
      <c r="P410" s="91">
        <v>0.91180757339999996</v>
      </c>
      <c r="Q410" s="104"/>
      <c r="R410" s="104"/>
      <c r="S410" s="18">
        <v>39835</v>
      </c>
      <c r="T410" s="91">
        <v>0.82580071769999996</v>
      </c>
      <c r="V410"/>
    </row>
    <row r="411" spans="2:22">
      <c r="B411" s="101">
        <v>39828</v>
      </c>
      <c r="C411" s="102">
        <v>0.91919160860000004</v>
      </c>
      <c r="D411" s="102">
        <f>VLOOKUP(CurrentMtgRatesDataTable825[[#This Row],[asofdate]],I:J,2,0)</f>
        <v>0.91185734159999998</v>
      </c>
      <c r="E411" s="102">
        <f>VLOOKUP(CurrentMtgRatesDataTable825[[#This Row],[asofdate]],O:P,2,0)</f>
        <v>0.91180757339999996</v>
      </c>
      <c r="F411" s="103">
        <f ca="1">VLOOKUP(CurrentMtgRatesDataTable825[[#This Row],[asofdate]]+1,Bloomberg!B:C,2,0)</f>
        <v>6768.6</v>
      </c>
      <c r="I411" s="18">
        <v>39828</v>
      </c>
      <c r="J411" s="91">
        <v>0.91185734159999998</v>
      </c>
      <c r="K411" s="91">
        <f>VLOOKUP(CurrentMtgRatesDataTable82527141518[[#This Row],[asofdate]],O:P,2,0)</f>
        <v>0.91180757339999996</v>
      </c>
      <c r="L411" s="91">
        <f>VLOOKUP(CurrentMtgRatesDataTable82527141518[[#This Row],[asofdate]],S:T,2,0)</f>
        <v>0.91180757339999996</v>
      </c>
      <c r="M411" s="6">
        <f ca="1">VLOOKUP(CurrentMtgRatesDataTable82527141518[[#This Row],[asofdate]]+1,Bloomberg!B:C,2,0)</f>
        <v>6768.6</v>
      </c>
      <c r="N411" s="6"/>
      <c r="O411" s="18">
        <v>39821</v>
      </c>
      <c r="P411" s="91">
        <v>0.89735601710000001</v>
      </c>
      <c r="Q411" s="104"/>
      <c r="R411" s="104"/>
      <c r="S411" s="18">
        <v>39828</v>
      </c>
      <c r="T411" s="91">
        <v>0.91180757339999996</v>
      </c>
      <c r="V411"/>
    </row>
    <row r="412" spans="2:22">
      <c r="B412" s="101">
        <v>39821</v>
      </c>
      <c r="C412" s="102">
        <v>0.90231511019999999</v>
      </c>
      <c r="D412" s="102">
        <f>VLOOKUP(CurrentMtgRatesDataTable825[[#This Row],[asofdate]],I:J,2,0)</f>
        <v>0.89741246799999996</v>
      </c>
      <c r="E412" s="102">
        <f>VLOOKUP(CurrentMtgRatesDataTable825[[#This Row],[asofdate]],O:P,2,0)</f>
        <v>0.89735601710000001</v>
      </c>
      <c r="F412" s="103">
        <f ca="1">VLOOKUP(CurrentMtgRatesDataTable825[[#This Row],[asofdate]]+1,Bloomberg!B:C,2,0)</f>
        <v>7842.7</v>
      </c>
      <c r="I412" s="18">
        <v>39821</v>
      </c>
      <c r="J412" s="91">
        <v>0.89741246799999996</v>
      </c>
      <c r="K412" s="91">
        <f>VLOOKUP(CurrentMtgRatesDataTable82527141518[[#This Row],[asofdate]],O:P,2,0)</f>
        <v>0.89735601710000001</v>
      </c>
      <c r="L412" s="91">
        <f>VLOOKUP(CurrentMtgRatesDataTable82527141518[[#This Row],[asofdate]],S:T,2,0)</f>
        <v>0.89735601710000001</v>
      </c>
      <c r="M412" s="6">
        <f ca="1">VLOOKUP(CurrentMtgRatesDataTable82527141518[[#This Row],[asofdate]]+1,Bloomberg!B:C,2,0)</f>
        <v>7842.7</v>
      </c>
      <c r="N412" s="6"/>
      <c r="O412" s="18">
        <v>39813</v>
      </c>
      <c r="P412" s="91">
        <v>0.83225440230000003</v>
      </c>
      <c r="Q412" s="104"/>
      <c r="R412" s="104"/>
      <c r="S412" s="18">
        <v>39821</v>
      </c>
      <c r="T412" s="91">
        <v>0.89735601710000001</v>
      </c>
      <c r="V412"/>
    </row>
    <row r="413" spans="2:22">
      <c r="B413" s="101">
        <v>39813</v>
      </c>
      <c r="C413" s="102">
        <v>0.83297072390000004</v>
      </c>
      <c r="D413" s="102">
        <f>VLOOKUP(CurrentMtgRatesDataTable825[[#This Row],[asofdate]],I:J,2,0)</f>
        <v>0.83232317040000003</v>
      </c>
      <c r="E413" s="102">
        <f>VLOOKUP(CurrentMtgRatesDataTable825[[#This Row],[asofdate]],O:P,2,0)</f>
        <v>0.83225440230000003</v>
      </c>
      <c r="F413" s="103" t="e">
        <f ca="1">VLOOKUP(CurrentMtgRatesDataTable825[[#This Row],[asofdate]]+1,Bloomberg!B:C,2,0)</f>
        <v>#N/A</v>
      </c>
      <c r="I413" s="18">
        <v>39813</v>
      </c>
      <c r="J413" s="91">
        <v>0.83232317040000003</v>
      </c>
      <c r="K413" s="91">
        <f>VLOOKUP(CurrentMtgRatesDataTable82527141518[[#This Row],[asofdate]],O:P,2,0)</f>
        <v>0.83225440230000003</v>
      </c>
      <c r="L413" s="91">
        <f>VLOOKUP(CurrentMtgRatesDataTable82527141518[[#This Row],[asofdate]],S:T,2,0)</f>
        <v>0.83225440230000003</v>
      </c>
      <c r="M413" s="6" t="e">
        <f ca="1">VLOOKUP(CurrentMtgRatesDataTable82527141518[[#This Row],[asofdate]]+1,Bloomberg!B:C,2,0)</f>
        <v>#N/A</v>
      </c>
      <c r="N413" s="6"/>
      <c r="O413" s="18">
        <v>39806</v>
      </c>
      <c r="P413" s="91">
        <v>0.68221910109999995</v>
      </c>
      <c r="Q413" s="104"/>
      <c r="R413" s="104"/>
      <c r="S413" s="18">
        <v>39813</v>
      </c>
      <c r="T413" s="91">
        <v>0.83225440230000003</v>
      </c>
      <c r="V413"/>
    </row>
    <row r="414" spans="2:22">
      <c r="B414" s="101">
        <v>39806</v>
      </c>
      <c r="C414" s="102">
        <v>0.78653316220000002</v>
      </c>
      <c r="D414" s="102">
        <f>VLOOKUP(CurrentMtgRatesDataTable825[[#This Row],[asofdate]],I:J,2,0)</f>
        <v>0.78997047850000002</v>
      </c>
      <c r="E414" s="102">
        <f>VLOOKUP(CurrentMtgRatesDataTable825[[#This Row],[asofdate]],O:P,2,0)</f>
        <v>0.68221910109999995</v>
      </c>
      <c r="F414" s="103" t="e">
        <f ca="1">VLOOKUP(CurrentMtgRatesDataTable825[[#This Row],[asofdate]]+1,Bloomberg!B:C,2,0)</f>
        <v>#N/A</v>
      </c>
      <c r="I414" s="18">
        <v>39806</v>
      </c>
      <c r="J414" s="91">
        <v>0.78997047850000002</v>
      </c>
      <c r="K414" s="91">
        <f>VLOOKUP(CurrentMtgRatesDataTable82527141518[[#This Row],[asofdate]],O:P,2,0)</f>
        <v>0.68221910109999995</v>
      </c>
      <c r="L414" s="91">
        <f>VLOOKUP(CurrentMtgRatesDataTable82527141518[[#This Row],[asofdate]],S:T,2,0)</f>
        <v>0.78993674390000002</v>
      </c>
      <c r="M414" s="6" t="e">
        <f ca="1">VLOOKUP(CurrentMtgRatesDataTable82527141518[[#This Row],[asofdate]]+1,Bloomberg!B:C,2,0)</f>
        <v>#N/A</v>
      </c>
      <c r="N414" s="6"/>
      <c r="O414" s="18">
        <v>39800</v>
      </c>
      <c r="P414" s="91">
        <v>0.67708556379999996</v>
      </c>
      <c r="Q414" s="104"/>
      <c r="R414" s="104"/>
      <c r="S414" s="18">
        <v>39806</v>
      </c>
      <c r="T414" s="91">
        <v>0.78993674390000002</v>
      </c>
      <c r="V414"/>
    </row>
    <row r="415" spans="2:22">
      <c r="B415" s="101">
        <v>39800</v>
      </c>
      <c r="C415" s="102">
        <v>0.77118219460000004</v>
      </c>
      <c r="D415" s="102">
        <f>VLOOKUP(CurrentMtgRatesDataTable825[[#This Row],[asofdate]],I:J,2,0)</f>
        <v>0.78364763900000001</v>
      </c>
      <c r="E415" s="102">
        <f>VLOOKUP(CurrentMtgRatesDataTable825[[#This Row],[asofdate]],O:P,2,0)</f>
        <v>0.67708556379999996</v>
      </c>
      <c r="F415" s="103">
        <f ca="1">VLOOKUP(CurrentMtgRatesDataTable825[[#This Row],[asofdate]]+1,Bloomberg!B:C,2,0)</f>
        <v>7098.9</v>
      </c>
      <c r="I415" s="18">
        <v>39800</v>
      </c>
      <c r="J415" s="91">
        <v>0.78364763900000001</v>
      </c>
      <c r="K415" s="91">
        <f>VLOOKUP(CurrentMtgRatesDataTable82527141518[[#This Row],[asofdate]],O:P,2,0)</f>
        <v>0.67708556379999996</v>
      </c>
      <c r="L415" s="91">
        <f>VLOOKUP(CurrentMtgRatesDataTable82527141518[[#This Row],[asofdate]],S:T,2,0)</f>
        <v>0.78361411790000002</v>
      </c>
      <c r="M415" s="6">
        <f ca="1">VLOOKUP(CurrentMtgRatesDataTable82527141518[[#This Row],[asofdate]]+1,Bloomberg!B:C,2,0)</f>
        <v>7098.9</v>
      </c>
      <c r="N415" s="6"/>
      <c r="O415" s="18">
        <v>39793</v>
      </c>
      <c r="P415" s="91">
        <v>9.0985881000000005E-2</v>
      </c>
      <c r="Q415" s="104"/>
      <c r="R415" s="104"/>
      <c r="S415" s="18">
        <v>39800</v>
      </c>
      <c r="T415" s="91">
        <v>0.78361411790000002</v>
      </c>
      <c r="V415"/>
    </row>
    <row r="416" spans="2:22">
      <c r="B416" s="101">
        <v>39793</v>
      </c>
      <c r="C416" s="102">
        <v>0.53032542419999995</v>
      </c>
      <c r="D416" s="102">
        <f>VLOOKUP(CurrentMtgRatesDataTable825[[#This Row],[asofdate]],I:J,2,0)</f>
        <v>0.54519970390000005</v>
      </c>
      <c r="E416" s="102">
        <f>VLOOKUP(CurrentMtgRatesDataTable825[[#This Row],[asofdate]],O:P,2,0)</f>
        <v>9.0985881000000005E-2</v>
      </c>
      <c r="F416" s="103">
        <f ca="1">VLOOKUP(CurrentMtgRatesDataTable825[[#This Row],[asofdate]]+1,Bloomberg!B:C,2,0)</f>
        <v>4013.2</v>
      </c>
      <c r="I416" s="18">
        <v>39793</v>
      </c>
      <c r="J416" s="91">
        <v>0.54519970390000005</v>
      </c>
      <c r="K416" s="91">
        <f>VLOOKUP(CurrentMtgRatesDataTable82527141518[[#This Row],[asofdate]],O:P,2,0)</f>
        <v>9.0985881000000005E-2</v>
      </c>
      <c r="L416" s="91">
        <f>VLOOKUP(CurrentMtgRatesDataTable82527141518[[#This Row],[asofdate]],S:T,2,0)</f>
        <v>0.54517550680000004</v>
      </c>
      <c r="M416" s="6">
        <f ca="1">VLOOKUP(CurrentMtgRatesDataTable82527141518[[#This Row],[asofdate]]+1,Bloomberg!B:C,2,0)</f>
        <v>4013.2</v>
      </c>
      <c r="N416" s="6"/>
      <c r="O416" s="18">
        <v>39786</v>
      </c>
      <c r="P416" s="91">
        <v>8.3738041200000002E-2</v>
      </c>
      <c r="Q416" s="104"/>
      <c r="R416" s="104"/>
      <c r="S416" s="18">
        <v>39793</v>
      </c>
      <c r="T416" s="91">
        <v>0.54517550680000004</v>
      </c>
      <c r="V416"/>
    </row>
    <row r="417" spans="2:22">
      <c r="B417" s="101">
        <v>39786</v>
      </c>
      <c r="C417" s="102">
        <v>0.47551961080000005</v>
      </c>
      <c r="D417" s="102">
        <f>VLOOKUP(CurrentMtgRatesDataTable825[[#This Row],[asofdate]],I:J,2,0)</f>
        <v>0.49866364270000002</v>
      </c>
      <c r="E417" s="102">
        <f>VLOOKUP(CurrentMtgRatesDataTable825[[#This Row],[asofdate]],O:P,2,0)</f>
        <v>8.3738041200000002E-2</v>
      </c>
      <c r="F417" s="103">
        <f ca="1">VLOOKUP(CurrentMtgRatesDataTable825[[#This Row],[asofdate]]+1,Bloomberg!B:C,2,0)</f>
        <v>3746.9</v>
      </c>
      <c r="I417" s="18">
        <v>39786</v>
      </c>
      <c r="J417" s="91">
        <v>0.49866364270000002</v>
      </c>
      <c r="K417" s="91">
        <f>VLOOKUP(CurrentMtgRatesDataTable82527141518[[#This Row],[asofdate]],O:P,2,0)</f>
        <v>8.3738041200000002E-2</v>
      </c>
      <c r="L417" s="91">
        <f>VLOOKUP(CurrentMtgRatesDataTable82527141518[[#This Row],[asofdate]],S:T,2,0)</f>
        <v>0.4238442993</v>
      </c>
      <c r="M417" s="6">
        <f ca="1">VLOOKUP(CurrentMtgRatesDataTable82527141518[[#This Row],[asofdate]]+1,Bloomberg!B:C,2,0)</f>
        <v>3746.9</v>
      </c>
      <c r="N417" s="6"/>
      <c r="O417" s="18">
        <v>39778</v>
      </c>
      <c r="P417" s="91">
        <v>0</v>
      </c>
      <c r="Q417" s="104"/>
      <c r="R417" s="104"/>
      <c r="S417" s="18">
        <v>39786</v>
      </c>
      <c r="T417" s="91">
        <v>0.4238442993</v>
      </c>
      <c r="V417"/>
    </row>
    <row r="418" spans="2:22">
      <c r="B418" s="101">
        <v>39778</v>
      </c>
      <c r="C418" s="102">
        <v>0.20538005379999999</v>
      </c>
      <c r="D418" s="102">
        <f>VLOOKUP(CurrentMtgRatesDataTable825[[#This Row],[asofdate]],I:J,2,0)</f>
        <v>0.2508332667</v>
      </c>
      <c r="E418" s="102">
        <f>VLOOKUP(CurrentMtgRatesDataTable825[[#This Row],[asofdate]],O:P,2,0)</f>
        <v>0</v>
      </c>
      <c r="F418" s="103" t="e">
        <f ca="1">VLOOKUP(CurrentMtgRatesDataTable825[[#This Row],[asofdate]]+1,Bloomberg!B:C,2,0)</f>
        <v>#N/A</v>
      </c>
      <c r="I418" s="18">
        <v>39778</v>
      </c>
      <c r="J418" s="91">
        <v>0.2508332667</v>
      </c>
      <c r="K418" s="91">
        <f>VLOOKUP(CurrentMtgRatesDataTable82527141518[[#This Row],[asofdate]],O:P,2,0)</f>
        <v>0</v>
      </c>
      <c r="L418" s="91">
        <f>VLOOKUP(CurrentMtgRatesDataTable82527141518[[#This Row],[asofdate]],S:T,2,0)</f>
        <v>2.9545367900000001E-2</v>
      </c>
      <c r="M418" s="6" t="e">
        <f ca="1">VLOOKUP(CurrentMtgRatesDataTable82527141518[[#This Row],[asofdate]]+1,Bloomberg!B:C,2,0)</f>
        <v>#N/A</v>
      </c>
      <c r="N418" s="6"/>
      <c r="O418" s="18">
        <v>39772</v>
      </c>
      <c r="P418" s="91">
        <v>0</v>
      </c>
      <c r="Q418" s="104"/>
      <c r="R418" s="104"/>
      <c r="S418" s="18">
        <v>39778</v>
      </c>
      <c r="T418" s="91">
        <v>2.9545367900000001E-2</v>
      </c>
      <c r="V418"/>
    </row>
    <row r="419" spans="2:22">
      <c r="B419" s="101">
        <v>39772</v>
      </c>
      <c r="C419" s="102">
        <v>0.17988953639999999</v>
      </c>
      <c r="D419" s="102">
        <f>VLOOKUP(CurrentMtgRatesDataTable825[[#This Row],[asofdate]],I:J,2,0)</f>
        <v>0.22284174370000001</v>
      </c>
      <c r="E419" s="102">
        <f>VLOOKUP(CurrentMtgRatesDataTable825[[#This Row],[asofdate]],O:P,2,0)</f>
        <v>0</v>
      </c>
      <c r="F419" s="103">
        <f ca="1">VLOOKUP(CurrentMtgRatesDataTable825[[#This Row],[asofdate]]+1,Bloomberg!B:C,2,0)</f>
        <v>896.8</v>
      </c>
      <c r="I419" s="18">
        <v>39772</v>
      </c>
      <c r="J419" s="91">
        <v>0.22284174370000001</v>
      </c>
      <c r="K419" s="91">
        <f>VLOOKUP(CurrentMtgRatesDataTable82527141518[[#This Row],[asofdate]],O:P,2,0)</f>
        <v>0</v>
      </c>
      <c r="L419" s="91">
        <f>VLOOKUP(CurrentMtgRatesDataTable82527141518[[#This Row],[asofdate]],S:T,2,0)</f>
        <v>2.1773385499999999E-2</v>
      </c>
      <c r="M419" s="6">
        <f ca="1">VLOOKUP(CurrentMtgRatesDataTable82527141518[[#This Row],[asofdate]]+1,Bloomberg!B:C,2,0)</f>
        <v>896.8</v>
      </c>
      <c r="N419" s="6"/>
      <c r="O419" s="18">
        <v>39765</v>
      </c>
      <c r="P419" s="91">
        <v>0</v>
      </c>
      <c r="Q419" s="104"/>
      <c r="R419" s="104"/>
      <c r="S419" s="18">
        <v>39772</v>
      </c>
      <c r="T419" s="91">
        <v>2.1773385499999999E-2</v>
      </c>
      <c r="V419"/>
    </row>
    <row r="420" spans="2:22">
      <c r="B420" s="101">
        <v>39765</v>
      </c>
      <c r="C420" s="102">
        <v>0.1469548068</v>
      </c>
      <c r="D420" s="102">
        <f>VLOOKUP(CurrentMtgRatesDataTable825[[#This Row],[asofdate]],I:J,2,0)</f>
        <v>0.18451025460000001</v>
      </c>
      <c r="E420" s="102">
        <f>VLOOKUP(CurrentMtgRatesDataTable825[[#This Row],[asofdate]],O:P,2,0)</f>
        <v>0</v>
      </c>
      <c r="F420" s="103">
        <f ca="1">VLOOKUP(CurrentMtgRatesDataTable825[[#This Row],[asofdate]]+1,Bloomberg!B:C,2,0)</f>
        <v>927.3</v>
      </c>
      <c r="I420" s="18">
        <v>39765</v>
      </c>
      <c r="J420" s="91">
        <v>0.18451025460000001</v>
      </c>
      <c r="K420" s="91">
        <f>VLOOKUP(CurrentMtgRatesDataTable82527141518[[#This Row],[asofdate]],O:P,2,0)</f>
        <v>0</v>
      </c>
      <c r="L420" s="91">
        <f>VLOOKUP(CurrentMtgRatesDataTable82527141518[[#This Row],[asofdate]],S:T,2,0)</f>
        <v>1.49714459E-2</v>
      </c>
      <c r="M420" s="6">
        <f ca="1">VLOOKUP(CurrentMtgRatesDataTable82527141518[[#This Row],[asofdate]]+1,Bloomberg!B:C,2,0)</f>
        <v>927.3</v>
      </c>
      <c r="N420" s="6"/>
      <c r="O420" s="18">
        <v>39758</v>
      </c>
      <c r="P420" s="91">
        <v>0</v>
      </c>
      <c r="Q420" s="104"/>
      <c r="R420" s="104"/>
      <c r="S420" s="18">
        <v>39765</v>
      </c>
      <c r="T420" s="91">
        <v>1.49714459E-2</v>
      </c>
      <c r="V420"/>
    </row>
    <row r="421" spans="2:22">
      <c r="B421" s="101">
        <v>39758</v>
      </c>
      <c r="C421" s="102">
        <v>0.13712845730000001</v>
      </c>
      <c r="D421" s="102">
        <f>VLOOKUP(CurrentMtgRatesDataTable825[[#This Row],[asofdate]],I:J,2,0)</f>
        <v>0.17519442060000001</v>
      </c>
      <c r="E421" s="102">
        <f>VLOOKUP(CurrentMtgRatesDataTable825[[#This Row],[asofdate]],O:P,2,0)</f>
        <v>0</v>
      </c>
      <c r="F421" s="103">
        <f ca="1">VLOOKUP(CurrentMtgRatesDataTable825[[#This Row],[asofdate]]+1,Bloomberg!B:C,2,0)</f>
        <v>907.7</v>
      </c>
      <c r="I421" s="18">
        <v>39758</v>
      </c>
      <c r="J421" s="91">
        <v>0.17519442060000001</v>
      </c>
      <c r="K421" s="91">
        <f>VLOOKUP(CurrentMtgRatesDataTable82527141518[[#This Row],[asofdate]],O:P,2,0)</f>
        <v>0</v>
      </c>
      <c r="L421" s="91">
        <f>VLOOKUP(CurrentMtgRatesDataTable82527141518[[#This Row],[asofdate]],S:T,2,0)</f>
        <v>1.3662998900000001E-2</v>
      </c>
      <c r="M421" s="6">
        <f ca="1">VLOOKUP(CurrentMtgRatesDataTable82527141518[[#This Row],[asofdate]]+1,Bloomberg!B:C,2,0)</f>
        <v>907.7</v>
      </c>
      <c r="N421" s="6"/>
      <c r="O421" s="18">
        <v>39751</v>
      </c>
      <c r="P421" s="91">
        <v>0</v>
      </c>
      <c r="Q421" s="104"/>
      <c r="R421" s="104"/>
      <c r="S421" s="18">
        <v>39758</v>
      </c>
      <c r="T421" s="91">
        <v>1.3662998900000001E-2</v>
      </c>
      <c r="V421"/>
    </row>
    <row r="422" spans="2:22">
      <c r="B422" s="101">
        <v>39751</v>
      </c>
      <c r="C422" s="102">
        <v>8.2001154000000007E-2</v>
      </c>
      <c r="D422" s="102">
        <f>VLOOKUP(CurrentMtgRatesDataTable825[[#This Row],[asofdate]],I:J,2,0)</f>
        <v>0.1075199713</v>
      </c>
      <c r="E422" s="102">
        <f>VLOOKUP(CurrentMtgRatesDataTable825[[#This Row],[asofdate]],O:P,2,0)</f>
        <v>0</v>
      </c>
      <c r="F422" s="103">
        <f ca="1">VLOOKUP(CurrentMtgRatesDataTable825[[#This Row],[asofdate]]+1,Bloomberg!B:C,2,0)</f>
        <v>688.8</v>
      </c>
      <c r="I422" s="18">
        <v>39751</v>
      </c>
      <c r="J422" s="91">
        <v>0.1075199713</v>
      </c>
      <c r="K422" s="91">
        <f>VLOOKUP(CurrentMtgRatesDataTable82527141518[[#This Row],[asofdate]],O:P,2,0)</f>
        <v>0</v>
      </c>
      <c r="L422" s="91">
        <f>VLOOKUP(CurrentMtgRatesDataTable82527141518[[#This Row],[asofdate]],S:T,2,0)</f>
        <v>2.0620106000000002E-3</v>
      </c>
      <c r="M422" s="6">
        <f ca="1">VLOOKUP(CurrentMtgRatesDataTable82527141518[[#This Row],[asofdate]]+1,Bloomberg!B:C,2,0)</f>
        <v>688.8</v>
      </c>
      <c r="N422" s="6"/>
      <c r="O422" s="18">
        <v>39744</v>
      </c>
      <c r="P422" s="91">
        <v>0</v>
      </c>
      <c r="Q422" s="104"/>
      <c r="R422" s="104"/>
      <c r="S422" s="18">
        <v>39751</v>
      </c>
      <c r="T422" s="91">
        <v>2.0620106000000002E-3</v>
      </c>
      <c r="V422"/>
    </row>
    <row r="423" spans="2:22">
      <c r="B423" s="101">
        <v>39744</v>
      </c>
      <c r="C423" s="102">
        <v>0.1852401991</v>
      </c>
      <c r="D423" s="102">
        <f>VLOOKUP(CurrentMtgRatesDataTable825[[#This Row],[asofdate]],I:J,2,0)</f>
        <v>0.22609301970000001</v>
      </c>
      <c r="E423" s="102">
        <f>VLOOKUP(CurrentMtgRatesDataTable825[[#This Row],[asofdate]],O:P,2,0)</f>
        <v>0</v>
      </c>
      <c r="F423" s="103">
        <f ca="1">VLOOKUP(CurrentMtgRatesDataTable825[[#This Row],[asofdate]]+1,Bloomberg!B:C,2,0)</f>
        <v>1135.5999999999999</v>
      </c>
      <c r="I423" s="18">
        <v>39744</v>
      </c>
      <c r="J423" s="91">
        <v>0.22609301970000001</v>
      </c>
      <c r="K423" s="91">
        <f>VLOOKUP(CurrentMtgRatesDataTable82527141518[[#This Row],[asofdate]],O:P,2,0)</f>
        <v>0</v>
      </c>
      <c r="L423" s="91">
        <f>VLOOKUP(CurrentMtgRatesDataTable82527141518[[#This Row],[asofdate]],S:T,2,0)</f>
        <v>1.7940324800000001E-2</v>
      </c>
      <c r="M423" s="6">
        <f ca="1">VLOOKUP(CurrentMtgRatesDataTable82527141518[[#This Row],[asofdate]]+1,Bloomberg!B:C,2,0)</f>
        <v>1135.5999999999999</v>
      </c>
      <c r="N423" s="6"/>
      <c r="O423" s="18">
        <v>39737</v>
      </c>
      <c r="P423" s="91">
        <v>0</v>
      </c>
      <c r="Q423" s="104"/>
      <c r="R423" s="104"/>
      <c r="S423" s="18">
        <v>39744</v>
      </c>
      <c r="T423" s="91">
        <v>1.7940324800000001E-2</v>
      </c>
      <c r="V423"/>
    </row>
    <row r="424" spans="2:22">
      <c r="B424" s="101">
        <v>39737</v>
      </c>
      <c r="C424" s="102">
        <v>8.7419545000000001E-2</v>
      </c>
      <c r="D424" s="102">
        <f>VLOOKUP(CurrentMtgRatesDataTable825[[#This Row],[asofdate]],I:J,2,0)</f>
        <v>0.11266400109999999</v>
      </c>
      <c r="E424" s="102">
        <f>VLOOKUP(CurrentMtgRatesDataTable825[[#This Row],[asofdate]],O:P,2,0)</f>
        <v>0</v>
      </c>
      <c r="F424" s="103">
        <f ca="1">VLOOKUP(CurrentMtgRatesDataTable825[[#This Row],[asofdate]]+1,Bloomberg!B:C,2,0)</f>
        <v>798</v>
      </c>
      <c r="I424" s="18">
        <v>39737</v>
      </c>
      <c r="J424" s="91">
        <v>0.11266400109999999</v>
      </c>
      <c r="K424" s="91">
        <f>VLOOKUP(CurrentMtgRatesDataTable82527141518[[#This Row],[asofdate]],O:P,2,0)</f>
        <v>0</v>
      </c>
      <c r="L424" s="91">
        <f>VLOOKUP(CurrentMtgRatesDataTable82527141518[[#This Row],[asofdate]],S:T,2,0)</f>
        <v>2.1092658000000002E-3</v>
      </c>
      <c r="M424" s="6">
        <f ca="1">VLOOKUP(CurrentMtgRatesDataTable82527141518[[#This Row],[asofdate]]+1,Bloomberg!B:C,2,0)</f>
        <v>798</v>
      </c>
      <c r="N424" s="6"/>
      <c r="O424" s="18">
        <v>39730</v>
      </c>
      <c r="P424" s="91">
        <v>0</v>
      </c>
      <c r="Q424" s="104"/>
      <c r="R424" s="104"/>
      <c r="S424" s="18">
        <v>39737</v>
      </c>
      <c r="T424" s="91">
        <v>2.1092658000000002E-3</v>
      </c>
      <c r="V424"/>
    </row>
    <row r="425" spans="2:22">
      <c r="B425" s="101">
        <v>39730</v>
      </c>
      <c r="C425" s="102">
        <v>0.23372308580000001</v>
      </c>
      <c r="D425" s="102">
        <f>VLOOKUP(CurrentMtgRatesDataTable825[[#This Row],[asofdate]],I:J,2,0)</f>
        <v>0.27029255289999998</v>
      </c>
      <c r="E425" s="102">
        <f>VLOOKUP(CurrentMtgRatesDataTable825[[#This Row],[asofdate]],O:P,2,0)</f>
        <v>0</v>
      </c>
      <c r="F425" s="103">
        <f ca="1">VLOOKUP(CurrentMtgRatesDataTable825[[#This Row],[asofdate]]+1,Bloomberg!B:C,2,0)</f>
        <v>1190.8</v>
      </c>
      <c r="I425" s="18">
        <v>39730</v>
      </c>
      <c r="J425" s="91">
        <v>0.27029255289999998</v>
      </c>
      <c r="K425" s="91">
        <f>VLOOKUP(CurrentMtgRatesDataTable82527141518[[#This Row],[asofdate]],O:P,2,0)</f>
        <v>0</v>
      </c>
      <c r="L425" s="91">
        <f>VLOOKUP(CurrentMtgRatesDataTable82527141518[[#This Row],[asofdate]],S:T,2,0)</f>
        <v>4.1625742200000003E-2</v>
      </c>
      <c r="M425" s="6">
        <f ca="1">VLOOKUP(CurrentMtgRatesDataTable82527141518[[#This Row],[asofdate]]+1,Bloomberg!B:C,2,0)</f>
        <v>1190.8</v>
      </c>
      <c r="N425" s="6"/>
      <c r="O425" s="18">
        <v>39723</v>
      </c>
      <c r="P425" s="91">
        <v>0</v>
      </c>
      <c r="Q425" s="104"/>
      <c r="R425" s="104"/>
      <c r="S425" s="18">
        <v>39730</v>
      </c>
      <c r="T425" s="91">
        <v>4.1625742200000003E-2</v>
      </c>
      <c r="V425"/>
    </row>
    <row r="426" spans="2:22">
      <c r="B426" s="101">
        <v>39723</v>
      </c>
      <c r="C426" s="102">
        <v>0.1677361312</v>
      </c>
      <c r="D426" s="102">
        <f>VLOOKUP(CurrentMtgRatesDataTable825[[#This Row],[asofdate]],I:J,2,0)</f>
        <v>0.21754198629999999</v>
      </c>
      <c r="E426" s="102">
        <f>VLOOKUP(CurrentMtgRatesDataTable825[[#This Row],[asofdate]],O:P,2,0)</f>
        <v>0</v>
      </c>
      <c r="F426" s="103">
        <f ca="1">VLOOKUP(CurrentMtgRatesDataTable825[[#This Row],[asofdate]]+1,Bloomberg!B:C,2,0)</f>
        <v>999.6</v>
      </c>
      <c r="I426" s="18">
        <v>39723</v>
      </c>
      <c r="J426" s="91">
        <v>0.21754198629999999</v>
      </c>
      <c r="K426" s="91">
        <f>VLOOKUP(CurrentMtgRatesDataTable82527141518[[#This Row],[asofdate]],O:P,2,0)</f>
        <v>0</v>
      </c>
      <c r="L426" s="91">
        <f>VLOOKUP(CurrentMtgRatesDataTable82527141518[[#This Row],[asofdate]],S:T,2,0)</f>
        <v>1.6478596700000001E-2</v>
      </c>
      <c r="M426" s="6">
        <f ca="1">VLOOKUP(CurrentMtgRatesDataTable82527141518[[#This Row],[asofdate]]+1,Bloomberg!B:C,2,0)</f>
        <v>999.6</v>
      </c>
      <c r="N426" s="6"/>
      <c r="O426" s="18">
        <v>39716</v>
      </c>
      <c r="P426" s="91">
        <v>0</v>
      </c>
      <c r="Q426" s="104"/>
      <c r="R426" s="104"/>
      <c r="S426" s="18">
        <v>39723</v>
      </c>
      <c r="T426" s="91">
        <v>1.6478596700000001E-2</v>
      </c>
      <c r="V426"/>
    </row>
    <row r="427" spans="2:22">
      <c r="B427" s="101">
        <v>39716</v>
      </c>
      <c r="C427" s="102">
        <v>0.16268158369999999</v>
      </c>
      <c r="D427" s="102">
        <f>VLOOKUP(CurrentMtgRatesDataTable825[[#This Row],[asofdate]],I:J,2,0)</f>
        <v>0.20644072420000001</v>
      </c>
      <c r="E427" s="102">
        <f>VLOOKUP(CurrentMtgRatesDataTable825[[#This Row],[asofdate]],O:P,2,0)</f>
        <v>0</v>
      </c>
      <c r="F427" s="103">
        <f ca="1">VLOOKUP(CurrentMtgRatesDataTable825[[#This Row],[asofdate]]+1,Bloomberg!B:C,2,0)</f>
        <v>1026</v>
      </c>
      <c r="I427" s="18">
        <v>39716</v>
      </c>
      <c r="J427" s="91">
        <v>0.20644072420000001</v>
      </c>
      <c r="K427" s="91">
        <f>VLOOKUP(CurrentMtgRatesDataTable82527141518[[#This Row],[asofdate]],O:P,2,0)</f>
        <v>0</v>
      </c>
      <c r="L427" s="91">
        <f>VLOOKUP(CurrentMtgRatesDataTable82527141518[[#This Row],[asofdate]],S:T,2,0)</f>
        <v>1.33154169E-2</v>
      </c>
      <c r="M427" s="6">
        <f ca="1">VLOOKUP(CurrentMtgRatesDataTable82527141518[[#This Row],[asofdate]]+1,Bloomberg!B:C,2,0)</f>
        <v>1026</v>
      </c>
      <c r="N427" s="6"/>
      <c r="O427" s="18">
        <v>39709</v>
      </c>
      <c r="P427" s="91">
        <v>3.19365749E-2</v>
      </c>
      <c r="Q427" s="104"/>
      <c r="R427" s="104"/>
      <c r="S427" s="18">
        <v>39716</v>
      </c>
      <c r="T427" s="91">
        <v>1.33154169E-2</v>
      </c>
      <c r="V427"/>
    </row>
    <row r="428" spans="2:22">
      <c r="B428" s="101">
        <v>39709</v>
      </c>
      <c r="C428" s="102">
        <v>0.33812670979999998</v>
      </c>
      <c r="D428" s="102">
        <f>VLOOKUP(CurrentMtgRatesDataTable825[[#This Row],[asofdate]],I:J,2,0)</f>
        <v>0.37922658250000002</v>
      </c>
      <c r="E428" s="102">
        <f>VLOOKUP(CurrentMtgRatesDataTable825[[#This Row],[asofdate]],O:P,2,0)</f>
        <v>3.19365749E-2</v>
      </c>
      <c r="F428" s="103">
        <f ca="1">VLOOKUP(CurrentMtgRatesDataTable825[[#This Row],[asofdate]]+1,Bloomberg!B:C,2,0)</f>
        <v>1756.8</v>
      </c>
      <c r="I428" s="18">
        <v>39709</v>
      </c>
      <c r="J428" s="91">
        <v>0.37922658250000002</v>
      </c>
      <c r="K428" s="91">
        <f>VLOOKUP(CurrentMtgRatesDataTable82527141518[[#This Row],[asofdate]],O:P,2,0)</f>
        <v>3.19365749E-2</v>
      </c>
      <c r="L428" s="91">
        <f>VLOOKUP(CurrentMtgRatesDataTable82527141518[[#This Row],[asofdate]],S:T,2,0)</f>
        <v>0.29699088080000002</v>
      </c>
      <c r="M428" s="6">
        <f ca="1">VLOOKUP(CurrentMtgRatesDataTable82527141518[[#This Row],[asofdate]]+1,Bloomberg!B:C,2,0)</f>
        <v>1756.8</v>
      </c>
      <c r="N428" s="6"/>
      <c r="O428" s="18">
        <v>39702</v>
      </c>
      <c r="P428" s="91">
        <v>1.29410889E-2</v>
      </c>
      <c r="Q428" s="104"/>
      <c r="R428" s="104"/>
      <c r="S428" s="18">
        <v>39709</v>
      </c>
      <c r="T428" s="91">
        <v>0.29699088080000002</v>
      </c>
      <c r="V428"/>
    </row>
    <row r="429" spans="2:22">
      <c r="B429" s="101">
        <v>39702</v>
      </c>
      <c r="C429" s="102">
        <v>0.22375450559999999</v>
      </c>
      <c r="D429" s="102">
        <f>VLOOKUP(CurrentMtgRatesDataTable825[[#This Row],[asofdate]],I:J,2,0)</f>
        <v>0.26874650979999998</v>
      </c>
      <c r="E429" s="102">
        <f>VLOOKUP(CurrentMtgRatesDataTable825[[#This Row],[asofdate]],O:P,2,0)</f>
        <v>1.29410889E-2</v>
      </c>
      <c r="F429" s="103">
        <f ca="1">VLOOKUP(CurrentMtgRatesDataTable825[[#This Row],[asofdate]]+1,Bloomberg!B:C,2,0)</f>
        <v>2068.5</v>
      </c>
      <c r="I429" s="18">
        <v>39702</v>
      </c>
      <c r="J429" s="91">
        <v>0.26874650979999998</v>
      </c>
      <c r="K429" s="91">
        <f>VLOOKUP(CurrentMtgRatesDataTable82527141518[[#This Row],[asofdate]],O:P,2,0)</f>
        <v>1.29410889E-2</v>
      </c>
      <c r="L429" s="91">
        <f>VLOOKUP(CurrentMtgRatesDataTable82527141518[[#This Row],[asofdate]],S:T,2,0)</f>
        <v>0.2034955198</v>
      </c>
      <c r="M429" s="6">
        <f ca="1">VLOOKUP(CurrentMtgRatesDataTable82527141518[[#This Row],[asofdate]]+1,Bloomberg!B:C,2,0)</f>
        <v>2068.5</v>
      </c>
      <c r="N429" s="6"/>
      <c r="O429" s="18">
        <v>39695</v>
      </c>
      <c r="P429" s="91">
        <v>9.4261399999999998E-5</v>
      </c>
      <c r="Q429" s="104"/>
      <c r="R429" s="104"/>
      <c r="S429" s="18">
        <v>39702</v>
      </c>
      <c r="T429" s="91">
        <v>0.2034955198</v>
      </c>
      <c r="V429"/>
    </row>
    <row r="430" spans="2:22">
      <c r="B430" s="101">
        <v>39695</v>
      </c>
      <c r="C430" s="102">
        <v>0.1017859443</v>
      </c>
      <c r="D430" s="102">
        <f>VLOOKUP(CurrentMtgRatesDataTable825[[#This Row],[asofdate]],I:J,2,0)</f>
        <v>0.13095243039999999</v>
      </c>
      <c r="E430" s="102">
        <f>VLOOKUP(CurrentMtgRatesDataTable825[[#This Row],[asofdate]],O:P,2,0)</f>
        <v>9.4261399999999998E-5</v>
      </c>
      <c r="F430" s="103">
        <f ca="1">VLOOKUP(CurrentMtgRatesDataTable825[[#This Row],[asofdate]]+1,Bloomberg!B:C,2,0)</f>
        <v>998.3</v>
      </c>
      <c r="I430" s="18">
        <v>39695</v>
      </c>
      <c r="J430" s="91">
        <v>0.13095243039999999</v>
      </c>
      <c r="K430" s="91">
        <f>VLOOKUP(CurrentMtgRatesDataTable82527141518[[#This Row],[asofdate]],O:P,2,0)</f>
        <v>9.4261399999999998E-5</v>
      </c>
      <c r="L430" s="91">
        <f>VLOOKUP(CurrentMtgRatesDataTable82527141518[[#This Row],[asofdate]],S:T,2,0)</f>
        <v>5.6994957000000004E-3</v>
      </c>
      <c r="M430" s="6">
        <f ca="1">VLOOKUP(CurrentMtgRatesDataTable82527141518[[#This Row],[asofdate]]+1,Bloomberg!B:C,2,0)</f>
        <v>998.3</v>
      </c>
      <c r="N430" s="6"/>
      <c r="O430" s="18">
        <v>39688</v>
      </c>
      <c r="P430" s="91">
        <v>0</v>
      </c>
      <c r="Q430" s="104"/>
      <c r="R430" s="104"/>
      <c r="S430" s="18">
        <v>39695</v>
      </c>
      <c r="T430" s="91">
        <v>5.6994957000000004E-3</v>
      </c>
      <c r="V430"/>
    </row>
    <row r="431" spans="2:22">
      <c r="B431" s="101">
        <v>39688</v>
      </c>
      <c r="C431" s="102">
        <v>9.9715127299999998E-2</v>
      </c>
      <c r="D431" s="102">
        <f>VLOOKUP(CurrentMtgRatesDataTable825[[#This Row],[asofdate]],I:J,2,0)</f>
        <v>0.13144158189999999</v>
      </c>
      <c r="E431" s="102">
        <f>VLOOKUP(CurrentMtgRatesDataTable825[[#This Row],[asofdate]],O:P,2,0)</f>
        <v>0</v>
      </c>
      <c r="F431" s="103">
        <f ca="1">VLOOKUP(CurrentMtgRatesDataTable825[[#This Row],[asofdate]]+1,Bloomberg!B:C,2,0)</f>
        <v>825</v>
      </c>
      <c r="I431" s="18">
        <v>39688</v>
      </c>
      <c r="J431" s="91">
        <v>0.13144158189999999</v>
      </c>
      <c r="K431" s="91">
        <f>VLOOKUP(CurrentMtgRatesDataTable82527141518[[#This Row],[asofdate]],O:P,2,0)</f>
        <v>0</v>
      </c>
      <c r="L431" s="91">
        <f>VLOOKUP(CurrentMtgRatesDataTable82527141518[[#This Row],[asofdate]],S:T,2,0)</f>
        <v>4.3470202000000001E-3</v>
      </c>
      <c r="M431" s="6">
        <f ca="1">VLOOKUP(CurrentMtgRatesDataTable82527141518[[#This Row],[asofdate]]+1,Bloomberg!B:C,2,0)</f>
        <v>825</v>
      </c>
      <c r="N431" s="6"/>
      <c r="O431" s="18">
        <v>39681</v>
      </c>
      <c r="P431" s="91">
        <v>0</v>
      </c>
      <c r="Q431" s="104"/>
      <c r="R431" s="104"/>
      <c r="S431" s="18">
        <v>39688</v>
      </c>
      <c r="T431" s="91">
        <v>4.3470202000000001E-3</v>
      </c>
      <c r="V431"/>
    </row>
    <row r="432" spans="2:22">
      <c r="B432" s="101">
        <v>39681</v>
      </c>
      <c r="C432" s="102">
        <v>8.1784477600000002E-2</v>
      </c>
      <c r="D432" s="102">
        <f>VLOOKUP(CurrentMtgRatesDataTable825[[#This Row],[asofdate]],I:J,2,0)</f>
        <v>0.1090236047</v>
      </c>
      <c r="E432" s="102">
        <f>VLOOKUP(CurrentMtgRatesDataTable825[[#This Row],[asofdate]],O:P,2,0)</f>
        <v>0</v>
      </c>
      <c r="F432" s="103">
        <f ca="1">VLOOKUP(CurrentMtgRatesDataTable825[[#This Row],[asofdate]]+1,Bloomberg!B:C,2,0)</f>
        <v>793.9</v>
      </c>
      <c r="I432" s="18">
        <v>39681</v>
      </c>
      <c r="J432" s="91">
        <v>0.1090236047</v>
      </c>
      <c r="K432" s="91">
        <f>VLOOKUP(CurrentMtgRatesDataTable82527141518[[#This Row],[asofdate]],O:P,2,0)</f>
        <v>0</v>
      </c>
      <c r="L432" s="91">
        <f>VLOOKUP(CurrentMtgRatesDataTable82527141518[[#This Row],[asofdate]],S:T,2,0)</f>
        <v>3.5366915E-3</v>
      </c>
      <c r="M432" s="6">
        <f ca="1">VLOOKUP(CurrentMtgRatesDataTable82527141518[[#This Row],[asofdate]]+1,Bloomberg!B:C,2,0)</f>
        <v>793.9</v>
      </c>
      <c r="N432" s="6"/>
      <c r="O432" s="18">
        <v>39674</v>
      </c>
      <c r="P432" s="91">
        <v>0</v>
      </c>
      <c r="Q432" s="104"/>
      <c r="R432" s="104"/>
      <c r="S432" s="18">
        <v>39681</v>
      </c>
      <c r="T432" s="91">
        <v>3.5366915E-3</v>
      </c>
      <c r="V432"/>
    </row>
    <row r="433" spans="2:22">
      <c r="B433" s="101">
        <v>39674</v>
      </c>
      <c r="C433" s="102">
        <v>7.6992391699999996E-2</v>
      </c>
      <c r="D433" s="102">
        <f>VLOOKUP(CurrentMtgRatesDataTable825[[#This Row],[asofdate]],I:J,2,0)</f>
        <v>0.1005900445</v>
      </c>
      <c r="E433" s="102">
        <f>VLOOKUP(CurrentMtgRatesDataTable825[[#This Row],[asofdate]],O:P,2,0)</f>
        <v>0</v>
      </c>
      <c r="F433" s="103">
        <f ca="1">VLOOKUP(CurrentMtgRatesDataTable825[[#This Row],[asofdate]]+1,Bloomberg!B:C,2,0)</f>
        <v>815.2</v>
      </c>
      <c r="I433" s="18">
        <v>39674</v>
      </c>
      <c r="J433" s="91">
        <v>0.1005900445</v>
      </c>
      <c r="K433" s="91">
        <f>VLOOKUP(CurrentMtgRatesDataTable82527141518[[#This Row],[asofdate]],O:P,2,0)</f>
        <v>0</v>
      </c>
      <c r="L433" s="91">
        <f>VLOOKUP(CurrentMtgRatesDataTable82527141518[[#This Row],[asofdate]],S:T,2,0)</f>
        <v>1.1530172E-3</v>
      </c>
      <c r="M433" s="6">
        <f ca="1">VLOOKUP(CurrentMtgRatesDataTable82527141518[[#This Row],[asofdate]]+1,Bloomberg!B:C,2,0)</f>
        <v>815.2</v>
      </c>
      <c r="N433" s="6"/>
      <c r="O433" s="18">
        <v>39667</v>
      </c>
      <c r="P433" s="91">
        <v>0</v>
      </c>
      <c r="Q433" s="104"/>
      <c r="R433" s="104"/>
      <c r="S433" s="18">
        <v>39674</v>
      </c>
      <c r="T433" s="91">
        <v>1.1530172E-3</v>
      </c>
      <c r="V433"/>
    </row>
    <row r="434" spans="2:22">
      <c r="B434" s="101">
        <v>39667</v>
      </c>
      <c r="C434" s="102">
        <v>7.6992391699999996E-2</v>
      </c>
      <c r="D434" s="102">
        <f>VLOOKUP(CurrentMtgRatesDataTable825[[#This Row],[asofdate]],I:J,2,0)</f>
        <v>0.1005900445</v>
      </c>
      <c r="E434" s="102">
        <f>VLOOKUP(CurrentMtgRatesDataTable825[[#This Row],[asofdate]],O:P,2,0)</f>
        <v>0</v>
      </c>
      <c r="F434" s="103">
        <f ca="1">VLOOKUP(CurrentMtgRatesDataTable825[[#This Row],[asofdate]]+1,Bloomberg!B:C,2,0)</f>
        <v>853.1</v>
      </c>
      <c r="I434" s="18">
        <v>39667</v>
      </c>
      <c r="J434" s="91">
        <v>0.1005900445</v>
      </c>
      <c r="K434" s="91">
        <f>VLOOKUP(CurrentMtgRatesDataTable82527141518[[#This Row],[asofdate]],O:P,2,0)</f>
        <v>0</v>
      </c>
      <c r="L434" s="91">
        <f>VLOOKUP(CurrentMtgRatesDataTable82527141518[[#This Row],[asofdate]],S:T,2,0)</f>
        <v>1.1530172E-3</v>
      </c>
      <c r="M434" s="6">
        <f ca="1">VLOOKUP(CurrentMtgRatesDataTable82527141518[[#This Row],[asofdate]]+1,Bloomberg!B:C,2,0)</f>
        <v>853.1</v>
      </c>
      <c r="N434" s="6"/>
      <c r="O434" s="18">
        <v>39660</v>
      </c>
      <c r="P434" s="91">
        <v>0</v>
      </c>
      <c r="Q434" s="104"/>
      <c r="R434" s="104"/>
      <c r="S434" s="18">
        <v>39667</v>
      </c>
      <c r="T434" s="91">
        <v>1.1530172E-3</v>
      </c>
      <c r="V434"/>
    </row>
    <row r="435" spans="2:22">
      <c r="B435" s="101">
        <v>39660</v>
      </c>
      <c r="C435" s="102">
        <v>7.8223039200000011E-2</v>
      </c>
      <c r="D435" s="102">
        <f>VLOOKUP(CurrentMtgRatesDataTable825[[#This Row],[asofdate]],I:J,2,0)</f>
        <v>0.10192862680000001</v>
      </c>
      <c r="E435" s="102">
        <f>VLOOKUP(CurrentMtgRatesDataTable825[[#This Row],[asofdate]],O:P,2,0)</f>
        <v>0</v>
      </c>
      <c r="F435" s="103">
        <f ca="1">VLOOKUP(CurrentMtgRatesDataTable825[[#This Row],[asofdate]]+1,Bloomberg!B:C,2,0)</f>
        <v>897.7</v>
      </c>
      <c r="I435" s="18">
        <v>39660</v>
      </c>
      <c r="J435" s="91">
        <v>0.10192862680000001</v>
      </c>
      <c r="K435" s="91">
        <f>VLOOKUP(CurrentMtgRatesDataTable82527141518[[#This Row],[asofdate]],O:P,2,0)</f>
        <v>0</v>
      </c>
      <c r="L435" s="91">
        <f>VLOOKUP(CurrentMtgRatesDataTable82527141518[[#This Row],[asofdate]],S:T,2,0)</f>
        <v>1.5464712000000001E-3</v>
      </c>
      <c r="M435" s="6">
        <f ca="1">VLOOKUP(CurrentMtgRatesDataTable82527141518[[#This Row],[asofdate]]+1,Bloomberg!B:C,2,0)</f>
        <v>897.7</v>
      </c>
      <c r="N435" s="6"/>
      <c r="O435" s="18">
        <v>39653</v>
      </c>
      <c r="P435" s="91">
        <v>0</v>
      </c>
      <c r="Q435" s="104"/>
      <c r="R435" s="104"/>
      <c r="S435" s="18">
        <v>39660</v>
      </c>
      <c r="T435" s="91">
        <v>1.5464712000000001E-3</v>
      </c>
      <c r="V435"/>
    </row>
    <row r="436" spans="2:22">
      <c r="B436" s="101">
        <v>39653</v>
      </c>
      <c r="C436" s="102">
        <v>6.4039119199999994E-2</v>
      </c>
      <c r="D436" s="102">
        <f>VLOOKUP(CurrentMtgRatesDataTable825[[#This Row],[asofdate]],I:J,2,0)</f>
        <v>8.7809564199999995E-2</v>
      </c>
      <c r="E436" s="102">
        <f>VLOOKUP(CurrentMtgRatesDataTable825[[#This Row],[asofdate]],O:P,2,0)</f>
        <v>0</v>
      </c>
      <c r="F436" s="103">
        <f ca="1">VLOOKUP(CurrentMtgRatesDataTable825[[#This Row],[asofdate]]+1,Bloomberg!B:C,2,0)</f>
        <v>874.1</v>
      </c>
      <c r="I436" s="18">
        <v>39653</v>
      </c>
      <c r="J436" s="91">
        <v>8.7809564199999995E-2</v>
      </c>
      <c r="K436" s="91">
        <f>VLOOKUP(CurrentMtgRatesDataTable82527141518[[#This Row],[asofdate]],O:P,2,0)</f>
        <v>0</v>
      </c>
      <c r="L436" s="91">
        <f>VLOOKUP(CurrentMtgRatesDataTable82527141518[[#This Row],[asofdate]],S:T,2,0)</f>
        <v>1.2603665999999999E-3</v>
      </c>
      <c r="M436" s="6">
        <f ca="1">VLOOKUP(CurrentMtgRatesDataTable82527141518[[#This Row],[asofdate]]+1,Bloomberg!B:C,2,0)</f>
        <v>874.1</v>
      </c>
      <c r="N436" s="6"/>
      <c r="O436" s="18">
        <v>39646</v>
      </c>
      <c r="P436" s="91">
        <v>0</v>
      </c>
      <c r="Q436" s="104"/>
      <c r="R436" s="104"/>
      <c r="S436" s="18">
        <v>39653</v>
      </c>
      <c r="T436" s="91">
        <v>1.2603665999999999E-3</v>
      </c>
      <c r="V436"/>
    </row>
    <row r="437" spans="2:22">
      <c r="B437" s="101">
        <v>39646</v>
      </c>
      <c r="C437" s="102">
        <v>0.13065492100000001</v>
      </c>
      <c r="D437" s="102">
        <f>VLOOKUP(CurrentMtgRatesDataTable825[[#This Row],[asofdate]],I:J,2,0)</f>
        <v>0.16845758860000001</v>
      </c>
      <c r="E437" s="102">
        <f>VLOOKUP(CurrentMtgRatesDataTable825[[#This Row],[asofdate]],O:P,2,0)</f>
        <v>0</v>
      </c>
      <c r="F437" s="103">
        <f ca="1">VLOOKUP(CurrentMtgRatesDataTable825[[#This Row],[asofdate]]+1,Bloomberg!B:C,2,0)</f>
        <v>1213.9000000000001</v>
      </c>
      <c r="I437" s="18">
        <v>39646</v>
      </c>
      <c r="J437" s="91">
        <v>0.16845758860000001</v>
      </c>
      <c r="K437" s="91">
        <f>VLOOKUP(CurrentMtgRatesDataTable82527141518[[#This Row],[asofdate]],O:P,2,0)</f>
        <v>0</v>
      </c>
      <c r="L437" s="91">
        <f>VLOOKUP(CurrentMtgRatesDataTable82527141518[[#This Row],[asofdate]],S:T,2,0)</f>
        <v>5.1440979000000001E-3</v>
      </c>
      <c r="M437" s="6">
        <f ca="1">VLOOKUP(CurrentMtgRatesDataTable82527141518[[#This Row],[asofdate]]+1,Bloomberg!B:C,2,0)</f>
        <v>1213.9000000000001</v>
      </c>
      <c r="N437" s="6"/>
      <c r="O437" s="18">
        <v>39639</v>
      </c>
      <c r="P437" s="91">
        <v>0</v>
      </c>
      <c r="Q437" s="104"/>
      <c r="R437" s="104"/>
      <c r="S437" s="18">
        <v>39646</v>
      </c>
      <c r="T437" s="91">
        <v>5.1440979000000001E-3</v>
      </c>
      <c r="V437"/>
    </row>
    <row r="438" spans="2:22">
      <c r="B438" s="101">
        <v>39639</v>
      </c>
      <c r="C438" s="102">
        <v>0.1050142817</v>
      </c>
      <c r="D438" s="102">
        <f>VLOOKUP(CurrentMtgRatesDataTable825[[#This Row],[asofdate]],I:J,2,0)</f>
        <v>0.13544823440000001</v>
      </c>
      <c r="E438" s="102">
        <f>VLOOKUP(CurrentMtgRatesDataTable825[[#This Row],[asofdate]],O:P,2,0)</f>
        <v>0</v>
      </c>
      <c r="F438" s="103">
        <f ca="1">VLOOKUP(CurrentMtgRatesDataTable825[[#This Row],[asofdate]]+1,Bloomberg!B:C,2,0)</f>
        <v>1270.5999999999999</v>
      </c>
      <c r="I438" s="18">
        <v>39639</v>
      </c>
      <c r="J438" s="91">
        <v>0.13544823440000001</v>
      </c>
      <c r="K438" s="91">
        <f>VLOOKUP(CurrentMtgRatesDataTable82527141518[[#This Row],[asofdate]],O:P,2,0)</f>
        <v>0</v>
      </c>
      <c r="L438" s="91">
        <f>VLOOKUP(CurrentMtgRatesDataTable82527141518[[#This Row],[asofdate]],S:T,2,0)</f>
        <v>4.1558315999999998E-3</v>
      </c>
      <c r="M438" s="6">
        <f ca="1">VLOOKUP(CurrentMtgRatesDataTable82527141518[[#This Row],[asofdate]]+1,Bloomberg!B:C,2,0)</f>
        <v>1270.5999999999999</v>
      </c>
      <c r="N438" s="6"/>
      <c r="O438" s="18">
        <v>39632</v>
      </c>
      <c r="P438" s="91">
        <v>0</v>
      </c>
      <c r="Q438" s="104"/>
      <c r="R438" s="104"/>
      <c r="S438" s="18">
        <v>39639</v>
      </c>
      <c r="T438" s="91">
        <v>4.1558315999999998E-3</v>
      </c>
      <c r="V438"/>
    </row>
    <row r="439" spans="2:22">
      <c r="B439" s="101">
        <v>39632</v>
      </c>
      <c r="C439" s="102">
        <v>0.1096612248</v>
      </c>
      <c r="D439" s="102">
        <f>VLOOKUP(CurrentMtgRatesDataTable825[[#This Row],[asofdate]],I:J,2,0)</f>
        <v>0.1433975629</v>
      </c>
      <c r="E439" s="102">
        <f>VLOOKUP(CurrentMtgRatesDataTable825[[#This Row],[asofdate]],O:P,2,0)</f>
        <v>0</v>
      </c>
      <c r="F439" s="103">
        <f ca="1">VLOOKUP(CurrentMtgRatesDataTable825[[#This Row],[asofdate]]+1,Bloomberg!B:C,2,0)</f>
        <v>1166.5</v>
      </c>
      <c r="I439" s="18">
        <v>39632</v>
      </c>
      <c r="J439" s="91">
        <v>0.1433975629</v>
      </c>
      <c r="K439" s="91">
        <f>VLOOKUP(CurrentMtgRatesDataTable82527141518[[#This Row],[asofdate]],O:P,2,0)</f>
        <v>0</v>
      </c>
      <c r="L439" s="91">
        <f>VLOOKUP(CurrentMtgRatesDataTable82527141518[[#This Row],[asofdate]],S:T,2,0)</f>
        <v>4.3317863000000003E-3</v>
      </c>
      <c r="M439" s="6">
        <f ca="1">VLOOKUP(CurrentMtgRatesDataTable82527141518[[#This Row],[asofdate]]+1,Bloomberg!B:C,2,0)</f>
        <v>1166.5</v>
      </c>
      <c r="N439" s="6"/>
      <c r="O439" s="18">
        <v>39625</v>
      </c>
      <c r="P439" s="91">
        <v>0</v>
      </c>
      <c r="Q439" s="104"/>
      <c r="R439" s="104"/>
      <c r="S439" s="18">
        <v>39632</v>
      </c>
      <c r="T439" s="91">
        <v>4.3317863000000003E-3</v>
      </c>
      <c r="V439"/>
    </row>
    <row r="440" spans="2:22">
      <c r="B440" s="101">
        <v>39625</v>
      </c>
      <c r="C440" s="102">
        <v>9.3717454800000002E-2</v>
      </c>
      <c r="D440" s="102">
        <f>VLOOKUP(CurrentMtgRatesDataTable825[[#This Row],[asofdate]],I:J,2,0)</f>
        <v>0.11833090540000002</v>
      </c>
      <c r="E440" s="102">
        <f>VLOOKUP(CurrentMtgRatesDataTable825[[#This Row],[asofdate]],O:P,2,0)</f>
        <v>0</v>
      </c>
      <c r="F440" s="103">
        <f ca="1">VLOOKUP(CurrentMtgRatesDataTable825[[#This Row],[asofdate]]+1,Bloomberg!B:C,2,0)</f>
        <v>1111.3</v>
      </c>
      <c r="I440" s="18">
        <v>39625</v>
      </c>
      <c r="J440" s="91">
        <v>0.11833090540000002</v>
      </c>
      <c r="K440" s="91">
        <f>VLOOKUP(CurrentMtgRatesDataTable82527141518[[#This Row],[asofdate]],O:P,2,0)</f>
        <v>0</v>
      </c>
      <c r="L440" s="91">
        <f>VLOOKUP(CurrentMtgRatesDataTable82527141518[[#This Row],[asofdate]],S:T,2,0)</f>
        <v>1.0353853999999999E-3</v>
      </c>
      <c r="M440" s="6">
        <f ca="1">VLOOKUP(CurrentMtgRatesDataTable82527141518[[#This Row],[asofdate]]+1,Bloomberg!B:C,2,0)</f>
        <v>1111.3</v>
      </c>
      <c r="N440" s="6"/>
      <c r="O440" s="18">
        <v>39618</v>
      </c>
      <c r="P440" s="91">
        <v>0</v>
      </c>
      <c r="Q440" s="104"/>
      <c r="R440" s="104"/>
      <c r="S440" s="18">
        <v>39625</v>
      </c>
      <c r="T440" s="91">
        <v>1.0353853999999999E-3</v>
      </c>
      <c r="V440"/>
    </row>
    <row r="441" spans="2:22">
      <c r="B441" s="101">
        <v>39618</v>
      </c>
      <c r="C441" s="102">
        <v>9.4532943800000005E-2</v>
      </c>
      <c r="D441" s="102">
        <f>VLOOKUP(CurrentMtgRatesDataTable825[[#This Row],[asofdate]],I:J,2,0)</f>
        <v>0.11861937350000001</v>
      </c>
      <c r="E441" s="102">
        <f>VLOOKUP(CurrentMtgRatesDataTable825[[#This Row],[asofdate]],O:P,2,0)</f>
        <v>0</v>
      </c>
      <c r="F441" s="103">
        <f ca="1">VLOOKUP(CurrentMtgRatesDataTable825[[#This Row],[asofdate]]+1,Bloomberg!B:C,2,0)</f>
        <v>1044.5999999999999</v>
      </c>
      <c r="I441" s="18">
        <v>39618</v>
      </c>
      <c r="J441" s="91">
        <v>0.11861937350000001</v>
      </c>
      <c r="K441" s="91">
        <f>VLOOKUP(CurrentMtgRatesDataTable82527141518[[#This Row],[asofdate]],O:P,2,0)</f>
        <v>0</v>
      </c>
      <c r="L441" s="91">
        <f>VLOOKUP(CurrentMtgRatesDataTable82527141518[[#This Row],[asofdate]],S:T,2,0)</f>
        <v>1.0355873E-3</v>
      </c>
      <c r="M441" s="6">
        <f ca="1">VLOOKUP(CurrentMtgRatesDataTable82527141518[[#This Row],[asofdate]]+1,Bloomberg!B:C,2,0)</f>
        <v>1044.5999999999999</v>
      </c>
      <c r="N441" s="6"/>
      <c r="O441" s="18">
        <v>39611</v>
      </c>
      <c r="P441" s="91">
        <v>0</v>
      </c>
      <c r="Q441" s="104"/>
      <c r="R441" s="104"/>
      <c r="S441" s="18">
        <v>39618</v>
      </c>
      <c r="T441" s="91">
        <v>1.0355873E-3</v>
      </c>
      <c r="V441"/>
    </row>
    <row r="442" spans="2:22">
      <c r="B442" s="101">
        <v>39611</v>
      </c>
      <c r="C442" s="102">
        <v>0.1123154383</v>
      </c>
      <c r="D442" s="102">
        <f>VLOOKUP(CurrentMtgRatesDataTable825[[#This Row],[asofdate]],I:J,2,0)</f>
        <v>0.1445849994</v>
      </c>
      <c r="E442" s="102">
        <f>VLOOKUP(CurrentMtgRatesDataTable825[[#This Row],[asofdate]],O:P,2,0)</f>
        <v>0</v>
      </c>
      <c r="F442" s="103">
        <f ca="1">VLOOKUP(CurrentMtgRatesDataTable825[[#This Row],[asofdate]]+1,Bloomberg!B:C,2,0)</f>
        <v>1219.7</v>
      </c>
      <c r="I442" s="18">
        <v>39611</v>
      </c>
      <c r="J442" s="91">
        <v>0.1445849994</v>
      </c>
      <c r="K442" s="91">
        <f>VLOOKUP(CurrentMtgRatesDataTable82527141518[[#This Row],[asofdate]],O:P,2,0)</f>
        <v>0</v>
      </c>
      <c r="L442" s="91">
        <f>VLOOKUP(CurrentMtgRatesDataTable82527141518[[#This Row],[asofdate]],S:T,2,0)</f>
        <v>1.3281057E-3</v>
      </c>
      <c r="M442" s="6">
        <f ca="1">VLOOKUP(CurrentMtgRatesDataTable82527141518[[#This Row],[asofdate]]+1,Bloomberg!B:C,2,0)</f>
        <v>1219.7</v>
      </c>
      <c r="N442" s="6"/>
      <c r="O442" s="18">
        <v>39604</v>
      </c>
      <c r="P442" s="91">
        <v>0</v>
      </c>
      <c r="Q442" s="104"/>
      <c r="R442" s="104"/>
      <c r="S442" s="18">
        <v>39611</v>
      </c>
      <c r="T442" s="91">
        <v>1.3281057E-3</v>
      </c>
      <c r="V442"/>
    </row>
    <row r="443" spans="2:22">
      <c r="B443" s="101">
        <v>39604</v>
      </c>
      <c r="C443" s="102">
        <v>0.17810420960000001</v>
      </c>
      <c r="D443" s="102">
        <f>VLOOKUP(CurrentMtgRatesDataTable825[[#This Row],[asofdate]],I:J,2,0)</f>
        <v>0.22676943159999999</v>
      </c>
      <c r="E443" s="102">
        <f>VLOOKUP(CurrentMtgRatesDataTable825[[#This Row],[asofdate]],O:P,2,0)</f>
        <v>0</v>
      </c>
      <c r="F443" s="103">
        <f ca="1">VLOOKUP(CurrentMtgRatesDataTable825[[#This Row],[asofdate]]+1,Bloomberg!B:C,2,0)</f>
        <v>1477.5</v>
      </c>
      <c r="I443" s="18">
        <v>39604</v>
      </c>
      <c r="J443" s="91">
        <v>0.22676943159999999</v>
      </c>
      <c r="K443" s="91">
        <f>VLOOKUP(CurrentMtgRatesDataTable82527141518[[#This Row],[asofdate]],O:P,2,0)</f>
        <v>0</v>
      </c>
      <c r="L443" s="91">
        <f>VLOOKUP(CurrentMtgRatesDataTable82527141518[[#This Row],[asofdate]],S:T,2,0)</f>
        <v>6.5142758999999998E-3</v>
      </c>
      <c r="M443" s="6">
        <f ca="1">VLOOKUP(CurrentMtgRatesDataTable82527141518[[#This Row],[asofdate]]+1,Bloomberg!B:C,2,0)</f>
        <v>1477.5</v>
      </c>
      <c r="N443" s="6"/>
      <c r="O443" s="18">
        <v>39597</v>
      </c>
      <c r="P443" s="91">
        <v>0</v>
      </c>
      <c r="Q443" s="104"/>
      <c r="R443" s="104"/>
      <c r="S443" s="18">
        <v>39604</v>
      </c>
      <c r="T443" s="91">
        <v>6.5142758999999998E-3</v>
      </c>
      <c r="V443"/>
    </row>
    <row r="444" spans="2:22">
      <c r="B444" s="101">
        <v>39597</v>
      </c>
      <c r="C444" s="102">
        <v>0.18416776970000001</v>
      </c>
      <c r="D444" s="102">
        <f>VLOOKUP(CurrentMtgRatesDataTable825[[#This Row],[asofdate]],I:J,2,0)</f>
        <v>0.23222284730000001</v>
      </c>
      <c r="E444" s="102">
        <f>VLOOKUP(CurrentMtgRatesDataTable825[[#This Row],[asofdate]],O:P,2,0)</f>
        <v>0</v>
      </c>
      <c r="F444" s="103">
        <f ca="1">VLOOKUP(CurrentMtgRatesDataTable825[[#This Row],[asofdate]]+1,Bloomberg!B:C,2,0)</f>
        <v>1387.8</v>
      </c>
      <c r="I444" s="18">
        <v>39597</v>
      </c>
      <c r="J444" s="91">
        <v>0.23222284730000001</v>
      </c>
      <c r="K444" s="91">
        <f>VLOOKUP(CurrentMtgRatesDataTable82527141518[[#This Row],[asofdate]],O:P,2,0)</f>
        <v>0</v>
      </c>
      <c r="L444" s="91">
        <f>VLOOKUP(CurrentMtgRatesDataTable82527141518[[#This Row],[asofdate]],S:T,2,0)</f>
        <v>3.8501543999999999E-3</v>
      </c>
      <c r="M444" s="6">
        <f ca="1">VLOOKUP(CurrentMtgRatesDataTable82527141518[[#This Row],[asofdate]]+1,Bloomberg!B:C,2,0)</f>
        <v>1387.8</v>
      </c>
      <c r="N444" s="6"/>
      <c r="O444" s="18">
        <v>39590</v>
      </c>
      <c r="P444" s="91">
        <v>0</v>
      </c>
      <c r="Q444" s="104"/>
      <c r="R444" s="104"/>
      <c r="S444" s="18">
        <v>39597</v>
      </c>
      <c r="T444" s="91">
        <v>3.8501543999999999E-3</v>
      </c>
      <c r="V444"/>
    </row>
    <row r="445" spans="2:22">
      <c r="B445" s="101">
        <v>39590</v>
      </c>
      <c r="C445" s="102">
        <v>0.23849039160000002</v>
      </c>
      <c r="D445" s="102">
        <f>VLOOKUP(CurrentMtgRatesDataTable825[[#This Row],[asofdate]],I:J,2,0)</f>
        <v>0.28332307470000001</v>
      </c>
      <c r="E445" s="102">
        <f>VLOOKUP(CurrentMtgRatesDataTable825[[#This Row],[asofdate]],O:P,2,0)</f>
        <v>0</v>
      </c>
      <c r="F445" s="103">
        <f ca="1">VLOOKUP(CurrentMtgRatesDataTable825[[#This Row],[asofdate]]+1,Bloomberg!B:C,2,0)</f>
        <v>1930.4</v>
      </c>
      <c r="I445" s="18">
        <v>39590</v>
      </c>
      <c r="J445" s="91">
        <v>0.28332307470000001</v>
      </c>
      <c r="K445" s="91">
        <f>VLOOKUP(CurrentMtgRatesDataTable82527141518[[#This Row],[asofdate]],O:P,2,0)</f>
        <v>0</v>
      </c>
      <c r="L445" s="91">
        <f>VLOOKUP(CurrentMtgRatesDataTable82527141518[[#This Row],[asofdate]],S:T,2,0)</f>
        <v>2.1854756900000001E-2</v>
      </c>
      <c r="M445" s="6">
        <f ca="1">VLOOKUP(CurrentMtgRatesDataTable82527141518[[#This Row],[asofdate]]+1,Bloomberg!B:C,2,0)</f>
        <v>1930.4</v>
      </c>
      <c r="N445" s="6"/>
      <c r="O445" s="18">
        <v>39583</v>
      </c>
      <c r="P445" s="91">
        <v>0</v>
      </c>
      <c r="Q445" s="104"/>
      <c r="R445" s="104"/>
      <c r="S445" s="18">
        <v>39590</v>
      </c>
      <c r="T445" s="91">
        <v>2.1854756900000001E-2</v>
      </c>
      <c r="V445"/>
    </row>
    <row r="446" spans="2:22">
      <c r="B446" s="101">
        <v>39583</v>
      </c>
      <c r="C446" s="102">
        <v>0.211388195</v>
      </c>
      <c r="D446" s="102">
        <f>VLOOKUP(CurrentMtgRatesDataTable825[[#This Row],[asofdate]],I:J,2,0)</f>
        <v>0.26083298939999999</v>
      </c>
      <c r="E446" s="102">
        <f>VLOOKUP(CurrentMtgRatesDataTable825[[#This Row],[asofdate]],O:P,2,0)</f>
        <v>0</v>
      </c>
      <c r="F446" s="103">
        <f ca="1">VLOOKUP(CurrentMtgRatesDataTable825[[#This Row],[asofdate]]+1,Bloomberg!B:C,2,0)</f>
        <v>2135.8000000000002</v>
      </c>
      <c r="I446" s="18">
        <v>39583</v>
      </c>
      <c r="J446" s="91">
        <v>0.26083298939999999</v>
      </c>
      <c r="K446" s="91">
        <f>VLOOKUP(CurrentMtgRatesDataTable82527141518[[#This Row],[asofdate]],O:P,2,0)</f>
        <v>0</v>
      </c>
      <c r="L446" s="91">
        <f>VLOOKUP(CurrentMtgRatesDataTable82527141518[[#This Row],[asofdate]],S:T,2,0)</f>
        <v>1.1820247799999999E-2</v>
      </c>
      <c r="M446" s="6">
        <f ca="1">VLOOKUP(CurrentMtgRatesDataTable82527141518[[#This Row],[asofdate]]+1,Bloomberg!B:C,2,0)</f>
        <v>2135.8000000000002</v>
      </c>
      <c r="N446" s="6"/>
      <c r="O446" s="18">
        <v>39576</v>
      </c>
      <c r="P446" s="91">
        <v>0</v>
      </c>
      <c r="Q446" s="104"/>
      <c r="R446" s="104"/>
      <c r="S446" s="18">
        <v>39583</v>
      </c>
      <c r="T446" s="91">
        <v>1.1820247799999999E-2</v>
      </c>
      <c r="V446"/>
    </row>
    <row r="447" spans="2:22">
      <c r="B447" s="107">
        <v>39576</v>
      </c>
      <c r="C447" s="108">
        <v>0.2268172108</v>
      </c>
      <c r="D447" s="108">
        <f>VLOOKUP(CurrentMtgRatesDataTable825[[#This Row],[asofdate]],I:J,2,0)</f>
        <v>0.28104430899999999</v>
      </c>
      <c r="E447" s="108">
        <f>VLOOKUP(CurrentMtgRatesDataTable825[[#This Row],[asofdate]],O:P,2,0)</f>
        <v>0</v>
      </c>
      <c r="F447" s="109">
        <f ca="1">VLOOKUP(CurrentMtgRatesDataTable825[[#This Row],[asofdate]]+1,Bloomberg!B:C,2,0)</f>
        <v>2388.8000000000002</v>
      </c>
      <c r="I447" s="18">
        <v>39576</v>
      </c>
      <c r="J447" s="91">
        <v>0.28104430899999999</v>
      </c>
      <c r="K447" s="91">
        <f>VLOOKUP(CurrentMtgRatesDataTable82527141518[[#This Row],[asofdate]],O:P,2,0)</f>
        <v>0</v>
      </c>
      <c r="L447" s="91">
        <f>VLOOKUP(CurrentMtgRatesDataTable82527141518[[#This Row],[asofdate]],S:T,2,0)</f>
        <v>2.1851759599999999E-2</v>
      </c>
      <c r="M447" s="6">
        <f ca="1">VLOOKUP(CurrentMtgRatesDataTable82527141518[[#This Row],[asofdate]]+1,Bloomberg!B:C,2,0)</f>
        <v>2388.8000000000002</v>
      </c>
      <c r="N447" s="6"/>
      <c r="O447" s="18">
        <v>39569</v>
      </c>
      <c r="P447" s="91">
        <v>0</v>
      </c>
      <c r="Q447" s="104"/>
      <c r="R447" s="104"/>
      <c r="S447" s="18">
        <v>39576</v>
      </c>
      <c r="T447" s="91">
        <v>2.1851759599999999E-2</v>
      </c>
      <c r="V447"/>
    </row>
    <row r="448" spans="2:22">
      <c r="B448" s="107">
        <v>39569</v>
      </c>
      <c r="C448" s="108">
        <v>0.2021882774</v>
      </c>
      <c r="D448" s="108">
        <f>VLOOKUP(CurrentMtgRatesDataTable825[[#This Row],[asofdate]],I:J,2,0)</f>
        <v>0.25964371089999999</v>
      </c>
      <c r="E448" s="108">
        <f>VLOOKUP(CurrentMtgRatesDataTable825[[#This Row],[asofdate]],O:P,2,0)</f>
        <v>0</v>
      </c>
      <c r="F448" s="109">
        <f ca="1">VLOOKUP(CurrentMtgRatesDataTable825[[#This Row],[asofdate]]+1,Bloomberg!B:C,2,0)</f>
        <v>2195</v>
      </c>
      <c r="I448" s="18">
        <v>39569</v>
      </c>
      <c r="J448" s="91">
        <v>0.25964371089999999</v>
      </c>
      <c r="K448" s="91">
        <f>VLOOKUP(CurrentMtgRatesDataTable82527141518[[#This Row],[asofdate]],O:P,2,0)</f>
        <v>0</v>
      </c>
      <c r="L448" s="91">
        <f>VLOOKUP(CurrentMtgRatesDataTable82527141518[[#This Row],[asofdate]],S:T,2,0)</f>
        <v>1.1809742200000001E-2</v>
      </c>
      <c r="M448" s="6">
        <f ca="1">VLOOKUP(CurrentMtgRatesDataTable82527141518[[#This Row],[asofdate]]+1,Bloomberg!B:C,2,0)</f>
        <v>2195</v>
      </c>
      <c r="N448" s="6"/>
      <c r="O448" s="18">
        <v>39562</v>
      </c>
      <c r="P448" s="91">
        <v>0</v>
      </c>
      <c r="Q448" s="104"/>
      <c r="R448" s="104"/>
      <c r="S448" s="18">
        <v>39569</v>
      </c>
      <c r="T448" s="91">
        <v>1.1809742200000001E-2</v>
      </c>
      <c r="V448"/>
    </row>
    <row r="449" spans="2:22">
      <c r="B449" s="107">
        <v>39562</v>
      </c>
      <c r="C449" s="108">
        <v>0.24588021339999999</v>
      </c>
      <c r="D449" s="108">
        <f>VLOOKUP(CurrentMtgRatesDataTable825[[#This Row],[asofdate]],I:J,2,0)</f>
        <v>0.28493703599999998</v>
      </c>
      <c r="E449" s="108">
        <f>VLOOKUP(CurrentMtgRatesDataTable825[[#This Row],[asofdate]],O:P,2,0)</f>
        <v>0</v>
      </c>
      <c r="F449" s="109">
        <f ca="1">VLOOKUP(CurrentMtgRatesDataTable825[[#This Row],[asofdate]]+1,Bloomberg!B:C,2,0)</f>
        <v>1809.5</v>
      </c>
      <c r="I449" s="18">
        <v>39562</v>
      </c>
      <c r="J449" s="91">
        <v>0.28493703599999998</v>
      </c>
      <c r="K449" s="91">
        <f>VLOOKUP(CurrentMtgRatesDataTable82527141518[[#This Row],[asofdate]],O:P,2,0)</f>
        <v>0</v>
      </c>
      <c r="L449" s="91">
        <f>VLOOKUP(CurrentMtgRatesDataTable82527141518[[#This Row],[asofdate]],S:T,2,0)</f>
        <v>0.20767634430000001</v>
      </c>
      <c r="M449" s="6">
        <f ca="1">VLOOKUP(CurrentMtgRatesDataTable82527141518[[#This Row],[asofdate]]+1,Bloomberg!B:C,2,0)</f>
        <v>1809.5</v>
      </c>
      <c r="N449" s="6"/>
      <c r="O449" s="18">
        <v>39555</v>
      </c>
      <c r="P449" s="91">
        <v>0</v>
      </c>
      <c r="Q449" s="104"/>
      <c r="R449" s="104"/>
      <c r="S449" s="18">
        <v>39562</v>
      </c>
      <c r="T449" s="91">
        <v>0.20767634430000001</v>
      </c>
      <c r="V449"/>
    </row>
    <row r="450" spans="2:22">
      <c r="B450" s="107">
        <v>39555</v>
      </c>
      <c r="C450" s="108">
        <v>0.32398856120000002</v>
      </c>
      <c r="D450" s="108">
        <f>VLOOKUP(CurrentMtgRatesDataTable825[[#This Row],[asofdate]],I:J,2,0)</f>
        <v>0.35483239049999998</v>
      </c>
      <c r="E450" s="108">
        <f>VLOOKUP(CurrentMtgRatesDataTable825[[#This Row],[asofdate]],O:P,2,0)</f>
        <v>0</v>
      </c>
      <c r="F450" s="109">
        <f ca="1">VLOOKUP(CurrentMtgRatesDataTable825[[#This Row],[asofdate]]+1,Bloomberg!B:C,2,0)</f>
        <v>2215.6999999999998</v>
      </c>
      <c r="I450" s="18">
        <v>39555</v>
      </c>
      <c r="J450" s="91">
        <v>0.35483239049999998</v>
      </c>
      <c r="K450" s="91">
        <f>VLOOKUP(CurrentMtgRatesDataTable82527141518[[#This Row],[asofdate]],O:P,2,0)</f>
        <v>0</v>
      </c>
      <c r="L450" s="91">
        <f>VLOOKUP(CurrentMtgRatesDataTable82527141518[[#This Row],[asofdate]],S:T,2,0)</f>
        <v>0.26324610580000002</v>
      </c>
      <c r="M450" s="6">
        <f ca="1">VLOOKUP(CurrentMtgRatesDataTable82527141518[[#This Row],[asofdate]]+1,Bloomberg!B:C,2,0)</f>
        <v>2215.6999999999998</v>
      </c>
      <c r="N450" s="6"/>
      <c r="O450" s="18">
        <v>39548</v>
      </c>
      <c r="P450" s="91">
        <v>0</v>
      </c>
      <c r="Q450" s="104"/>
      <c r="R450" s="104"/>
      <c r="S450" s="18">
        <v>39555</v>
      </c>
      <c r="T450" s="91">
        <v>0.26324610580000002</v>
      </c>
      <c r="V450"/>
    </row>
    <row r="451" spans="2:22">
      <c r="B451" s="110">
        <v>39548</v>
      </c>
      <c r="C451" s="111">
        <v>0.32398856120000002</v>
      </c>
      <c r="D451" s="111">
        <f>VLOOKUP(CurrentMtgRatesDataTable825[[#This Row],[asofdate]],I:J,2,0)</f>
        <v>0.35483239049999998</v>
      </c>
      <c r="E451" s="111">
        <f>VLOOKUP(CurrentMtgRatesDataTable825[[#This Row],[asofdate]],O:P,2,0)</f>
        <v>0</v>
      </c>
      <c r="F451" s="112">
        <f ca="1">VLOOKUP(CurrentMtgRatesDataTable825[[#This Row],[asofdate]]+1,Bloomberg!B:C,2,0)</f>
        <v>2880.7</v>
      </c>
      <c r="I451" s="18">
        <v>39548</v>
      </c>
      <c r="J451" s="91">
        <v>0.35483239049999998</v>
      </c>
      <c r="K451" s="91">
        <f>VLOOKUP(CurrentMtgRatesDataTable82527141518[[#This Row],[asofdate]],O:P,2,0)</f>
        <v>0</v>
      </c>
      <c r="L451" s="91">
        <f>VLOOKUP(CurrentMtgRatesDataTable82527141518[[#This Row],[asofdate]],S:T,2,0)</f>
        <v>0.26324610580000002</v>
      </c>
      <c r="M451" s="6">
        <f ca="1">VLOOKUP(CurrentMtgRatesDataTable82527141518[[#This Row],[asofdate]]+1,Bloomberg!B:C,2,0)</f>
        <v>2880.7</v>
      </c>
      <c r="N451" s="6"/>
      <c r="O451" s="18">
        <v>39541</v>
      </c>
      <c r="P451" s="91">
        <v>0</v>
      </c>
      <c r="Q451" s="104"/>
      <c r="R451" s="104"/>
      <c r="S451" s="18">
        <v>39548</v>
      </c>
      <c r="T451" s="91">
        <v>0.26324610580000002</v>
      </c>
      <c r="V451"/>
    </row>
    <row r="452" spans="2:22">
      <c r="B452" s="113">
        <v>39541</v>
      </c>
      <c r="C452" s="114">
        <v>0.30497347089999999</v>
      </c>
      <c r="D452" s="114">
        <f>VLOOKUP(CurrentMtgRatesDataTable825[[#This Row],[asofdate]],I:J,2,0)</f>
        <v>0.3298734116</v>
      </c>
      <c r="E452" s="114">
        <f>VLOOKUP(CurrentMtgRatesDataTable825[[#This Row],[asofdate]],O:P,2,0)</f>
        <v>0</v>
      </c>
      <c r="F452" s="115">
        <f ca="1">VLOOKUP(CurrentMtgRatesDataTable825[[#This Row],[asofdate]]+1,Bloomberg!B:C,2,0)</f>
        <v>2709.1</v>
      </c>
      <c r="I452" s="18">
        <v>39541</v>
      </c>
      <c r="J452" s="91">
        <v>0.3298734116</v>
      </c>
      <c r="K452" s="91">
        <f>VLOOKUP(CurrentMtgRatesDataTable82527141518[[#This Row],[asofdate]],O:P,2,0)</f>
        <v>0</v>
      </c>
      <c r="L452" s="91">
        <f>VLOOKUP(CurrentMtgRatesDataTable82527141518[[#This Row],[asofdate]],S:T,2,0)</f>
        <v>0.24287441949999999</v>
      </c>
      <c r="M452" s="6">
        <f ca="1">VLOOKUP(CurrentMtgRatesDataTable82527141518[[#This Row],[asofdate]]+1,Bloomberg!B:C,2,0)</f>
        <v>2709.1</v>
      </c>
      <c r="N452" s="6"/>
      <c r="O452" s="18">
        <v>39534</v>
      </c>
      <c r="P452" s="91">
        <v>0</v>
      </c>
      <c r="Q452" s="104"/>
      <c r="R452" s="104"/>
      <c r="S452" s="18">
        <v>39541</v>
      </c>
      <c r="T452" s="91">
        <v>0.24287441949999999</v>
      </c>
      <c r="V452"/>
    </row>
    <row r="453" spans="2:22">
      <c r="B453" s="113">
        <v>39534</v>
      </c>
      <c r="C453" s="114">
        <v>0.37557161719999999</v>
      </c>
      <c r="D453" s="114">
        <f>VLOOKUP(CurrentMtgRatesDataTable825[[#This Row],[asofdate]],I:J,2,0)</f>
        <v>0.38061787419999998</v>
      </c>
      <c r="E453" s="114">
        <f>VLOOKUP(CurrentMtgRatesDataTable825[[#This Row],[asofdate]],O:P,2,0)</f>
        <v>0</v>
      </c>
      <c r="F453" s="115">
        <f ca="1">VLOOKUP(CurrentMtgRatesDataTable825[[#This Row],[asofdate]]+1,Bloomberg!B:C,2,0)</f>
        <v>2653.2</v>
      </c>
      <c r="I453" s="18">
        <v>39534</v>
      </c>
      <c r="J453" s="91">
        <v>0.38061787419999998</v>
      </c>
      <c r="K453" s="91">
        <f>VLOOKUP(CurrentMtgRatesDataTable82527141518[[#This Row],[asofdate]],O:P,2,0)</f>
        <v>0</v>
      </c>
      <c r="L453" s="91">
        <f>VLOOKUP(CurrentMtgRatesDataTable82527141518[[#This Row],[asofdate]],S:T,2,0)</f>
        <v>0.27855394999999999</v>
      </c>
      <c r="M453" s="6">
        <f ca="1">VLOOKUP(CurrentMtgRatesDataTable82527141518[[#This Row],[asofdate]]+1,Bloomberg!B:C,2,0)</f>
        <v>2653.2</v>
      </c>
      <c r="N453" s="6"/>
      <c r="O453" s="18">
        <v>39527</v>
      </c>
      <c r="P453" s="91">
        <v>0</v>
      </c>
      <c r="Q453" s="104"/>
      <c r="R453" s="104"/>
      <c r="S453" s="18">
        <v>39534</v>
      </c>
      <c r="T453" s="91">
        <v>0.27855394999999999</v>
      </c>
      <c r="V453"/>
    </row>
    <row r="454" spans="2:22">
      <c r="B454" s="18">
        <v>39527</v>
      </c>
      <c r="C454" s="29">
        <v>0.34568552689999998</v>
      </c>
      <c r="D454" s="29">
        <f>VLOOKUP(CurrentMtgRatesDataTable825[[#This Row],[asofdate]],I:J,2,0)</f>
        <v>0.37372234529999998</v>
      </c>
      <c r="E454" s="29">
        <f>VLOOKUP(CurrentMtgRatesDataTable825[[#This Row],[asofdate]],O:P,2,0)</f>
        <v>0</v>
      </c>
      <c r="F454" s="31">
        <f ca="1">VLOOKUP(CurrentMtgRatesDataTable825[[#This Row],[asofdate]]+1,Bloomberg!B:C,2,0)</f>
        <v>4468.3999999999996</v>
      </c>
      <c r="I454" s="18">
        <v>39527</v>
      </c>
      <c r="J454" s="91">
        <v>0.37372234529999998</v>
      </c>
      <c r="K454" s="91">
        <f>VLOOKUP(CurrentMtgRatesDataTable82527141518[[#This Row],[asofdate]],O:P,2,0)</f>
        <v>0</v>
      </c>
      <c r="L454" s="91">
        <f>VLOOKUP(CurrentMtgRatesDataTable82527141518[[#This Row],[asofdate]],S:T,2,0)</f>
        <v>0.27596594369999999</v>
      </c>
      <c r="M454" s="6">
        <f ca="1">VLOOKUP(CurrentMtgRatesDataTable82527141518[[#This Row],[asofdate]]+1,Bloomberg!B:C,2,0)</f>
        <v>4468.3999999999996</v>
      </c>
      <c r="N454" s="6"/>
      <c r="O454" s="18">
        <v>39520</v>
      </c>
      <c r="P454" s="91">
        <v>0</v>
      </c>
      <c r="Q454" s="104"/>
      <c r="R454" s="104"/>
      <c r="S454" s="18">
        <v>39527</v>
      </c>
      <c r="T454" s="91">
        <v>0.27596594369999999</v>
      </c>
      <c r="V454"/>
    </row>
    <row r="455" spans="2:22">
      <c r="B455" s="18">
        <v>39520</v>
      </c>
      <c r="C455" s="29">
        <v>0.19488334600000001</v>
      </c>
      <c r="D455" s="29">
        <f>VLOOKUP(CurrentMtgRatesDataTable825[[#This Row],[asofdate]],I:J,2,0)</f>
        <v>0.23448839260000004</v>
      </c>
      <c r="E455" s="29">
        <f>VLOOKUP(CurrentMtgRatesDataTable825[[#This Row],[asofdate]],O:P,2,0)</f>
        <v>0</v>
      </c>
      <c r="F455" s="31">
        <f ca="1">VLOOKUP(CurrentMtgRatesDataTable825[[#This Row],[asofdate]]+1,Bloomberg!B:C,2,0)</f>
        <v>2338.8000000000002</v>
      </c>
      <c r="I455" s="18">
        <v>39520</v>
      </c>
      <c r="J455" s="91">
        <v>0.23448839260000004</v>
      </c>
      <c r="K455" s="91">
        <f>VLOOKUP(CurrentMtgRatesDataTable82527141518[[#This Row],[asofdate]],O:P,2,0)</f>
        <v>0</v>
      </c>
      <c r="L455" s="91">
        <f>VLOOKUP(CurrentMtgRatesDataTable82527141518[[#This Row],[asofdate]],S:T,2,0)</f>
        <v>1.49967391E-2</v>
      </c>
      <c r="M455" s="6">
        <f ca="1">VLOOKUP(CurrentMtgRatesDataTable82527141518[[#This Row],[asofdate]]+1,Bloomberg!B:C,2,0)</f>
        <v>2338.8000000000002</v>
      </c>
      <c r="N455" s="6"/>
      <c r="O455" s="18">
        <v>39513</v>
      </c>
      <c r="P455" s="91">
        <v>0</v>
      </c>
      <c r="Q455" s="104"/>
      <c r="R455" s="104"/>
      <c r="S455" s="18">
        <v>39520</v>
      </c>
      <c r="T455" s="91">
        <v>1.49967391E-2</v>
      </c>
      <c r="V455"/>
    </row>
    <row r="456" spans="2:22">
      <c r="B456" s="116">
        <v>39513</v>
      </c>
      <c r="C456" s="117">
        <v>0.24315491440000003</v>
      </c>
      <c r="D456" s="117">
        <f>VLOOKUP(CurrentMtgRatesDataTable825[[#This Row],[asofdate]],I:J,2,0)</f>
        <v>0.28391662909999998</v>
      </c>
      <c r="E456" s="117">
        <f>VLOOKUP(CurrentMtgRatesDataTable825[[#This Row],[asofdate]],O:P,2,0)</f>
        <v>0</v>
      </c>
      <c r="F456" s="118">
        <f ca="1">VLOOKUP(CurrentMtgRatesDataTable825[[#This Row],[asofdate]]+1,Bloomberg!B:C,2,0)</f>
        <v>2519.4</v>
      </c>
      <c r="I456" s="18">
        <v>39513</v>
      </c>
      <c r="J456" s="91">
        <v>0.28391662909999998</v>
      </c>
      <c r="K456" s="91">
        <f>VLOOKUP(CurrentMtgRatesDataTable82527141518[[#This Row],[asofdate]],O:P,2,0)</f>
        <v>0</v>
      </c>
      <c r="L456" s="91">
        <f>VLOOKUP(CurrentMtgRatesDataTable82527141518[[#This Row],[asofdate]],S:T,2,0)</f>
        <v>0.20492897060000001</v>
      </c>
      <c r="M456" s="6">
        <f ca="1">VLOOKUP(CurrentMtgRatesDataTable82527141518[[#This Row],[asofdate]]+1,Bloomberg!B:C,2,0)</f>
        <v>2519.4</v>
      </c>
      <c r="N456" s="6"/>
      <c r="O456" s="18">
        <v>39506</v>
      </c>
      <c r="P456" s="91">
        <v>0</v>
      </c>
      <c r="Q456" s="104"/>
      <c r="R456" s="104"/>
      <c r="S456" s="18">
        <v>39513</v>
      </c>
      <c r="T456" s="91">
        <v>0.20492897060000001</v>
      </c>
      <c r="V456"/>
    </row>
    <row r="457" spans="2:22">
      <c r="B457" s="116">
        <v>39506</v>
      </c>
      <c r="C457" s="117">
        <v>0.15642699030000001</v>
      </c>
      <c r="D457" s="117">
        <f>VLOOKUP(CurrentMtgRatesDataTable825[[#This Row],[asofdate]],I:J,2,0)</f>
        <v>0.19139630090000001</v>
      </c>
      <c r="E457" s="117">
        <f>VLOOKUP(CurrentMtgRatesDataTable825[[#This Row],[asofdate]],O:P,2,0)</f>
        <v>0</v>
      </c>
      <c r="F457" s="118">
        <f ca="1">VLOOKUP(CurrentMtgRatesDataTable825[[#This Row],[asofdate]]+1,Bloomberg!B:C,2,0)</f>
        <v>2667.8</v>
      </c>
      <c r="I457" s="18">
        <v>39506</v>
      </c>
      <c r="J457" s="91">
        <v>0.19139630090000001</v>
      </c>
      <c r="K457" s="91">
        <f>VLOOKUP(CurrentMtgRatesDataTable82527141518[[#This Row],[asofdate]],O:P,2,0)</f>
        <v>0</v>
      </c>
      <c r="L457" s="91">
        <f>VLOOKUP(CurrentMtgRatesDataTable82527141518[[#This Row],[asofdate]],S:T,2,0)</f>
        <v>5.5073624999999998E-3</v>
      </c>
      <c r="M457" s="6">
        <f ca="1">VLOOKUP(CurrentMtgRatesDataTable82527141518[[#This Row],[asofdate]]+1,Bloomberg!B:C,2,0)</f>
        <v>2667.8</v>
      </c>
      <c r="N457" s="6"/>
      <c r="O457" s="18">
        <v>39499</v>
      </c>
      <c r="P457" s="91">
        <v>0</v>
      </c>
      <c r="Q457" s="104"/>
      <c r="R457" s="104"/>
      <c r="S457" s="18">
        <v>39506</v>
      </c>
      <c r="T457" s="91">
        <v>5.5073624999999998E-3</v>
      </c>
      <c r="V457"/>
    </row>
    <row r="458" spans="2:22">
      <c r="B458" s="116">
        <v>39499</v>
      </c>
      <c r="C458" s="117">
        <v>0.22457878040000001</v>
      </c>
      <c r="D458" s="117">
        <f>VLOOKUP(CurrentMtgRatesDataTable825[[#This Row],[asofdate]],I:J,2,0)</f>
        <v>0.24600385410000003</v>
      </c>
      <c r="E458" s="117">
        <f>VLOOKUP(CurrentMtgRatesDataTable825[[#This Row],[asofdate]],O:P,2,0)</f>
        <v>0</v>
      </c>
      <c r="F458" s="118">
        <f ca="1">VLOOKUP(CurrentMtgRatesDataTable825[[#This Row],[asofdate]]+1,Bloomberg!B:C,2,0)</f>
        <v>2571.6</v>
      </c>
      <c r="I458" s="18">
        <v>39499</v>
      </c>
      <c r="J458" s="91">
        <v>0.24600385410000003</v>
      </c>
      <c r="K458" s="91">
        <f>VLOOKUP(CurrentMtgRatesDataTable82527141518[[#This Row],[asofdate]],O:P,2,0)</f>
        <v>0</v>
      </c>
      <c r="L458" s="91">
        <f>VLOOKUP(CurrentMtgRatesDataTable82527141518[[#This Row],[asofdate]],S:T,2,0)</f>
        <v>0.17051092370000004</v>
      </c>
      <c r="M458" s="6">
        <f ca="1">VLOOKUP(CurrentMtgRatesDataTable82527141518[[#This Row],[asofdate]]+1,Bloomberg!B:C,2,0)</f>
        <v>2571.6</v>
      </c>
      <c r="N458" s="6"/>
      <c r="O458" s="18">
        <v>39492</v>
      </c>
      <c r="P458" s="91">
        <v>0</v>
      </c>
      <c r="Q458" s="104"/>
      <c r="R458" s="104"/>
      <c r="S458" s="18">
        <v>39499</v>
      </c>
      <c r="T458" s="91">
        <v>0.17051092370000004</v>
      </c>
      <c r="V458"/>
    </row>
    <row r="459" spans="2:22">
      <c r="B459" s="116">
        <v>39492</v>
      </c>
      <c r="C459" s="117">
        <v>0.46944203969999998</v>
      </c>
      <c r="D459" s="117">
        <f>VLOOKUP(CurrentMtgRatesDataTable825[[#This Row],[asofdate]],I:J,2,0)</f>
        <v>0.45493623130000005</v>
      </c>
      <c r="E459" s="117">
        <f>VLOOKUP(CurrentMtgRatesDataTable825[[#This Row],[asofdate]],O:P,2,0)</f>
        <v>0</v>
      </c>
      <c r="F459" s="118">
        <f ca="1">VLOOKUP(CurrentMtgRatesDataTable825[[#This Row],[asofdate]]+1,Bloomberg!B:C,2,0)</f>
        <v>3784.1</v>
      </c>
      <c r="I459" s="18">
        <v>39492</v>
      </c>
      <c r="J459" s="91">
        <v>0.45493623130000005</v>
      </c>
      <c r="K459" s="91">
        <f>VLOOKUP(CurrentMtgRatesDataTable82527141518[[#This Row],[asofdate]],O:P,2,0)</f>
        <v>0</v>
      </c>
      <c r="L459" s="91">
        <f>VLOOKUP(CurrentMtgRatesDataTable82527141518[[#This Row],[asofdate]],S:T,2,0)</f>
        <v>0.33635192619999998</v>
      </c>
      <c r="M459" s="6">
        <f ca="1">VLOOKUP(CurrentMtgRatesDataTable82527141518[[#This Row],[asofdate]]+1,Bloomberg!B:C,2,0)</f>
        <v>3784.1</v>
      </c>
      <c r="N459" s="6"/>
      <c r="O459" s="18">
        <v>39485</v>
      </c>
      <c r="P459" s="91">
        <v>0</v>
      </c>
      <c r="Q459" s="104"/>
      <c r="R459" s="104"/>
      <c r="S459" s="18">
        <v>39492</v>
      </c>
      <c r="T459" s="91">
        <v>0.33635192619999998</v>
      </c>
      <c r="V459"/>
    </row>
    <row r="460" spans="2:22">
      <c r="B460" s="120">
        <v>39485</v>
      </c>
      <c r="C460" s="121">
        <v>0.51170011849999997</v>
      </c>
      <c r="D460" s="121">
        <f>VLOOKUP(CurrentMtgRatesDataTable825[[#This Row],[asofdate]],I:J,2,0)</f>
        <v>0.51056741819999996</v>
      </c>
      <c r="E460" s="121">
        <f>VLOOKUP(CurrentMtgRatesDataTable825[[#This Row],[asofdate]],O:P,2,0)</f>
        <v>0</v>
      </c>
      <c r="F460" s="122">
        <f ca="1">VLOOKUP(CurrentMtgRatesDataTable825[[#This Row],[asofdate]]+1,Bloomberg!B:C,2,0)</f>
        <v>5362.6</v>
      </c>
      <c r="I460" s="18">
        <v>39485</v>
      </c>
      <c r="J460" s="91">
        <v>0.51056741819999996</v>
      </c>
      <c r="K460" s="91">
        <f>VLOOKUP(CurrentMtgRatesDataTable82527141518[[#This Row],[asofdate]],O:P,2,0)</f>
        <v>0</v>
      </c>
      <c r="L460" s="91">
        <f>VLOOKUP(CurrentMtgRatesDataTable82527141518[[#This Row],[asofdate]],S:T,2,0)</f>
        <v>0.41170641790000001</v>
      </c>
      <c r="M460" s="6">
        <f ca="1">VLOOKUP(CurrentMtgRatesDataTable82527141518[[#This Row],[asofdate]]+1,Bloomberg!B:C,2,0)</f>
        <v>5362.6</v>
      </c>
      <c r="N460" s="6"/>
      <c r="O460" s="18">
        <v>39478</v>
      </c>
      <c r="P460" s="91">
        <v>0</v>
      </c>
      <c r="Q460" s="104"/>
      <c r="R460" s="104"/>
      <c r="S460" s="18">
        <v>39485</v>
      </c>
      <c r="T460" s="91">
        <v>0.41170641790000001</v>
      </c>
      <c r="V460"/>
    </row>
    <row r="461" spans="2:22">
      <c r="B461" s="120">
        <v>39478</v>
      </c>
      <c r="C461" s="121">
        <v>0.49813553370000002</v>
      </c>
      <c r="D461" s="121">
        <f>VLOOKUP(CurrentMtgRatesDataTable825[[#This Row],[asofdate]],I:J,2,0)</f>
        <v>0.49749608789999999</v>
      </c>
      <c r="E461" s="121">
        <f>VLOOKUP(CurrentMtgRatesDataTable825[[#This Row],[asofdate]],O:P,2,0)</f>
        <v>0</v>
      </c>
      <c r="F461" s="122">
        <f ca="1">VLOOKUP(CurrentMtgRatesDataTable825[[#This Row],[asofdate]]+1,Bloomberg!B:C,2,0)</f>
        <v>5523.9</v>
      </c>
      <c r="I461" s="18">
        <v>39478</v>
      </c>
      <c r="J461" s="91">
        <v>0.49749608789999999</v>
      </c>
      <c r="K461" s="91">
        <f>VLOOKUP(CurrentMtgRatesDataTable82527141518[[#This Row],[asofdate]],O:P,2,0)</f>
        <v>0</v>
      </c>
      <c r="L461" s="91">
        <f>VLOOKUP(CurrentMtgRatesDataTable82527141518[[#This Row],[asofdate]],S:T,2,0)</f>
        <v>0.38285928120000001</v>
      </c>
      <c r="M461" s="6">
        <f ca="1">VLOOKUP(CurrentMtgRatesDataTable82527141518[[#This Row],[asofdate]]+1,Bloomberg!B:C,2,0)</f>
        <v>5523.9</v>
      </c>
      <c r="N461" s="6"/>
      <c r="O461" s="18">
        <v>39471</v>
      </c>
      <c r="P461" s="91">
        <v>0.49230690290000001</v>
      </c>
      <c r="Q461" s="104"/>
      <c r="R461" s="104"/>
      <c r="S461" s="18">
        <v>39478</v>
      </c>
      <c r="T461" s="91">
        <v>0.38285928120000001</v>
      </c>
      <c r="V461"/>
    </row>
    <row r="462" spans="2:22">
      <c r="B462" s="120">
        <v>39471</v>
      </c>
      <c r="C462" s="121">
        <v>0.68270179529999997</v>
      </c>
      <c r="D462" s="121">
        <f>VLOOKUP(CurrentMtgRatesDataTable825[[#This Row],[asofdate]],I:J,2,0)</f>
        <v>0.66180762579999997</v>
      </c>
      <c r="E462" s="121">
        <f>VLOOKUP(CurrentMtgRatesDataTable825[[#This Row],[asofdate]],O:P,2,0)</f>
        <v>0.49230690290000001</v>
      </c>
      <c r="F462" s="122">
        <f ca="1">VLOOKUP(CurrentMtgRatesDataTable825[[#This Row],[asofdate]]+1,Bloomberg!B:C,2,0)</f>
        <v>5682.2</v>
      </c>
      <c r="I462" s="18">
        <v>39471</v>
      </c>
      <c r="J462" s="91">
        <v>0.66180762579999997</v>
      </c>
      <c r="K462" s="91">
        <f>VLOOKUP(CurrentMtgRatesDataTable82527141518[[#This Row],[asofdate]],O:P,2,0)</f>
        <v>0.49230690290000001</v>
      </c>
      <c r="L462" s="91">
        <f>VLOOKUP(CurrentMtgRatesDataTable82527141518[[#This Row],[asofdate]],S:T,2,0)</f>
        <v>0.66163350180000002</v>
      </c>
      <c r="M462" s="6">
        <f ca="1">VLOOKUP(CurrentMtgRatesDataTable82527141518[[#This Row],[asofdate]]+1,Bloomberg!B:C,2,0)</f>
        <v>5682.2</v>
      </c>
      <c r="N462" s="6"/>
      <c r="O462" s="18">
        <v>39464</v>
      </c>
      <c r="P462" s="91">
        <v>0.31789701500000001</v>
      </c>
      <c r="Q462" s="104"/>
      <c r="R462" s="104"/>
      <c r="S462" s="18">
        <v>39471</v>
      </c>
      <c r="T462" s="91">
        <v>0.66163350180000002</v>
      </c>
      <c r="V462"/>
    </row>
    <row r="463" spans="2:22">
      <c r="B463" s="120">
        <v>39464</v>
      </c>
      <c r="C463" s="121">
        <v>0.46799807980000008</v>
      </c>
      <c r="D463" s="121">
        <f>VLOOKUP(CurrentMtgRatesDataTable825[[#This Row],[asofdate]],I:J,2,0)</f>
        <v>0.4496011513</v>
      </c>
      <c r="E463" s="121">
        <f>VLOOKUP(CurrentMtgRatesDataTable825[[#This Row],[asofdate]],O:P,2,0)</f>
        <v>0.31789701500000001</v>
      </c>
      <c r="F463" s="122">
        <f ca="1">VLOOKUP(CurrentMtgRatesDataTable825[[#This Row],[asofdate]]+1,Bloomberg!B:C,2,0)</f>
        <v>4588.3999999999996</v>
      </c>
      <c r="I463" s="18">
        <v>39464</v>
      </c>
      <c r="J463" s="91">
        <v>0.4496011513</v>
      </c>
      <c r="K463" s="91">
        <f>VLOOKUP(CurrentMtgRatesDataTable82527141518[[#This Row],[asofdate]],O:P,2,0)</f>
        <v>0.31789701500000001</v>
      </c>
      <c r="L463" s="91">
        <f>VLOOKUP(CurrentMtgRatesDataTable82527141518[[#This Row],[asofdate]],S:T,2,0)</f>
        <v>0.32976146579999999</v>
      </c>
      <c r="M463" s="6">
        <f ca="1">VLOOKUP(CurrentMtgRatesDataTable82527141518[[#This Row],[asofdate]]+1,Bloomberg!B:C,2,0)</f>
        <v>4588.3999999999996</v>
      </c>
      <c r="N463" s="6"/>
      <c r="O463" s="18">
        <v>39457</v>
      </c>
      <c r="P463" s="91">
        <v>0.25890370559999998</v>
      </c>
      <c r="Q463" s="104"/>
      <c r="R463" s="104"/>
      <c r="S463" s="18">
        <v>39464</v>
      </c>
      <c r="T463" s="91">
        <v>0.32976146579999999</v>
      </c>
      <c r="V463"/>
    </row>
    <row r="464" spans="2:22">
      <c r="B464" s="120">
        <v>39457</v>
      </c>
      <c r="C464" s="121">
        <v>0.36463177990000001</v>
      </c>
      <c r="D464" s="121">
        <f>VLOOKUP(CurrentMtgRatesDataTable825[[#This Row],[asofdate]],I:J,2,0)</f>
        <v>0.36646240920000001</v>
      </c>
      <c r="E464" s="121">
        <f>VLOOKUP(CurrentMtgRatesDataTable825[[#This Row],[asofdate]],O:P,2,0)</f>
        <v>0.25890370559999998</v>
      </c>
      <c r="F464" s="122">
        <f ca="1">VLOOKUP(CurrentMtgRatesDataTable825[[#This Row],[asofdate]]+1,Bloomberg!B:C,2,0)</f>
        <v>3923.5</v>
      </c>
      <c r="I464" s="18">
        <v>39457</v>
      </c>
      <c r="J464" s="91">
        <v>0.36646240920000001</v>
      </c>
      <c r="K464" s="91">
        <f>VLOOKUP(CurrentMtgRatesDataTable82527141518[[#This Row],[asofdate]],O:P,2,0)</f>
        <v>0.25890370559999998</v>
      </c>
      <c r="L464" s="91">
        <f>VLOOKUP(CurrentMtgRatesDataTable82527141518[[#This Row],[asofdate]],S:T,2,0)</f>
        <v>0.26151994560000003</v>
      </c>
      <c r="M464" s="6">
        <f ca="1">VLOOKUP(CurrentMtgRatesDataTable82527141518[[#This Row],[asofdate]]+1,Bloomberg!B:C,2,0)</f>
        <v>3923.5</v>
      </c>
      <c r="N464" s="6"/>
      <c r="O464" s="18">
        <v>39450</v>
      </c>
      <c r="P464" s="91">
        <v>0</v>
      </c>
      <c r="Q464" s="104"/>
      <c r="R464" s="104"/>
      <c r="S464" s="18">
        <v>39457</v>
      </c>
      <c r="T464" s="91">
        <v>0.26151994560000003</v>
      </c>
      <c r="V464"/>
    </row>
    <row r="465" spans="2:22">
      <c r="B465" s="120">
        <v>39450</v>
      </c>
      <c r="C465" s="121">
        <v>0.22129148269999999</v>
      </c>
      <c r="D465" s="121">
        <f>VLOOKUP(CurrentMtgRatesDataTable825[[#This Row],[asofdate]],I:J,2,0)</f>
        <v>0.23986342090000001</v>
      </c>
      <c r="E465" s="121">
        <f>VLOOKUP(CurrentMtgRatesDataTable825[[#This Row],[asofdate]],O:P,2,0)</f>
        <v>0</v>
      </c>
      <c r="F465" s="122">
        <f ca="1">VLOOKUP(CurrentMtgRatesDataTable825[[#This Row],[asofdate]]+1,Bloomberg!B:C,2,0)</f>
        <v>2729.3</v>
      </c>
      <c r="I465" s="18">
        <v>39450</v>
      </c>
      <c r="J465" s="91">
        <v>0.23986342090000001</v>
      </c>
      <c r="K465" s="91">
        <f>VLOOKUP(CurrentMtgRatesDataTable82527141518[[#This Row],[asofdate]],O:P,2,0)</f>
        <v>0</v>
      </c>
      <c r="L465" s="91">
        <f>VLOOKUP(CurrentMtgRatesDataTable82527141518[[#This Row],[asofdate]],S:T,2,0)</f>
        <v>0.16352889400000001</v>
      </c>
      <c r="M465" s="6">
        <f ca="1">VLOOKUP(CurrentMtgRatesDataTable82527141518[[#This Row],[asofdate]]+1,Bloomberg!B:C,2,0)</f>
        <v>2729.3</v>
      </c>
      <c r="N465" s="6"/>
      <c r="Q465" s="104"/>
      <c r="R465" s="104"/>
      <c r="S465" s="18">
        <v>39450</v>
      </c>
      <c r="T465" s="91">
        <v>0.16352889400000001</v>
      </c>
      <c r="V465"/>
    </row>
    <row r="466" spans="2:22">
      <c r="N466" s="6"/>
      <c r="Q466" s="104"/>
      <c r="R466" s="104"/>
      <c r="V466"/>
    </row>
    <row r="467" spans="2:22">
      <c r="N467" s="6"/>
      <c r="Q467" s="104"/>
      <c r="R467" s="104"/>
      <c r="V467"/>
    </row>
    <row r="468" spans="2:22">
      <c r="N468" s="6"/>
      <c r="Q468" s="104"/>
      <c r="R468" s="104"/>
      <c r="V468"/>
    </row>
    <row r="469" spans="2:22">
      <c r="N469" s="6"/>
      <c r="Q469" s="104"/>
      <c r="R469" s="104"/>
      <c r="V469"/>
    </row>
    <row r="470" spans="2:22">
      <c r="N470" s="6"/>
      <c r="Q470" s="104"/>
      <c r="R470" s="104"/>
      <c r="V470"/>
    </row>
    <row r="471" spans="2:22">
      <c r="N471" s="6"/>
      <c r="Q471" s="104"/>
      <c r="R471" s="104"/>
      <c r="V471"/>
    </row>
    <row r="472" spans="2:22">
      <c r="N472" s="6"/>
      <c r="Q472" s="104"/>
      <c r="R472" s="104"/>
      <c r="V472"/>
    </row>
    <row r="473" spans="2:22">
      <c r="N473" s="6"/>
      <c r="Q473" s="104"/>
      <c r="R473" s="104"/>
      <c r="V473"/>
    </row>
    <row r="474" spans="2:22">
      <c r="N474" s="6"/>
      <c r="Q474" s="104"/>
      <c r="R474" s="104"/>
      <c r="V474"/>
    </row>
    <row r="475" spans="2:22">
      <c r="N475" s="6"/>
      <c r="Q475" s="104"/>
      <c r="R475" s="104"/>
      <c r="V475"/>
    </row>
    <row r="476" spans="2:22">
      <c r="N476" s="6"/>
      <c r="Q476" s="104"/>
      <c r="R476" s="104"/>
      <c r="V476"/>
    </row>
    <row r="477" spans="2:22">
      <c r="N477" s="6"/>
      <c r="Q477" s="104"/>
      <c r="R477" s="104"/>
      <c r="V477"/>
    </row>
    <row r="478" spans="2:22">
      <c r="N478" s="6"/>
      <c r="Q478" s="104"/>
      <c r="R478" s="104"/>
      <c r="V478"/>
    </row>
    <row r="479" spans="2:22">
      <c r="N479" s="6"/>
      <c r="Q479" s="104"/>
      <c r="R479" s="104"/>
      <c r="V479"/>
    </row>
    <row r="480" spans="2:22">
      <c r="N480" s="6"/>
      <c r="Q480" s="104"/>
      <c r="R480" s="104"/>
      <c r="V480"/>
    </row>
    <row r="481" spans="14:22">
      <c r="N481" s="6"/>
      <c r="Q481" s="104"/>
      <c r="R481" s="104"/>
      <c r="V481"/>
    </row>
    <row r="482" spans="14:22">
      <c r="N482" s="6"/>
      <c r="Q482" s="104"/>
      <c r="R482" s="104"/>
      <c r="V482"/>
    </row>
    <row r="483" spans="14:22">
      <c r="N483" s="6"/>
      <c r="Q483" s="104"/>
      <c r="R483" s="104"/>
      <c r="V483"/>
    </row>
    <row r="484" spans="14:22">
      <c r="N484" s="6"/>
      <c r="Q484" s="104"/>
      <c r="R484" s="104"/>
      <c r="V484"/>
    </row>
    <row r="485" spans="14:22">
      <c r="N485" s="6"/>
      <c r="Q485" s="104"/>
      <c r="R485" s="104"/>
      <c r="V485"/>
    </row>
    <row r="486" spans="14:22">
      <c r="N486" s="6"/>
      <c r="Q486" s="104"/>
      <c r="R486" s="104"/>
      <c r="V486"/>
    </row>
    <row r="487" spans="14:22">
      <c r="N487" s="6"/>
      <c r="Q487" s="104"/>
      <c r="R487" s="104"/>
      <c r="V487"/>
    </row>
    <row r="488" spans="14:22">
      <c r="N488" s="6"/>
      <c r="Q488" s="104"/>
      <c r="R488" s="104"/>
      <c r="V488"/>
    </row>
    <row r="489" spans="14:22">
      <c r="N489" s="6"/>
      <c r="Q489" s="104"/>
      <c r="R489" s="104"/>
      <c r="V489"/>
    </row>
    <row r="490" spans="14:22">
      <c r="N490" s="6"/>
      <c r="Q490" s="104"/>
      <c r="R490" s="104"/>
      <c r="V490"/>
    </row>
    <row r="491" spans="14:22">
      <c r="N491" s="6"/>
      <c r="Q491" s="104"/>
      <c r="R491" s="104"/>
      <c r="V491"/>
    </row>
    <row r="492" spans="14:22">
      <c r="N492" s="6"/>
      <c r="Q492" s="104"/>
      <c r="R492" s="104"/>
      <c r="V492"/>
    </row>
    <row r="493" spans="14:22">
      <c r="N493" s="6"/>
      <c r="Q493" s="104"/>
      <c r="R493" s="104"/>
      <c r="V493"/>
    </row>
    <row r="494" spans="14:22">
      <c r="N494" s="6"/>
      <c r="Q494" s="104"/>
      <c r="R494" s="104"/>
      <c r="V494"/>
    </row>
    <row r="495" spans="14:22">
      <c r="N495" s="6"/>
      <c r="Q495" s="104"/>
      <c r="R495" s="104"/>
      <c r="V495"/>
    </row>
    <row r="496" spans="14:22">
      <c r="N496" s="6"/>
      <c r="Q496" s="104"/>
      <c r="R496" s="104"/>
      <c r="V496"/>
    </row>
    <row r="497" spans="14:22">
      <c r="N497" s="6"/>
      <c r="Q497" s="104"/>
      <c r="R497" s="104"/>
      <c r="V497"/>
    </row>
    <row r="498" spans="14:22">
      <c r="N498" s="6"/>
      <c r="Q498" s="104"/>
      <c r="R498" s="104"/>
      <c r="V498"/>
    </row>
    <row r="499" spans="14:22">
      <c r="N499" s="6"/>
      <c r="Q499" s="104"/>
      <c r="R499" s="104"/>
      <c r="V499"/>
    </row>
    <row r="500" spans="14:22">
      <c r="N500" s="6"/>
      <c r="Q500" s="104"/>
      <c r="R500" s="104"/>
      <c r="V500"/>
    </row>
    <row r="501" spans="14:22">
      <c r="N501" s="6"/>
      <c r="Q501" s="104"/>
      <c r="R501" s="104"/>
      <c r="V501"/>
    </row>
    <row r="502" spans="14:22">
      <c r="N502" s="6"/>
      <c r="Q502" s="104"/>
      <c r="R502" s="104"/>
      <c r="V502"/>
    </row>
    <row r="503" spans="14:22">
      <c r="N503" s="6"/>
      <c r="Q503" s="104"/>
      <c r="R503" s="104"/>
      <c r="V503"/>
    </row>
    <row r="504" spans="14:22">
      <c r="N504" s="6"/>
      <c r="Q504" s="104"/>
      <c r="R504" s="104"/>
      <c r="V504"/>
    </row>
    <row r="505" spans="14:22">
      <c r="N505" s="6"/>
      <c r="Q505" s="104"/>
      <c r="R505" s="104"/>
      <c r="V505"/>
    </row>
    <row r="506" spans="14:22">
      <c r="N506" s="6"/>
      <c r="Q506" s="104"/>
      <c r="R506" s="104"/>
      <c r="V506"/>
    </row>
    <row r="507" spans="14:22">
      <c r="N507" s="6"/>
      <c r="Q507" s="104"/>
      <c r="R507" s="104"/>
      <c r="V507"/>
    </row>
    <row r="508" spans="14:22">
      <c r="N508" s="6"/>
      <c r="Q508" s="104"/>
      <c r="R508" s="104"/>
      <c r="V508"/>
    </row>
    <row r="509" spans="14:22">
      <c r="N509" s="6"/>
      <c r="Q509" s="104"/>
      <c r="R509" s="104"/>
      <c r="V509"/>
    </row>
    <row r="510" spans="14:22">
      <c r="N510" s="6"/>
      <c r="Q510" s="104"/>
      <c r="R510" s="104"/>
      <c r="V510"/>
    </row>
    <row r="511" spans="14:22">
      <c r="N511" s="6"/>
      <c r="Q511" s="104"/>
      <c r="R511" s="104"/>
      <c r="V511"/>
    </row>
    <row r="512" spans="14:22">
      <c r="N512" s="6"/>
      <c r="Q512" s="104"/>
      <c r="R512" s="104"/>
      <c r="V512"/>
    </row>
    <row r="513" spans="14:22">
      <c r="N513" s="6"/>
      <c r="Q513" s="104"/>
      <c r="R513" s="104"/>
      <c r="V513"/>
    </row>
    <row r="514" spans="14:22">
      <c r="N514" s="6"/>
      <c r="Q514" s="104"/>
      <c r="R514" s="104"/>
      <c r="V514"/>
    </row>
    <row r="515" spans="14:22">
      <c r="N515" s="6"/>
      <c r="Q515" s="104"/>
      <c r="R515" s="104"/>
      <c r="V515"/>
    </row>
    <row r="516" spans="14:22">
      <c r="N516" s="6"/>
      <c r="Q516" s="104"/>
      <c r="R516" s="104"/>
      <c r="V516"/>
    </row>
    <row r="517" spans="14:22">
      <c r="N517" s="6"/>
      <c r="Q517" s="104"/>
      <c r="R517" s="104"/>
      <c r="V517"/>
    </row>
    <row r="518" spans="14:22">
      <c r="N518" s="6"/>
      <c r="Q518" s="104"/>
      <c r="R518" s="104"/>
      <c r="V518"/>
    </row>
    <row r="519" spans="14:22">
      <c r="N519" s="6"/>
      <c r="Q519" s="104"/>
      <c r="R519" s="104"/>
      <c r="V519"/>
    </row>
    <row r="520" spans="14:22">
      <c r="N520" s="6"/>
      <c r="Q520" s="104"/>
      <c r="R520" s="104"/>
      <c r="V520"/>
    </row>
    <row r="521" spans="14:22">
      <c r="N521" s="6"/>
      <c r="Q521" s="104"/>
      <c r="R521" s="104"/>
      <c r="V521"/>
    </row>
    <row r="522" spans="14:22">
      <c r="N522" s="6"/>
      <c r="Q522" s="104"/>
      <c r="R522" s="104"/>
      <c r="V522"/>
    </row>
    <row r="523" spans="14:22">
      <c r="N523" s="6"/>
      <c r="Q523" s="104"/>
      <c r="R523" s="104"/>
      <c r="V523"/>
    </row>
    <row r="524" spans="14:22">
      <c r="N524" s="6"/>
      <c r="Q524" s="104"/>
      <c r="R524" s="104"/>
      <c r="V524"/>
    </row>
    <row r="525" spans="14:22">
      <c r="N525" s="6"/>
      <c r="Q525" s="104"/>
      <c r="R525" s="104"/>
      <c r="V525"/>
    </row>
    <row r="526" spans="14:22">
      <c r="N526" s="6"/>
      <c r="Q526" s="104"/>
      <c r="R526" s="104"/>
      <c r="V526"/>
    </row>
    <row r="527" spans="14:22">
      <c r="N527" s="6"/>
      <c r="Q527" s="104"/>
      <c r="R527" s="104"/>
      <c r="V527"/>
    </row>
    <row r="528" spans="14:22">
      <c r="N528" s="6"/>
      <c r="Q528" s="104"/>
      <c r="R528" s="104"/>
      <c r="V528"/>
    </row>
    <row r="529" spans="14:22">
      <c r="N529" s="6"/>
      <c r="Q529" s="104"/>
      <c r="R529" s="104"/>
      <c r="V529"/>
    </row>
    <row r="530" spans="14:22">
      <c r="N530" s="6"/>
      <c r="Q530" s="104"/>
      <c r="R530" s="104"/>
      <c r="V530"/>
    </row>
    <row r="531" spans="14:22">
      <c r="N531" s="6"/>
      <c r="Q531" s="104"/>
      <c r="R531" s="104"/>
      <c r="V531"/>
    </row>
    <row r="532" spans="14:22">
      <c r="N532" s="6"/>
      <c r="Q532" s="104"/>
      <c r="R532" s="104"/>
      <c r="V532"/>
    </row>
    <row r="533" spans="14:22">
      <c r="N533" s="6"/>
      <c r="Q533" s="104"/>
      <c r="R533" s="104"/>
      <c r="V533"/>
    </row>
    <row r="534" spans="14:22">
      <c r="N534" s="6"/>
      <c r="Q534" s="104"/>
      <c r="R534" s="104"/>
      <c r="V534"/>
    </row>
    <row r="535" spans="14:22">
      <c r="N535" s="6"/>
      <c r="Q535" s="104"/>
      <c r="R535" s="104"/>
      <c r="V535"/>
    </row>
    <row r="536" spans="14:22">
      <c r="N536" s="6"/>
      <c r="Q536" s="104"/>
      <c r="R536" s="104"/>
      <c r="V536"/>
    </row>
    <row r="537" spans="14:22">
      <c r="N537" s="6"/>
      <c r="Q537" s="104"/>
      <c r="R537" s="104"/>
      <c r="V537"/>
    </row>
    <row r="538" spans="14:22">
      <c r="N538" s="6"/>
      <c r="Q538" s="104"/>
      <c r="R538" s="104"/>
      <c r="V538"/>
    </row>
    <row r="539" spans="14:22">
      <c r="N539" s="6"/>
      <c r="Q539" s="104"/>
      <c r="R539" s="104"/>
      <c r="V539"/>
    </row>
    <row r="540" spans="14:22">
      <c r="N540" s="6"/>
      <c r="Q540" s="104"/>
      <c r="R540" s="104"/>
      <c r="V540"/>
    </row>
    <row r="541" spans="14:22">
      <c r="N541" s="6"/>
      <c r="Q541" s="104"/>
      <c r="R541" s="104"/>
      <c r="V541"/>
    </row>
    <row r="542" spans="14:22">
      <c r="N542" s="6"/>
      <c r="Q542" s="104"/>
      <c r="R542" s="104"/>
      <c r="V542"/>
    </row>
    <row r="543" spans="14:22">
      <c r="N543" s="6"/>
      <c r="Q543" s="104"/>
      <c r="R543" s="104"/>
      <c r="V543"/>
    </row>
    <row r="544" spans="14:22">
      <c r="N544" s="6"/>
      <c r="Q544" s="104"/>
      <c r="R544" s="104"/>
      <c r="V544"/>
    </row>
    <row r="545" spans="14:22">
      <c r="N545" s="6"/>
      <c r="Q545" s="104"/>
      <c r="R545" s="104"/>
      <c r="V545"/>
    </row>
    <row r="546" spans="14:22">
      <c r="N546" s="6"/>
      <c r="Q546" s="104"/>
      <c r="R546" s="104"/>
      <c r="V546"/>
    </row>
    <row r="547" spans="14:22">
      <c r="N547" s="6"/>
      <c r="Q547" s="104"/>
      <c r="R547" s="104"/>
      <c r="V547"/>
    </row>
    <row r="548" spans="14:22">
      <c r="N548" s="6"/>
      <c r="Q548" s="104"/>
      <c r="R548" s="104"/>
      <c r="V548"/>
    </row>
    <row r="549" spans="14:22">
      <c r="N549" s="6"/>
      <c r="Q549" s="104"/>
      <c r="R549" s="104"/>
      <c r="V549"/>
    </row>
    <row r="550" spans="14:22">
      <c r="N550" s="6"/>
      <c r="Q550" s="104"/>
      <c r="R550" s="104"/>
      <c r="V550"/>
    </row>
    <row r="551" spans="14:22">
      <c r="N551" s="6"/>
      <c r="Q551" s="104"/>
      <c r="R551" s="104"/>
      <c r="V551"/>
    </row>
    <row r="552" spans="14:22">
      <c r="N552" s="6"/>
      <c r="Q552" s="104"/>
      <c r="R552" s="104"/>
      <c r="V552"/>
    </row>
    <row r="553" spans="14:22">
      <c r="N553" s="6"/>
      <c r="Q553" s="104"/>
      <c r="R553" s="104"/>
      <c r="V553"/>
    </row>
    <row r="554" spans="14:22">
      <c r="N554" s="6"/>
      <c r="Q554" s="104"/>
      <c r="R554" s="104"/>
      <c r="V554"/>
    </row>
    <row r="555" spans="14:22">
      <c r="N555" s="6"/>
      <c r="Q555" s="104"/>
      <c r="R555" s="104"/>
      <c r="V555"/>
    </row>
    <row r="556" spans="14:22">
      <c r="N556" s="6"/>
      <c r="Q556" s="104"/>
      <c r="R556" s="104"/>
      <c r="V556"/>
    </row>
    <row r="557" spans="14:22">
      <c r="N557" s="6"/>
      <c r="Q557" s="104"/>
      <c r="R557" s="104"/>
      <c r="V557"/>
    </row>
    <row r="558" spans="14:22">
      <c r="N558" s="6"/>
      <c r="Q558" s="104"/>
      <c r="R558" s="104"/>
      <c r="V558"/>
    </row>
    <row r="559" spans="14:22">
      <c r="N559" s="6"/>
      <c r="Q559" s="104"/>
      <c r="R559" s="104"/>
      <c r="V559"/>
    </row>
    <row r="560" spans="14:22">
      <c r="N560" s="6"/>
      <c r="Q560" s="104"/>
      <c r="R560" s="104"/>
      <c r="V560"/>
    </row>
    <row r="561" spans="14:22">
      <c r="N561" s="6"/>
      <c r="Q561" s="104"/>
      <c r="R561" s="104"/>
      <c r="V561"/>
    </row>
    <row r="562" spans="14:22">
      <c r="N562" s="6"/>
      <c r="Q562" s="104"/>
      <c r="R562" s="104"/>
      <c r="V562"/>
    </row>
    <row r="563" spans="14:22">
      <c r="N563" s="6"/>
      <c r="Q563" s="104"/>
      <c r="R563" s="104"/>
      <c r="V563"/>
    </row>
    <row r="564" spans="14:22">
      <c r="N564" s="6"/>
      <c r="Q564" s="104"/>
      <c r="R564" s="104"/>
      <c r="V564"/>
    </row>
    <row r="565" spans="14:22">
      <c r="N565" s="6"/>
      <c r="Q565" s="104"/>
      <c r="R565" s="104"/>
      <c r="V565"/>
    </row>
    <row r="566" spans="14:22">
      <c r="N566" s="6"/>
      <c r="Q566" s="104"/>
      <c r="R566" s="104"/>
      <c r="V566"/>
    </row>
    <row r="567" spans="14:22">
      <c r="N567" s="6"/>
      <c r="Q567" s="104"/>
      <c r="R567" s="104"/>
      <c r="V567"/>
    </row>
    <row r="568" spans="14:22">
      <c r="N568" s="6"/>
      <c r="Q568" s="104"/>
      <c r="R568" s="104"/>
      <c r="V568"/>
    </row>
    <row r="569" spans="14:22">
      <c r="N569" s="6"/>
      <c r="Q569" s="104"/>
      <c r="R569" s="104"/>
      <c r="V569"/>
    </row>
    <row r="570" spans="14:22">
      <c r="N570" s="6"/>
      <c r="Q570" s="104"/>
      <c r="R570" s="104"/>
      <c r="V570"/>
    </row>
    <row r="571" spans="14:22">
      <c r="N571" s="6"/>
      <c r="Q571" s="104"/>
      <c r="R571" s="104"/>
      <c r="V571"/>
    </row>
    <row r="572" spans="14:22">
      <c r="N572" s="6"/>
      <c r="Q572" s="104"/>
      <c r="R572" s="104"/>
      <c r="V572"/>
    </row>
    <row r="573" spans="14:22">
      <c r="N573" s="6"/>
      <c r="Q573" s="104"/>
      <c r="R573" s="104"/>
      <c r="V573"/>
    </row>
    <row r="574" spans="14:22">
      <c r="N574" s="6"/>
      <c r="Q574" s="104"/>
      <c r="R574" s="104"/>
      <c r="V574"/>
    </row>
    <row r="575" spans="14:22">
      <c r="N575" s="6"/>
      <c r="Q575" s="104"/>
      <c r="R575" s="104"/>
      <c r="V575"/>
    </row>
    <row r="576" spans="14:22">
      <c r="N576" s="6"/>
      <c r="Q576" s="104"/>
      <c r="R576" s="104"/>
      <c r="V576"/>
    </row>
    <row r="577" spans="14:22">
      <c r="N577" s="6"/>
      <c r="Q577" s="104"/>
      <c r="R577" s="104"/>
      <c r="V577"/>
    </row>
    <row r="578" spans="14:22">
      <c r="N578" s="6"/>
      <c r="Q578" s="104"/>
      <c r="R578" s="104"/>
      <c r="V578"/>
    </row>
    <row r="579" spans="14:22">
      <c r="N579" s="6"/>
      <c r="Q579" s="104"/>
      <c r="R579" s="104"/>
      <c r="V579"/>
    </row>
    <row r="580" spans="14:22">
      <c r="N580" s="6"/>
      <c r="Q580" s="104"/>
      <c r="R580" s="104"/>
      <c r="V580"/>
    </row>
    <row r="581" spans="14:22">
      <c r="N581" s="6"/>
      <c r="Q581" s="104"/>
      <c r="R581" s="104"/>
      <c r="V581"/>
    </row>
    <row r="582" spans="14:22">
      <c r="N582" s="6"/>
      <c r="Q582" s="104"/>
      <c r="R582" s="104"/>
      <c r="V582"/>
    </row>
    <row r="583" spans="14:22">
      <c r="N583" s="6"/>
      <c r="Q583" s="104"/>
      <c r="R583" s="104"/>
      <c r="V583"/>
    </row>
    <row r="584" spans="14:22">
      <c r="N584" s="6"/>
      <c r="Q584" s="104"/>
      <c r="R584" s="104"/>
      <c r="V584"/>
    </row>
    <row r="585" spans="14:22">
      <c r="N585" s="6"/>
      <c r="Q585" s="104"/>
      <c r="R585" s="104"/>
      <c r="V585"/>
    </row>
    <row r="586" spans="14:22">
      <c r="N586" s="6"/>
      <c r="Q586" s="104"/>
      <c r="R586" s="104"/>
      <c r="V586"/>
    </row>
    <row r="587" spans="14:22">
      <c r="N587" s="6"/>
      <c r="Q587" s="104"/>
      <c r="R587" s="104"/>
      <c r="V587"/>
    </row>
    <row r="588" spans="14:22">
      <c r="N588" s="6"/>
      <c r="Q588" s="104"/>
      <c r="R588" s="104"/>
      <c r="V588"/>
    </row>
    <row r="589" spans="14:22">
      <c r="N589" s="6"/>
      <c r="Q589" s="104"/>
      <c r="R589" s="104"/>
      <c r="V589"/>
    </row>
    <row r="590" spans="14:22">
      <c r="N590" s="6"/>
      <c r="Q590" s="104"/>
      <c r="R590" s="104"/>
      <c r="V590"/>
    </row>
    <row r="591" spans="14:22">
      <c r="N591" s="6"/>
      <c r="Q591" s="104"/>
      <c r="R591" s="104"/>
      <c r="V591"/>
    </row>
    <row r="592" spans="14:22">
      <c r="N592" s="6"/>
      <c r="Q592" s="104"/>
      <c r="R592" s="104"/>
      <c r="V592"/>
    </row>
    <row r="593" spans="14:22">
      <c r="N593" s="6"/>
      <c r="Q593" s="104"/>
      <c r="R593" s="104"/>
      <c r="V593"/>
    </row>
    <row r="594" spans="14:22">
      <c r="N594" s="6"/>
      <c r="Q594" s="104"/>
      <c r="R594" s="104"/>
      <c r="V594"/>
    </row>
    <row r="595" spans="14:22">
      <c r="N595" s="6"/>
      <c r="Q595" s="104"/>
      <c r="R595" s="104"/>
      <c r="V595"/>
    </row>
    <row r="596" spans="14:22">
      <c r="N596" s="6"/>
      <c r="Q596" s="104"/>
      <c r="R596" s="104"/>
      <c r="V596"/>
    </row>
    <row r="597" spans="14:22">
      <c r="N597" s="6"/>
      <c r="Q597" s="104"/>
      <c r="R597" s="104"/>
      <c r="V597"/>
    </row>
    <row r="598" spans="14:22">
      <c r="N598" s="6"/>
      <c r="Q598" s="104"/>
      <c r="R598" s="104"/>
      <c r="V598"/>
    </row>
    <row r="599" spans="14:22">
      <c r="N599" s="6"/>
      <c r="Q599" s="104"/>
      <c r="R599" s="104"/>
      <c r="V599"/>
    </row>
    <row r="600" spans="14:22">
      <c r="N600" s="6"/>
      <c r="Q600" s="104"/>
      <c r="R600" s="104"/>
      <c r="V600"/>
    </row>
    <row r="601" spans="14:22">
      <c r="N601" s="6"/>
      <c r="Q601" s="104"/>
      <c r="R601" s="104"/>
      <c r="V601"/>
    </row>
    <row r="602" spans="14:22">
      <c r="N602" s="6"/>
      <c r="Q602" s="104"/>
      <c r="R602" s="104"/>
      <c r="V602"/>
    </row>
    <row r="603" spans="14:22">
      <c r="N603" s="6"/>
      <c r="Q603" s="104"/>
      <c r="R603" s="104"/>
      <c r="V603"/>
    </row>
    <row r="604" spans="14:22">
      <c r="N604" s="6"/>
      <c r="Q604" s="104"/>
      <c r="R604" s="104"/>
      <c r="V604"/>
    </row>
    <row r="605" spans="14:22">
      <c r="N605" s="6"/>
      <c r="Q605" s="104"/>
      <c r="R605" s="104"/>
      <c r="V605"/>
    </row>
    <row r="606" spans="14:22">
      <c r="N606" s="6"/>
      <c r="Q606" s="104"/>
      <c r="R606" s="104"/>
      <c r="V606"/>
    </row>
    <row r="607" spans="14:22">
      <c r="N607" s="6"/>
      <c r="Q607" s="104"/>
      <c r="R607" s="104"/>
      <c r="V607"/>
    </row>
    <row r="608" spans="14:22">
      <c r="N608" s="6"/>
      <c r="Q608" s="104"/>
      <c r="R608" s="104"/>
      <c r="V608"/>
    </row>
    <row r="609" spans="14:22">
      <c r="N609" s="6"/>
      <c r="Q609" s="104"/>
      <c r="R609" s="104"/>
      <c r="V609"/>
    </row>
    <row r="610" spans="14:22">
      <c r="N610" s="6"/>
      <c r="Q610" s="104"/>
      <c r="R610" s="104"/>
      <c r="V610"/>
    </row>
    <row r="611" spans="14:22">
      <c r="N611" s="6"/>
      <c r="Q611" s="104"/>
      <c r="R611" s="104"/>
      <c r="V611"/>
    </row>
    <row r="612" spans="14:22">
      <c r="N612" s="6"/>
      <c r="Q612" s="104"/>
      <c r="R612" s="104"/>
      <c r="V612"/>
    </row>
    <row r="613" spans="14:22">
      <c r="N613" s="6"/>
      <c r="Q613" s="104"/>
      <c r="R613" s="104"/>
      <c r="V613"/>
    </row>
    <row r="614" spans="14:22">
      <c r="N614" s="6"/>
      <c r="Q614" s="104"/>
      <c r="R614" s="104"/>
      <c r="V614"/>
    </row>
    <row r="615" spans="14:22">
      <c r="N615" s="6"/>
      <c r="Q615" s="104"/>
      <c r="R615" s="104"/>
      <c r="V615"/>
    </row>
    <row r="616" spans="14:22">
      <c r="N616" s="6"/>
      <c r="Q616" s="104"/>
      <c r="R616" s="104"/>
      <c r="V616"/>
    </row>
    <row r="617" spans="14:22">
      <c r="N617" s="6"/>
      <c r="Q617" s="104"/>
      <c r="R617" s="104"/>
      <c r="V617"/>
    </row>
    <row r="618" spans="14:22">
      <c r="N618" s="6"/>
      <c r="Q618" s="104"/>
      <c r="R618" s="104"/>
      <c r="V618"/>
    </row>
    <row r="619" spans="14:22">
      <c r="N619" s="6"/>
      <c r="Q619" s="104"/>
      <c r="R619" s="104"/>
      <c r="V619"/>
    </row>
    <row r="620" spans="14:22">
      <c r="N620" s="6"/>
      <c r="Q620" s="104"/>
      <c r="R620" s="104"/>
      <c r="V620"/>
    </row>
    <row r="621" spans="14:22">
      <c r="N621" s="6"/>
      <c r="Q621" s="104"/>
      <c r="R621" s="104"/>
      <c r="V621"/>
    </row>
    <row r="622" spans="14:22">
      <c r="N622" s="6"/>
      <c r="Q622" s="104"/>
      <c r="R622" s="104"/>
      <c r="V622"/>
    </row>
    <row r="623" spans="14:22">
      <c r="N623" s="6"/>
      <c r="Q623" s="104"/>
      <c r="R623" s="104"/>
      <c r="V623"/>
    </row>
    <row r="624" spans="14:22">
      <c r="N624" s="6"/>
      <c r="Q624" s="104"/>
      <c r="R624" s="104"/>
      <c r="V624"/>
    </row>
    <row r="625" spans="14:22">
      <c r="N625" s="6"/>
      <c r="Q625" s="104"/>
      <c r="R625" s="104"/>
      <c r="V625"/>
    </row>
    <row r="626" spans="14:22">
      <c r="N626" s="6"/>
      <c r="Q626" s="104"/>
      <c r="R626" s="104"/>
      <c r="V626"/>
    </row>
    <row r="627" spans="14:22">
      <c r="N627" s="6"/>
      <c r="Q627" s="104"/>
      <c r="R627" s="104"/>
      <c r="V627"/>
    </row>
    <row r="628" spans="14:22">
      <c r="N628" s="6"/>
      <c r="Q628" s="104"/>
      <c r="R628" s="104"/>
      <c r="V628"/>
    </row>
    <row r="629" spans="14:22">
      <c r="N629" s="6"/>
      <c r="Q629" s="104"/>
      <c r="R629" s="104"/>
      <c r="V629"/>
    </row>
    <row r="630" spans="14:22">
      <c r="N630" s="6"/>
      <c r="Q630" s="104"/>
      <c r="R630" s="104"/>
      <c r="V630"/>
    </row>
    <row r="631" spans="14:22">
      <c r="N631" s="6"/>
      <c r="Q631" s="104"/>
      <c r="R631" s="104"/>
      <c r="V631"/>
    </row>
    <row r="632" spans="14:22">
      <c r="N632" s="6"/>
      <c r="Q632" s="104"/>
      <c r="R632" s="104"/>
      <c r="V632"/>
    </row>
    <row r="633" spans="14:22">
      <c r="N633" s="6"/>
      <c r="Q633" s="104"/>
      <c r="R633" s="104"/>
      <c r="V633"/>
    </row>
    <row r="634" spans="14:22">
      <c r="N634" s="6"/>
      <c r="Q634" s="104"/>
      <c r="R634" s="104"/>
      <c r="V634"/>
    </row>
    <row r="635" spans="14:22">
      <c r="N635" s="6"/>
      <c r="Q635" s="104"/>
      <c r="R635" s="104"/>
      <c r="V635"/>
    </row>
    <row r="636" spans="14:22">
      <c r="N636" s="6"/>
      <c r="Q636" s="104"/>
      <c r="R636" s="104"/>
      <c r="V636"/>
    </row>
    <row r="637" spans="14:22">
      <c r="N637" s="6"/>
      <c r="Q637" s="104"/>
      <c r="R637" s="104"/>
      <c r="V637"/>
    </row>
    <row r="638" spans="14:22">
      <c r="N638" s="6"/>
      <c r="Q638" s="104"/>
      <c r="R638" s="104"/>
      <c r="V638"/>
    </row>
    <row r="639" spans="14:22">
      <c r="N639" s="6"/>
      <c r="Q639" s="104"/>
      <c r="R639" s="104"/>
      <c r="V639"/>
    </row>
    <row r="640" spans="14:22">
      <c r="N640" s="6"/>
      <c r="Q640" s="104"/>
      <c r="R640" s="104"/>
      <c r="V640"/>
    </row>
    <row r="641" spans="14:22">
      <c r="N641" s="6"/>
      <c r="Q641" s="104"/>
      <c r="R641" s="104"/>
      <c r="V641"/>
    </row>
    <row r="642" spans="14:22">
      <c r="N642" s="6"/>
      <c r="Q642" s="104"/>
      <c r="R642" s="104"/>
      <c r="V642"/>
    </row>
    <row r="643" spans="14:22">
      <c r="N643" s="6"/>
      <c r="Q643" s="104"/>
      <c r="R643" s="104"/>
      <c r="V643"/>
    </row>
    <row r="644" spans="14:22">
      <c r="N644" s="6"/>
      <c r="Q644" s="104"/>
      <c r="R644" s="104"/>
      <c r="V644"/>
    </row>
    <row r="645" spans="14:22">
      <c r="N645" s="6"/>
      <c r="Q645" s="104"/>
      <c r="R645" s="104"/>
      <c r="V645"/>
    </row>
    <row r="646" spans="14:22">
      <c r="N646" s="6"/>
      <c r="Q646" s="104"/>
      <c r="R646" s="104"/>
      <c r="V646"/>
    </row>
    <row r="647" spans="14:22">
      <c r="N647" s="6"/>
      <c r="Q647" s="104"/>
      <c r="R647" s="104"/>
      <c r="V647"/>
    </row>
    <row r="648" spans="14:22">
      <c r="N648" s="6"/>
      <c r="Q648" s="104"/>
      <c r="R648" s="104"/>
      <c r="V648"/>
    </row>
    <row r="649" spans="14:22">
      <c r="N649" s="6"/>
      <c r="Q649" s="104"/>
      <c r="R649" s="104"/>
      <c r="V649"/>
    </row>
    <row r="650" spans="14:22">
      <c r="N650" s="6"/>
      <c r="Q650" s="104"/>
      <c r="R650" s="104"/>
      <c r="V650"/>
    </row>
    <row r="651" spans="14:22">
      <c r="N651" s="6"/>
      <c r="Q651" s="104"/>
      <c r="R651" s="104"/>
      <c r="V651"/>
    </row>
    <row r="652" spans="14:22">
      <c r="N652" s="6"/>
      <c r="Q652" s="104"/>
      <c r="R652" s="104"/>
      <c r="V652"/>
    </row>
    <row r="653" spans="14:22">
      <c r="N653" s="6"/>
      <c r="Q653" s="104"/>
      <c r="R653" s="104"/>
      <c r="V653"/>
    </row>
    <row r="654" spans="14:22">
      <c r="N654" s="6"/>
      <c r="Q654" s="104"/>
      <c r="R654" s="104"/>
      <c r="V654"/>
    </row>
    <row r="655" spans="14:22">
      <c r="N655" s="6"/>
      <c r="Q655" s="104"/>
      <c r="R655" s="104"/>
      <c r="V655"/>
    </row>
    <row r="656" spans="14:22">
      <c r="N656" s="6"/>
      <c r="Q656" s="104"/>
      <c r="R656" s="104"/>
      <c r="V656"/>
    </row>
    <row r="657" spans="14:22">
      <c r="N657" s="6"/>
      <c r="Q657" s="104"/>
      <c r="R657" s="104"/>
      <c r="V657"/>
    </row>
    <row r="658" spans="14:22">
      <c r="N658" s="6"/>
      <c r="Q658" s="104"/>
      <c r="R658" s="104"/>
      <c r="V658"/>
    </row>
    <row r="659" spans="14:22">
      <c r="N659" s="6"/>
      <c r="Q659" s="104"/>
      <c r="R659" s="104"/>
      <c r="V659"/>
    </row>
    <row r="660" spans="14:22">
      <c r="N660" s="6"/>
      <c r="Q660" s="104"/>
      <c r="R660" s="104"/>
      <c r="V660"/>
    </row>
    <row r="661" spans="14:22">
      <c r="N661" s="6"/>
      <c r="Q661" s="104"/>
      <c r="R661" s="104"/>
      <c r="V661"/>
    </row>
    <row r="662" spans="14:22">
      <c r="N662" s="6"/>
      <c r="Q662" s="104"/>
      <c r="R662" s="104"/>
      <c r="V662"/>
    </row>
    <row r="663" spans="14:22">
      <c r="N663" s="6"/>
      <c r="Q663" s="104"/>
      <c r="R663" s="104"/>
      <c r="V663"/>
    </row>
    <row r="664" spans="14:22">
      <c r="N664" s="6"/>
      <c r="Q664" s="104"/>
      <c r="R664" s="104"/>
      <c r="V664"/>
    </row>
    <row r="665" spans="14:22">
      <c r="N665" s="6"/>
      <c r="Q665" s="104"/>
      <c r="R665" s="104"/>
      <c r="V665"/>
    </row>
    <row r="666" spans="14:22">
      <c r="N666" s="6"/>
      <c r="Q666" s="104"/>
      <c r="R666" s="104"/>
      <c r="V666"/>
    </row>
    <row r="667" spans="14:22">
      <c r="N667" s="6"/>
      <c r="Q667" s="104"/>
      <c r="R667" s="104"/>
      <c r="V667"/>
    </row>
    <row r="668" spans="14:22">
      <c r="N668" s="6"/>
      <c r="Q668" s="104"/>
      <c r="R668" s="104"/>
      <c r="V668"/>
    </row>
    <row r="669" spans="14:22">
      <c r="N669" s="6"/>
      <c r="Q669" s="104"/>
      <c r="R669" s="104"/>
      <c r="V669"/>
    </row>
    <row r="670" spans="14:22">
      <c r="N670" s="6"/>
      <c r="Q670" s="104"/>
      <c r="R670" s="104"/>
      <c r="V670"/>
    </row>
    <row r="671" spans="14:22">
      <c r="N671" s="6"/>
      <c r="Q671" s="104"/>
      <c r="R671" s="104"/>
      <c r="V671"/>
    </row>
    <row r="672" spans="14:22">
      <c r="N672" s="6"/>
      <c r="Q672" s="104"/>
      <c r="R672" s="104"/>
      <c r="V672"/>
    </row>
    <row r="673" spans="14:22">
      <c r="N673" s="6"/>
      <c r="Q673" s="104"/>
      <c r="R673" s="104"/>
      <c r="V673"/>
    </row>
    <row r="674" spans="14:22">
      <c r="N674" s="6"/>
      <c r="Q674" s="104"/>
      <c r="R674" s="104"/>
      <c r="V674"/>
    </row>
    <row r="675" spans="14:22">
      <c r="N675" s="6"/>
      <c r="Q675" s="104"/>
      <c r="R675" s="104"/>
      <c r="V675"/>
    </row>
    <row r="676" spans="14:22">
      <c r="N676" s="6"/>
      <c r="Q676" s="104"/>
      <c r="R676" s="104"/>
      <c r="V676"/>
    </row>
    <row r="677" spans="14:22">
      <c r="N677" s="6"/>
      <c r="Q677" s="104"/>
      <c r="R677" s="104"/>
      <c r="V677"/>
    </row>
    <row r="678" spans="14:22">
      <c r="N678" s="6"/>
      <c r="Q678" s="104"/>
      <c r="R678" s="104"/>
      <c r="V678"/>
    </row>
    <row r="679" spans="14:22">
      <c r="N679" s="6"/>
      <c r="Q679" s="104"/>
      <c r="R679" s="104"/>
      <c r="V679"/>
    </row>
    <row r="680" spans="14:22">
      <c r="N680" s="6"/>
      <c r="Q680" s="104"/>
      <c r="R680" s="104"/>
      <c r="V680"/>
    </row>
    <row r="681" spans="14:22">
      <c r="N681" s="6"/>
      <c r="Q681" s="104"/>
      <c r="R681" s="104"/>
      <c r="V681"/>
    </row>
    <row r="682" spans="14:22">
      <c r="N682" s="6"/>
      <c r="Q682" s="104"/>
      <c r="R682" s="104"/>
      <c r="V682"/>
    </row>
    <row r="683" spans="14:22">
      <c r="N683" s="6"/>
      <c r="Q683" s="104"/>
      <c r="R683" s="104"/>
      <c r="V683"/>
    </row>
    <row r="684" spans="14:22">
      <c r="N684" s="6"/>
      <c r="Q684" s="104"/>
      <c r="R684" s="104"/>
      <c r="V684"/>
    </row>
    <row r="685" spans="14:22">
      <c r="N685" s="6"/>
      <c r="Q685" s="104"/>
      <c r="R685" s="104"/>
      <c r="V685"/>
    </row>
    <row r="686" spans="14:22">
      <c r="N686" s="6"/>
      <c r="Q686" s="104"/>
      <c r="R686" s="104"/>
      <c r="V686"/>
    </row>
    <row r="687" spans="14:22">
      <c r="N687" s="6"/>
      <c r="Q687" s="104"/>
      <c r="R687" s="104"/>
      <c r="V687"/>
    </row>
    <row r="688" spans="14:22">
      <c r="N688" s="6"/>
      <c r="Q688" s="104"/>
      <c r="R688" s="104"/>
      <c r="V688"/>
    </row>
    <row r="689" spans="14:22">
      <c r="N689" s="6"/>
      <c r="Q689" s="104"/>
      <c r="R689" s="104"/>
      <c r="V689"/>
    </row>
    <row r="690" spans="14:22">
      <c r="N690" s="6"/>
      <c r="Q690" s="104"/>
      <c r="R690" s="104"/>
      <c r="V690"/>
    </row>
    <row r="691" spans="14:22">
      <c r="N691" s="6"/>
      <c r="Q691" s="104"/>
      <c r="R691" s="104"/>
      <c r="V691"/>
    </row>
    <row r="692" spans="14:22">
      <c r="N692" s="6"/>
      <c r="Q692" s="104"/>
      <c r="R692" s="104"/>
      <c r="V692"/>
    </row>
    <row r="693" spans="14:22">
      <c r="N693" s="6"/>
      <c r="Q693" s="104"/>
      <c r="R693" s="104"/>
      <c r="V693"/>
    </row>
    <row r="694" spans="14:22">
      <c r="N694" s="6"/>
      <c r="Q694" s="104"/>
      <c r="R694" s="104"/>
      <c r="V694"/>
    </row>
    <row r="695" spans="14:22">
      <c r="N695" s="6"/>
      <c r="Q695" s="104"/>
      <c r="R695" s="104"/>
      <c r="V695"/>
    </row>
    <row r="696" spans="14:22">
      <c r="N696" s="6"/>
      <c r="Q696" s="104"/>
      <c r="R696" s="104"/>
      <c r="V696"/>
    </row>
    <row r="697" spans="14:22">
      <c r="N697" s="6"/>
      <c r="Q697" s="104"/>
      <c r="R697" s="104"/>
      <c r="V697"/>
    </row>
    <row r="698" spans="14:22">
      <c r="N698" s="6"/>
      <c r="Q698" s="104"/>
      <c r="R698" s="104"/>
      <c r="V698"/>
    </row>
    <row r="699" spans="14:22">
      <c r="N699" s="6"/>
      <c r="Q699" s="104"/>
      <c r="R699" s="104"/>
      <c r="V699"/>
    </row>
    <row r="700" spans="14:22">
      <c r="N700" s="6"/>
      <c r="Q700" s="104"/>
      <c r="R700" s="104"/>
      <c r="V700"/>
    </row>
    <row r="701" spans="14:22">
      <c r="N701" s="6"/>
      <c r="Q701" s="104"/>
      <c r="R701" s="104"/>
      <c r="V701"/>
    </row>
    <row r="702" spans="14:22">
      <c r="N702" s="6"/>
      <c r="Q702" s="104"/>
      <c r="R702" s="104"/>
      <c r="V702"/>
    </row>
    <row r="703" spans="14:22">
      <c r="N703" s="6"/>
      <c r="Q703" s="104"/>
      <c r="R703" s="104"/>
      <c r="V703"/>
    </row>
    <row r="704" spans="14:22">
      <c r="N704" s="6"/>
      <c r="Q704" s="104"/>
      <c r="R704" s="104"/>
      <c r="V704"/>
    </row>
    <row r="705" spans="14:22">
      <c r="N705" s="6"/>
      <c r="Q705" s="104"/>
      <c r="R705" s="104"/>
      <c r="V705"/>
    </row>
    <row r="706" spans="14:22">
      <c r="N706" s="6"/>
      <c r="Q706" s="104"/>
      <c r="R706" s="104"/>
      <c r="V706"/>
    </row>
    <row r="707" spans="14:22">
      <c r="N707" s="6"/>
      <c r="Q707" s="104"/>
      <c r="R707" s="104"/>
      <c r="V707"/>
    </row>
    <row r="708" spans="14:22">
      <c r="N708" s="6"/>
      <c r="Q708" s="104"/>
      <c r="R708" s="104"/>
      <c r="V708"/>
    </row>
    <row r="709" spans="14:22">
      <c r="N709" s="6"/>
      <c r="Q709" s="104"/>
      <c r="R709" s="104"/>
      <c r="V709"/>
    </row>
    <row r="710" spans="14:22">
      <c r="N710" s="6"/>
      <c r="Q710" s="104"/>
      <c r="R710" s="104"/>
      <c r="V710"/>
    </row>
    <row r="711" spans="14:22">
      <c r="N711" s="6"/>
      <c r="Q711" s="104"/>
      <c r="R711" s="104"/>
      <c r="V711"/>
    </row>
    <row r="712" spans="14:22">
      <c r="N712" s="6"/>
      <c r="Q712" s="104"/>
      <c r="R712" s="104"/>
      <c r="V712"/>
    </row>
    <row r="713" spans="14:22">
      <c r="N713" s="6"/>
      <c r="Q713" s="104"/>
      <c r="R713" s="104"/>
      <c r="V713"/>
    </row>
    <row r="714" spans="14:22">
      <c r="N714" s="6"/>
      <c r="Q714" s="104"/>
      <c r="R714" s="104"/>
      <c r="V714"/>
    </row>
    <row r="715" spans="14:22">
      <c r="N715" s="6"/>
      <c r="Q715" s="104"/>
      <c r="R715" s="104"/>
      <c r="V715"/>
    </row>
    <row r="716" spans="14:22">
      <c r="N716" s="6"/>
      <c r="Q716" s="104"/>
      <c r="R716" s="104"/>
      <c r="V716"/>
    </row>
    <row r="717" spans="14:22">
      <c r="N717" s="6"/>
      <c r="Q717" s="104"/>
      <c r="R717" s="104"/>
      <c r="V717"/>
    </row>
    <row r="718" spans="14:22">
      <c r="N718" s="6"/>
      <c r="Q718" s="104"/>
      <c r="R718" s="104"/>
      <c r="V718"/>
    </row>
    <row r="719" spans="14:22">
      <c r="N719" s="6"/>
      <c r="Q719" s="104"/>
      <c r="R719" s="104"/>
      <c r="V719"/>
    </row>
    <row r="720" spans="14:22">
      <c r="N720" s="6"/>
      <c r="Q720" s="104"/>
      <c r="R720" s="104"/>
      <c r="V720"/>
    </row>
    <row r="721" spans="14:22">
      <c r="N721" s="6"/>
      <c r="Q721" s="104"/>
      <c r="R721" s="104"/>
      <c r="V721"/>
    </row>
    <row r="722" spans="14:22">
      <c r="N722" s="6"/>
      <c r="Q722" s="104"/>
      <c r="R722" s="104"/>
      <c r="V722"/>
    </row>
    <row r="723" spans="14:22">
      <c r="N723" s="6"/>
      <c r="Q723" s="104"/>
      <c r="R723" s="104"/>
      <c r="V723"/>
    </row>
    <row r="724" spans="14:22">
      <c r="N724" s="6"/>
      <c r="Q724" s="104"/>
      <c r="R724" s="104"/>
      <c r="V724"/>
    </row>
    <row r="725" spans="14:22">
      <c r="N725" s="6"/>
      <c r="Q725" s="104"/>
      <c r="R725" s="104"/>
      <c r="V725"/>
    </row>
    <row r="726" spans="14:22">
      <c r="N726" s="6"/>
      <c r="Q726" s="104"/>
      <c r="R726" s="104"/>
      <c r="V726"/>
    </row>
    <row r="727" spans="14:22">
      <c r="N727" s="6"/>
      <c r="Q727" s="104"/>
      <c r="R727" s="104"/>
      <c r="V727"/>
    </row>
    <row r="728" spans="14:22">
      <c r="N728" s="6"/>
      <c r="Q728" s="104"/>
      <c r="R728" s="104"/>
      <c r="V728"/>
    </row>
    <row r="729" spans="14:22">
      <c r="N729" s="6"/>
      <c r="Q729" s="104"/>
      <c r="R729" s="104"/>
      <c r="V729"/>
    </row>
    <row r="730" spans="14:22">
      <c r="N730" s="6"/>
      <c r="Q730" s="104"/>
      <c r="R730" s="104"/>
      <c r="V730"/>
    </row>
    <row r="731" spans="14:22">
      <c r="N731" s="6"/>
      <c r="Q731" s="104"/>
      <c r="R731" s="104"/>
      <c r="V731"/>
    </row>
    <row r="732" spans="14:22">
      <c r="N732" s="6"/>
      <c r="Q732" s="104"/>
      <c r="R732" s="104"/>
      <c r="V732"/>
    </row>
    <row r="733" spans="14:22">
      <c r="N733" s="6"/>
      <c r="Q733" s="104"/>
      <c r="R733" s="104"/>
      <c r="V733"/>
    </row>
    <row r="734" spans="14:22">
      <c r="N734" s="6"/>
      <c r="Q734" s="104"/>
      <c r="R734" s="104"/>
      <c r="V734"/>
    </row>
    <row r="735" spans="14:22">
      <c r="N735" s="6"/>
      <c r="Q735" s="104"/>
      <c r="R735" s="104"/>
      <c r="V735"/>
    </row>
    <row r="736" spans="14:22">
      <c r="N736" s="6"/>
      <c r="Q736" s="104"/>
      <c r="R736" s="104"/>
      <c r="V736"/>
    </row>
    <row r="737" spans="14:22">
      <c r="N737" s="6"/>
      <c r="Q737" s="104"/>
      <c r="R737" s="104"/>
      <c r="V737"/>
    </row>
    <row r="738" spans="14:22">
      <c r="N738" s="6"/>
      <c r="Q738" s="104"/>
      <c r="R738" s="104"/>
      <c r="V738"/>
    </row>
    <row r="739" spans="14:22">
      <c r="N739" s="6"/>
      <c r="Q739" s="104"/>
      <c r="R739" s="104"/>
      <c r="V739"/>
    </row>
    <row r="740" spans="14:22">
      <c r="N740" s="6"/>
      <c r="Q740" s="104"/>
      <c r="R740" s="104"/>
      <c r="V740"/>
    </row>
    <row r="741" spans="14:22">
      <c r="N741" s="6"/>
      <c r="Q741" s="104"/>
      <c r="R741" s="104"/>
      <c r="V741"/>
    </row>
    <row r="742" spans="14:22">
      <c r="N742" s="6"/>
      <c r="Q742" s="104"/>
      <c r="R742" s="104"/>
      <c r="V742"/>
    </row>
    <row r="743" spans="14:22">
      <c r="N743" s="6"/>
      <c r="Q743" s="104"/>
      <c r="R743" s="104"/>
      <c r="V743"/>
    </row>
    <row r="744" spans="14:22">
      <c r="N744" s="6"/>
      <c r="Q744" s="104"/>
      <c r="R744" s="104"/>
      <c r="V744"/>
    </row>
    <row r="745" spans="14:22">
      <c r="N745" s="6"/>
      <c r="Q745" s="104"/>
      <c r="R745" s="104"/>
      <c r="V745"/>
    </row>
    <row r="746" spans="14:22">
      <c r="N746" s="6"/>
      <c r="Q746" s="104"/>
      <c r="R746" s="104"/>
      <c r="V746"/>
    </row>
    <row r="747" spans="14:22">
      <c r="N747" s="6"/>
      <c r="Q747" s="104"/>
      <c r="R747" s="104"/>
      <c r="V747"/>
    </row>
    <row r="748" spans="14:22">
      <c r="N748" s="6"/>
      <c r="Q748" s="104"/>
      <c r="R748" s="104"/>
      <c r="V748"/>
    </row>
    <row r="749" spans="14:22">
      <c r="N749" s="6"/>
      <c r="Q749" s="104"/>
      <c r="R749" s="104"/>
      <c r="V749"/>
    </row>
    <row r="750" spans="14:22">
      <c r="N750" s="6"/>
      <c r="Q750" s="104"/>
      <c r="R750" s="104"/>
      <c r="V750"/>
    </row>
    <row r="751" spans="14:22">
      <c r="N751" s="6"/>
      <c r="Q751" s="104"/>
      <c r="R751" s="104"/>
      <c r="V751"/>
    </row>
    <row r="752" spans="14:22">
      <c r="N752" s="6"/>
      <c r="Q752" s="104"/>
      <c r="R752" s="104"/>
      <c r="V752"/>
    </row>
    <row r="753" spans="14:22">
      <c r="N753" s="6"/>
      <c r="Q753" s="104"/>
      <c r="R753" s="104"/>
      <c r="V753"/>
    </row>
    <row r="754" spans="14:22">
      <c r="N754" s="6"/>
      <c r="Q754" s="104"/>
      <c r="R754" s="104"/>
      <c r="V754"/>
    </row>
    <row r="755" spans="14:22">
      <c r="N755" s="6"/>
      <c r="Q755" s="104"/>
      <c r="R755" s="104"/>
      <c r="V755"/>
    </row>
    <row r="756" spans="14:22">
      <c r="N756" s="6"/>
      <c r="Q756" s="104"/>
      <c r="R756" s="104"/>
      <c r="V756"/>
    </row>
    <row r="757" spans="14:22">
      <c r="N757" s="6"/>
      <c r="Q757" s="104"/>
      <c r="R757" s="104"/>
      <c r="V757"/>
    </row>
    <row r="758" spans="14:22">
      <c r="N758" s="6"/>
      <c r="Q758" s="104"/>
      <c r="R758" s="104"/>
      <c r="V758"/>
    </row>
    <row r="759" spans="14:22">
      <c r="N759" s="6"/>
      <c r="Q759" s="104"/>
      <c r="R759" s="104"/>
      <c r="V759"/>
    </row>
    <row r="760" spans="14:22">
      <c r="N760" s="6"/>
      <c r="Q760" s="104"/>
      <c r="R760" s="104"/>
      <c r="V760"/>
    </row>
    <row r="761" spans="14:22">
      <c r="N761" s="6"/>
      <c r="Q761" s="104"/>
      <c r="R761" s="104"/>
      <c r="V761"/>
    </row>
    <row r="762" spans="14:22">
      <c r="N762" s="6"/>
      <c r="Q762" s="104"/>
      <c r="R762" s="104"/>
      <c r="V762"/>
    </row>
    <row r="763" spans="14:22">
      <c r="N763" s="6"/>
      <c r="Q763" s="104"/>
      <c r="R763" s="104"/>
      <c r="V763"/>
    </row>
    <row r="764" spans="14:22">
      <c r="N764" s="6"/>
      <c r="Q764" s="104"/>
      <c r="R764" s="104"/>
      <c r="V764"/>
    </row>
    <row r="765" spans="14:22">
      <c r="N765" s="6"/>
      <c r="Q765" s="104"/>
      <c r="R765" s="104"/>
      <c r="V765"/>
    </row>
    <row r="766" spans="14:22">
      <c r="N766" s="6"/>
      <c r="Q766" s="104"/>
      <c r="R766" s="104"/>
      <c r="V766"/>
    </row>
    <row r="767" spans="14:22">
      <c r="N767" s="6"/>
      <c r="Q767" s="104"/>
      <c r="R767" s="104"/>
      <c r="V767"/>
    </row>
    <row r="768" spans="14:22">
      <c r="N768" s="6"/>
      <c r="Q768" s="104"/>
      <c r="R768" s="104"/>
      <c r="V768"/>
    </row>
    <row r="769" spans="14:22">
      <c r="N769" s="6"/>
      <c r="Q769" s="104"/>
      <c r="R769" s="104"/>
      <c r="V769"/>
    </row>
    <row r="770" spans="14:22">
      <c r="N770" s="6"/>
      <c r="Q770" s="104"/>
      <c r="R770" s="104"/>
      <c r="V770"/>
    </row>
    <row r="771" spans="14:22">
      <c r="N771" s="6"/>
      <c r="Q771" s="104"/>
      <c r="R771" s="104"/>
      <c r="V771"/>
    </row>
    <row r="772" spans="14:22">
      <c r="N772" s="6"/>
      <c r="Q772" s="104"/>
      <c r="R772" s="104"/>
      <c r="V772"/>
    </row>
    <row r="773" spans="14:22">
      <c r="N773" s="6"/>
      <c r="Q773" s="104"/>
      <c r="R773" s="104"/>
      <c r="V773"/>
    </row>
    <row r="774" spans="14:22">
      <c r="N774" s="6"/>
      <c r="Q774" s="104"/>
      <c r="R774" s="104"/>
      <c r="V774"/>
    </row>
    <row r="775" spans="14:22">
      <c r="N775" s="6"/>
      <c r="Q775" s="104"/>
      <c r="R775" s="104"/>
      <c r="V775"/>
    </row>
    <row r="776" spans="14:22">
      <c r="N776" s="6"/>
      <c r="Q776" s="104"/>
      <c r="R776" s="104"/>
      <c r="V776"/>
    </row>
    <row r="777" spans="14:22">
      <c r="N777" s="6"/>
      <c r="Q777" s="104"/>
      <c r="R777" s="104"/>
      <c r="V777"/>
    </row>
    <row r="778" spans="14:22">
      <c r="N778" s="6"/>
      <c r="Q778" s="104"/>
      <c r="R778" s="104"/>
      <c r="V778"/>
    </row>
    <row r="779" spans="14:22">
      <c r="N779" s="6"/>
      <c r="Q779" s="104"/>
      <c r="R779" s="104"/>
      <c r="V779"/>
    </row>
    <row r="780" spans="14:22">
      <c r="N780" s="6"/>
      <c r="Q780" s="104"/>
      <c r="R780" s="104"/>
      <c r="V780"/>
    </row>
    <row r="781" spans="14:22">
      <c r="N781" s="6"/>
      <c r="Q781" s="104"/>
      <c r="R781" s="104"/>
      <c r="V781"/>
    </row>
    <row r="782" spans="14:22">
      <c r="N782" s="6"/>
      <c r="Q782" s="104"/>
      <c r="R782" s="104"/>
      <c r="V782"/>
    </row>
    <row r="783" spans="14:22">
      <c r="N783" s="6"/>
      <c r="Q783" s="104"/>
      <c r="R783" s="104"/>
      <c r="V783"/>
    </row>
    <row r="784" spans="14:22">
      <c r="N784" s="6"/>
      <c r="Q784" s="104"/>
      <c r="R784" s="104"/>
      <c r="V784"/>
    </row>
    <row r="785" spans="14:22">
      <c r="N785" s="6"/>
      <c r="Q785" s="104"/>
      <c r="R785" s="104"/>
      <c r="V785"/>
    </row>
    <row r="786" spans="14:22">
      <c r="N786" s="6"/>
      <c r="Q786" s="104"/>
      <c r="R786" s="104"/>
      <c r="V786"/>
    </row>
    <row r="787" spans="14:22">
      <c r="N787" s="6"/>
      <c r="Q787" s="104"/>
      <c r="R787" s="104"/>
      <c r="V787"/>
    </row>
    <row r="788" spans="14:22">
      <c r="N788" s="6"/>
      <c r="Q788" s="104"/>
      <c r="R788" s="104"/>
      <c r="V788"/>
    </row>
    <row r="789" spans="14:22">
      <c r="N789" s="6"/>
      <c r="Q789" s="104"/>
      <c r="R789" s="104"/>
      <c r="V789"/>
    </row>
    <row r="790" spans="14:22">
      <c r="N790" s="6"/>
      <c r="Q790" s="104"/>
      <c r="R790" s="104"/>
      <c r="V790"/>
    </row>
    <row r="791" spans="14:22">
      <c r="N791" s="6"/>
      <c r="Q791" s="104"/>
      <c r="R791" s="104"/>
      <c r="V791"/>
    </row>
    <row r="792" spans="14:22">
      <c r="N792" s="6"/>
      <c r="Q792" s="104"/>
      <c r="R792" s="104"/>
      <c r="V792"/>
    </row>
    <row r="793" spans="14:22">
      <c r="N793" s="6"/>
      <c r="Q793" s="104"/>
      <c r="R793" s="104"/>
      <c r="V793"/>
    </row>
    <row r="794" spans="14:22">
      <c r="N794" s="6"/>
      <c r="Q794" s="104"/>
      <c r="R794" s="104"/>
      <c r="V794"/>
    </row>
    <row r="795" spans="14:22">
      <c r="N795" s="6"/>
      <c r="Q795" s="104"/>
      <c r="R795" s="104"/>
      <c r="V795"/>
    </row>
    <row r="796" spans="14:22">
      <c r="N796" s="6"/>
      <c r="Q796" s="104"/>
      <c r="R796" s="104"/>
      <c r="V796"/>
    </row>
    <row r="797" spans="14:22">
      <c r="N797" s="6"/>
      <c r="Q797" s="104"/>
      <c r="R797" s="104"/>
      <c r="V797"/>
    </row>
    <row r="798" spans="14:22">
      <c r="N798" s="6"/>
      <c r="Q798" s="104"/>
      <c r="R798" s="104"/>
      <c r="V798"/>
    </row>
    <row r="799" spans="14:22">
      <c r="N799" s="6"/>
      <c r="Q799" s="104"/>
      <c r="R799" s="104"/>
      <c r="V799"/>
    </row>
    <row r="800" spans="14:22">
      <c r="N800" s="6"/>
      <c r="Q800" s="104"/>
      <c r="R800" s="104"/>
      <c r="V800"/>
    </row>
    <row r="801" spans="14:22">
      <c r="N801" s="6"/>
      <c r="Q801" s="104"/>
      <c r="R801" s="104"/>
      <c r="V801"/>
    </row>
    <row r="802" spans="14:22">
      <c r="N802" s="6"/>
      <c r="Q802" s="104"/>
      <c r="R802" s="104"/>
      <c r="V802"/>
    </row>
    <row r="803" spans="14:22">
      <c r="N803" s="6"/>
      <c r="Q803" s="104"/>
      <c r="R803" s="104"/>
      <c r="V803"/>
    </row>
    <row r="804" spans="14:22">
      <c r="N804" s="6"/>
      <c r="Q804" s="104"/>
      <c r="R804" s="104"/>
      <c r="V804"/>
    </row>
    <row r="805" spans="14:22">
      <c r="N805" s="6"/>
      <c r="Q805" s="104"/>
      <c r="R805" s="104"/>
      <c r="V805"/>
    </row>
    <row r="806" spans="14:22">
      <c r="N806" s="6"/>
      <c r="Q806" s="104"/>
      <c r="R806" s="104"/>
      <c r="V806"/>
    </row>
    <row r="807" spans="14:22">
      <c r="N807" s="6"/>
      <c r="Q807" s="104"/>
      <c r="R807" s="104"/>
      <c r="V807"/>
    </row>
    <row r="808" spans="14:22">
      <c r="N808" s="6"/>
      <c r="Q808" s="104"/>
      <c r="R808" s="104"/>
      <c r="V808"/>
    </row>
    <row r="809" spans="14:22">
      <c r="N809" s="6"/>
      <c r="Q809" s="104"/>
      <c r="R809" s="104"/>
      <c r="V809"/>
    </row>
    <row r="810" spans="14:22">
      <c r="N810" s="6"/>
      <c r="Q810" s="104"/>
      <c r="R810" s="104"/>
      <c r="V810"/>
    </row>
    <row r="811" spans="14:22">
      <c r="N811" s="6"/>
      <c r="Q811" s="104"/>
      <c r="R811" s="104"/>
      <c r="V811"/>
    </row>
    <row r="812" spans="14:22">
      <c r="N812" s="6"/>
      <c r="Q812" s="104"/>
      <c r="R812" s="104"/>
      <c r="V812"/>
    </row>
    <row r="813" spans="14:22">
      <c r="N813" s="6"/>
      <c r="Q813" s="104"/>
      <c r="R813" s="104"/>
      <c r="V813"/>
    </row>
    <row r="814" spans="14:22">
      <c r="N814" s="6"/>
      <c r="Q814" s="104"/>
      <c r="R814" s="104"/>
      <c r="V814"/>
    </row>
    <row r="815" spans="14:22">
      <c r="N815" s="6"/>
      <c r="Q815" s="104"/>
      <c r="R815" s="104"/>
      <c r="V815"/>
    </row>
    <row r="816" spans="14:22">
      <c r="N816" s="6"/>
      <c r="Q816" s="104"/>
      <c r="R816" s="104"/>
      <c r="V816"/>
    </row>
    <row r="817" spans="14:22">
      <c r="N817" s="6"/>
      <c r="Q817" s="104"/>
      <c r="R817" s="104"/>
      <c r="V817"/>
    </row>
    <row r="818" spans="14:22">
      <c r="N818" s="6"/>
      <c r="Q818" s="104"/>
      <c r="R818" s="104"/>
      <c r="V818"/>
    </row>
    <row r="819" spans="14:22">
      <c r="N819" s="6"/>
      <c r="Q819" s="104"/>
      <c r="R819" s="104"/>
      <c r="V819"/>
    </row>
    <row r="820" spans="14:22">
      <c r="N820" s="6"/>
      <c r="Q820" s="104"/>
      <c r="R820" s="104"/>
      <c r="V820"/>
    </row>
    <row r="821" spans="14:22">
      <c r="N821" s="6"/>
      <c r="Q821" s="104"/>
      <c r="R821" s="104"/>
      <c r="V821"/>
    </row>
    <row r="822" spans="14:22">
      <c r="N822" s="6"/>
      <c r="Q822" s="104"/>
      <c r="R822" s="104"/>
      <c r="V822"/>
    </row>
    <row r="823" spans="14:22">
      <c r="N823" s="6"/>
      <c r="Q823" s="104"/>
      <c r="R823" s="104"/>
      <c r="V823"/>
    </row>
    <row r="824" spans="14:22">
      <c r="N824" s="6"/>
      <c r="Q824" s="104"/>
      <c r="R824" s="104"/>
      <c r="V824"/>
    </row>
    <row r="825" spans="14:22">
      <c r="N825" s="6"/>
      <c r="Q825" s="104"/>
      <c r="R825" s="104"/>
      <c r="V825"/>
    </row>
    <row r="826" spans="14:22">
      <c r="N826" s="6"/>
      <c r="Q826" s="104"/>
      <c r="R826" s="104"/>
      <c r="V826"/>
    </row>
    <row r="827" spans="14:22">
      <c r="N827" s="6"/>
      <c r="Q827" s="104"/>
      <c r="R827" s="104"/>
      <c r="V827"/>
    </row>
    <row r="828" spans="14:22">
      <c r="N828" s="6"/>
      <c r="Q828" s="104"/>
      <c r="R828" s="104"/>
      <c r="V828"/>
    </row>
    <row r="829" spans="14:22">
      <c r="N829" s="6"/>
      <c r="Q829" s="104"/>
      <c r="R829" s="104"/>
      <c r="V829"/>
    </row>
    <row r="830" spans="14:22">
      <c r="N830" s="6"/>
      <c r="Q830" s="104"/>
      <c r="R830" s="104"/>
      <c r="V830"/>
    </row>
    <row r="831" spans="14:22">
      <c r="N831" s="6"/>
      <c r="Q831" s="104"/>
      <c r="R831" s="104"/>
      <c r="V831"/>
    </row>
    <row r="832" spans="14:22">
      <c r="N832" s="6"/>
      <c r="Q832" s="104"/>
      <c r="R832" s="104"/>
      <c r="V832"/>
    </row>
    <row r="833" spans="14:22">
      <c r="N833" s="6"/>
      <c r="Q833" s="104"/>
      <c r="R833" s="104"/>
      <c r="V833"/>
    </row>
    <row r="834" spans="14:22">
      <c r="N834" s="6"/>
      <c r="Q834" s="104"/>
      <c r="R834" s="104"/>
      <c r="V834"/>
    </row>
    <row r="835" spans="14:22">
      <c r="N835" s="6"/>
      <c r="Q835" s="104"/>
      <c r="R835" s="104"/>
      <c r="V835"/>
    </row>
    <row r="836" spans="14:22">
      <c r="N836" s="6"/>
      <c r="Q836" s="104"/>
      <c r="R836" s="104"/>
      <c r="V836"/>
    </row>
    <row r="837" spans="14:22">
      <c r="N837" s="6"/>
      <c r="Q837" s="104"/>
      <c r="R837" s="104"/>
      <c r="V837"/>
    </row>
    <row r="838" spans="14:22">
      <c r="N838" s="6"/>
      <c r="Q838" s="104"/>
      <c r="R838" s="104"/>
      <c r="V838"/>
    </row>
    <row r="839" spans="14:22">
      <c r="N839" s="6"/>
      <c r="Q839" s="104"/>
      <c r="R839" s="104"/>
      <c r="V839"/>
    </row>
    <row r="840" spans="14:22">
      <c r="N840" s="6"/>
      <c r="Q840" s="104"/>
      <c r="R840" s="104"/>
      <c r="V840"/>
    </row>
    <row r="841" spans="14:22">
      <c r="N841" s="6"/>
      <c r="Q841" s="104"/>
      <c r="R841" s="104"/>
      <c r="V841"/>
    </row>
    <row r="842" spans="14:22">
      <c r="N842" s="6"/>
      <c r="Q842" s="104"/>
      <c r="R842" s="104"/>
      <c r="V842"/>
    </row>
    <row r="843" spans="14:22">
      <c r="N843" s="6"/>
      <c r="Q843" s="104"/>
      <c r="R843" s="104"/>
      <c r="V843"/>
    </row>
    <row r="844" spans="14:22">
      <c r="N844" s="6"/>
      <c r="Q844" s="104"/>
      <c r="R844" s="104"/>
      <c r="V844"/>
    </row>
    <row r="845" spans="14:22">
      <c r="N845" s="6"/>
      <c r="Q845" s="104"/>
      <c r="R845" s="104"/>
      <c r="V845"/>
    </row>
    <row r="846" spans="14:22">
      <c r="N846" s="6"/>
      <c r="Q846" s="104"/>
      <c r="R846" s="104"/>
      <c r="V846"/>
    </row>
    <row r="847" spans="14:22">
      <c r="N847" s="6"/>
      <c r="Q847" s="104"/>
      <c r="R847" s="104"/>
      <c r="V847"/>
    </row>
    <row r="848" spans="14:22">
      <c r="N848" s="6"/>
      <c r="Q848" s="104"/>
      <c r="R848" s="104"/>
      <c r="V848"/>
    </row>
    <row r="849" spans="14:22">
      <c r="N849" s="6"/>
      <c r="Q849" s="104"/>
      <c r="R849" s="104"/>
      <c r="V849"/>
    </row>
    <row r="850" spans="14:22">
      <c r="N850" s="6"/>
      <c r="Q850" s="104"/>
      <c r="R850" s="104"/>
      <c r="V850"/>
    </row>
    <row r="851" spans="14:22">
      <c r="N851" s="6"/>
      <c r="Q851" s="104"/>
      <c r="R851" s="104"/>
      <c r="V851"/>
    </row>
    <row r="852" spans="14:22">
      <c r="N852" s="6"/>
      <c r="Q852" s="104"/>
      <c r="R852" s="104"/>
      <c r="V852"/>
    </row>
    <row r="853" spans="14:22">
      <c r="N853" s="6"/>
      <c r="Q853" s="104"/>
      <c r="R853" s="104"/>
      <c r="V853"/>
    </row>
    <row r="854" spans="14:22">
      <c r="N854" s="6"/>
      <c r="Q854" s="104"/>
      <c r="R854" s="104"/>
      <c r="V854"/>
    </row>
    <row r="855" spans="14:22">
      <c r="N855" s="6"/>
      <c r="Q855" s="104"/>
      <c r="R855" s="104"/>
      <c r="V855"/>
    </row>
    <row r="856" spans="14:22">
      <c r="N856" s="6"/>
      <c r="Q856" s="104"/>
      <c r="R856" s="104"/>
      <c r="V856"/>
    </row>
    <row r="857" spans="14:22">
      <c r="N857" s="6"/>
      <c r="Q857" s="104"/>
      <c r="R857" s="104"/>
      <c r="V857"/>
    </row>
    <row r="858" spans="14:22">
      <c r="N858" s="6"/>
      <c r="Q858" s="104"/>
      <c r="R858" s="104"/>
      <c r="V858"/>
    </row>
    <row r="859" spans="14:22">
      <c r="N859" s="6"/>
      <c r="Q859" s="104"/>
      <c r="R859" s="104"/>
      <c r="V859"/>
    </row>
    <row r="860" spans="14:22">
      <c r="N860" s="6"/>
      <c r="Q860" s="104"/>
      <c r="R860" s="104"/>
      <c r="V860"/>
    </row>
    <row r="861" spans="14:22">
      <c r="N861" s="6"/>
      <c r="Q861" s="104"/>
      <c r="R861" s="104"/>
      <c r="V861"/>
    </row>
    <row r="862" spans="14:22">
      <c r="N862" s="6"/>
      <c r="Q862" s="104"/>
      <c r="R862" s="104"/>
      <c r="V862"/>
    </row>
    <row r="863" spans="14:22">
      <c r="N863" s="6"/>
      <c r="Q863" s="104"/>
      <c r="R863" s="104"/>
      <c r="V863"/>
    </row>
    <row r="864" spans="14:22">
      <c r="N864" s="6"/>
      <c r="Q864" s="104"/>
      <c r="R864" s="104"/>
      <c r="V864"/>
    </row>
    <row r="865" spans="14:22">
      <c r="N865" s="6"/>
      <c r="Q865" s="104"/>
      <c r="R865" s="104"/>
      <c r="V865"/>
    </row>
    <row r="866" spans="14:22">
      <c r="N866" s="6"/>
      <c r="Q866" s="104"/>
      <c r="R866" s="104"/>
      <c r="V866"/>
    </row>
    <row r="867" spans="14:22">
      <c r="N867" s="6"/>
      <c r="Q867" s="104"/>
      <c r="R867" s="104"/>
      <c r="V867"/>
    </row>
    <row r="868" spans="14:22">
      <c r="N868" s="6"/>
      <c r="Q868" s="104"/>
      <c r="R868" s="104"/>
      <c r="V868"/>
    </row>
    <row r="869" spans="14:22">
      <c r="N869" s="6"/>
      <c r="Q869" s="104"/>
      <c r="R869" s="104"/>
      <c r="V869"/>
    </row>
    <row r="870" spans="14:22">
      <c r="N870" s="6"/>
      <c r="Q870" s="104"/>
      <c r="R870" s="104"/>
      <c r="V870"/>
    </row>
    <row r="871" spans="14:22">
      <c r="N871" s="6"/>
      <c r="Q871" s="104"/>
      <c r="R871" s="104"/>
      <c r="V871"/>
    </row>
    <row r="872" spans="14:22">
      <c r="N872" s="6"/>
      <c r="Q872" s="104"/>
      <c r="R872" s="104"/>
      <c r="V872"/>
    </row>
    <row r="873" spans="14:22">
      <c r="N873" s="6"/>
      <c r="Q873" s="104"/>
      <c r="R873" s="104"/>
      <c r="V873"/>
    </row>
    <row r="874" spans="14:22">
      <c r="N874" s="6"/>
      <c r="Q874" s="104"/>
      <c r="R874" s="104"/>
      <c r="V874"/>
    </row>
    <row r="875" spans="14:22">
      <c r="N875" s="6"/>
      <c r="Q875" s="104"/>
      <c r="R875" s="104"/>
      <c r="V875"/>
    </row>
    <row r="876" spans="14:22">
      <c r="N876" s="6"/>
      <c r="Q876" s="104"/>
      <c r="R876" s="104"/>
      <c r="V876"/>
    </row>
    <row r="877" spans="14:22">
      <c r="N877" s="6"/>
      <c r="Q877" s="104"/>
      <c r="R877" s="104"/>
      <c r="V877"/>
    </row>
    <row r="878" spans="14:22">
      <c r="N878" s="6"/>
      <c r="Q878" s="104"/>
      <c r="R878" s="104"/>
      <c r="V878"/>
    </row>
    <row r="879" spans="14:22">
      <c r="N879" s="6"/>
      <c r="Q879" s="104"/>
      <c r="R879" s="104"/>
      <c r="V879"/>
    </row>
    <row r="880" spans="14:22">
      <c r="N880" s="6"/>
      <c r="Q880" s="104"/>
      <c r="R880" s="104"/>
      <c r="V880"/>
    </row>
    <row r="881" spans="14:22">
      <c r="N881" s="6"/>
      <c r="Q881" s="104"/>
      <c r="R881" s="104"/>
      <c r="V881"/>
    </row>
    <row r="882" spans="14:22">
      <c r="N882" s="6"/>
      <c r="Q882" s="104"/>
      <c r="R882" s="104"/>
      <c r="V882"/>
    </row>
    <row r="883" spans="14:22">
      <c r="N883" s="6"/>
      <c r="Q883" s="104"/>
      <c r="R883" s="104"/>
      <c r="V883"/>
    </row>
    <row r="884" spans="14:22">
      <c r="N884" s="6"/>
      <c r="Q884" s="104"/>
      <c r="R884" s="104"/>
      <c r="V884"/>
    </row>
    <row r="885" spans="14:22">
      <c r="N885" s="6"/>
      <c r="Q885" s="104"/>
      <c r="R885" s="104"/>
      <c r="V885"/>
    </row>
    <row r="886" spans="14:22">
      <c r="N886" s="6"/>
      <c r="Q886" s="104"/>
      <c r="R886" s="104"/>
      <c r="V886"/>
    </row>
    <row r="887" spans="14:22">
      <c r="N887" s="6"/>
      <c r="Q887" s="104"/>
      <c r="R887" s="104"/>
      <c r="V887"/>
    </row>
    <row r="888" spans="14:22">
      <c r="N888" s="6"/>
      <c r="Q888" s="104"/>
      <c r="R888" s="104"/>
      <c r="V888"/>
    </row>
    <row r="889" spans="14:22">
      <c r="N889" s="6"/>
      <c r="Q889" s="104"/>
      <c r="R889" s="104"/>
      <c r="V889"/>
    </row>
    <row r="890" spans="14:22">
      <c r="N890" s="6"/>
      <c r="Q890" s="104"/>
      <c r="R890" s="104"/>
      <c r="V890"/>
    </row>
    <row r="891" spans="14:22">
      <c r="N891" s="6"/>
      <c r="Q891" s="104"/>
      <c r="R891" s="104"/>
      <c r="V891"/>
    </row>
    <row r="892" spans="14:22">
      <c r="N892" s="6"/>
      <c r="Q892" s="104"/>
      <c r="R892" s="104"/>
      <c r="V892"/>
    </row>
    <row r="893" spans="14:22">
      <c r="N893" s="6"/>
      <c r="Q893" s="104"/>
      <c r="R893" s="104"/>
      <c r="V893"/>
    </row>
    <row r="894" spans="14:22">
      <c r="N894" s="6"/>
      <c r="Q894" s="104"/>
      <c r="R894" s="104"/>
      <c r="V894"/>
    </row>
    <row r="895" spans="14:22">
      <c r="N895" s="6"/>
      <c r="Q895" s="104"/>
      <c r="R895" s="104"/>
      <c r="V895"/>
    </row>
    <row r="896" spans="14:22">
      <c r="N896" s="6"/>
      <c r="Q896" s="104"/>
      <c r="R896" s="104"/>
      <c r="V896"/>
    </row>
    <row r="897" spans="14:22">
      <c r="N897" s="6"/>
      <c r="Q897" s="104"/>
      <c r="R897" s="104"/>
      <c r="V897"/>
    </row>
    <row r="898" spans="14:22">
      <c r="N898" s="6"/>
      <c r="Q898" s="104"/>
      <c r="R898" s="104"/>
      <c r="V898"/>
    </row>
    <row r="899" spans="14:22">
      <c r="N899" s="6"/>
      <c r="Q899" s="104"/>
      <c r="R899" s="104"/>
      <c r="V899"/>
    </row>
    <row r="900" spans="14:22">
      <c r="N900" s="6"/>
      <c r="Q900" s="104"/>
      <c r="R900" s="104"/>
      <c r="V900"/>
    </row>
    <row r="901" spans="14:22">
      <c r="N901" s="6"/>
      <c r="Q901" s="104"/>
      <c r="R901" s="104"/>
      <c r="V901"/>
    </row>
    <row r="902" spans="14:22">
      <c r="N902" s="6"/>
      <c r="Q902" s="104"/>
      <c r="R902" s="104"/>
      <c r="V902"/>
    </row>
    <row r="903" spans="14:22">
      <c r="N903" s="6"/>
      <c r="Q903" s="104"/>
      <c r="R903" s="104"/>
      <c r="V903"/>
    </row>
    <row r="904" spans="14:22">
      <c r="N904" s="6"/>
      <c r="Q904" s="104"/>
      <c r="R904" s="104"/>
      <c r="V904"/>
    </row>
    <row r="905" spans="14:22">
      <c r="N905" s="6"/>
      <c r="Q905" s="104"/>
      <c r="R905" s="104"/>
      <c r="V905"/>
    </row>
    <row r="906" spans="14:22">
      <c r="N906" s="6"/>
      <c r="Q906" s="104"/>
      <c r="R906" s="104"/>
      <c r="V906"/>
    </row>
    <row r="907" spans="14:22">
      <c r="N907" s="6"/>
      <c r="Q907" s="104"/>
      <c r="R907" s="104"/>
      <c r="V907"/>
    </row>
    <row r="908" spans="14:22">
      <c r="N908" s="6"/>
      <c r="Q908" s="104"/>
      <c r="R908" s="104"/>
      <c r="V908"/>
    </row>
    <row r="909" spans="14:22">
      <c r="N909" s="6"/>
      <c r="Q909" s="104"/>
      <c r="R909" s="104"/>
      <c r="V909"/>
    </row>
    <row r="910" spans="14:22">
      <c r="N910" s="6"/>
      <c r="Q910" s="104"/>
      <c r="R910" s="104"/>
      <c r="V910"/>
    </row>
    <row r="911" spans="14:22">
      <c r="N911" s="6"/>
      <c r="Q911" s="104"/>
      <c r="R911" s="104"/>
      <c r="V911"/>
    </row>
    <row r="912" spans="14:22">
      <c r="N912" s="6"/>
      <c r="Q912" s="104"/>
      <c r="R912" s="104"/>
      <c r="V912"/>
    </row>
    <row r="913" spans="14:22">
      <c r="N913" s="6"/>
      <c r="Q913" s="104"/>
      <c r="R913" s="104"/>
      <c r="V913"/>
    </row>
    <row r="914" spans="14:22">
      <c r="N914" s="6"/>
      <c r="Q914" s="104"/>
      <c r="R914" s="104"/>
      <c r="V914"/>
    </row>
    <row r="915" spans="14:22">
      <c r="N915" s="6"/>
      <c r="Q915" s="104"/>
      <c r="R915" s="104"/>
      <c r="V915"/>
    </row>
    <row r="916" spans="14:22">
      <c r="N916" s="6"/>
      <c r="Q916" s="104"/>
      <c r="R916" s="104"/>
      <c r="V916"/>
    </row>
    <row r="917" spans="14:22">
      <c r="N917" s="6"/>
      <c r="Q917" s="104"/>
      <c r="R917" s="104"/>
      <c r="V917"/>
    </row>
    <row r="918" spans="14:22">
      <c r="N918" s="6"/>
      <c r="Q918" s="104"/>
      <c r="R918" s="104"/>
      <c r="V918"/>
    </row>
    <row r="919" spans="14:22">
      <c r="N919" s="6"/>
      <c r="Q919" s="104"/>
      <c r="R919" s="104"/>
      <c r="V919"/>
    </row>
    <row r="920" spans="14:22">
      <c r="N920" s="6"/>
      <c r="Q920" s="104"/>
      <c r="R920" s="104"/>
      <c r="V920"/>
    </row>
    <row r="921" spans="14:22">
      <c r="N921" s="6"/>
      <c r="Q921" s="104"/>
      <c r="R921" s="104"/>
      <c r="V921"/>
    </row>
    <row r="922" spans="14:22">
      <c r="N922" s="6"/>
      <c r="Q922" s="104"/>
      <c r="R922" s="104"/>
      <c r="V922"/>
    </row>
    <row r="923" spans="14:22">
      <c r="N923" s="6"/>
      <c r="Q923" s="104"/>
      <c r="R923" s="104"/>
      <c r="V923"/>
    </row>
    <row r="924" spans="14:22">
      <c r="N924" s="6"/>
      <c r="Q924" s="104"/>
      <c r="R924" s="104"/>
      <c r="V924"/>
    </row>
    <row r="925" spans="14:22">
      <c r="N925" s="6"/>
      <c r="Q925" s="104"/>
      <c r="R925" s="104"/>
      <c r="V925"/>
    </row>
    <row r="926" spans="14:22">
      <c r="N926" s="6"/>
      <c r="Q926" s="104"/>
      <c r="R926" s="104"/>
      <c r="V926"/>
    </row>
    <row r="927" spans="14:22">
      <c r="N927" s="6"/>
      <c r="Q927" s="104"/>
      <c r="R927" s="104"/>
      <c r="V927"/>
    </row>
    <row r="928" spans="14:22">
      <c r="N928" s="6"/>
      <c r="Q928" s="104"/>
      <c r="R928" s="104"/>
      <c r="V928"/>
    </row>
    <row r="929" spans="14:22">
      <c r="N929" s="6"/>
      <c r="Q929" s="104"/>
      <c r="R929" s="104"/>
      <c r="V929"/>
    </row>
    <row r="930" spans="14:22">
      <c r="N930" s="6"/>
      <c r="Q930" s="104"/>
      <c r="R930" s="104"/>
      <c r="V930"/>
    </row>
    <row r="931" spans="14:22">
      <c r="N931" s="6"/>
      <c r="Q931" s="104"/>
      <c r="R931" s="104"/>
      <c r="V931"/>
    </row>
    <row r="932" spans="14:22">
      <c r="N932" s="6"/>
      <c r="Q932" s="104"/>
      <c r="R932" s="104"/>
      <c r="V932"/>
    </row>
    <row r="933" spans="14:22">
      <c r="N933" s="6"/>
      <c r="Q933" s="104"/>
      <c r="R933" s="104"/>
      <c r="V933"/>
    </row>
    <row r="934" spans="14:22">
      <c r="N934" s="6"/>
      <c r="Q934" s="104"/>
      <c r="R934" s="104"/>
      <c r="V934"/>
    </row>
    <row r="935" spans="14:22">
      <c r="N935" s="6"/>
      <c r="Q935" s="104"/>
      <c r="R935" s="104"/>
      <c r="V935"/>
    </row>
    <row r="936" spans="14:22">
      <c r="N936" s="6"/>
      <c r="Q936" s="104"/>
      <c r="R936" s="104"/>
      <c r="V936"/>
    </row>
    <row r="937" spans="14:22">
      <c r="N937" s="6"/>
      <c r="Q937" s="104"/>
      <c r="R937" s="104"/>
      <c r="V937"/>
    </row>
    <row r="938" spans="14:22">
      <c r="N938" s="6"/>
      <c r="Q938" s="104"/>
      <c r="R938" s="104"/>
      <c r="V938"/>
    </row>
    <row r="939" spans="14:22">
      <c r="N939" s="6"/>
      <c r="Q939" s="104"/>
      <c r="R939" s="104"/>
      <c r="V939"/>
    </row>
    <row r="940" spans="14:22">
      <c r="N940" s="6"/>
      <c r="Q940" s="104"/>
      <c r="R940" s="104"/>
      <c r="V940"/>
    </row>
    <row r="941" spans="14:22">
      <c r="N941" s="6"/>
      <c r="Q941" s="104"/>
      <c r="R941" s="104"/>
      <c r="V941"/>
    </row>
    <row r="942" spans="14:22">
      <c r="N942" s="6"/>
      <c r="Q942" s="104"/>
      <c r="R942" s="104"/>
      <c r="V942"/>
    </row>
    <row r="943" spans="14:22">
      <c r="N943" s="6"/>
      <c r="Q943" s="104"/>
      <c r="R943" s="104"/>
      <c r="V943"/>
    </row>
    <row r="944" spans="14:22">
      <c r="N944" s="6"/>
      <c r="Q944" s="104"/>
      <c r="R944" s="104"/>
      <c r="V944"/>
    </row>
    <row r="945" spans="14:22">
      <c r="N945" s="6"/>
      <c r="Q945" s="104"/>
      <c r="R945" s="104"/>
      <c r="V945"/>
    </row>
    <row r="946" spans="14:22">
      <c r="N946" s="6"/>
      <c r="Q946" s="104"/>
      <c r="R946" s="104"/>
      <c r="V946"/>
    </row>
    <row r="947" spans="14:22">
      <c r="N947" s="6"/>
      <c r="Q947" s="104"/>
      <c r="R947" s="104"/>
      <c r="V947"/>
    </row>
    <row r="948" spans="14:22">
      <c r="N948" s="6"/>
      <c r="Q948" s="104"/>
      <c r="R948" s="104"/>
      <c r="V948"/>
    </row>
    <row r="949" spans="14:22">
      <c r="N949" s="6"/>
      <c r="Q949" s="104"/>
      <c r="R949" s="104"/>
      <c r="V949"/>
    </row>
    <row r="950" spans="14:22">
      <c r="N950" s="6"/>
      <c r="Q950" s="104"/>
      <c r="R950" s="104"/>
      <c r="V950"/>
    </row>
    <row r="951" spans="14:22">
      <c r="N951" s="6"/>
      <c r="Q951" s="104"/>
      <c r="R951" s="104"/>
      <c r="V951"/>
    </row>
    <row r="952" spans="14:22">
      <c r="N952" s="6"/>
      <c r="Q952" s="104"/>
      <c r="R952" s="104"/>
      <c r="V952"/>
    </row>
    <row r="953" spans="14:22">
      <c r="N953" s="6"/>
      <c r="Q953" s="104"/>
      <c r="R953" s="104"/>
      <c r="V953"/>
    </row>
    <row r="954" spans="14:22">
      <c r="N954" s="6"/>
      <c r="Q954" s="104"/>
      <c r="R954" s="104"/>
      <c r="V954"/>
    </row>
    <row r="955" spans="14:22">
      <c r="N955" s="6"/>
      <c r="Q955" s="104"/>
      <c r="R955" s="104"/>
      <c r="V955"/>
    </row>
    <row r="956" spans="14:22">
      <c r="N956" s="6"/>
      <c r="Q956" s="104"/>
      <c r="R956" s="104"/>
      <c r="V956"/>
    </row>
    <row r="957" spans="14:22">
      <c r="N957" s="6"/>
      <c r="Q957" s="104"/>
      <c r="R957" s="104"/>
      <c r="V957"/>
    </row>
    <row r="958" spans="14:22">
      <c r="N958" s="6"/>
      <c r="Q958" s="104"/>
      <c r="R958" s="104"/>
      <c r="V958"/>
    </row>
    <row r="959" spans="14:22">
      <c r="N959" s="6"/>
      <c r="Q959" s="104"/>
      <c r="R959" s="104"/>
      <c r="V959"/>
    </row>
    <row r="960" spans="14:22">
      <c r="N960" s="6"/>
      <c r="Q960" s="104"/>
      <c r="R960" s="104"/>
      <c r="V960"/>
    </row>
    <row r="961" spans="14:22">
      <c r="N961" s="6"/>
      <c r="Q961" s="104"/>
      <c r="R961" s="104"/>
      <c r="V961"/>
    </row>
    <row r="962" spans="14:22">
      <c r="N962" s="6"/>
      <c r="Q962" s="104"/>
      <c r="R962" s="104"/>
      <c r="V962"/>
    </row>
    <row r="963" spans="14:22">
      <c r="N963" s="6"/>
      <c r="Q963" s="104"/>
      <c r="R963" s="104"/>
      <c r="V963"/>
    </row>
    <row r="964" spans="14:22">
      <c r="N964" s="6"/>
      <c r="Q964" s="104"/>
      <c r="R964" s="104"/>
      <c r="V964"/>
    </row>
    <row r="965" spans="14:22">
      <c r="N965" s="6"/>
      <c r="Q965" s="104"/>
      <c r="R965" s="104"/>
      <c r="V965"/>
    </row>
    <row r="966" spans="14:22">
      <c r="N966" s="6"/>
      <c r="Q966" s="104"/>
      <c r="R966" s="104"/>
      <c r="V966"/>
    </row>
    <row r="967" spans="14:22">
      <c r="N967" s="6"/>
      <c r="Q967" s="104"/>
      <c r="R967" s="104"/>
      <c r="V967"/>
    </row>
    <row r="968" spans="14:22">
      <c r="N968" s="6"/>
      <c r="Q968" s="104"/>
      <c r="R968" s="104"/>
      <c r="V968"/>
    </row>
    <row r="969" spans="14:22">
      <c r="N969" s="6"/>
      <c r="Q969" s="104"/>
      <c r="R969" s="104"/>
      <c r="V969"/>
    </row>
    <row r="970" spans="14:22">
      <c r="N970" s="6"/>
      <c r="Q970" s="104"/>
      <c r="R970" s="104"/>
      <c r="V970"/>
    </row>
    <row r="971" spans="14:22">
      <c r="N971" s="6"/>
      <c r="Q971" s="104"/>
      <c r="R971" s="104"/>
      <c r="V971"/>
    </row>
    <row r="972" spans="14:22">
      <c r="N972" s="6"/>
      <c r="Q972" s="104"/>
      <c r="R972" s="104"/>
      <c r="V972"/>
    </row>
    <row r="973" spans="14:22">
      <c r="N973" s="6"/>
      <c r="Q973" s="104"/>
      <c r="R973" s="104"/>
      <c r="V973"/>
    </row>
    <row r="974" spans="14:22">
      <c r="N974" s="6"/>
      <c r="Q974" s="104"/>
      <c r="R974" s="104"/>
      <c r="V974"/>
    </row>
    <row r="975" spans="14:22">
      <c r="N975" s="6"/>
      <c r="Q975" s="104"/>
      <c r="R975" s="104"/>
      <c r="V975"/>
    </row>
    <row r="976" spans="14:22">
      <c r="N976" s="6"/>
      <c r="Q976" s="104"/>
      <c r="R976" s="104"/>
      <c r="V976"/>
    </row>
    <row r="977" spans="14:22">
      <c r="N977" s="6"/>
      <c r="Q977" s="104"/>
      <c r="R977" s="104"/>
      <c r="V977"/>
    </row>
    <row r="978" spans="14:22">
      <c r="N978" s="6"/>
      <c r="Q978" s="104"/>
      <c r="R978" s="104"/>
      <c r="V978"/>
    </row>
    <row r="979" spans="14:22">
      <c r="N979" s="6"/>
      <c r="Q979" s="104"/>
      <c r="R979" s="104"/>
      <c r="V979"/>
    </row>
    <row r="980" spans="14:22">
      <c r="N980" s="6"/>
      <c r="Q980" s="104"/>
      <c r="R980" s="104"/>
      <c r="V980"/>
    </row>
    <row r="981" spans="14:22">
      <c r="N981" s="6"/>
      <c r="Q981" s="104"/>
      <c r="R981" s="104"/>
      <c r="V981"/>
    </row>
    <row r="982" spans="14:22">
      <c r="N982" s="6"/>
      <c r="Q982" s="104"/>
      <c r="R982" s="104"/>
      <c r="V982"/>
    </row>
    <row r="983" spans="14:22">
      <c r="N983" s="6"/>
      <c r="Q983" s="104"/>
      <c r="R983" s="104"/>
      <c r="V983"/>
    </row>
    <row r="984" spans="14:22">
      <c r="N984" s="6"/>
      <c r="Q984" s="104"/>
      <c r="R984" s="104"/>
      <c r="V984"/>
    </row>
    <row r="985" spans="14:22">
      <c r="N985" s="6"/>
      <c r="Q985" s="104"/>
      <c r="R985" s="104"/>
      <c r="V985"/>
    </row>
    <row r="986" spans="14:22">
      <c r="N986" s="6"/>
      <c r="Q986" s="104"/>
      <c r="R986" s="104"/>
      <c r="V986"/>
    </row>
    <row r="987" spans="14:22">
      <c r="N987" s="6"/>
      <c r="Q987" s="104"/>
      <c r="R987" s="104"/>
      <c r="V987"/>
    </row>
    <row r="988" spans="14:22">
      <c r="N988" s="6"/>
      <c r="Q988" s="104"/>
      <c r="R988" s="104"/>
      <c r="V988"/>
    </row>
    <row r="989" spans="14:22">
      <c r="N989" s="6"/>
      <c r="Q989" s="104"/>
      <c r="R989" s="104"/>
      <c r="V989"/>
    </row>
    <row r="990" spans="14:22">
      <c r="N990" s="6"/>
      <c r="Q990" s="104"/>
      <c r="R990" s="104"/>
      <c r="V990"/>
    </row>
    <row r="991" spans="14:22">
      <c r="N991" s="6"/>
      <c r="Q991" s="104"/>
      <c r="R991" s="104"/>
      <c r="V991"/>
    </row>
    <row r="992" spans="14:22">
      <c r="N992" s="6"/>
      <c r="Q992" s="104"/>
      <c r="R992" s="104"/>
      <c r="V992"/>
    </row>
    <row r="993" spans="14:22">
      <c r="N993" s="6"/>
      <c r="Q993" s="104"/>
      <c r="R993" s="104"/>
      <c r="V993"/>
    </row>
    <row r="994" spans="14:22">
      <c r="N994" s="6"/>
      <c r="Q994" s="104"/>
      <c r="R994" s="104"/>
      <c r="V994"/>
    </row>
    <row r="995" spans="14:22">
      <c r="N995" s="6"/>
      <c r="Q995" s="104"/>
      <c r="R995" s="104"/>
      <c r="V995"/>
    </row>
    <row r="996" spans="14:22">
      <c r="N996" s="6"/>
      <c r="Q996" s="104"/>
      <c r="R996" s="104"/>
      <c r="V996"/>
    </row>
    <row r="997" spans="14:22">
      <c r="N997" s="6"/>
      <c r="Q997" s="104"/>
      <c r="R997" s="104"/>
      <c r="V997"/>
    </row>
    <row r="998" spans="14:22">
      <c r="N998" s="6"/>
      <c r="Q998" s="104"/>
      <c r="R998" s="104"/>
      <c r="V998"/>
    </row>
    <row r="999" spans="14:22">
      <c r="N999" s="6"/>
      <c r="Q999" s="104"/>
      <c r="R999" s="104"/>
      <c r="V999"/>
    </row>
    <row r="1000" spans="14:22">
      <c r="N1000" s="6"/>
      <c r="Q1000" s="104"/>
      <c r="R1000" s="104"/>
      <c r="V1000"/>
    </row>
    <row r="1001" spans="14:22">
      <c r="N1001" s="6"/>
      <c r="Q1001" s="104"/>
      <c r="R1001" s="104"/>
      <c r="V1001"/>
    </row>
    <row r="1002" spans="14:22">
      <c r="N1002" s="6"/>
      <c r="Q1002" s="104"/>
      <c r="R1002" s="104"/>
      <c r="V1002"/>
    </row>
    <row r="1003" spans="14:22">
      <c r="N1003" s="6"/>
      <c r="Q1003" s="104"/>
      <c r="R1003" s="104"/>
      <c r="V1003"/>
    </row>
    <row r="1004" spans="14:22">
      <c r="N1004" s="6"/>
      <c r="Q1004" s="104"/>
      <c r="R1004" s="104"/>
      <c r="V1004"/>
    </row>
    <row r="1005" spans="14:22">
      <c r="N1005" s="6"/>
      <c r="Q1005" s="104"/>
      <c r="R1005" s="104"/>
      <c r="V1005"/>
    </row>
    <row r="1006" spans="14:22">
      <c r="N1006" s="6"/>
      <c r="Q1006" s="104"/>
      <c r="R1006" s="104"/>
      <c r="V1006"/>
    </row>
    <row r="1007" spans="14:22">
      <c r="N1007" s="6"/>
      <c r="Q1007" s="104"/>
      <c r="R1007" s="104"/>
      <c r="V1007"/>
    </row>
    <row r="1008" spans="14:22">
      <c r="N1008" s="6"/>
      <c r="Q1008" s="104"/>
      <c r="R1008" s="104"/>
      <c r="V1008"/>
    </row>
    <row r="1009" spans="14:22">
      <c r="N1009" s="6"/>
      <c r="Q1009" s="104"/>
      <c r="R1009" s="104"/>
      <c r="V1009"/>
    </row>
    <row r="1010" spans="14:22">
      <c r="N1010" s="6"/>
      <c r="Q1010" s="104"/>
      <c r="R1010" s="104"/>
      <c r="V1010"/>
    </row>
    <row r="1011" spans="14:22">
      <c r="N1011" s="6"/>
      <c r="Q1011" s="104"/>
      <c r="R1011" s="104"/>
      <c r="V1011"/>
    </row>
    <row r="1012" spans="14:22">
      <c r="N1012" s="6"/>
      <c r="Q1012" s="104"/>
      <c r="R1012" s="104"/>
      <c r="V1012"/>
    </row>
    <row r="1013" spans="14:22">
      <c r="N1013" s="6"/>
      <c r="Q1013" s="104"/>
      <c r="R1013" s="104"/>
      <c r="V1013"/>
    </row>
    <row r="1014" spans="14:22">
      <c r="N1014" s="6"/>
      <c r="Q1014" s="104"/>
      <c r="R1014" s="104"/>
      <c r="V1014"/>
    </row>
    <row r="1015" spans="14:22">
      <c r="N1015" s="6"/>
      <c r="Q1015" s="104"/>
      <c r="R1015" s="104"/>
      <c r="V1015"/>
    </row>
    <row r="1016" spans="14:22">
      <c r="N1016" s="6"/>
      <c r="Q1016" s="104"/>
      <c r="R1016" s="104"/>
      <c r="V1016"/>
    </row>
    <row r="1017" spans="14:22">
      <c r="N1017" s="6"/>
      <c r="Q1017" s="104"/>
      <c r="R1017" s="104"/>
      <c r="V1017"/>
    </row>
    <row r="1018" spans="14:22">
      <c r="N1018" s="6"/>
      <c r="Q1018" s="104"/>
      <c r="R1018" s="104"/>
      <c r="V1018"/>
    </row>
    <row r="1019" spans="14:22">
      <c r="N1019" s="6"/>
      <c r="Q1019" s="104"/>
      <c r="R1019" s="104"/>
      <c r="V1019"/>
    </row>
    <row r="1020" spans="14:22">
      <c r="N1020" s="6"/>
      <c r="Q1020" s="104"/>
      <c r="R1020" s="104"/>
      <c r="V1020"/>
    </row>
    <row r="1021" spans="14:22">
      <c r="N1021" s="6"/>
      <c r="Q1021" s="104"/>
      <c r="R1021" s="104"/>
      <c r="V1021"/>
    </row>
    <row r="1022" spans="14:22">
      <c r="N1022" s="6"/>
      <c r="Q1022" s="104"/>
      <c r="R1022" s="104"/>
      <c r="V1022"/>
    </row>
    <row r="1023" spans="14:22">
      <c r="N1023" s="6"/>
      <c r="Q1023" s="104"/>
      <c r="R1023" s="104"/>
      <c r="V1023"/>
    </row>
    <row r="1024" spans="14:22">
      <c r="N1024" s="6"/>
      <c r="Q1024" s="104"/>
      <c r="R1024" s="104"/>
      <c r="V1024"/>
    </row>
    <row r="1025" spans="14:22">
      <c r="N1025" s="6"/>
      <c r="Q1025" s="104"/>
      <c r="R1025" s="104"/>
      <c r="V1025"/>
    </row>
    <row r="1026" spans="14:22">
      <c r="N1026" s="6"/>
      <c r="Q1026" s="104"/>
      <c r="R1026" s="104"/>
      <c r="V1026"/>
    </row>
    <row r="1027" spans="14:22">
      <c r="N1027" s="6"/>
      <c r="Q1027" s="104"/>
      <c r="R1027" s="104"/>
      <c r="V1027"/>
    </row>
    <row r="1028" spans="14:22">
      <c r="N1028" s="6"/>
      <c r="Q1028" s="104"/>
      <c r="R1028" s="104"/>
      <c r="V1028"/>
    </row>
    <row r="1029" spans="14:22">
      <c r="N1029" s="6"/>
      <c r="Q1029" s="104"/>
      <c r="R1029" s="104"/>
      <c r="V1029"/>
    </row>
    <row r="1030" spans="14:22">
      <c r="N1030" s="6"/>
      <c r="Q1030" s="104"/>
      <c r="R1030" s="104"/>
      <c r="V1030"/>
    </row>
    <row r="1031" spans="14:22">
      <c r="N1031" s="6"/>
      <c r="Q1031" s="104"/>
      <c r="R1031" s="104"/>
      <c r="V1031"/>
    </row>
    <row r="1032" spans="14:22">
      <c r="N1032" s="6"/>
      <c r="Q1032" s="104"/>
      <c r="R1032" s="104"/>
      <c r="V1032"/>
    </row>
    <row r="1033" spans="14:22">
      <c r="N1033" s="6"/>
      <c r="Q1033" s="104"/>
      <c r="R1033" s="104"/>
      <c r="V1033"/>
    </row>
    <row r="1034" spans="14:22">
      <c r="N1034" s="6"/>
      <c r="Q1034" s="104"/>
      <c r="R1034" s="104"/>
      <c r="V1034"/>
    </row>
    <row r="1035" spans="14:22">
      <c r="N1035" s="6"/>
      <c r="Q1035" s="104"/>
      <c r="R1035" s="104"/>
      <c r="V1035"/>
    </row>
    <row r="1036" spans="14:22">
      <c r="N1036" s="6"/>
      <c r="Q1036" s="104"/>
      <c r="R1036" s="104"/>
      <c r="V1036"/>
    </row>
    <row r="1037" spans="14:22">
      <c r="N1037" s="6"/>
      <c r="Q1037" s="104"/>
      <c r="R1037" s="104"/>
      <c r="V1037"/>
    </row>
    <row r="1038" spans="14:22">
      <c r="N1038" s="6"/>
      <c r="Q1038" s="104"/>
      <c r="R1038" s="104"/>
      <c r="V1038"/>
    </row>
    <row r="1039" spans="14:22">
      <c r="N1039" s="6"/>
      <c r="Q1039" s="104"/>
      <c r="R1039" s="104"/>
      <c r="V1039"/>
    </row>
    <row r="1040" spans="14:22">
      <c r="N1040" s="6"/>
      <c r="Q1040" s="104"/>
      <c r="R1040" s="104"/>
      <c r="V1040"/>
    </row>
    <row r="1041" spans="14:22">
      <c r="N1041" s="6"/>
      <c r="Q1041" s="104"/>
      <c r="R1041" s="104"/>
      <c r="V1041"/>
    </row>
    <row r="1042" spans="14:22">
      <c r="N1042" s="6"/>
      <c r="Q1042" s="104"/>
      <c r="R1042" s="104"/>
      <c r="V1042"/>
    </row>
    <row r="1043" spans="14:22">
      <c r="N1043" s="6"/>
      <c r="Q1043" s="104"/>
      <c r="R1043" s="104"/>
      <c r="V1043"/>
    </row>
    <row r="1044" spans="14:22">
      <c r="N1044" s="6"/>
      <c r="Q1044" s="104"/>
      <c r="R1044" s="104"/>
      <c r="V1044"/>
    </row>
    <row r="1045" spans="14:22">
      <c r="N1045" s="6"/>
      <c r="Q1045" s="104"/>
      <c r="R1045" s="104"/>
      <c r="V1045"/>
    </row>
    <row r="1046" spans="14:22">
      <c r="N1046" s="6"/>
      <c r="Q1046" s="104"/>
      <c r="R1046" s="104"/>
      <c r="V1046"/>
    </row>
    <row r="1047" spans="14:22">
      <c r="N1047" s="6"/>
      <c r="Q1047" s="104"/>
      <c r="R1047" s="104"/>
      <c r="V1047"/>
    </row>
    <row r="1048" spans="14:22">
      <c r="N1048" s="6"/>
      <c r="Q1048" s="104"/>
      <c r="R1048" s="104"/>
      <c r="V1048"/>
    </row>
    <row r="1049" spans="14:22">
      <c r="N1049" s="6"/>
      <c r="Q1049" s="104"/>
      <c r="R1049" s="104"/>
      <c r="V1049"/>
    </row>
    <row r="1050" spans="14:22">
      <c r="N1050" s="6"/>
      <c r="Q1050" s="104"/>
      <c r="R1050" s="104"/>
      <c r="V1050"/>
    </row>
    <row r="1051" spans="14:22">
      <c r="N1051" s="6"/>
      <c r="Q1051" s="104"/>
      <c r="R1051" s="104"/>
      <c r="V1051"/>
    </row>
    <row r="1052" spans="14:22">
      <c r="N1052" s="6"/>
      <c r="Q1052" s="104"/>
      <c r="R1052" s="104"/>
      <c r="V1052"/>
    </row>
    <row r="1053" spans="14:22">
      <c r="N1053" s="6"/>
      <c r="Q1053" s="104"/>
      <c r="R1053" s="104"/>
      <c r="V1053"/>
    </row>
    <row r="1054" spans="14:22">
      <c r="N1054" s="6"/>
      <c r="Q1054" s="104"/>
      <c r="R1054" s="104"/>
      <c r="V1054"/>
    </row>
    <row r="1055" spans="14:22">
      <c r="N1055" s="6"/>
      <c r="Q1055" s="104"/>
      <c r="R1055" s="104"/>
      <c r="V1055"/>
    </row>
    <row r="1056" spans="14:22">
      <c r="N1056" s="6"/>
      <c r="Q1056" s="104"/>
      <c r="R1056" s="104"/>
      <c r="V1056"/>
    </row>
    <row r="1057" spans="14:22">
      <c r="N1057" s="6"/>
      <c r="Q1057" s="104"/>
      <c r="R1057" s="104"/>
      <c r="V1057"/>
    </row>
    <row r="1058" spans="14:22">
      <c r="N1058" s="6"/>
      <c r="Q1058" s="104"/>
      <c r="R1058" s="104"/>
      <c r="V1058"/>
    </row>
    <row r="1059" spans="14:22">
      <c r="N1059" s="6"/>
      <c r="Q1059" s="104"/>
      <c r="R1059" s="104"/>
      <c r="V1059"/>
    </row>
    <row r="1060" spans="14:22">
      <c r="N1060" s="6"/>
      <c r="Q1060" s="104"/>
      <c r="R1060" s="104"/>
      <c r="V1060"/>
    </row>
    <row r="1061" spans="14:22">
      <c r="N1061" s="6"/>
      <c r="Q1061" s="104"/>
      <c r="R1061" s="104"/>
      <c r="V1061"/>
    </row>
    <row r="1062" spans="14:22">
      <c r="N1062" s="6"/>
      <c r="Q1062" s="104"/>
      <c r="R1062" s="104"/>
      <c r="V1062"/>
    </row>
    <row r="1063" spans="14:22">
      <c r="N1063" s="6"/>
      <c r="Q1063" s="104"/>
      <c r="R1063" s="104"/>
      <c r="V1063"/>
    </row>
    <row r="1064" spans="14:22">
      <c r="N1064" s="6"/>
      <c r="Q1064" s="104"/>
      <c r="R1064" s="104"/>
      <c r="V1064"/>
    </row>
    <row r="1065" spans="14:22">
      <c r="N1065" s="6"/>
      <c r="Q1065" s="104"/>
      <c r="R1065" s="104"/>
      <c r="V1065"/>
    </row>
    <row r="1066" spans="14:22">
      <c r="N1066" s="6"/>
      <c r="Q1066" s="104"/>
      <c r="R1066" s="104"/>
      <c r="V1066"/>
    </row>
    <row r="1067" spans="14:22">
      <c r="N1067" s="6"/>
      <c r="Q1067" s="104"/>
      <c r="R1067" s="104"/>
      <c r="V1067"/>
    </row>
    <row r="1068" spans="14:22">
      <c r="N1068" s="6"/>
      <c r="Q1068" s="104"/>
      <c r="R1068" s="104"/>
      <c r="V1068"/>
    </row>
    <row r="1069" spans="14:22">
      <c r="N1069" s="6"/>
      <c r="Q1069" s="104"/>
      <c r="R1069" s="104"/>
      <c r="V1069"/>
    </row>
    <row r="1070" spans="14:22">
      <c r="N1070" s="6"/>
      <c r="Q1070" s="104"/>
      <c r="R1070" s="104"/>
      <c r="V1070"/>
    </row>
    <row r="1071" spans="14:22">
      <c r="N1071" s="6"/>
      <c r="Q1071" s="104"/>
      <c r="R1071" s="104"/>
      <c r="V1071"/>
    </row>
    <row r="1072" spans="14:22">
      <c r="N1072" s="6"/>
      <c r="Q1072" s="104"/>
      <c r="R1072" s="104"/>
      <c r="V1072"/>
    </row>
    <row r="1073" spans="14:22">
      <c r="N1073" s="6"/>
      <c r="Q1073" s="104"/>
      <c r="R1073" s="104"/>
      <c r="V1073"/>
    </row>
    <row r="1074" spans="14:22">
      <c r="N1074" s="6"/>
      <c r="Q1074" s="104"/>
      <c r="R1074" s="104"/>
      <c r="V1074"/>
    </row>
    <row r="1075" spans="14:22">
      <c r="N1075" s="6"/>
      <c r="Q1075" s="104"/>
      <c r="R1075" s="104"/>
      <c r="V1075"/>
    </row>
    <row r="1076" spans="14:22">
      <c r="N1076" s="6"/>
      <c r="Q1076" s="104"/>
      <c r="R1076" s="104"/>
      <c r="V1076"/>
    </row>
    <row r="1077" spans="14:22">
      <c r="N1077" s="6"/>
      <c r="Q1077" s="104"/>
      <c r="R1077" s="104"/>
      <c r="V1077"/>
    </row>
    <row r="1078" spans="14:22">
      <c r="N1078" s="6"/>
      <c r="Q1078" s="104"/>
      <c r="R1078" s="104"/>
      <c r="V1078"/>
    </row>
    <row r="1079" spans="14:22">
      <c r="N1079" s="6"/>
      <c r="Q1079" s="104"/>
      <c r="R1079" s="104"/>
      <c r="V1079"/>
    </row>
    <row r="1080" spans="14:22">
      <c r="N1080" s="6"/>
      <c r="Q1080" s="104"/>
      <c r="R1080" s="104"/>
      <c r="V1080"/>
    </row>
    <row r="1081" spans="14:22">
      <c r="N1081" s="6"/>
      <c r="Q1081" s="104"/>
      <c r="R1081" s="104"/>
      <c r="V1081"/>
    </row>
    <row r="1082" spans="14:22">
      <c r="N1082" s="6"/>
      <c r="Q1082" s="104"/>
      <c r="R1082" s="104"/>
      <c r="V1082"/>
    </row>
    <row r="1083" spans="14:22">
      <c r="N1083" s="6"/>
      <c r="Q1083" s="104"/>
      <c r="R1083" s="104"/>
      <c r="V1083"/>
    </row>
    <row r="1084" spans="14:22">
      <c r="N1084" s="6"/>
      <c r="Q1084" s="104"/>
      <c r="R1084" s="104"/>
      <c r="V1084"/>
    </row>
    <row r="1085" spans="14:22">
      <c r="N1085" s="6"/>
      <c r="Q1085" s="104"/>
      <c r="R1085" s="104"/>
      <c r="V1085"/>
    </row>
    <row r="1086" spans="14:22">
      <c r="N1086" s="6"/>
      <c r="Q1086" s="104"/>
      <c r="R1086" s="104"/>
      <c r="V1086"/>
    </row>
    <row r="1087" spans="14:22">
      <c r="N1087" s="6"/>
      <c r="Q1087" s="104"/>
      <c r="R1087" s="104"/>
      <c r="V1087"/>
    </row>
    <row r="1088" spans="14:22">
      <c r="N1088" s="6"/>
      <c r="Q1088" s="104"/>
      <c r="R1088" s="104"/>
      <c r="V1088"/>
    </row>
    <row r="1089" spans="14:22">
      <c r="N1089" s="6"/>
      <c r="Q1089" s="104"/>
      <c r="R1089" s="104"/>
      <c r="V1089"/>
    </row>
    <row r="1090" spans="14:22">
      <c r="N1090" s="6"/>
      <c r="Q1090" s="104"/>
      <c r="R1090" s="104"/>
      <c r="V1090"/>
    </row>
    <row r="1091" spans="14:22">
      <c r="N1091" s="6"/>
      <c r="Q1091" s="104"/>
      <c r="R1091" s="104"/>
      <c r="V1091"/>
    </row>
    <row r="1092" spans="14:22">
      <c r="N1092" s="6"/>
      <c r="Q1092" s="104"/>
      <c r="R1092" s="104"/>
      <c r="V1092"/>
    </row>
    <row r="1093" spans="14:22">
      <c r="N1093" s="6"/>
      <c r="Q1093" s="104"/>
      <c r="R1093" s="104"/>
      <c r="V1093"/>
    </row>
    <row r="1094" spans="14:22">
      <c r="N1094" s="6"/>
      <c r="Q1094" s="104"/>
      <c r="R1094" s="104"/>
      <c r="V1094"/>
    </row>
    <row r="1095" spans="14:22">
      <c r="N1095" s="6"/>
      <c r="Q1095" s="104"/>
      <c r="R1095" s="104"/>
      <c r="V1095"/>
    </row>
    <row r="1096" spans="14:22">
      <c r="N1096" s="6"/>
      <c r="Q1096" s="104"/>
      <c r="R1096" s="104"/>
      <c r="V1096"/>
    </row>
    <row r="1097" spans="14:22">
      <c r="N1097" s="6"/>
      <c r="Q1097" s="104"/>
      <c r="R1097" s="104"/>
      <c r="V1097"/>
    </row>
    <row r="1098" spans="14:22">
      <c r="N1098" s="6"/>
      <c r="Q1098" s="104"/>
      <c r="R1098" s="104"/>
      <c r="V1098"/>
    </row>
    <row r="1099" spans="14:22">
      <c r="N1099" s="6"/>
      <c r="Q1099" s="104"/>
      <c r="R1099" s="104"/>
      <c r="V1099"/>
    </row>
    <row r="1100" spans="14:22">
      <c r="N1100" s="6"/>
      <c r="Q1100" s="104"/>
      <c r="R1100" s="104"/>
      <c r="V1100"/>
    </row>
    <row r="1101" spans="14:22">
      <c r="N1101" s="6"/>
      <c r="Q1101" s="104"/>
      <c r="R1101" s="104"/>
      <c r="V1101"/>
    </row>
    <row r="1102" spans="14:22">
      <c r="N1102" s="6"/>
      <c r="Q1102" s="104"/>
      <c r="R1102" s="104"/>
      <c r="V1102"/>
    </row>
    <row r="1103" spans="14:22">
      <c r="N1103" s="6"/>
      <c r="Q1103" s="104"/>
      <c r="R1103" s="104"/>
      <c r="V1103"/>
    </row>
    <row r="1104" spans="14:22">
      <c r="N1104" s="6"/>
      <c r="Q1104" s="104"/>
      <c r="R1104" s="104"/>
      <c r="V1104"/>
    </row>
    <row r="1105" spans="14:22">
      <c r="N1105" s="6"/>
      <c r="Q1105" s="104"/>
      <c r="R1105" s="104"/>
      <c r="V1105"/>
    </row>
    <row r="1106" spans="14:22">
      <c r="N1106" s="6"/>
      <c r="Q1106" s="104"/>
      <c r="R1106" s="104"/>
      <c r="V1106"/>
    </row>
    <row r="1107" spans="14:22">
      <c r="N1107" s="6"/>
      <c r="Q1107" s="104"/>
      <c r="R1107" s="104"/>
      <c r="V1107"/>
    </row>
    <row r="1108" spans="14:22">
      <c r="N1108" s="6"/>
      <c r="Q1108" s="104"/>
      <c r="R1108" s="104"/>
      <c r="V1108"/>
    </row>
    <row r="1109" spans="14:22">
      <c r="N1109" s="6"/>
      <c r="Q1109" s="104"/>
      <c r="R1109" s="104"/>
      <c r="V1109"/>
    </row>
    <row r="1110" spans="14:22">
      <c r="N1110" s="6"/>
      <c r="Q1110" s="104"/>
      <c r="R1110" s="104"/>
      <c r="V1110"/>
    </row>
    <row r="1111" spans="14:22">
      <c r="N1111" s="6"/>
      <c r="Q1111" s="104"/>
      <c r="R1111" s="104"/>
      <c r="V1111"/>
    </row>
    <row r="1112" spans="14:22">
      <c r="N1112" s="6"/>
      <c r="Q1112" s="104"/>
      <c r="R1112" s="104"/>
      <c r="V1112"/>
    </row>
    <row r="1113" spans="14:22">
      <c r="N1113" s="6"/>
      <c r="Q1113" s="104"/>
      <c r="R1113" s="104"/>
      <c r="V1113"/>
    </row>
    <row r="1114" spans="14:22">
      <c r="N1114" s="6"/>
      <c r="Q1114" s="104"/>
      <c r="R1114" s="104"/>
      <c r="V1114"/>
    </row>
    <row r="1115" spans="14:22">
      <c r="N1115" s="6"/>
      <c r="Q1115" s="104"/>
      <c r="R1115" s="104"/>
      <c r="V1115"/>
    </row>
    <row r="1116" spans="14:22">
      <c r="N1116" s="6"/>
      <c r="Q1116" s="104"/>
      <c r="R1116" s="104"/>
      <c r="V1116"/>
    </row>
    <row r="1117" spans="14:22">
      <c r="N1117" s="6"/>
      <c r="Q1117" s="104"/>
      <c r="R1117" s="104"/>
      <c r="V1117"/>
    </row>
    <row r="1118" spans="14:22">
      <c r="N1118" s="6"/>
      <c r="Q1118" s="104"/>
      <c r="R1118" s="104"/>
      <c r="V1118"/>
    </row>
    <row r="1119" spans="14:22">
      <c r="N1119" s="6"/>
      <c r="Q1119" s="104"/>
      <c r="R1119" s="104"/>
      <c r="V1119"/>
    </row>
    <row r="1120" spans="14:22">
      <c r="N1120" s="6"/>
      <c r="Q1120" s="104"/>
      <c r="R1120" s="104"/>
      <c r="V1120"/>
    </row>
    <row r="1121" spans="14:22">
      <c r="N1121" s="6"/>
      <c r="Q1121" s="104"/>
      <c r="R1121" s="104"/>
      <c r="V1121"/>
    </row>
    <row r="1122" spans="14:22">
      <c r="N1122" s="6"/>
      <c r="Q1122" s="104"/>
      <c r="R1122" s="104"/>
      <c r="V1122"/>
    </row>
    <row r="1123" spans="14:22">
      <c r="N1123" s="6"/>
      <c r="Q1123" s="104"/>
      <c r="R1123" s="104"/>
      <c r="V1123"/>
    </row>
    <row r="1124" spans="14:22">
      <c r="N1124" s="6"/>
      <c r="Q1124" s="104"/>
      <c r="R1124" s="104"/>
      <c r="V1124"/>
    </row>
    <row r="1125" spans="14:22">
      <c r="N1125" s="6"/>
      <c r="Q1125" s="104"/>
      <c r="R1125" s="104"/>
      <c r="V1125"/>
    </row>
    <row r="1126" spans="14:22">
      <c r="N1126" s="6"/>
      <c r="Q1126" s="104"/>
      <c r="R1126" s="104"/>
      <c r="V1126"/>
    </row>
    <row r="1127" spans="14:22">
      <c r="N1127" s="6"/>
      <c r="Q1127" s="104"/>
      <c r="R1127" s="104"/>
      <c r="V1127"/>
    </row>
    <row r="1128" spans="14:22">
      <c r="N1128" s="6"/>
      <c r="Q1128" s="104"/>
      <c r="R1128" s="104"/>
      <c r="V1128"/>
    </row>
    <row r="1129" spans="14:22">
      <c r="N1129" s="6"/>
      <c r="Q1129" s="104"/>
      <c r="R1129" s="104"/>
      <c r="V1129"/>
    </row>
    <row r="1130" spans="14:22">
      <c r="N1130" s="6"/>
      <c r="Q1130" s="104"/>
      <c r="R1130" s="104"/>
      <c r="V1130"/>
    </row>
    <row r="1131" spans="14:22">
      <c r="N1131" s="6"/>
      <c r="Q1131" s="104"/>
      <c r="R1131" s="104"/>
      <c r="V1131"/>
    </row>
    <row r="1132" spans="14:22">
      <c r="N1132" s="6"/>
      <c r="Q1132" s="104"/>
      <c r="R1132" s="104"/>
      <c r="V1132"/>
    </row>
    <row r="1133" spans="14:22">
      <c r="N1133" s="6"/>
      <c r="Q1133" s="104"/>
      <c r="R1133" s="104"/>
      <c r="V1133"/>
    </row>
    <row r="1134" spans="14:22">
      <c r="N1134" s="6"/>
      <c r="Q1134" s="104"/>
      <c r="R1134" s="104"/>
      <c r="V1134"/>
    </row>
    <row r="1135" spans="14:22">
      <c r="N1135" s="6"/>
      <c r="Q1135" s="104"/>
      <c r="R1135" s="104"/>
      <c r="V1135"/>
    </row>
    <row r="1136" spans="14:22">
      <c r="N1136" s="6"/>
      <c r="Q1136" s="104"/>
      <c r="R1136" s="104"/>
      <c r="V1136"/>
    </row>
    <row r="1137" spans="14:22">
      <c r="N1137" s="6"/>
      <c r="Q1137" s="104"/>
      <c r="R1137" s="104"/>
      <c r="V1137"/>
    </row>
    <row r="1138" spans="14:22">
      <c r="N1138" s="6"/>
      <c r="Q1138" s="104"/>
      <c r="R1138" s="104"/>
      <c r="V1138"/>
    </row>
    <row r="1139" spans="14:22">
      <c r="N1139" s="6"/>
      <c r="Q1139" s="104"/>
      <c r="R1139" s="104"/>
      <c r="V1139"/>
    </row>
    <row r="1140" spans="14:22">
      <c r="N1140" s="6"/>
      <c r="Q1140" s="104"/>
      <c r="R1140" s="104"/>
      <c r="V1140"/>
    </row>
    <row r="1141" spans="14:22">
      <c r="N1141" s="6"/>
      <c r="Q1141" s="104"/>
      <c r="R1141" s="104"/>
      <c r="V1141"/>
    </row>
    <row r="1142" spans="14:22">
      <c r="N1142" s="6"/>
      <c r="Q1142" s="104"/>
      <c r="R1142" s="104"/>
      <c r="V1142"/>
    </row>
    <row r="1143" spans="14:22">
      <c r="N1143" s="6"/>
      <c r="Q1143" s="104"/>
      <c r="R1143" s="104"/>
      <c r="V1143"/>
    </row>
    <row r="1144" spans="14:22">
      <c r="N1144" s="6"/>
      <c r="Q1144" s="104"/>
      <c r="R1144" s="104"/>
      <c r="V1144"/>
    </row>
    <row r="1145" spans="14:22">
      <c r="N1145" s="6"/>
      <c r="Q1145" s="104"/>
      <c r="R1145" s="104"/>
      <c r="V1145"/>
    </row>
    <row r="1146" spans="14:22">
      <c r="N1146" s="6"/>
      <c r="Q1146" s="104"/>
      <c r="R1146" s="104"/>
      <c r="V1146"/>
    </row>
    <row r="1147" spans="14:22">
      <c r="N1147" s="6"/>
      <c r="Q1147" s="104"/>
      <c r="R1147" s="104"/>
      <c r="V1147"/>
    </row>
    <row r="1148" spans="14:22">
      <c r="N1148" s="6"/>
      <c r="Q1148" s="104"/>
      <c r="R1148" s="104"/>
      <c r="V1148"/>
    </row>
    <row r="1149" spans="14:22">
      <c r="N1149" s="6"/>
      <c r="Q1149" s="104"/>
      <c r="R1149" s="104"/>
      <c r="V1149"/>
    </row>
    <row r="1150" spans="14:22">
      <c r="N1150" s="6"/>
      <c r="Q1150" s="104"/>
      <c r="R1150" s="104"/>
      <c r="V1150"/>
    </row>
    <row r="1151" spans="14:22">
      <c r="N1151" s="6"/>
      <c r="Q1151" s="104"/>
      <c r="R1151" s="104"/>
      <c r="V1151"/>
    </row>
    <row r="1152" spans="14:22">
      <c r="N1152" s="6"/>
      <c r="Q1152" s="104"/>
      <c r="R1152" s="104"/>
      <c r="V1152"/>
    </row>
    <row r="1153" spans="14:22">
      <c r="N1153" s="6"/>
      <c r="Q1153" s="104"/>
      <c r="R1153" s="104"/>
      <c r="V1153"/>
    </row>
    <row r="1154" spans="14:22">
      <c r="N1154" s="6"/>
      <c r="Q1154" s="104"/>
      <c r="R1154" s="104"/>
      <c r="V1154"/>
    </row>
    <row r="1155" spans="14:22">
      <c r="N1155" s="6"/>
      <c r="Q1155" s="104"/>
      <c r="R1155" s="104"/>
      <c r="V1155"/>
    </row>
    <row r="1156" spans="14:22">
      <c r="N1156" s="6"/>
      <c r="Q1156" s="104"/>
      <c r="R1156" s="104"/>
      <c r="V1156"/>
    </row>
    <row r="1157" spans="14:22">
      <c r="N1157" s="6"/>
      <c r="Q1157" s="104"/>
      <c r="R1157" s="104"/>
      <c r="V1157"/>
    </row>
    <row r="1158" spans="14:22">
      <c r="N1158" s="6"/>
      <c r="Q1158" s="104"/>
      <c r="R1158" s="104"/>
      <c r="V1158"/>
    </row>
    <row r="1159" spans="14:22">
      <c r="N1159" s="6"/>
      <c r="Q1159" s="104"/>
      <c r="R1159" s="104"/>
      <c r="V1159"/>
    </row>
    <row r="1160" spans="14:22">
      <c r="N1160" s="6"/>
      <c r="Q1160" s="104"/>
      <c r="R1160" s="104"/>
      <c r="V1160"/>
    </row>
    <row r="1161" spans="14:22">
      <c r="N1161" s="6"/>
      <c r="Q1161" s="104"/>
      <c r="R1161" s="104"/>
      <c r="V1161"/>
    </row>
    <row r="1162" spans="14:22">
      <c r="N1162" s="6"/>
      <c r="Q1162" s="104"/>
      <c r="R1162" s="104"/>
      <c r="V1162"/>
    </row>
    <row r="1163" spans="14:22">
      <c r="N1163" s="6"/>
      <c r="Q1163" s="104"/>
      <c r="R1163" s="104"/>
      <c r="V1163"/>
    </row>
    <row r="1164" spans="14:22">
      <c r="N1164" s="6"/>
      <c r="Q1164" s="104"/>
      <c r="R1164" s="104"/>
      <c r="V1164"/>
    </row>
    <row r="1165" spans="14:22">
      <c r="N1165" s="6"/>
      <c r="Q1165" s="104"/>
      <c r="R1165" s="104"/>
      <c r="V1165"/>
    </row>
    <row r="1166" spans="14:22">
      <c r="N1166" s="6"/>
      <c r="Q1166" s="104"/>
      <c r="R1166" s="104"/>
      <c r="V1166"/>
    </row>
    <row r="1167" spans="14:22">
      <c r="N1167" s="6"/>
      <c r="Q1167" s="104"/>
      <c r="R1167" s="104"/>
      <c r="V1167"/>
    </row>
    <row r="1168" spans="14:22">
      <c r="N1168" s="6"/>
      <c r="Q1168" s="104"/>
      <c r="R1168" s="104"/>
      <c r="V1168"/>
    </row>
    <row r="1169" spans="14:22">
      <c r="N1169" s="6"/>
      <c r="Q1169" s="104"/>
      <c r="R1169" s="104"/>
      <c r="V1169"/>
    </row>
    <row r="1170" spans="14:22">
      <c r="N1170" s="6"/>
      <c r="Q1170" s="104"/>
      <c r="R1170" s="104"/>
      <c r="V1170"/>
    </row>
    <row r="1171" spans="14:22">
      <c r="N1171" s="6"/>
      <c r="Q1171" s="104"/>
      <c r="R1171" s="104"/>
      <c r="V1171"/>
    </row>
    <row r="1172" spans="14:22">
      <c r="N1172" s="6"/>
    </row>
    <row r="1173" spans="14:22">
      <c r="N1173" s="6"/>
    </row>
    <row r="1174" spans="14:22">
      <c r="N1174" s="6"/>
    </row>
    <row r="1175" spans="14:22">
      <c r="N1175" s="6"/>
    </row>
    <row r="1176" spans="14:22">
      <c r="N1176" s="6"/>
    </row>
    <row r="1177" spans="14:22">
      <c r="N1177" s="6"/>
    </row>
    <row r="1178" spans="14:22">
      <c r="N1178" s="6"/>
    </row>
    <row r="1179" spans="14:22">
      <c r="N1179" s="6"/>
    </row>
    <row r="1180" spans="14:22">
      <c r="N1180" s="6"/>
    </row>
    <row r="1181" spans="14:22">
      <c r="N1181" s="6"/>
    </row>
    <row r="1182" spans="14:22">
      <c r="N1182" s="6"/>
    </row>
    <row r="1183" spans="14:22">
      <c r="N1183" s="6"/>
    </row>
    <row r="1184" spans="14:22">
      <c r="N1184" s="6"/>
    </row>
    <row r="1185" spans="14:14">
      <c r="N1185" s="6"/>
    </row>
    <row r="1186" spans="14:14">
      <c r="N1186" s="6"/>
    </row>
    <row r="1187" spans="14:14">
      <c r="N1187" s="6"/>
    </row>
    <row r="1188" spans="14:14">
      <c r="N1188" s="6"/>
    </row>
    <row r="1189" spans="14:14">
      <c r="N1189" s="6"/>
    </row>
    <row r="1190" spans="14:14">
      <c r="N1190" s="6"/>
    </row>
    <row r="1191" spans="14:14">
      <c r="N1191" s="6"/>
    </row>
  </sheetData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M486"/>
  <sheetViews>
    <sheetView topLeftCell="A430" workbookViewId="0">
      <selection activeCell="B478" sqref="B478:C486"/>
    </sheetView>
  </sheetViews>
  <sheetFormatPr defaultRowHeight="15"/>
  <cols>
    <col min="2" max="2" width="16.28515625" customWidth="1"/>
  </cols>
  <sheetData>
    <row r="1" spans="2:3">
      <c r="C1" t="s">
        <v>26</v>
      </c>
    </row>
    <row r="2" spans="2:3">
      <c r="B2" s="1" t="e">
        <f ca="1">_xll.BDH("MBAVCMRS Index","PX LAST","8/10/07",TODAY(),"cols=2;rows=402")</f>
        <v>#NAME?</v>
      </c>
      <c r="C2">
        <v>2104.1</v>
      </c>
    </row>
    <row r="3" spans="2:3">
      <c r="B3" s="1">
        <v>39311</v>
      </c>
      <c r="C3">
        <v>1960.1</v>
      </c>
    </row>
    <row r="4" spans="2:3">
      <c r="B4" s="1">
        <v>39318</v>
      </c>
      <c r="C4">
        <v>1871.4</v>
      </c>
    </row>
    <row r="5" spans="2:3">
      <c r="B5" s="1">
        <v>39325</v>
      </c>
      <c r="C5">
        <v>1892.3</v>
      </c>
    </row>
    <row r="6" spans="2:3">
      <c r="B6" s="1">
        <v>39332</v>
      </c>
      <c r="C6">
        <v>2009.3</v>
      </c>
    </row>
    <row r="7" spans="2:3">
      <c r="B7" s="1">
        <v>39339</v>
      </c>
      <c r="C7">
        <v>2091.1</v>
      </c>
    </row>
    <row r="8" spans="2:3">
      <c r="B8" s="1">
        <v>39346</v>
      </c>
      <c r="C8">
        <v>2172.5</v>
      </c>
    </row>
    <row r="9" spans="2:3">
      <c r="B9" s="1">
        <v>39353</v>
      </c>
      <c r="C9">
        <v>2065.6999999999998</v>
      </c>
    </row>
    <row r="10" spans="2:3">
      <c r="B10" s="1">
        <v>39360</v>
      </c>
      <c r="C10">
        <v>2153.3000000000002</v>
      </c>
    </row>
    <row r="11" spans="2:3">
      <c r="B11" s="1">
        <v>39367</v>
      </c>
      <c r="C11">
        <v>2116.6</v>
      </c>
    </row>
    <row r="12" spans="2:3">
      <c r="B12" s="1">
        <v>39374</v>
      </c>
      <c r="C12">
        <v>2221.1</v>
      </c>
    </row>
    <row r="13" spans="2:3">
      <c r="B13" s="1">
        <v>39381</v>
      </c>
      <c r="C13">
        <v>2433.1999999999998</v>
      </c>
    </row>
    <row r="14" spans="2:3">
      <c r="B14" s="1">
        <v>39388</v>
      </c>
      <c r="C14">
        <v>2336.1999999999998</v>
      </c>
    </row>
    <row r="15" spans="2:3">
      <c r="B15" s="1">
        <v>39395</v>
      </c>
      <c r="C15">
        <v>2503.6</v>
      </c>
    </row>
    <row r="16" spans="2:3">
      <c r="B16" s="1">
        <v>39402</v>
      </c>
      <c r="C16">
        <v>2371.1</v>
      </c>
    </row>
    <row r="17" spans="2:3">
      <c r="B17" s="1">
        <v>39409</v>
      </c>
      <c r="C17">
        <v>2283.3000000000002</v>
      </c>
    </row>
    <row r="18" spans="2:3">
      <c r="B18" s="1">
        <v>39416</v>
      </c>
      <c r="C18">
        <v>3006.1</v>
      </c>
    </row>
    <row r="19" spans="2:3">
      <c r="B19" s="1">
        <v>39423</v>
      </c>
      <c r="C19">
        <v>3158.8</v>
      </c>
    </row>
    <row r="20" spans="2:3">
      <c r="B20" s="1">
        <v>39430</v>
      </c>
      <c r="C20">
        <v>2253.1</v>
      </c>
    </row>
    <row r="21" spans="2:3">
      <c r="B21" s="1">
        <v>39437</v>
      </c>
      <c r="C21">
        <v>2066.3000000000002</v>
      </c>
    </row>
    <row r="22" spans="2:3">
      <c r="B22" s="1">
        <v>39444</v>
      </c>
      <c r="C22">
        <v>1732.7</v>
      </c>
    </row>
    <row r="23" spans="2:3">
      <c r="B23" s="1">
        <v>39451</v>
      </c>
      <c r="C23">
        <v>2729.3</v>
      </c>
    </row>
    <row r="24" spans="2:3">
      <c r="B24" s="1">
        <v>39458</v>
      </c>
      <c r="C24">
        <v>3923.5</v>
      </c>
    </row>
    <row r="25" spans="2:3">
      <c r="B25" s="1">
        <v>39465</v>
      </c>
      <c r="C25">
        <v>4588.3999999999996</v>
      </c>
    </row>
    <row r="26" spans="2:3">
      <c r="B26" s="1">
        <v>39472</v>
      </c>
      <c r="C26">
        <v>5682.2</v>
      </c>
    </row>
    <row r="27" spans="2:3">
      <c r="B27" s="1">
        <v>39479</v>
      </c>
      <c r="C27">
        <v>5523.9</v>
      </c>
    </row>
    <row r="28" spans="2:3">
      <c r="B28" s="1">
        <v>39486</v>
      </c>
      <c r="C28">
        <v>5362.6</v>
      </c>
    </row>
    <row r="29" spans="2:3">
      <c r="B29" s="1">
        <v>39493</v>
      </c>
      <c r="C29">
        <v>3784.1</v>
      </c>
    </row>
    <row r="30" spans="2:3">
      <c r="B30" s="1">
        <v>39500</v>
      </c>
      <c r="C30">
        <v>2571.6</v>
      </c>
    </row>
    <row r="31" spans="2:3">
      <c r="B31" s="1">
        <v>39507</v>
      </c>
      <c r="C31">
        <v>2667.8</v>
      </c>
    </row>
    <row r="32" spans="2:3">
      <c r="B32" s="1">
        <v>39514</v>
      </c>
      <c r="C32">
        <v>2519.4</v>
      </c>
    </row>
    <row r="33" spans="2:3">
      <c r="B33" s="1">
        <v>39521</v>
      </c>
      <c r="C33">
        <v>2338.8000000000002</v>
      </c>
    </row>
    <row r="34" spans="2:3">
      <c r="B34" s="1">
        <v>39528</v>
      </c>
      <c r="C34">
        <v>4468.3999999999996</v>
      </c>
    </row>
    <row r="35" spans="2:3">
      <c r="B35" s="1">
        <v>39535</v>
      </c>
      <c r="C35">
        <v>2653.2</v>
      </c>
    </row>
    <row r="36" spans="2:3">
      <c r="B36" s="1">
        <v>39542</v>
      </c>
      <c r="C36">
        <v>2709.1</v>
      </c>
    </row>
    <row r="37" spans="2:3">
      <c r="B37" s="1">
        <v>39549</v>
      </c>
      <c r="C37">
        <v>2880.7</v>
      </c>
    </row>
    <row r="38" spans="2:3">
      <c r="B38" s="1">
        <v>39556</v>
      </c>
      <c r="C38">
        <v>2215.6999999999998</v>
      </c>
    </row>
    <row r="39" spans="2:3">
      <c r="B39" s="1">
        <v>39563</v>
      </c>
      <c r="C39">
        <v>1809.5</v>
      </c>
    </row>
    <row r="40" spans="2:3">
      <c r="B40" s="1">
        <v>39570</v>
      </c>
      <c r="C40">
        <v>2195</v>
      </c>
    </row>
    <row r="41" spans="2:3">
      <c r="B41" s="1">
        <v>39577</v>
      </c>
      <c r="C41">
        <v>2388.8000000000002</v>
      </c>
    </row>
    <row r="42" spans="2:3">
      <c r="B42" s="1">
        <v>39584</v>
      </c>
      <c r="C42">
        <v>2135.8000000000002</v>
      </c>
    </row>
    <row r="43" spans="2:3">
      <c r="B43" s="1">
        <v>39591</v>
      </c>
      <c r="C43">
        <v>1930.4</v>
      </c>
    </row>
    <row r="44" spans="2:3">
      <c r="B44" s="1">
        <v>39598</v>
      </c>
      <c r="C44">
        <v>1387.8</v>
      </c>
    </row>
    <row r="45" spans="2:3">
      <c r="B45" s="1">
        <v>39605</v>
      </c>
      <c r="C45">
        <v>1477.5</v>
      </c>
    </row>
    <row r="46" spans="2:3">
      <c r="B46" s="1">
        <v>39612</v>
      </c>
      <c r="C46">
        <v>1219.7</v>
      </c>
    </row>
    <row r="47" spans="2:3">
      <c r="B47" s="1">
        <v>39619</v>
      </c>
      <c r="C47">
        <v>1044.5999999999999</v>
      </c>
    </row>
    <row r="48" spans="2:3">
      <c r="B48" s="1">
        <v>39626</v>
      </c>
      <c r="C48">
        <v>1111.3</v>
      </c>
    </row>
    <row r="49" spans="2:3">
      <c r="B49" s="1">
        <v>39633</v>
      </c>
      <c r="C49">
        <v>1166.5</v>
      </c>
    </row>
    <row r="50" spans="2:3">
      <c r="B50" s="1">
        <v>39640</v>
      </c>
      <c r="C50">
        <v>1270.5999999999999</v>
      </c>
    </row>
    <row r="51" spans="2:3">
      <c r="B51" s="1">
        <v>39647</v>
      </c>
      <c r="C51">
        <v>1213.9000000000001</v>
      </c>
    </row>
    <row r="52" spans="2:3">
      <c r="B52" s="1">
        <v>39654</v>
      </c>
      <c r="C52">
        <v>874.1</v>
      </c>
    </row>
    <row r="53" spans="2:3">
      <c r="B53" s="1">
        <v>39661</v>
      </c>
      <c r="C53">
        <v>897.7</v>
      </c>
    </row>
    <row r="54" spans="2:3">
      <c r="B54" s="1">
        <v>39668</v>
      </c>
      <c r="C54">
        <v>853.1</v>
      </c>
    </row>
    <row r="55" spans="2:3">
      <c r="B55" s="1">
        <v>39675</v>
      </c>
      <c r="C55">
        <v>815.2</v>
      </c>
    </row>
    <row r="56" spans="2:3">
      <c r="B56" s="1">
        <v>39682</v>
      </c>
      <c r="C56">
        <v>793.9</v>
      </c>
    </row>
    <row r="57" spans="2:3">
      <c r="B57" s="1">
        <v>39689</v>
      </c>
      <c r="C57">
        <v>825</v>
      </c>
    </row>
    <row r="58" spans="2:3">
      <c r="B58" s="1">
        <v>39696</v>
      </c>
      <c r="C58">
        <v>998.3</v>
      </c>
    </row>
    <row r="59" spans="2:3">
      <c r="B59" s="1">
        <v>39703</v>
      </c>
      <c r="C59">
        <v>2068.5</v>
      </c>
    </row>
    <row r="60" spans="2:3">
      <c r="B60" s="1">
        <v>39710</v>
      </c>
      <c r="C60">
        <v>1756.8</v>
      </c>
    </row>
    <row r="61" spans="2:3">
      <c r="B61" s="1">
        <v>39717</v>
      </c>
      <c r="C61">
        <v>1026</v>
      </c>
    </row>
    <row r="62" spans="2:3">
      <c r="B62" s="1">
        <v>39724</v>
      </c>
      <c r="C62">
        <v>999.6</v>
      </c>
    </row>
    <row r="63" spans="2:3">
      <c r="B63" s="1">
        <v>39731</v>
      </c>
      <c r="C63">
        <v>1190.8</v>
      </c>
    </row>
    <row r="64" spans="2:3">
      <c r="B64" s="1">
        <v>39738</v>
      </c>
      <c r="C64">
        <v>798</v>
      </c>
    </row>
    <row r="65" spans="2:3">
      <c r="B65" s="1">
        <v>39745</v>
      </c>
      <c r="C65">
        <v>1135.5999999999999</v>
      </c>
    </row>
    <row r="66" spans="2:3">
      <c r="B66" s="1">
        <v>39752</v>
      </c>
      <c r="C66">
        <v>688.8</v>
      </c>
    </row>
    <row r="67" spans="2:3">
      <c r="B67" s="1">
        <v>39759</v>
      </c>
      <c r="C67">
        <v>907.7</v>
      </c>
    </row>
    <row r="68" spans="2:3">
      <c r="B68" s="1">
        <v>39766</v>
      </c>
      <c r="C68">
        <v>927.3</v>
      </c>
    </row>
    <row r="69" spans="2:3">
      <c r="B69" s="1">
        <v>39773</v>
      </c>
      <c r="C69">
        <v>896.8</v>
      </c>
    </row>
    <row r="70" spans="2:3">
      <c r="B70" s="1">
        <v>39780</v>
      </c>
      <c r="C70">
        <v>3552.9</v>
      </c>
    </row>
    <row r="71" spans="2:3">
      <c r="B71" s="1">
        <v>39787</v>
      </c>
      <c r="C71">
        <v>3746.9</v>
      </c>
    </row>
    <row r="72" spans="2:3">
      <c r="B72" s="1">
        <v>39794</v>
      </c>
      <c r="C72">
        <v>4013.2</v>
      </c>
    </row>
    <row r="73" spans="2:3">
      <c r="B73" s="1">
        <v>39801</v>
      </c>
      <c r="C73">
        <v>7098.9</v>
      </c>
    </row>
    <row r="74" spans="2:3">
      <c r="B74" s="1">
        <v>39808</v>
      </c>
      <c r="C74">
        <v>7132.7</v>
      </c>
    </row>
    <row r="75" spans="2:3">
      <c r="B75" s="1">
        <v>39815</v>
      </c>
      <c r="C75">
        <v>6060.5</v>
      </c>
    </row>
    <row r="76" spans="2:3">
      <c r="B76" s="1">
        <v>39822</v>
      </c>
      <c r="C76">
        <v>7842.7</v>
      </c>
    </row>
    <row r="77" spans="2:3">
      <c r="B77" s="1">
        <v>39829</v>
      </c>
      <c r="C77">
        <v>6768.6</v>
      </c>
    </row>
    <row r="78" spans="2:3">
      <c r="B78" s="1">
        <v>39836</v>
      </c>
      <c r="C78">
        <v>3300.6</v>
      </c>
    </row>
    <row r="79" spans="2:3">
      <c r="B79" s="1">
        <v>39843</v>
      </c>
      <c r="C79">
        <v>3871.3</v>
      </c>
    </row>
    <row r="80" spans="2:3">
      <c r="B80" s="1">
        <v>39850</v>
      </c>
      <c r="C80">
        <v>2611.1</v>
      </c>
    </row>
    <row r="81" spans="2:3">
      <c r="B81" s="1">
        <v>39857</v>
      </c>
      <c r="C81">
        <v>4564.5</v>
      </c>
    </row>
    <row r="82" spans="2:3">
      <c r="B82" s="1">
        <v>39864</v>
      </c>
      <c r="C82">
        <v>3531.5</v>
      </c>
    </row>
    <row r="83" spans="2:3">
      <c r="B83" s="1">
        <v>39871</v>
      </c>
      <c r="C83">
        <v>2945.5</v>
      </c>
    </row>
    <row r="84" spans="2:3">
      <c r="B84" s="1">
        <v>39878</v>
      </c>
      <c r="C84">
        <v>3352.8</v>
      </c>
    </row>
    <row r="85" spans="2:3">
      <c r="B85" s="1">
        <v>39885</v>
      </c>
      <c r="C85">
        <v>4428.1000000000004</v>
      </c>
    </row>
    <row r="86" spans="2:3">
      <c r="B86" s="1">
        <v>39892</v>
      </c>
      <c r="C86">
        <v>6374.7</v>
      </c>
    </row>
    <row r="87" spans="2:3">
      <c r="B87" s="1">
        <v>39899</v>
      </c>
      <c r="C87">
        <v>6522</v>
      </c>
    </row>
    <row r="88" spans="2:3">
      <c r="B88" s="1">
        <v>39906</v>
      </c>
      <c r="C88">
        <v>6734.2</v>
      </c>
    </row>
    <row r="89" spans="2:3">
      <c r="B89" s="1">
        <v>39913</v>
      </c>
      <c r="C89">
        <v>6127.3</v>
      </c>
    </row>
    <row r="90" spans="2:3">
      <c r="B90" s="1">
        <v>39920</v>
      </c>
      <c r="C90">
        <v>6547.2</v>
      </c>
    </row>
    <row r="91" spans="2:3">
      <c r="B91" s="1">
        <v>39927</v>
      </c>
      <c r="C91">
        <v>4957.8999999999996</v>
      </c>
    </row>
    <row r="92" spans="2:3">
      <c r="B92" s="1">
        <v>39934</v>
      </c>
      <c r="C92">
        <v>5084.2</v>
      </c>
    </row>
    <row r="93" spans="2:3">
      <c r="B93" s="1">
        <v>39941</v>
      </c>
      <c r="C93">
        <v>4353.1000000000004</v>
      </c>
    </row>
    <row r="94" spans="2:3">
      <c r="B94" s="1">
        <v>39948</v>
      </c>
      <c r="C94">
        <v>4586.2</v>
      </c>
    </row>
    <row r="95" spans="2:3">
      <c r="B95" s="1">
        <v>39955</v>
      </c>
      <c r="C95">
        <v>3590.1</v>
      </c>
    </row>
    <row r="96" spans="2:3">
      <c r="B96" s="1">
        <v>39962</v>
      </c>
      <c r="C96">
        <v>2583</v>
      </c>
    </row>
    <row r="97" spans="2:3">
      <c r="B97" s="1">
        <v>39969</v>
      </c>
      <c r="C97">
        <v>2156.5</v>
      </c>
    </row>
    <row r="98" spans="2:3">
      <c r="B98" s="1">
        <v>39976</v>
      </c>
      <c r="C98">
        <v>1482.7</v>
      </c>
    </row>
    <row r="99" spans="2:3">
      <c r="B99" s="1">
        <v>39983</v>
      </c>
      <c r="C99">
        <v>1504.6</v>
      </c>
    </row>
    <row r="100" spans="2:3">
      <c r="B100" s="1">
        <v>39990</v>
      </c>
      <c r="C100">
        <v>1328.1</v>
      </c>
    </row>
    <row r="101" spans="2:3">
      <c r="B101" s="1">
        <v>39997</v>
      </c>
      <c r="C101">
        <v>1583.5</v>
      </c>
    </row>
    <row r="102" spans="2:3">
      <c r="B102" s="1">
        <v>40004</v>
      </c>
      <c r="C102">
        <v>1915.5</v>
      </c>
    </row>
    <row r="103" spans="2:3">
      <c r="B103" s="1">
        <v>40011</v>
      </c>
      <c r="C103">
        <v>1982.8</v>
      </c>
    </row>
    <row r="104" spans="2:3">
      <c r="B104" s="1">
        <v>40018</v>
      </c>
      <c r="C104">
        <v>1702.7</v>
      </c>
    </row>
    <row r="105" spans="2:3">
      <c r="B105" s="1">
        <v>40025</v>
      </c>
      <c r="C105">
        <v>1826</v>
      </c>
    </row>
    <row r="106" spans="2:3">
      <c r="B106" s="1">
        <v>40032</v>
      </c>
      <c r="C106">
        <v>1659.1</v>
      </c>
    </row>
    <row r="107" spans="2:3">
      <c r="B107" s="1">
        <v>40039</v>
      </c>
      <c r="C107">
        <v>1782.2</v>
      </c>
    </row>
    <row r="108" spans="2:3">
      <c r="B108" s="1">
        <v>40046</v>
      </c>
      <c r="C108">
        <v>1983.2</v>
      </c>
    </row>
    <row r="109" spans="2:3">
      <c r="B109" s="1">
        <v>40053</v>
      </c>
      <c r="C109">
        <v>1955.9</v>
      </c>
    </row>
    <row r="110" spans="2:3">
      <c r="B110" s="1">
        <v>40060</v>
      </c>
      <c r="C110">
        <v>2383.6999999999998</v>
      </c>
    </row>
    <row r="111" spans="2:3">
      <c r="B111" s="1">
        <v>40067</v>
      </c>
      <c r="C111">
        <v>2216.3000000000002</v>
      </c>
    </row>
    <row r="112" spans="2:3">
      <c r="B112" s="1">
        <v>40074</v>
      </c>
      <c r="C112">
        <v>2632.2</v>
      </c>
    </row>
    <row r="113" spans="2:3">
      <c r="B113" s="1">
        <v>40081</v>
      </c>
      <c r="C113">
        <v>2655.8</v>
      </c>
    </row>
    <row r="114" spans="2:3">
      <c r="B114" s="1">
        <v>40088</v>
      </c>
      <c r="C114">
        <v>3230.9</v>
      </c>
    </row>
    <row r="115" spans="2:3">
      <c r="B115" s="1">
        <v>40095</v>
      </c>
      <c r="C115">
        <v>3280.3</v>
      </c>
    </row>
    <row r="116" spans="2:3">
      <c r="B116" s="1">
        <v>40102</v>
      </c>
      <c r="C116">
        <v>2774.7</v>
      </c>
    </row>
    <row r="117" spans="2:3">
      <c r="B117" s="1">
        <v>40109</v>
      </c>
      <c r="C117">
        <v>2304</v>
      </c>
    </row>
    <row r="118" spans="2:3">
      <c r="B118" s="1">
        <v>40116</v>
      </c>
      <c r="C118">
        <v>2715.2</v>
      </c>
    </row>
    <row r="119" spans="2:3">
      <c r="B119" s="1">
        <v>40123</v>
      </c>
      <c r="C119">
        <v>2996</v>
      </c>
    </row>
    <row r="120" spans="2:3">
      <c r="B120" s="1">
        <v>40130</v>
      </c>
      <c r="C120">
        <v>3117</v>
      </c>
    </row>
    <row r="121" spans="2:3">
      <c r="B121" s="1">
        <v>40137</v>
      </c>
      <c r="C121">
        <v>2815.1</v>
      </c>
    </row>
    <row r="122" spans="2:3">
      <c r="B122" s="1">
        <v>40144</v>
      </c>
      <c r="C122">
        <v>2958.4</v>
      </c>
    </row>
    <row r="123" spans="2:3">
      <c r="B123" s="1">
        <v>40151</v>
      </c>
      <c r="C123">
        <v>3312.7</v>
      </c>
    </row>
    <row r="124" spans="2:3">
      <c r="B124" s="1">
        <v>40158</v>
      </c>
      <c r="C124">
        <v>3354</v>
      </c>
    </row>
    <row r="125" spans="2:3">
      <c r="B125" s="1">
        <v>40165</v>
      </c>
      <c r="C125">
        <v>2988.7</v>
      </c>
    </row>
    <row r="126" spans="2:3">
      <c r="B126" s="1">
        <v>40172</v>
      </c>
      <c r="C126">
        <v>2038.4</v>
      </c>
    </row>
    <row r="127" spans="2:3">
      <c r="B127" s="1">
        <v>40179</v>
      </c>
      <c r="C127">
        <v>2021.1</v>
      </c>
    </row>
    <row r="128" spans="2:3">
      <c r="B128" s="1">
        <v>40186</v>
      </c>
      <c r="C128">
        <v>2430</v>
      </c>
    </row>
    <row r="129" spans="2:3">
      <c r="B129" s="1">
        <v>40193</v>
      </c>
      <c r="C129">
        <v>2638.2</v>
      </c>
    </row>
    <row r="130" spans="2:3">
      <c r="B130" s="1">
        <v>40200</v>
      </c>
      <c r="C130">
        <v>2192.1</v>
      </c>
    </row>
    <row r="131" spans="2:3">
      <c r="B131" s="1">
        <v>40207</v>
      </c>
      <c r="C131">
        <v>2763.6</v>
      </c>
    </row>
    <row r="132" spans="2:3">
      <c r="B132" s="1">
        <v>40214</v>
      </c>
      <c r="C132">
        <v>2807.8</v>
      </c>
    </row>
    <row r="133" spans="2:3">
      <c r="B133" s="1">
        <v>40221</v>
      </c>
      <c r="C133">
        <v>2781.2</v>
      </c>
    </row>
    <row r="134" spans="2:3">
      <c r="B134" s="1">
        <v>40228</v>
      </c>
      <c r="C134">
        <v>2474.9</v>
      </c>
    </row>
    <row r="135" spans="2:3">
      <c r="B135" s="1">
        <v>40235</v>
      </c>
      <c r="C135">
        <v>2971.5</v>
      </c>
    </row>
    <row r="136" spans="2:3">
      <c r="B136" s="1">
        <v>40242</v>
      </c>
      <c r="C136">
        <v>2937.6</v>
      </c>
    </row>
    <row r="137" spans="2:3">
      <c r="B137" s="1">
        <v>40249</v>
      </c>
      <c r="C137">
        <v>2847.2</v>
      </c>
    </row>
    <row r="138" spans="2:3">
      <c r="B138" s="1">
        <v>40256</v>
      </c>
      <c r="C138">
        <v>2617.6999999999998</v>
      </c>
    </row>
    <row r="139" spans="2:3">
      <c r="B139" s="1">
        <v>40263</v>
      </c>
      <c r="C139">
        <v>2577.1999999999998</v>
      </c>
    </row>
    <row r="140" spans="2:3">
      <c r="B140" s="1">
        <v>40270</v>
      </c>
      <c r="C140">
        <v>2051.3000000000002</v>
      </c>
    </row>
    <row r="141" spans="2:3">
      <c r="B141" s="1">
        <v>40277</v>
      </c>
      <c r="C141">
        <v>1892.5</v>
      </c>
    </row>
    <row r="142" spans="2:3">
      <c r="B142" s="1">
        <v>40284</v>
      </c>
      <c r="C142">
        <v>2217</v>
      </c>
    </row>
    <row r="143" spans="2:3">
      <c r="B143" s="1">
        <v>40291</v>
      </c>
      <c r="C143">
        <v>1984.5</v>
      </c>
    </row>
    <row r="144" spans="2:3">
      <c r="B144" s="1">
        <v>40298</v>
      </c>
      <c r="C144">
        <v>1953.3</v>
      </c>
    </row>
    <row r="145" spans="2:3">
      <c r="B145" s="1">
        <v>40305</v>
      </c>
      <c r="C145">
        <v>2303.6</v>
      </c>
    </row>
    <row r="146" spans="2:3">
      <c r="B146" s="1">
        <v>40312</v>
      </c>
      <c r="C146">
        <v>2668.6</v>
      </c>
    </row>
    <row r="147" spans="2:3">
      <c r="B147" s="1">
        <v>40319</v>
      </c>
      <c r="C147">
        <v>3154.9</v>
      </c>
    </row>
    <row r="148" spans="2:3">
      <c r="B148" s="1">
        <v>40326</v>
      </c>
      <c r="C148">
        <v>3239.2</v>
      </c>
    </row>
    <row r="149" spans="2:3">
      <c r="B149" s="1">
        <v>40333</v>
      </c>
      <c r="C149">
        <v>2781.6</v>
      </c>
    </row>
    <row r="150" spans="2:3">
      <c r="B150" s="1">
        <v>40340</v>
      </c>
      <c r="C150">
        <v>3387.8</v>
      </c>
    </row>
    <row r="151" spans="2:3">
      <c r="B151" s="1">
        <v>40347</v>
      </c>
      <c r="C151">
        <v>3107.1</v>
      </c>
    </row>
    <row r="152" spans="2:3">
      <c r="B152" s="1">
        <v>40354</v>
      </c>
      <c r="C152">
        <v>3546.2</v>
      </c>
    </row>
    <row r="153" spans="2:3">
      <c r="B153" s="1">
        <v>40361</v>
      </c>
      <c r="C153">
        <v>3925.9</v>
      </c>
    </row>
    <row r="154" spans="2:3">
      <c r="B154" s="1">
        <v>40368</v>
      </c>
      <c r="C154">
        <v>3925.8</v>
      </c>
    </row>
    <row r="155" spans="2:3">
      <c r="B155" s="1">
        <v>40375</v>
      </c>
      <c r="C155">
        <v>4345.3999999999996</v>
      </c>
    </row>
    <row r="156" spans="2:3">
      <c r="B156" s="1">
        <v>40382</v>
      </c>
      <c r="C156">
        <v>4097.3</v>
      </c>
    </row>
    <row r="157" spans="2:3">
      <c r="B157" s="1">
        <v>40389</v>
      </c>
      <c r="C157">
        <v>4155.5</v>
      </c>
    </row>
    <row r="158" spans="2:3">
      <c r="B158" s="1">
        <v>40396</v>
      </c>
      <c r="C158">
        <v>4147.1000000000004</v>
      </c>
    </row>
    <row r="159" spans="2:3">
      <c r="B159" s="1">
        <v>40403</v>
      </c>
      <c r="C159">
        <v>4940.8999999999996</v>
      </c>
    </row>
    <row r="160" spans="2:3">
      <c r="B160" s="1">
        <v>40410</v>
      </c>
      <c r="C160">
        <v>5260.7</v>
      </c>
    </row>
    <row r="161" spans="2:3">
      <c r="B161" s="1">
        <v>40417</v>
      </c>
      <c r="C161">
        <v>5431.5</v>
      </c>
    </row>
    <row r="162" spans="2:3">
      <c r="B162" s="1">
        <v>40424</v>
      </c>
      <c r="C162">
        <v>5214.6000000000004</v>
      </c>
    </row>
    <row r="163" spans="2:3">
      <c r="B163" s="1">
        <v>40431</v>
      </c>
      <c r="C163">
        <v>4663.8</v>
      </c>
    </row>
    <row r="164" spans="2:3">
      <c r="B164" s="1">
        <v>40438</v>
      </c>
      <c r="C164">
        <v>4624.6000000000004</v>
      </c>
    </row>
    <row r="165" spans="2:3">
      <c r="B165" s="1">
        <v>40445</v>
      </c>
      <c r="C165">
        <v>4549.3</v>
      </c>
    </row>
    <row r="166" spans="2:3">
      <c r="B166" s="1">
        <v>40452</v>
      </c>
      <c r="C166">
        <v>4395.5</v>
      </c>
    </row>
    <row r="167" spans="2:3">
      <c r="B167" s="1">
        <v>40459</v>
      </c>
      <c r="C167">
        <v>5455.4</v>
      </c>
    </row>
    <row r="168" spans="2:3">
      <c r="B168" s="1">
        <v>40466</v>
      </c>
      <c r="C168">
        <v>4768.6000000000004</v>
      </c>
    </row>
    <row r="169" spans="2:3">
      <c r="B169" s="1">
        <v>40473</v>
      </c>
      <c r="C169">
        <v>4904.2</v>
      </c>
    </row>
    <row r="170" spans="2:3">
      <c r="B170" s="1">
        <v>40480</v>
      </c>
      <c r="C170">
        <v>4568.1000000000004</v>
      </c>
    </row>
    <row r="171" spans="2:3">
      <c r="B171" s="1">
        <v>40487</v>
      </c>
      <c r="C171">
        <v>4836.3999999999996</v>
      </c>
    </row>
    <row r="172" spans="2:3">
      <c r="B172" s="1">
        <v>40494</v>
      </c>
      <c r="C172">
        <v>4015.2</v>
      </c>
    </row>
    <row r="173" spans="2:3">
      <c r="B173" s="1">
        <v>40501</v>
      </c>
      <c r="C173">
        <v>4009.2</v>
      </c>
    </row>
    <row r="174" spans="2:3">
      <c r="B174" s="1">
        <v>40508</v>
      </c>
      <c r="C174">
        <v>3151.8</v>
      </c>
    </row>
    <row r="175" spans="2:3">
      <c r="B175" s="1">
        <v>40515</v>
      </c>
      <c r="C175">
        <v>3066.2</v>
      </c>
    </row>
    <row r="176" spans="2:3">
      <c r="B176" s="1">
        <v>40522</v>
      </c>
      <c r="C176">
        <v>3067.3</v>
      </c>
    </row>
    <row r="177" spans="2:3">
      <c r="B177" s="1">
        <v>40529</v>
      </c>
      <c r="C177">
        <v>2319.9</v>
      </c>
    </row>
    <row r="178" spans="2:3">
      <c r="B178" s="1">
        <v>40536</v>
      </c>
      <c r="C178">
        <v>2185.5</v>
      </c>
    </row>
    <row r="179" spans="2:3">
      <c r="B179" s="1">
        <v>40543</v>
      </c>
      <c r="C179">
        <v>2249.6</v>
      </c>
    </row>
    <row r="180" spans="2:3">
      <c r="B180" s="1">
        <v>40550</v>
      </c>
      <c r="C180">
        <v>2344.3000000000002</v>
      </c>
    </row>
    <row r="181" spans="2:3">
      <c r="B181" s="1">
        <v>40557</v>
      </c>
      <c r="C181">
        <v>2528.6999999999998</v>
      </c>
    </row>
    <row r="182" spans="2:3">
      <c r="B182" s="1">
        <v>40564</v>
      </c>
      <c r="C182">
        <v>2129.6999999999998</v>
      </c>
    </row>
    <row r="183" spans="2:3">
      <c r="B183" s="1">
        <v>40571</v>
      </c>
      <c r="C183">
        <v>2371.1</v>
      </c>
    </row>
    <row r="184" spans="2:3">
      <c r="B184" s="1">
        <v>40578</v>
      </c>
      <c r="C184">
        <v>2190.4</v>
      </c>
    </row>
    <row r="185" spans="2:3">
      <c r="B185" s="1">
        <v>40585</v>
      </c>
      <c r="C185">
        <v>1953.2</v>
      </c>
    </row>
    <row r="186" spans="2:3">
      <c r="B186" s="1">
        <v>40592</v>
      </c>
      <c r="C186">
        <v>2325.3000000000002</v>
      </c>
    </row>
    <row r="187" spans="2:3">
      <c r="B187" s="1">
        <v>40599</v>
      </c>
      <c r="C187">
        <v>2155.5</v>
      </c>
    </row>
    <row r="188" spans="2:3">
      <c r="B188" s="1">
        <v>40606</v>
      </c>
      <c r="C188">
        <v>2539.4</v>
      </c>
    </row>
    <row r="189" spans="2:3">
      <c r="B189" s="1">
        <v>40613</v>
      </c>
      <c r="C189">
        <v>2563.6</v>
      </c>
    </row>
    <row r="190" spans="2:3">
      <c r="B190" s="1">
        <v>40620</v>
      </c>
      <c r="C190">
        <v>2620.8000000000002</v>
      </c>
    </row>
    <row r="191" spans="2:3">
      <c r="B191" s="1">
        <v>40627</v>
      </c>
      <c r="C191">
        <v>2350.6999999999998</v>
      </c>
    </row>
    <row r="192" spans="2:3">
      <c r="B192" s="1">
        <v>40634</v>
      </c>
      <c r="C192">
        <v>2194.4</v>
      </c>
    </row>
    <row r="193" spans="2:3">
      <c r="B193" s="1">
        <v>40641</v>
      </c>
      <c r="C193">
        <v>2010.6</v>
      </c>
    </row>
    <row r="194" spans="2:3">
      <c r="B194" s="1">
        <v>40648</v>
      </c>
      <c r="C194">
        <v>2065.3000000000002</v>
      </c>
    </row>
    <row r="195" spans="2:3">
      <c r="B195" s="1">
        <v>40655</v>
      </c>
      <c r="C195">
        <v>2091.4</v>
      </c>
    </row>
    <row r="196" spans="2:3">
      <c r="B196" s="1">
        <v>40662</v>
      </c>
      <c r="C196">
        <v>2220.1</v>
      </c>
    </row>
    <row r="197" spans="2:3">
      <c r="B197" s="1">
        <v>40669</v>
      </c>
      <c r="C197">
        <v>2414.9</v>
      </c>
    </row>
    <row r="198" spans="2:3">
      <c r="B198" s="1">
        <v>40676</v>
      </c>
      <c r="C198">
        <v>2742.2</v>
      </c>
    </row>
    <row r="199" spans="2:3">
      <c r="B199" s="1">
        <v>40683</v>
      </c>
      <c r="C199">
        <v>2764.6</v>
      </c>
    </row>
    <row r="200" spans="2:3">
      <c r="B200" s="1">
        <v>40690</v>
      </c>
      <c r="C200">
        <v>2619.6999999999998</v>
      </c>
    </row>
    <row r="201" spans="2:3">
      <c r="B201" s="1">
        <v>40697</v>
      </c>
      <c r="C201">
        <v>2648</v>
      </c>
    </row>
    <row r="202" spans="2:3">
      <c r="B202" s="1">
        <v>40704</v>
      </c>
      <c r="C202">
        <v>3101.7</v>
      </c>
    </row>
    <row r="203" spans="2:3">
      <c r="B203" s="1">
        <v>40711</v>
      </c>
      <c r="C203">
        <v>2857.9</v>
      </c>
    </row>
    <row r="204" spans="2:3">
      <c r="B204" s="1">
        <v>40718</v>
      </c>
      <c r="C204">
        <v>2809.5</v>
      </c>
    </row>
    <row r="205" spans="2:3">
      <c r="B205" s="1">
        <v>40725</v>
      </c>
      <c r="C205">
        <v>2527.5</v>
      </c>
    </row>
    <row r="206" spans="2:3">
      <c r="B206" s="1">
        <v>40732</v>
      </c>
      <c r="C206">
        <v>2362.6999999999998</v>
      </c>
    </row>
    <row r="207" spans="2:3">
      <c r="B207" s="1">
        <v>40739</v>
      </c>
      <c r="C207">
        <v>2923.8</v>
      </c>
    </row>
    <row r="208" spans="2:3">
      <c r="B208" s="1">
        <v>40746</v>
      </c>
      <c r="C208">
        <v>2769.6</v>
      </c>
    </row>
    <row r="209" spans="2:3">
      <c r="B209" s="1">
        <v>40753</v>
      </c>
      <c r="C209">
        <v>2974.1</v>
      </c>
    </row>
    <row r="210" spans="2:3">
      <c r="B210" s="1">
        <v>40760</v>
      </c>
      <c r="C210">
        <v>3880.9</v>
      </c>
    </row>
    <row r="211" spans="2:3">
      <c r="B211" s="1">
        <v>40767</v>
      </c>
      <c r="C211">
        <v>4184.3999999999996</v>
      </c>
    </row>
    <row r="212" spans="2:3">
      <c r="B212" s="1">
        <v>40774</v>
      </c>
      <c r="C212">
        <v>4110.8</v>
      </c>
    </row>
    <row r="213" spans="2:3">
      <c r="B213" s="1">
        <v>40781</v>
      </c>
      <c r="C213">
        <v>3601.3</v>
      </c>
    </row>
    <row r="214" spans="2:3">
      <c r="B214" s="1">
        <v>40788</v>
      </c>
      <c r="C214">
        <v>3372</v>
      </c>
    </row>
    <row r="215" spans="2:3">
      <c r="B215" s="1">
        <v>40795</v>
      </c>
      <c r="C215">
        <v>3571.7</v>
      </c>
    </row>
    <row r="216" spans="2:3">
      <c r="B216" s="1">
        <v>40802</v>
      </c>
      <c r="C216">
        <v>4033.8</v>
      </c>
    </row>
    <row r="217" spans="2:3">
      <c r="B217" s="1">
        <v>40809</v>
      </c>
      <c r="C217">
        <v>4512.1000000000004</v>
      </c>
    </row>
    <row r="218" spans="2:3">
      <c r="B218" s="1">
        <v>40816</v>
      </c>
      <c r="C218">
        <v>4241.8</v>
      </c>
    </row>
    <row r="219" spans="2:3">
      <c r="B219" s="1">
        <v>40823</v>
      </c>
      <c r="C219">
        <v>4251.1000000000004</v>
      </c>
    </row>
    <row r="220" spans="2:3">
      <c r="B220" s="1">
        <v>40830</v>
      </c>
      <c r="C220">
        <v>3553.2</v>
      </c>
    </row>
    <row r="221" spans="2:3">
      <c r="B221" s="1">
        <v>40837</v>
      </c>
      <c r="C221">
        <v>3719.3</v>
      </c>
    </row>
    <row r="222" spans="2:3">
      <c r="B222" s="1">
        <v>40844</v>
      </c>
      <c r="C222">
        <v>3695</v>
      </c>
    </row>
    <row r="223" spans="2:3">
      <c r="B223" s="1">
        <v>40851</v>
      </c>
      <c r="C223">
        <v>4137.6000000000004</v>
      </c>
    </row>
    <row r="224" spans="2:3">
      <c r="B224" s="1">
        <v>40858</v>
      </c>
      <c r="C224">
        <v>3664.5</v>
      </c>
    </row>
    <row r="225" spans="2:3">
      <c r="B225" s="1">
        <v>40865</v>
      </c>
      <c r="C225">
        <v>3466.8</v>
      </c>
    </row>
    <row r="226" spans="2:3">
      <c r="B226" s="1">
        <v>40872</v>
      </c>
      <c r="C226">
        <v>2941.3</v>
      </c>
    </row>
    <row r="227" spans="2:3">
      <c r="B227" s="1">
        <v>40879</v>
      </c>
      <c r="C227">
        <v>3394.7</v>
      </c>
    </row>
    <row r="228" spans="2:3">
      <c r="B228" s="1">
        <v>40886</v>
      </c>
      <c r="C228">
        <v>3708.6</v>
      </c>
    </row>
    <row r="229" spans="2:3">
      <c r="B229" s="1">
        <v>40893</v>
      </c>
      <c r="C229">
        <v>3676.1</v>
      </c>
    </row>
    <row r="230" spans="2:3">
      <c r="B230" s="1">
        <v>40900</v>
      </c>
      <c r="C230">
        <v>3684.5</v>
      </c>
    </row>
    <row r="231" spans="2:3">
      <c r="B231" s="1">
        <v>40907</v>
      </c>
      <c r="C231">
        <v>3608.1</v>
      </c>
    </row>
    <row r="232" spans="2:3">
      <c r="B232" s="1">
        <v>40914</v>
      </c>
      <c r="C232">
        <v>3668.3</v>
      </c>
    </row>
    <row r="233" spans="2:3">
      <c r="B233" s="1">
        <v>40921</v>
      </c>
      <c r="C233">
        <v>4626.5</v>
      </c>
    </row>
    <row r="234" spans="2:3">
      <c r="B234" s="1">
        <v>40928</v>
      </c>
      <c r="C234">
        <v>4326.3999999999996</v>
      </c>
    </row>
    <row r="235" spans="2:3">
      <c r="B235" s="1">
        <v>40935</v>
      </c>
      <c r="C235">
        <v>4184.3</v>
      </c>
    </row>
    <row r="236" spans="2:3">
      <c r="B236" s="1">
        <v>40942</v>
      </c>
      <c r="C236">
        <v>4617.1000000000004</v>
      </c>
    </row>
    <row r="237" spans="2:3">
      <c r="B237" s="1">
        <v>40949</v>
      </c>
      <c r="C237">
        <v>4716.1000000000004</v>
      </c>
    </row>
    <row r="238" spans="2:3">
      <c r="B238" s="1">
        <v>40956</v>
      </c>
      <c r="C238">
        <v>4466.8999999999996</v>
      </c>
    </row>
    <row r="239" spans="2:3">
      <c r="B239" s="1">
        <v>40963</v>
      </c>
      <c r="C239">
        <v>4379.1000000000004</v>
      </c>
    </row>
    <row r="240" spans="2:3">
      <c r="B240" s="1">
        <v>40970</v>
      </c>
      <c r="C240">
        <v>4277.6000000000004</v>
      </c>
    </row>
    <row r="241" spans="2:3">
      <c r="B241" s="1">
        <v>40977</v>
      </c>
      <c r="C241">
        <v>4063.4</v>
      </c>
    </row>
    <row r="242" spans="2:3">
      <c r="B242" s="1">
        <v>40984</v>
      </c>
      <c r="C242">
        <v>3715.2</v>
      </c>
    </row>
    <row r="243" spans="2:3">
      <c r="B243" s="1">
        <v>40991</v>
      </c>
      <c r="C243">
        <v>3588.4</v>
      </c>
    </row>
    <row r="244" spans="2:3">
      <c r="B244" s="1">
        <v>40998</v>
      </c>
      <c r="C244">
        <v>3699.5</v>
      </c>
    </row>
    <row r="245" spans="2:3">
      <c r="B245" s="1">
        <v>41005</v>
      </c>
      <c r="C245">
        <v>3549.3</v>
      </c>
    </row>
    <row r="246" spans="2:3">
      <c r="B246" s="1">
        <v>41012</v>
      </c>
      <c r="C246">
        <v>4144.3</v>
      </c>
    </row>
    <row r="247" spans="2:3">
      <c r="B247" s="1">
        <v>41019</v>
      </c>
      <c r="C247">
        <v>3892.2</v>
      </c>
    </row>
    <row r="248" spans="2:3">
      <c r="B248" s="1">
        <v>41026</v>
      </c>
      <c r="C248">
        <v>3856</v>
      </c>
    </row>
    <row r="249" spans="2:3">
      <c r="B249" s="1">
        <v>41033</v>
      </c>
      <c r="C249">
        <v>3924.4</v>
      </c>
    </row>
    <row r="250" spans="2:3">
      <c r="B250" s="1">
        <v>41040</v>
      </c>
      <c r="C250">
        <v>4482</v>
      </c>
    </row>
    <row r="251" spans="2:3">
      <c r="B251" s="1">
        <v>41047</v>
      </c>
      <c r="C251">
        <v>4732</v>
      </c>
    </row>
    <row r="252" spans="2:3">
      <c r="B252" s="1">
        <v>41054</v>
      </c>
      <c r="C252">
        <v>4675.8999999999996</v>
      </c>
    </row>
    <row r="253" spans="2:3">
      <c r="B253" s="1">
        <v>41061</v>
      </c>
      <c r="C253">
        <v>4736</v>
      </c>
    </row>
    <row r="254" spans="2:3">
      <c r="B254" s="1">
        <v>41068</v>
      </c>
      <c r="C254">
        <v>5590</v>
      </c>
    </row>
    <row r="255" spans="2:3">
      <c r="B255" s="1">
        <v>41075</v>
      </c>
      <c r="C255">
        <v>4719.6000000000004</v>
      </c>
    </row>
    <row r="256" spans="2:3">
      <c r="B256" s="1">
        <v>41082</v>
      </c>
      <c r="C256">
        <v>4585.8</v>
      </c>
    </row>
    <row r="257" spans="2:3">
      <c r="B257" s="1">
        <v>41089</v>
      </c>
      <c r="C257">
        <v>4372.2</v>
      </c>
    </row>
    <row r="258" spans="2:3">
      <c r="B258" s="1">
        <v>41096</v>
      </c>
      <c r="C258">
        <v>4267.8999999999996</v>
      </c>
    </row>
    <row r="259" spans="2:3">
      <c r="B259" s="1">
        <v>41103</v>
      </c>
      <c r="C259">
        <v>5246.8</v>
      </c>
    </row>
    <row r="260" spans="2:3">
      <c r="B260" s="1">
        <v>41110</v>
      </c>
      <c r="C260">
        <v>5383.1</v>
      </c>
    </row>
    <row r="261" spans="2:3">
      <c r="B261" s="1">
        <v>41117</v>
      </c>
      <c r="C261">
        <v>5492.1</v>
      </c>
    </row>
    <row r="262" spans="2:3">
      <c r="B262" s="1">
        <v>41124</v>
      </c>
      <c r="C262">
        <v>5444.3</v>
      </c>
    </row>
    <row r="263" spans="2:3">
      <c r="B263" s="1">
        <v>41131</v>
      </c>
      <c r="C263">
        <v>5172.2</v>
      </c>
    </row>
    <row r="264" spans="2:3">
      <c r="B264" s="1">
        <v>41138</v>
      </c>
      <c r="C264">
        <v>4671.1000000000004</v>
      </c>
    </row>
    <row r="265" spans="2:3">
      <c r="B265" s="1">
        <v>41145</v>
      </c>
      <c r="C265">
        <v>4414.6000000000004</v>
      </c>
    </row>
    <row r="266" spans="2:3">
      <c r="B266" s="1">
        <v>41152</v>
      </c>
      <c r="C266">
        <v>4274.8</v>
      </c>
    </row>
    <row r="267" spans="2:3">
      <c r="B267" s="1">
        <v>41159</v>
      </c>
      <c r="C267">
        <v>4779.1000000000004</v>
      </c>
    </row>
    <row r="268" spans="2:3">
      <c r="B268" s="1">
        <v>41166</v>
      </c>
      <c r="C268">
        <v>4823.3</v>
      </c>
    </row>
    <row r="269" spans="2:3">
      <c r="B269" s="1">
        <v>41173</v>
      </c>
      <c r="C269">
        <v>4979</v>
      </c>
    </row>
    <row r="270" spans="2:3">
      <c r="B270" s="1">
        <v>41180</v>
      </c>
      <c r="C270">
        <v>5965.5</v>
      </c>
    </row>
    <row r="271" spans="2:3">
      <c r="B271" s="1">
        <v>41187</v>
      </c>
      <c r="C271">
        <v>5892.5</v>
      </c>
    </row>
    <row r="272" spans="2:3">
      <c r="B272" s="1">
        <v>41194</v>
      </c>
      <c r="C272">
        <v>5572.2</v>
      </c>
    </row>
    <row r="273" spans="2:3">
      <c r="B273" s="1">
        <v>41201</v>
      </c>
      <c r="C273">
        <v>4847.2</v>
      </c>
    </row>
    <row r="274" spans="2:3">
      <c r="B274" s="1">
        <v>41208</v>
      </c>
      <c r="C274">
        <v>4550.7</v>
      </c>
    </row>
    <row r="275" spans="2:3">
      <c r="B275" s="1">
        <v>41215</v>
      </c>
      <c r="C275">
        <v>4297.7</v>
      </c>
    </row>
    <row r="276" spans="2:3">
      <c r="B276" s="1">
        <v>41222</v>
      </c>
      <c r="C276">
        <v>4856.1000000000004</v>
      </c>
    </row>
    <row r="277" spans="2:3">
      <c r="B277" s="1">
        <v>41229</v>
      </c>
      <c r="C277">
        <v>4702.3999999999996</v>
      </c>
    </row>
    <row r="278" spans="2:3">
      <c r="B278" s="1">
        <v>41236</v>
      </c>
      <c r="C278">
        <v>4666.8</v>
      </c>
    </row>
    <row r="279" spans="2:3">
      <c r="B279" s="1">
        <v>41243</v>
      </c>
      <c r="C279">
        <v>4943</v>
      </c>
    </row>
    <row r="280" spans="2:3">
      <c r="B280" s="1">
        <v>41250</v>
      </c>
      <c r="C280">
        <v>5368.1</v>
      </c>
    </row>
    <row r="281" spans="2:3">
      <c r="B281" s="1">
        <v>41257</v>
      </c>
      <c r="C281">
        <v>4564.3999999999996</v>
      </c>
    </row>
    <row r="282" spans="2:3">
      <c r="B282" s="1">
        <v>41264</v>
      </c>
      <c r="C282">
        <v>3983.2</v>
      </c>
    </row>
    <row r="283" spans="2:3">
      <c r="B283" s="1">
        <v>41271</v>
      </c>
      <c r="C283">
        <v>3488.9</v>
      </c>
    </row>
    <row r="284" spans="2:3">
      <c r="B284" s="1">
        <v>41278</v>
      </c>
      <c r="C284">
        <v>3896.4</v>
      </c>
    </row>
    <row r="285" spans="2:3">
      <c r="B285" s="1">
        <v>41285</v>
      </c>
      <c r="C285">
        <v>4554.3999999999996</v>
      </c>
    </row>
    <row r="286" spans="2:3">
      <c r="B286" s="1">
        <v>41292</v>
      </c>
      <c r="C286">
        <v>4937.3999999999996</v>
      </c>
    </row>
    <row r="287" spans="2:3">
      <c r="B287" s="1">
        <v>41299</v>
      </c>
      <c r="C287">
        <v>4433.6000000000004</v>
      </c>
    </row>
    <row r="288" spans="2:3">
      <c r="B288" s="1">
        <v>41306</v>
      </c>
      <c r="C288">
        <v>4579</v>
      </c>
    </row>
    <row r="289" spans="2:3">
      <c r="B289" s="1">
        <v>41313</v>
      </c>
      <c r="C289">
        <v>4284.3</v>
      </c>
    </row>
    <row r="290" spans="2:3">
      <c r="B290" s="1">
        <v>41320</v>
      </c>
      <c r="C290">
        <v>4261.8</v>
      </c>
    </row>
    <row r="291" spans="2:3">
      <c r="B291" s="1">
        <v>41327</v>
      </c>
      <c r="C291">
        <v>4136.3</v>
      </c>
    </row>
    <row r="292" spans="2:3">
      <c r="B292" s="1">
        <v>41334</v>
      </c>
      <c r="C292">
        <v>4724.8999999999996</v>
      </c>
    </row>
    <row r="293" spans="2:3">
      <c r="B293" s="1">
        <v>41341</v>
      </c>
      <c r="C293">
        <v>4485.2</v>
      </c>
    </row>
    <row r="294" spans="2:3">
      <c r="B294" s="1">
        <v>41348</v>
      </c>
      <c r="C294">
        <v>4111.3</v>
      </c>
    </row>
    <row r="295" spans="2:3">
      <c r="B295" s="1">
        <v>41355</v>
      </c>
      <c r="C295">
        <v>4412.8999999999996</v>
      </c>
    </row>
    <row r="296" spans="2:3">
      <c r="B296" s="1">
        <v>41362</v>
      </c>
      <c r="C296">
        <v>4119.2</v>
      </c>
    </row>
    <row r="297" spans="2:3">
      <c r="B297" s="1">
        <v>41369</v>
      </c>
      <c r="C297">
        <v>4528.8999999999996</v>
      </c>
    </row>
    <row r="298" spans="2:3">
      <c r="B298" s="1">
        <v>41376</v>
      </c>
      <c r="C298">
        <v>4726.8999999999996</v>
      </c>
    </row>
    <row r="299" spans="2:3">
      <c r="B299" s="1">
        <v>41383</v>
      </c>
      <c r="C299">
        <v>4672.1000000000004</v>
      </c>
    </row>
    <row r="300" spans="2:3">
      <c r="B300" s="1">
        <v>41390</v>
      </c>
      <c r="C300">
        <v>4854.1000000000004</v>
      </c>
    </row>
    <row r="301" spans="2:3">
      <c r="B301" s="1">
        <v>41397</v>
      </c>
      <c r="C301">
        <v>5279.9</v>
      </c>
    </row>
    <row r="302" spans="2:3">
      <c r="B302" s="1">
        <v>41404</v>
      </c>
      <c r="C302">
        <v>4797.2</v>
      </c>
    </row>
    <row r="303" spans="2:3">
      <c r="B303" s="1">
        <v>41411</v>
      </c>
      <c r="C303">
        <v>4241.5</v>
      </c>
    </row>
    <row r="304" spans="2:3">
      <c r="B304" s="1">
        <v>41418</v>
      </c>
      <c r="C304">
        <v>3709.4</v>
      </c>
    </row>
    <row r="305" spans="2:3">
      <c r="B305" s="1">
        <v>41425</v>
      </c>
      <c r="C305">
        <v>3163.6</v>
      </c>
    </row>
    <row r="306" spans="2:3">
      <c r="B306" s="1">
        <v>41432</v>
      </c>
      <c r="C306">
        <v>3339.8</v>
      </c>
    </row>
    <row r="307" spans="2:3">
      <c r="B307" s="1">
        <v>41439</v>
      </c>
      <c r="C307">
        <v>3214.4</v>
      </c>
    </row>
    <row r="308" spans="2:3">
      <c r="B308" s="1">
        <v>41446</v>
      </c>
      <c r="C308">
        <v>3040.1</v>
      </c>
    </row>
    <row r="309" spans="2:3">
      <c r="B309" s="1">
        <v>41453</v>
      </c>
      <c r="C309">
        <v>2573.4</v>
      </c>
    </row>
    <row r="310" spans="2:3">
      <c r="B310" s="1">
        <v>41460</v>
      </c>
      <c r="C310">
        <v>2417.8000000000002</v>
      </c>
    </row>
    <row r="311" spans="2:3">
      <c r="B311" s="1">
        <v>41467</v>
      </c>
      <c r="C311">
        <v>2242.1999999999998</v>
      </c>
    </row>
    <row r="312" spans="2:3">
      <c r="B312" s="1">
        <v>41474</v>
      </c>
      <c r="C312">
        <v>2288</v>
      </c>
    </row>
    <row r="313" spans="2:3">
      <c r="B313" s="1">
        <v>41481</v>
      </c>
      <c r="C313">
        <v>2218.3000000000002</v>
      </c>
    </row>
    <row r="314" spans="2:3">
      <c r="B314" s="1">
        <v>41488</v>
      </c>
      <c r="C314">
        <v>2228.9</v>
      </c>
    </row>
    <row r="315" spans="2:3">
      <c r="B315" s="1">
        <v>41495</v>
      </c>
      <c r="C315">
        <v>2110.6</v>
      </c>
    </row>
    <row r="316" spans="2:3">
      <c r="B316" s="1">
        <v>41502</v>
      </c>
      <c r="C316">
        <v>1935.1</v>
      </c>
    </row>
    <row r="317" spans="2:3">
      <c r="B317" s="1">
        <v>41509</v>
      </c>
      <c r="C317">
        <v>1842.6</v>
      </c>
    </row>
    <row r="318" spans="2:3">
      <c r="B318" s="1">
        <v>41516</v>
      </c>
      <c r="C318">
        <v>1909</v>
      </c>
    </row>
    <row r="319" spans="2:3">
      <c r="B319" s="1">
        <v>41523</v>
      </c>
      <c r="C319">
        <v>1512.9</v>
      </c>
    </row>
    <row r="320" spans="2:3">
      <c r="B320" s="1">
        <v>41530</v>
      </c>
      <c r="C320">
        <v>1814</v>
      </c>
    </row>
    <row r="321" spans="2:3">
      <c r="B321" s="1">
        <v>41537</v>
      </c>
      <c r="C321">
        <v>1922.9</v>
      </c>
    </row>
    <row r="322" spans="2:3">
      <c r="B322" s="1">
        <v>41544</v>
      </c>
      <c r="C322">
        <v>1956.6</v>
      </c>
    </row>
    <row r="323" spans="2:3">
      <c r="B323" s="1">
        <v>41551</v>
      </c>
      <c r="C323">
        <v>2025.3</v>
      </c>
    </row>
    <row r="324" spans="2:3">
      <c r="B324" s="1">
        <v>41558</v>
      </c>
      <c r="C324">
        <v>2102.6999999999998</v>
      </c>
    </row>
    <row r="325" spans="2:3">
      <c r="B325" s="1">
        <v>41565</v>
      </c>
      <c r="C325">
        <v>2033.7</v>
      </c>
    </row>
    <row r="326" spans="2:3">
      <c r="B326" s="1">
        <v>41572</v>
      </c>
      <c r="C326">
        <v>2211.8000000000002</v>
      </c>
    </row>
    <row r="327" spans="2:3">
      <c r="B327" s="1">
        <v>41579</v>
      </c>
      <c r="C327">
        <v>2105.6</v>
      </c>
    </row>
    <row r="328" spans="2:3">
      <c r="B328" s="1">
        <v>41586</v>
      </c>
      <c r="C328">
        <v>2056.9</v>
      </c>
    </row>
    <row r="329" spans="2:3">
      <c r="B329" s="1">
        <v>41593</v>
      </c>
      <c r="C329">
        <v>1903.5</v>
      </c>
    </row>
    <row r="330" spans="2:3">
      <c r="B330" s="1">
        <v>41600</v>
      </c>
      <c r="C330">
        <v>1917.2</v>
      </c>
    </row>
    <row r="331" spans="2:3">
      <c r="B331" s="1">
        <v>41607</v>
      </c>
      <c r="C331">
        <v>1561.6</v>
      </c>
    </row>
    <row r="332" spans="2:3">
      <c r="B332" s="1">
        <v>41614</v>
      </c>
      <c r="C332">
        <v>1599.4</v>
      </c>
    </row>
    <row r="333" spans="2:3">
      <c r="B333" s="1">
        <v>41621</v>
      </c>
      <c r="C333">
        <v>1529.8</v>
      </c>
    </row>
    <row r="334" spans="2:3">
      <c r="B334" s="1">
        <v>41628</v>
      </c>
      <c r="C334">
        <v>1426.7</v>
      </c>
    </row>
    <row r="335" spans="2:3">
      <c r="B335" s="1">
        <v>41635</v>
      </c>
      <c r="C335">
        <v>1277.8</v>
      </c>
    </row>
    <row r="336" spans="2:3">
      <c r="B336" s="1">
        <v>41642</v>
      </c>
      <c r="C336">
        <v>1352.7</v>
      </c>
    </row>
    <row r="337" spans="2:3">
      <c r="B337" s="1">
        <v>41649</v>
      </c>
      <c r="C337">
        <v>1507</v>
      </c>
    </row>
    <row r="338" spans="2:3">
      <c r="B338" s="1">
        <v>41656</v>
      </c>
      <c r="C338">
        <v>1675.8</v>
      </c>
    </row>
    <row r="339" spans="2:3">
      <c r="B339" s="1">
        <v>41663</v>
      </c>
      <c r="C339">
        <v>1601.2</v>
      </c>
    </row>
    <row r="340" spans="2:3">
      <c r="B340" s="1">
        <v>41670</v>
      </c>
      <c r="C340">
        <v>1667.5</v>
      </c>
    </row>
    <row r="341" spans="2:3">
      <c r="B341" s="1">
        <v>41677</v>
      </c>
      <c r="C341">
        <v>1674.2</v>
      </c>
    </row>
    <row r="342" spans="2:3">
      <c r="B342" s="1">
        <v>41684</v>
      </c>
      <c r="C342">
        <v>1650.6</v>
      </c>
    </row>
    <row r="343" spans="2:3">
      <c r="B343" s="1">
        <v>41691</v>
      </c>
      <c r="C343">
        <v>1442.3</v>
      </c>
    </row>
    <row r="344" spans="2:3">
      <c r="B344" s="1">
        <v>41698</v>
      </c>
      <c r="C344">
        <v>1600.6</v>
      </c>
    </row>
    <row r="345" spans="2:3">
      <c r="B345" s="1">
        <v>41705</v>
      </c>
      <c r="C345">
        <v>1528</v>
      </c>
    </row>
    <row r="346" spans="2:3">
      <c r="B346" s="1">
        <v>41712</v>
      </c>
      <c r="C346">
        <v>1552.1</v>
      </c>
    </row>
    <row r="347" spans="2:3">
      <c r="B347" s="1">
        <v>41719</v>
      </c>
      <c r="C347">
        <v>1426.3</v>
      </c>
    </row>
    <row r="348" spans="2:3">
      <c r="B348" s="1">
        <v>41726</v>
      </c>
      <c r="C348">
        <v>1383.5</v>
      </c>
    </row>
    <row r="349" spans="2:3">
      <c r="B349" s="1">
        <v>41733</v>
      </c>
      <c r="C349">
        <v>1324.7</v>
      </c>
    </row>
    <row r="350" spans="2:3">
      <c r="B350" s="1">
        <v>41740</v>
      </c>
      <c r="C350">
        <v>1429.9</v>
      </c>
    </row>
    <row r="351" spans="2:3">
      <c r="B351" s="1">
        <v>41747</v>
      </c>
      <c r="C351">
        <v>1370.9</v>
      </c>
    </row>
    <row r="352" spans="2:3">
      <c r="B352" s="1">
        <v>41754</v>
      </c>
      <c r="C352">
        <v>1298.0999999999999</v>
      </c>
    </row>
    <row r="353" spans="2:3">
      <c r="B353" s="1">
        <v>41761</v>
      </c>
      <c r="C353">
        <v>1323.9</v>
      </c>
    </row>
    <row r="354" spans="2:3">
      <c r="B354" s="1">
        <v>41768</v>
      </c>
      <c r="C354">
        <v>1400.9</v>
      </c>
    </row>
    <row r="355" spans="2:3">
      <c r="B355" s="1">
        <v>41775</v>
      </c>
      <c r="C355">
        <v>1460.6</v>
      </c>
    </row>
    <row r="356" spans="2:3">
      <c r="B356" s="1">
        <v>41782</v>
      </c>
      <c r="C356">
        <v>1453.4</v>
      </c>
    </row>
    <row r="357" spans="2:3">
      <c r="B357" s="1">
        <v>41789</v>
      </c>
      <c r="C357">
        <v>1382.6</v>
      </c>
    </row>
    <row r="358" spans="2:3">
      <c r="B358" s="1">
        <v>41796</v>
      </c>
      <c r="C358">
        <v>1516.9</v>
      </c>
    </row>
    <row r="359" spans="2:3">
      <c r="B359" s="1">
        <v>41803</v>
      </c>
      <c r="C359">
        <v>1321.3</v>
      </c>
    </row>
    <row r="360" spans="2:3">
      <c r="B360" s="1">
        <v>41810</v>
      </c>
      <c r="C360">
        <v>1333.5</v>
      </c>
    </row>
    <row r="361" spans="2:3">
      <c r="B361" s="1">
        <v>41817</v>
      </c>
      <c r="C361">
        <v>1341.8</v>
      </c>
    </row>
    <row r="362" spans="2:3">
      <c r="B362" s="1">
        <v>41824</v>
      </c>
      <c r="C362">
        <v>1346.8</v>
      </c>
    </row>
    <row r="363" spans="2:3">
      <c r="B363" s="1">
        <v>41831</v>
      </c>
      <c r="C363">
        <v>1329.7</v>
      </c>
    </row>
    <row r="364" spans="2:3">
      <c r="B364" s="1">
        <v>41838</v>
      </c>
      <c r="C364">
        <v>1400.7</v>
      </c>
    </row>
    <row r="365" spans="2:3">
      <c r="B365" s="1">
        <v>41845</v>
      </c>
      <c r="C365">
        <v>1327.5</v>
      </c>
    </row>
    <row r="366" spans="2:3">
      <c r="B366" s="1">
        <v>41852</v>
      </c>
      <c r="C366">
        <v>1373.9</v>
      </c>
    </row>
    <row r="367" spans="2:3">
      <c r="B367" s="1">
        <v>41859</v>
      </c>
      <c r="C367">
        <v>1342.6</v>
      </c>
    </row>
    <row r="368" spans="2:3">
      <c r="B368" s="1">
        <v>41866</v>
      </c>
      <c r="C368">
        <v>1404.9</v>
      </c>
    </row>
    <row r="369" spans="2:3">
      <c r="B369" s="1">
        <v>41873</v>
      </c>
      <c r="C369">
        <v>1439.4</v>
      </c>
    </row>
    <row r="370" spans="2:3">
      <c r="B370" s="1">
        <v>41880</v>
      </c>
      <c r="C370">
        <v>1436</v>
      </c>
    </row>
    <row r="371" spans="2:3">
      <c r="B371" s="1">
        <v>41887</v>
      </c>
      <c r="C371">
        <v>1275.8</v>
      </c>
    </row>
    <row r="372" spans="2:3">
      <c r="B372" s="1">
        <v>41894</v>
      </c>
      <c r="C372">
        <v>1398.4</v>
      </c>
    </row>
    <row r="373" spans="2:3">
      <c r="B373" s="1">
        <v>41901</v>
      </c>
      <c r="C373">
        <v>1335.1</v>
      </c>
    </row>
    <row r="374" spans="2:3">
      <c r="B374" s="1">
        <v>41908</v>
      </c>
      <c r="C374">
        <v>1326.2</v>
      </c>
    </row>
    <row r="375" spans="2:3">
      <c r="B375" s="1">
        <v>41915</v>
      </c>
      <c r="C375">
        <v>1387.1</v>
      </c>
    </row>
    <row r="376" spans="2:3">
      <c r="B376" s="1">
        <v>41922</v>
      </c>
      <c r="C376">
        <v>1560.6</v>
      </c>
    </row>
    <row r="377" spans="2:3">
      <c r="B377" s="1">
        <v>41929</v>
      </c>
      <c r="C377">
        <v>1898.2</v>
      </c>
    </row>
    <row r="378" spans="2:3">
      <c r="B378" s="1">
        <v>41936</v>
      </c>
      <c r="C378">
        <v>1713.6</v>
      </c>
    </row>
    <row r="379" spans="2:3">
      <c r="B379" s="1">
        <v>41943</v>
      </c>
      <c r="C379">
        <v>1604.8</v>
      </c>
    </row>
    <row r="380" spans="2:3">
      <c r="B380" s="1">
        <v>41950</v>
      </c>
      <c r="C380">
        <v>1565.3</v>
      </c>
    </row>
    <row r="381" spans="2:3">
      <c r="B381" s="1">
        <v>41957</v>
      </c>
      <c r="C381">
        <v>1563.2</v>
      </c>
    </row>
    <row r="382" spans="2:3">
      <c r="B382" s="1">
        <v>41964</v>
      </c>
      <c r="C382">
        <v>1547.9</v>
      </c>
    </row>
    <row r="383" spans="2:3">
      <c r="B383" s="1">
        <v>41971</v>
      </c>
      <c r="C383">
        <v>1366.6</v>
      </c>
    </row>
    <row r="384" spans="2:3">
      <c r="B384" s="1">
        <v>41978</v>
      </c>
      <c r="C384">
        <v>1548.6</v>
      </c>
    </row>
    <row r="385" spans="2:3">
      <c r="B385" s="1">
        <v>41985</v>
      </c>
      <c r="C385">
        <v>1518.8</v>
      </c>
    </row>
    <row r="386" spans="2:3">
      <c r="B386" s="1">
        <v>41992</v>
      </c>
      <c r="C386">
        <v>1538.7</v>
      </c>
    </row>
    <row r="387" spans="2:3">
      <c r="B387" s="1">
        <v>41998</v>
      </c>
      <c r="C387">
        <v>1164.2</v>
      </c>
    </row>
    <row r="388" spans="2:3">
      <c r="B388" s="1">
        <v>42005</v>
      </c>
      <c r="C388">
        <v>1347.6</v>
      </c>
    </row>
    <row r="389" spans="2:3">
      <c r="B389" s="1">
        <v>42013</v>
      </c>
      <c r="C389">
        <v>2271.5</v>
      </c>
    </row>
    <row r="390" spans="2:3">
      <c r="B390" s="1">
        <v>42020</v>
      </c>
      <c r="C390">
        <v>2799.3</v>
      </c>
    </row>
    <row r="391" spans="2:3">
      <c r="B391" s="1">
        <v>42027</v>
      </c>
      <c r="C391">
        <v>2572.3000000000002</v>
      </c>
    </row>
    <row r="392" spans="2:3">
      <c r="B392" s="1">
        <v>42034</v>
      </c>
      <c r="C392">
        <v>2584.8000000000002</v>
      </c>
    </row>
    <row r="393" spans="2:3">
      <c r="B393" s="1">
        <v>42041</v>
      </c>
      <c r="C393">
        <v>2291.3000000000002</v>
      </c>
    </row>
    <row r="394" spans="2:3">
      <c r="B394" s="1">
        <v>42048</v>
      </c>
      <c r="C394">
        <v>1904.2</v>
      </c>
    </row>
    <row r="395" spans="2:3">
      <c r="B395" s="1">
        <v>42055</v>
      </c>
      <c r="C395">
        <v>1703.1</v>
      </c>
    </row>
    <row r="396" spans="2:3">
      <c r="B396" s="1">
        <v>42062</v>
      </c>
      <c r="C396">
        <v>1740.3</v>
      </c>
    </row>
    <row r="397" spans="2:3">
      <c r="B397" s="1">
        <v>42069</v>
      </c>
      <c r="C397">
        <v>1685.7</v>
      </c>
    </row>
    <row r="398" spans="2:3">
      <c r="B398" s="1">
        <v>42076</v>
      </c>
      <c r="C398">
        <v>1623.6</v>
      </c>
    </row>
    <row r="399" spans="2:3">
      <c r="B399" s="1">
        <v>42083</v>
      </c>
      <c r="C399">
        <v>1860.8</v>
      </c>
    </row>
    <row r="400" spans="2:3">
      <c r="B400" s="1">
        <v>42090</v>
      </c>
      <c r="C400">
        <v>1941.6</v>
      </c>
    </row>
    <row r="401" spans="2:3">
      <c r="B401" s="1">
        <v>42097</v>
      </c>
      <c r="C401">
        <v>1854.7</v>
      </c>
    </row>
    <row r="402" spans="2:3">
      <c r="B402" s="1">
        <v>42104</v>
      </c>
      <c r="C402">
        <v>1804.6</v>
      </c>
    </row>
    <row r="403" spans="2:3">
      <c r="B403" s="1">
        <v>42111</v>
      </c>
      <c r="C403">
        <v>1817</v>
      </c>
    </row>
    <row r="404" spans="2:3">
      <c r="B404" s="1">
        <v>42118</v>
      </c>
      <c r="C404">
        <v>1723</v>
      </c>
    </row>
    <row r="405" spans="2:3">
      <c r="B405" s="1">
        <v>42125</v>
      </c>
      <c r="C405">
        <v>1559.4</v>
      </c>
    </row>
    <row r="406" spans="2:3">
      <c r="B406" s="1">
        <v>42132</v>
      </c>
      <c r="C406">
        <v>1477.8</v>
      </c>
    </row>
    <row r="407" spans="2:3">
      <c r="B407" s="1">
        <v>42139</v>
      </c>
      <c r="C407">
        <v>1448.8</v>
      </c>
    </row>
    <row r="408" spans="2:3">
      <c r="B408" s="1">
        <v>42146</v>
      </c>
      <c r="C408">
        <v>1408.1</v>
      </c>
    </row>
    <row r="409" spans="2:3">
      <c r="B409" s="1">
        <v>42153</v>
      </c>
      <c r="C409">
        <v>1233.9000000000001</v>
      </c>
    </row>
    <row r="410" spans="2:3">
      <c r="B410" s="1">
        <v>42160</v>
      </c>
      <c r="C410">
        <v>1342.4</v>
      </c>
    </row>
    <row r="411" spans="2:3">
      <c r="B411" s="1">
        <v>42167</v>
      </c>
      <c r="C411">
        <v>1273.4000000000001</v>
      </c>
    </row>
    <row r="412" spans="2:3">
      <c r="B412" s="1">
        <v>42174</v>
      </c>
      <c r="C412">
        <v>1318.3</v>
      </c>
    </row>
    <row r="413" spans="2:3">
      <c r="B413" s="1">
        <v>42181</v>
      </c>
      <c r="C413">
        <v>1246.0999999999999</v>
      </c>
    </row>
    <row r="414" spans="2:3">
      <c r="B414" s="1">
        <v>42188</v>
      </c>
      <c r="C414">
        <v>1299.9000000000001</v>
      </c>
    </row>
    <row r="415" spans="2:3">
      <c r="B415" s="1">
        <v>42195</v>
      </c>
      <c r="C415">
        <v>1332.4</v>
      </c>
    </row>
    <row r="416" spans="2:3">
      <c r="B416" s="1">
        <v>42202</v>
      </c>
      <c r="C416">
        <v>1305.5999999999999</v>
      </c>
    </row>
    <row r="417" spans="2:13">
      <c r="B417" s="1">
        <v>42209</v>
      </c>
      <c r="C417">
        <v>1339.9</v>
      </c>
      <c r="J417" s="1"/>
      <c r="K417" s="64"/>
      <c r="L417" s="64"/>
      <c r="M417" s="65"/>
    </row>
    <row r="418" spans="2:13">
      <c r="B418" s="1">
        <v>42216</v>
      </c>
      <c r="C418">
        <v>1418</v>
      </c>
    </row>
    <row r="419" spans="2:13">
      <c r="B419" s="1">
        <v>42223</v>
      </c>
      <c r="C419">
        <v>1455.2</v>
      </c>
    </row>
    <row r="420" spans="2:13">
      <c r="B420" s="1">
        <v>42230</v>
      </c>
      <c r="C420">
        <v>1561.2</v>
      </c>
    </row>
    <row r="421" spans="2:13">
      <c r="B421" s="1">
        <v>42237</v>
      </c>
      <c r="C421">
        <v>1545.5</v>
      </c>
    </row>
    <row r="422" spans="2:13">
      <c r="B422" s="1">
        <v>42244</v>
      </c>
      <c r="C422">
        <v>1857.7</v>
      </c>
    </row>
    <row r="423" spans="2:13">
      <c r="B423" s="1">
        <v>42251</v>
      </c>
      <c r="C423">
        <v>1626.9</v>
      </c>
    </row>
    <row r="424" spans="2:13">
      <c r="B424" s="1">
        <v>42258</v>
      </c>
      <c r="C424">
        <v>1473.7</v>
      </c>
    </row>
    <row r="425" spans="2:13">
      <c r="B425" s="1">
        <v>42265</v>
      </c>
      <c r="C425">
        <v>1759.9</v>
      </c>
    </row>
    <row r="426" spans="2:13">
      <c r="B426" s="1">
        <v>42272</v>
      </c>
      <c r="C426">
        <v>1589.5</v>
      </c>
    </row>
    <row r="427" spans="2:13">
      <c r="B427" s="1">
        <v>42279</v>
      </c>
      <c r="C427">
        <v>2071.6</v>
      </c>
    </row>
    <row r="428" spans="2:13">
      <c r="B428" s="1">
        <v>42286</v>
      </c>
      <c r="C428">
        <v>1534.5</v>
      </c>
    </row>
    <row r="429" spans="2:13">
      <c r="B429" s="1">
        <v>42293</v>
      </c>
      <c r="C429">
        <v>1575.3</v>
      </c>
    </row>
    <row r="430" spans="2:13">
      <c r="B430" s="1">
        <v>42300</v>
      </c>
      <c r="C430">
        <v>1544.8</v>
      </c>
    </row>
    <row r="431" spans="2:13">
      <c r="B431" s="1">
        <v>42307</v>
      </c>
      <c r="C431">
        <v>1548.6</v>
      </c>
    </row>
    <row r="432" spans="2:13">
      <c r="B432" s="1">
        <v>42314</v>
      </c>
      <c r="C432">
        <v>1514.1</v>
      </c>
    </row>
    <row r="433" spans="2:3">
      <c r="B433" s="1">
        <v>42321</v>
      </c>
      <c r="C433">
        <v>1528.7</v>
      </c>
    </row>
    <row r="434" spans="2:3">
      <c r="B434" s="1">
        <v>42328</v>
      </c>
      <c r="C434">
        <v>1489</v>
      </c>
    </row>
    <row r="435" spans="2:3">
      <c r="B435" s="1">
        <v>42334</v>
      </c>
      <c r="C435">
        <v>1410.2</v>
      </c>
    </row>
    <row r="436" spans="2:3">
      <c r="B436" s="1">
        <v>42342</v>
      </c>
      <c r="C436">
        <v>1451.5</v>
      </c>
    </row>
    <row r="437" spans="2:3">
      <c r="B437" s="1">
        <v>42349</v>
      </c>
      <c r="C437">
        <v>1470.6</v>
      </c>
    </row>
    <row r="438" spans="2:3">
      <c r="B438" s="1">
        <v>42356</v>
      </c>
      <c r="C438">
        <v>1667.4</v>
      </c>
    </row>
    <row r="439" spans="2:3">
      <c r="B439" s="1">
        <v>42363</v>
      </c>
      <c r="C439">
        <v>1174.0999999999999</v>
      </c>
    </row>
    <row r="440" spans="2:3">
      <c r="B440" s="1">
        <v>42370</v>
      </c>
      <c r="C440">
        <v>1020.5</v>
      </c>
    </row>
    <row r="441" spans="2:3">
      <c r="B441" s="1">
        <v>42377</v>
      </c>
      <c r="C441">
        <v>1273.8</v>
      </c>
    </row>
    <row r="442" spans="2:3">
      <c r="B442" s="1">
        <v>42384</v>
      </c>
      <c r="C442">
        <v>1544.6</v>
      </c>
    </row>
    <row r="443" spans="2:3">
      <c r="B443" s="1">
        <v>42391</v>
      </c>
      <c r="C443">
        <v>1734.4</v>
      </c>
    </row>
    <row r="444" spans="2:3">
      <c r="B444" s="1">
        <v>42398</v>
      </c>
      <c r="C444">
        <v>1726.6</v>
      </c>
    </row>
    <row r="445" spans="2:3">
      <c r="B445" s="1">
        <v>42405</v>
      </c>
      <c r="C445">
        <v>2015.4</v>
      </c>
    </row>
    <row r="446" spans="2:3">
      <c r="B446" s="1">
        <v>42412</v>
      </c>
      <c r="C446">
        <v>2341.5</v>
      </c>
    </row>
    <row r="447" spans="2:3">
      <c r="B447" s="1">
        <v>42419</v>
      </c>
      <c r="C447">
        <v>2099.9</v>
      </c>
    </row>
    <row r="448" spans="2:3">
      <c r="B448" s="1">
        <v>42426</v>
      </c>
      <c r="C448">
        <v>1992.9</v>
      </c>
    </row>
    <row r="449" spans="2:3">
      <c r="B449" s="1">
        <v>42433</v>
      </c>
      <c r="C449">
        <v>1928</v>
      </c>
    </row>
    <row r="450" spans="2:3">
      <c r="B450" s="1">
        <v>42440</v>
      </c>
      <c r="C450">
        <v>1841.2</v>
      </c>
    </row>
    <row r="451" spans="2:3">
      <c r="B451" s="1">
        <v>42447</v>
      </c>
      <c r="C451">
        <v>1743.3</v>
      </c>
    </row>
    <row r="452" spans="2:3">
      <c r="B452" s="1">
        <v>42454</v>
      </c>
      <c r="C452">
        <v>1671.6</v>
      </c>
    </row>
    <row r="453" spans="2:3">
      <c r="B453" s="1">
        <v>42461</v>
      </c>
      <c r="C453">
        <v>1815.4</v>
      </c>
    </row>
    <row r="454" spans="2:3">
      <c r="B454" s="1">
        <v>42468</v>
      </c>
      <c r="C454">
        <v>2061.1</v>
      </c>
    </row>
    <row r="455" spans="2:3">
      <c r="B455" s="1">
        <v>42475</v>
      </c>
      <c r="C455">
        <v>2072.6</v>
      </c>
    </row>
    <row r="456" spans="2:3">
      <c r="B456" s="1">
        <v>42482</v>
      </c>
      <c r="C456">
        <v>1910.1</v>
      </c>
    </row>
    <row r="457" spans="2:3">
      <c r="B457" s="1">
        <v>42489</v>
      </c>
      <c r="C457">
        <v>1791.9</v>
      </c>
    </row>
    <row r="458" spans="2:3">
      <c r="B458" s="1">
        <v>42496</v>
      </c>
      <c r="C458">
        <v>1812</v>
      </c>
    </row>
    <row r="459" spans="2:3">
      <c r="B459" s="1">
        <v>42503</v>
      </c>
      <c r="C459">
        <v>1849.7</v>
      </c>
    </row>
    <row r="460" spans="2:3">
      <c r="B460" s="1">
        <v>42510</v>
      </c>
      <c r="C460">
        <v>1866.3</v>
      </c>
    </row>
    <row r="461" spans="2:3">
      <c r="B461" s="1">
        <v>42517</v>
      </c>
      <c r="C461">
        <v>1770.1</v>
      </c>
    </row>
    <row r="462" spans="2:3">
      <c r="B462" s="1">
        <v>42524</v>
      </c>
      <c r="C462">
        <v>1922.8</v>
      </c>
    </row>
    <row r="463" spans="2:3">
      <c r="B463" s="1">
        <v>42531</v>
      </c>
      <c r="C463">
        <v>1967.5</v>
      </c>
    </row>
    <row r="464" spans="2:3">
      <c r="B464" s="1">
        <v>42538</v>
      </c>
      <c r="C464">
        <v>2081.1999999999998</v>
      </c>
    </row>
    <row r="465" spans="2:3">
      <c r="B465" s="1">
        <v>42545</v>
      </c>
      <c r="C465">
        <v>2037</v>
      </c>
    </row>
    <row r="466" spans="2:3">
      <c r="B466" s="1">
        <v>42552</v>
      </c>
      <c r="C466">
        <v>2474.3000000000002</v>
      </c>
    </row>
    <row r="467" spans="2:3">
      <c r="B467" s="1">
        <v>42559</v>
      </c>
      <c r="C467">
        <v>2771.6</v>
      </c>
    </row>
    <row r="468" spans="2:3">
      <c r="B468" s="1">
        <v>42566</v>
      </c>
      <c r="C468">
        <v>2783.1</v>
      </c>
    </row>
    <row r="469" spans="2:3">
      <c r="B469" s="1">
        <v>42573</v>
      </c>
      <c r="C469">
        <v>2333.1999999999998</v>
      </c>
    </row>
    <row r="470" spans="2:3">
      <c r="B470" s="1">
        <v>42580</v>
      </c>
      <c r="C470">
        <v>2254.9</v>
      </c>
    </row>
    <row r="471" spans="2:3">
      <c r="B471" s="1">
        <v>42587</v>
      </c>
      <c r="C471">
        <v>2386.3000000000002</v>
      </c>
    </row>
    <row r="472" spans="2:3">
      <c r="B472" s="1">
        <v>42594</v>
      </c>
      <c r="C472">
        <v>2302.4</v>
      </c>
    </row>
    <row r="473" spans="2:3">
      <c r="B473" s="1">
        <v>42601</v>
      </c>
      <c r="C473">
        <v>2296.5</v>
      </c>
    </row>
    <row r="474" spans="2:3">
      <c r="B474" s="1">
        <v>42608</v>
      </c>
      <c r="C474">
        <v>2329.9</v>
      </c>
    </row>
    <row r="475" spans="2:3">
      <c r="B475" s="1">
        <v>42615</v>
      </c>
      <c r="C475">
        <v>2382.1999999999998</v>
      </c>
    </row>
    <row r="476" spans="2:3">
      <c r="B476" s="1">
        <v>42622</v>
      </c>
      <c r="C476">
        <v>2424.5</v>
      </c>
    </row>
    <row r="477" spans="2:3">
      <c r="B477" s="1">
        <v>42629</v>
      </c>
      <c r="C477">
        <v>2217.4</v>
      </c>
    </row>
    <row r="478" spans="2:3">
      <c r="B478" s="1">
        <v>42636</v>
      </c>
      <c r="C478">
        <v>2170.3000000000002</v>
      </c>
    </row>
    <row r="479" spans="2:3">
      <c r="B479" s="1">
        <v>42643</v>
      </c>
      <c r="C479">
        <v>2301.9</v>
      </c>
    </row>
    <row r="480" spans="2:3">
      <c r="B480" s="1">
        <v>42650</v>
      </c>
      <c r="C480">
        <v>2075.9</v>
      </c>
    </row>
    <row r="481" spans="2:3">
      <c r="B481" s="1">
        <v>42657</v>
      </c>
      <c r="C481">
        <v>2006.9</v>
      </c>
    </row>
    <row r="482" spans="2:3">
      <c r="B482" s="1">
        <v>42664</v>
      </c>
      <c r="C482">
        <v>1972.5</v>
      </c>
    </row>
    <row r="483" spans="2:3">
      <c r="B483" s="1">
        <v>42671</v>
      </c>
      <c r="C483">
        <v>1937.8</v>
      </c>
    </row>
    <row r="484" spans="2:3">
      <c r="B484" s="1">
        <v>42678</v>
      </c>
      <c r="C484">
        <v>1883</v>
      </c>
    </row>
    <row r="485" spans="2:3">
      <c r="B485" s="1">
        <v>42685</v>
      </c>
      <c r="C485">
        <v>1648</v>
      </c>
    </row>
    <row r="486" spans="2:3">
      <c r="B486" s="1">
        <v>42692</v>
      </c>
      <c r="C486">
        <v>1620.2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32"/>
  <sheetViews>
    <sheetView workbookViewId="0">
      <selection activeCell="C8" sqref="C8"/>
    </sheetView>
  </sheetViews>
  <sheetFormatPr defaultRowHeight="12.75"/>
  <cols>
    <col min="1" max="1" width="15.140625" style="6" bestFit="1" customWidth="1"/>
    <col min="2" max="2" width="10.42578125" style="6" bestFit="1" customWidth="1"/>
    <col min="3" max="16384" width="9.140625" style="6"/>
  </cols>
  <sheetData>
    <row r="1" spans="1:16">
      <c r="F1" s="6" t="s">
        <v>23</v>
      </c>
    </row>
    <row r="2" spans="1:16">
      <c r="B2" s="6" t="s">
        <v>31</v>
      </c>
      <c r="C2" s="6" t="s">
        <v>32</v>
      </c>
      <c r="F2" s="6" t="s">
        <v>33</v>
      </c>
      <c r="G2" s="6" t="s">
        <v>34</v>
      </c>
      <c r="H2" s="6" t="s">
        <v>35</v>
      </c>
      <c r="I2" s="6" t="s">
        <v>36</v>
      </c>
      <c r="J2" s="6" t="s">
        <v>37</v>
      </c>
      <c r="K2" s="6" t="s">
        <v>38</v>
      </c>
      <c r="L2" s="6" t="s">
        <v>39</v>
      </c>
      <c r="M2" s="6" t="s">
        <v>40</v>
      </c>
      <c r="N2" s="6" t="s">
        <v>41</v>
      </c>
      <c r="O2" s="6" t="s">
        <v>42</v>
      </c>
      <c r="P2" s="6" t="s">
        <v>43</v>
      </c>
    </row>
    <row r="3" spans="1:16">
      <c r="B3" s="18">
        <v>42697</v>
      </c>
      <c r="C3" s="32">
        <v>3.9050000000000002</v>
      </c>
      <c r="F3" s="30">
        <v>0.67887315047298136</v>
      </c>
      <c r="G3" s="30">
        <v>0.58695367066502324</v>
      </c>
      <c r="H3" s="30">
        <v>0.51691917619026739</v>
      </c>
      <c r="I3" s="30">
        <v>0.4510613731800453</v>
      </c>
      <c r="J3" s="30">
        <v>0.40558164364754506</v>
      </c>
      <c r="K3" s="30">
        <v>0.35058378656462608</v>
      </c>
      <c r="L3" s="30">
        <v>0.28901547109491404</v>
      </c>
      <c r="M3" s="30">
        <v>0.24352051730748486</v>
      </c>
      <c r="N3" s="30">
        <v>0.20600342257907078</v>
      </c>
      <c r="O3" s="30">
        <v>0.1895763950041858</v>
      </c>
      <c r="P3" s="30">
        <v>0.14417610502386966</v>
      </c>
    </row>
    <row r="5" spans="1:16">
      <c r="B5" s="18">
        <f>CurrentMtgRatesDataTable82523[AsOfDate]</f>
        <v>42697</v>
      </c>
      <c r="C5" s="6">
        <f>CurrentMtgRatesDataTable82523[SeriesNumValue]</f>
        <v>3.9050000000000002</v>
      </c>
    </row>
    <row r="6" spans="1:16">
      <c r="F6" s="6" t="s">
        <v>24</v>
      </c>
    </row>
    <row r="7" spans="1:16">
      <c r="F7" s="6" t="s">
        <v>33</v>
      </c>
      <c r="G7" s="6" t="s">
        <v>34</v>
      </c>
      <c r="H7" s="6" t="s">
        <v>35</v>
      </c>
      <c r="I7" s="6" t="s">
        <v>36</v>
      </c>
      <c r="J7" s="6" t="s">
        <v>37</v>
      </c>
      <c r="K7" s="6" t="s">
        <v>38</v>
      </c>
      <c r="L7" s="6" t="s">
        <v>39</v>
      </c>
      <c r="M7" s="6" t="s">
        <v>40</v>
      </c>
      <c r="N7" s="6" t="s">
        <v>41</v>
      </c>
      <c r="O7" s="6" t="s">
        <v>42</v>
      </c>
      <c r="P7" s="6" t="s">
        <v>43</v>
      </c>
    </row>
    <row r="8" spans="1:16">
      <c r="A8" s="6" t="s">
        <v>90</v>
      </c>
      <c r="B8" s="75" t="str">
        <f>TEXT(CurrentCloseDate,"yyyy-mm-dd")</f>
        <v>2016-11-28</v>
      </c>
      <c r="C8" s="6">
        <f>VLOOKUP(B8,'Current Coupon'!S:T,2,0)</f>
        <v>3.0232721749517699</v>
      </c>
      <c r="F8" s="6">
        <v>0.62189467943359122</v>
      </c>
      <c r="G8" s="6">
        <v>0.51596464926495167</v>
      </c>
      <c r="H8" s="6">
        <v>0.43621860494286335</v>
      </c>
      <c r="I8" s="6">
        <v>0.39126981743213618</v>
      </c>
      <c r="J8" s="6">
        <v>0.34937282511225631</v>
      </c>
      <c r="K8" s="6">
        <v>0.30733940235390333</v>
      </c>
      <c r="L8" s="6">
        <v>0.2628303136301563</v>
      </c>
      <c r="M8" s="6">
        <v>0.22202897421272344</v>
      </c>
      <c r="N8" s="6">
        <v>0.19751458384245796</v>
      </c>
      <c r="O8" s="6">
        <v>0.17714388506437129</v>
      </c>
      <c r="P8" s="6">
        <v>0.14104794586159894</v>
      </c>
    </row>
    <row r="9" spans="1:16">
      <c r="A9" s="6" t="s">
        <v>76</v>
      </c>
      <c r="B9" s="6" t="str">
        <f>TEXT(B5-1,"yyyy-mm-dd")</f>
        <v>2016-11-22</v>
      </c>
      <c r="C9" s="6">
        <f>VLOOKUP(B9,'Current Coupon'!A:M,11,0)</f>
        <v>0.90773422124067249</v>
      </c>
    </row>
    <row r="10" spans="1:16">
      <c r="A10" s="6" t="s">
        <v>91</v>
      </c>
      <c r="C10" s="6">
        <f>C8+C9</f>
        <v>3.9310063961924424</v>
      </c>
      <c r="F10" s="6" t="s">
        <v>64</v>
      </c>
    </row>
    <row r="11" spans="1:16">
      <c r="F11" s="126" t="s">
        <v>135</v>
      </c>
      <c r="G11" s="126" t="s">
        <v>136</v>
      </c>
      <c r="H11" s="126" t="s">
        <v>137</v>
      </c>
      <c r="I11" s="126" t="s">
        <v>138</v>
      </c>
      <c r="J11" s="126" t="s">
        <v>139</v>
      </c>
      <c r="K11" s="126" t="s">
        <v>140</v>
      </c>
      <c r="L11" s="126" t="s">
        <v>141</v>
      </c>
      <c r="M11" s="126" t="s">
        <v>142</v>
      </c>
      <c r="N11" s="126" t="s">
        <v>143</v>
      </c>
      <c r="O11" s="126" t="s">
        <v>144</v>
      </c>
      <c r="P11" s="126" t="s">
        <v>145</v>
      </c>
    </row>
    <row r="12" spans="1:16"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</row>
    <row r="15" spans="1:16">
      <c r="E15" s="28"/>
      <c r="F15" s="28" t="s">
        <v>48</v>
      </c>
      <c r="G15" s="28" t="s">
        <v>47</v>
      </c>
      <c r="H15" s="28" t="s">
        <v>46</v>
      </c>
      <c r="I15" s="28" t="s">
        <v>45</v>
      </c>
      <c r="J15" s="28" t="s">
        <v>44</v>
      </c>
      <c r="K15" s="35">
        <f>ImpliedRate</f>
        <v>3.9310063961924424</v>
      </c>
      <c r="L15" s="28" t="s">
        <v>49</v>
      </c>
      <c r="M15" s="28" t="s">
        <v>50</v>
      </c>
      <c r="N15" s="28" t="s">
        <v>51</v>
      </c>
      <c r="O15" s="28" t="s">
        <v>52</v>
      </c>
      <c r="P15" s="28" t="s">
        <v>53</v>
      </c>
    </row>
    <row r="16" spans="1:16">
      <c r="E16" s="76" t="s">
        <v>25</v>
      </c>
      <c r="F16" s="77">
        <f>CurrentMtgRatesDataTable825234[refinancible1]</f>
        <v>0.67887315047298136</v>
      </c>
      <c r="G16" s="77">
        <f>CurrentMtgRatesDataTable825234[refinancible2]</f>
        <v>0.58695367066502324</v>
      </c>
      <c r="H16" s="77">
        <f>CurrentMtgRatesDataTable825234[refinancible3]</f>
        <v>0.51691917619026739</v>
      </c>
      <c r="I16" s="77">
        <f>CurrentMtgRatesDataTable825234[refinancible4]</f>
        <v>0.4510613731800453</v>
      </c>
      <c r="J16" s="77">
        <f>CurrentMtgRatesDataTable825234[refinancible5]</f>
        <v>0.40558164364754506</v>
      </c>
      <c r="K16" s="77">
        <f>CurrentMtgRatesDataTable825234[refinancible6]</f>
        <v>0.35058378656462608</v>
      </c>
      <c r="L16" s="77">
        <f>CurrentMtgRatesDataTable825234[refinancible7]</f>
        <v>0.28901547109491404</v>
      </c>
      <c r="M16" s="77">
        <f>CurrentMtgRatesDataTable825234[refinancible8]</f>
        <v>0.24352051730748486</v>
      </c>
      <c r="N16" s="77">
        <f>CurrentMtgRatesDataTable825234[refinancible9]</f>
        <v>0.20600342257907078</v>
      </c>
      <c r="O16" s="77">
        <f>CurrentMtgRatesDataTable825234[refinancible10]</f>
        <v>0.1895763950041858</v>
      </c>
      <c r="P16" s="77">
        <f>CurrentMtgRatesDataTable825234[refinancible11]</f>
        <v>0.14417610502386966</v>
      </c>
    </row>
    <row r="17" spans="5:16">
      <c r="E17" s="76" t="s">
        <v>22</v>
      </c>
      <c r="F17" s="77">
        <f>CurrentMtgRatesDataTable8252346[refinancible1]</f>
        <v>0.62189467943359122</v>
      </c>
      <c r="G17" s="77">
        <f>CurrentMtgRatesDataTable8252346[refinancible2]</f>
        <v>0.51596464926495167</v>
      </c>
      <c r="H17" s="77">
        <f>CurrentMtgRatesDataTable8252346[refinancible3]</f>
        <v>0.43621860494286335</v>
      </c>
      <c r="I17" s="77">
        <f>CurrentMtgRatesDataTable8252346[refinancible4]</f>
        <v>0.39126981743213618</v>
      </c>
      <c r="J17" s="77">
        <f>CurrentMtgRatesDataTable8252346[refinancible5]</f>
        <v>0.34937282511225631</v>
      </c>
      <c r="K17" s="77">
        <f>CurrentMtgRatesDataTable8252346[refinancible6]</f>
        <v>0.30733940235390333</v>
      </c>
      <c r="L17" s="77">
        <f>CurrentMtgRatesDataTable8252346[refinancible7]</f>
        <v>0.2628303136301563</v>
      </c>
      <c r="M17" s="77">
        <f>CurrentMtgRatesDataTable8252346[refinancible8]</f>
        <v>0.22202897421272344</v>
      </c>
      <c r="N17" s="77">
        <f>CurrentMtgRatesDataTable8252346[refinancible9]</f>
        <v>0.19751458384245796</v>
      </c>
      <c r="O17" s="77">
        <f>CurrentMtgRatesDataTable8252346[refinancible10]</f>
        <v>0.17714388506437129</v>
      </c>
      <c r="P17" s="77">
        <f>CurrentMtgRatesDataTable8252346[refinancible11]</f>
        <v>0.14104794586159894</v>
      </c>
    </row>
    <row r="18" spans="5:16">
      <c r="E18" s="76" t="s">
        <v>63</v>
      </c>
      <c r="F18" s="77">
        <f>CurrentMtgRatesDataTable82523468[refinanceable1]</f>
        <v>0</v>
      </c>
      <c r="G18" s="77">
        <f>CurrentMtgRatesDataTable82523468[refinanceable2]</f>
        <v>0</v>
      </c>
      <c r="H18" s="77">
        <f>CurrentMtgRatesDataTable82523468[refinanceable3]</f>
        <v>0</v>
      </c>
      <c r="I18" s="77">
        <f>CurrentMtgRatesDataTable82523468[refinanceable4]</f>
        <v>0</v>
      </c>
      <c r="J18" s="77">
        <f>CurrentMtgRatesDataTable82523468[refinanceable5]</f>
        <v>0</v>
      </c>
      <c r="K18" s="77">
        <f>CurrentMtgRatesDataTable82523468[refinanceable6]</f>
        <v>0</v>
      </c>
      <c r="L18" s="77">
        <f>CurrentMtgRatesDataTable82523468[refinanceable7]</f>
        <v>0</v>
      </c>
      <c r="M18" s="77">
        <f>CurrentMtgRatesDataTable82523468[refinanceable8]</f>
        <v>0</v>
      </c>
      <c r="N18" s="77">
        <f>CurrentMtgRatesDataTable82523468[refinanceable9]</f>
        <v>0</v>
      </c>
      <c r="O18" s="77">
        <f>CurrentMtgRatesDataTable82523468[refinanceable10]</f>
        <v>0</v>
      </c>
      <c r="P18" s="77">
        <f>CurrentMtgRatesDataTable82523468[refinanceable11]</f>
        <v>0</v>
      </c>
    </row>
    <row r="19" spans="5:16">
      <c r="E19" s="76" t="s">
        <v>96</v>
      </c>
      <c r="F19" s="77">
        <f>CurrentMtgRatesDataTable825234682[refinanceable1]</f>
        <v>1.0469369956980943E-3</v>
      </c>
      <c r="G19" s="77">
        <f>CurrentMtgRatesDataTable825234682[refinanceable2]</f>
        <v>5.0161297528015744E-4</v>
      </c>
      <c r="H19" s="77">
        <f>CurrentMtgRatesDataTable825234682[refinanceable3]</f>
        <v>2.539778299511381E-4</v>
      </c>
      <c r="I19" s="77">
        <f>CurrentMtgRatesDataTable825234682[refinanceable4]</f>
        <v>1.764316138983977E-4</v>
      </c>
      <c r="J19" s="77">
        <f>CurrentMtgRatesDataTable825234682[refinanceable5]</f>
        <v>6.8737407271820695E-5</v>
      </c>
      <c r="K19" s="77">
        <f>CurrentMtgRatesDataTable825234682[refinanceable6]</f>
        <v>4.4705730322494124E-5</v>
      </c>
      <c r="L19" s="77">
        <f>CurrentMtgRatesDataTable825234682[refinanceable7]</f>
        <v>3.1247354702148059E-5</v>
      </c>
      <c r="M19" s="77">
        <f>CurrentMtgRatesDataTable825234682[refinanceable8]</f>
        <v>1.5709468943600092E-5</v>
      </c>
      <c r="N19" s="77">
        <f>CurrentMtgRatesDataTable825234682[refinanceable9]</f>
        <v>1.2062081290111748E-5</v>
      </c>
      <c r="O19" s="77">
        <f>CurrentMtgRatesDataTable825234682[refinanceable10]</f>
        <v>2.9760866395791746E-6</v>
      </c>
      <c r="P19" s="77">
        <f>CurrentMtgRatesDataTable825234682[refinanceable11]</f>
        <v>2.9760866395791746E-6</v>
      </c>
    </row>
    <row r="30" spans="5:16" ht="15">
      <c r="F30" t="s">
        <v>96</v>
      </c>
      <c r="G30"/>
      <c r="H30"/>
      <c r="I30"/>
      <c r="J30"/>
      <c r="K30"/>
      <c r="L30"/>
      <c r="M30"/>
      <c r="N30"/>
      <c r="O30"/>
      <c r="P30"/>
    </row>
    <row r="31" spans="5:16">
      <c r="F31" s="126" t="s">
        <v>135</v>
      </c>
      <c r="G31" s="126" t="s">
        <v>136</v>
      </c>
      <c r="H31" s="126" t="s">
        <v>137</v>
      </c>
      <c r="I31" s="126" t="s">
        <v>138</v>
      </c>
      <c r="J31" s="126" t="s">
        <v>139</v>
      </c>
      <c r="K31" s="126" t="s">
        <v>140</v>
      </c>
      <c r="L31" s="126" t="s">
        <v>141</v>
      </c>
      <c r="M31" s="126" t="s">
        <v>142</v>
      </c>
      <c r="N31" s="126" t="s">
        <v>143</v>
      </c>
      <c r="O31" s="126" t="s">
        <v>144</v>
      </c>
      <c r="P31" s="126" t="s">
        <v>145</v>
      </c>
    </row>
    <row r="32" spans="5:16">
      <c r="F32" s="6">
        <v>1.0469369956980943E-3</v>
      </c>
      <c r="G32" s="6">
        <v>5.0161297528015744E-4</v>
      </c>
      <c r="H32" s="6">
        <v>2.539778299511381E-4</v>
      </c>
      <c r="I32" s="6">
        <v>1.764316138983977E-4</v>
      </c>
      <c r="J32" s="6">
        <v>6.8737407271820695E-5</v>
      </c>
      <c r="K32" s="6">
        <v>4.4705730322494124E-5</v>
      </c>
      <c r="L32" s="6">
        <v>3.1247354702148059E-5</v>
      </c>
      <c r="M32" s="6">
        <v>1.5709468943600092E-5</v>
      </c>
      <c r="N32" s="6">
        <v>1.2062081290111748E-5</v>
      </c>
      <c r="O32" s="6">
        <v>2.9760866395791746E-6</v>
      </c>
      <c r="P32" s="6">
        <v>2.9760866395791746E-6</v>
      </c>
    </row>
  </sheetData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V151"/>
  <sheetViews>
    <sheetView workbookViewId="0">
      <selection activeCell="S5" sqref="S5"/>
    </sheetView>
  </sheetViews>
  <sheetFormatPr defaultRowHeight="12.75"/>
  <cols>
    <col min="1" max="1" width="16.7109375" style="69" customWidth="1"/>
    <col min="2" max="2" width="10.140625" style="69" bestFit="1" customWidth="1"/>
    <col min="3" max="6" width="10.140625" style="69" customWidth="1"/>
    <col min="7" max="7" width="14.140625" style="69" bestFit="1" customWidth="1"/>
    <col min="8" max="8" width="13.85546875" style="69" bestFit="1" customWidth="1"/>
    <col min="9" max="9" width="21.85546875" style="69" bestFit="1" customWidth="1"/>
    <col min="10" max="10" width="16.7109375" style="69" bestFit="1" customWidth="1"/>
    <col min="11" max="11" width="15.7109375" style="69" bestFit="1" customWidth="1"/>
    <col min="12" max="12" width="13.85546875" style="69" bestFit="1" customWidth="1"/>
    <col min="13" max="13" width="22" style="69" bestFit="1" customWidth="1"/>
    <col min="14" max="14" width="13.85546875" style="69" bestFit="1" customWidth="1"/>
    <col min="15" max="15" width="12.5703125" style="69" bestFit="1" customWidth="1"/>
    <col min="16" max="16" width="12" style="69" bestFit="1" customWidth="1"/>
    <col min="17" max="17" width="15.140625" style="69" bestFit="1" customWidth="1"/>
    <col min="18" max="18" width="15.140625" style="69" customWidth="1"/>
    <col min="19" max="19" width="14.140625" style="69" bestFit="1" customWidth="1"/>
    <col min="20" max="20" width="14.140625" style="69" customWidth="1"/>
    <col min="21" max="21" width="12" style="69" bestFit="1" customWidth="1"/>
    <col min="22" max="22" width="12" style="69" customWidth="1"/>
    <col min="23" max="23" width="12" style="69" bestFit="1" customWidth="1"/>
    <col min="24" max="24" width="16" style="69" bestFit="1" customWidth="1"/>
    <col min="25" max="25" width="14.7109375" style="69" bestFit="1" customWidth="1"/>
    <col min="26" max="26" width="16" style="69" bestFit="1" customWidth="1"/>
    <col min="27" max="27" width="17.5703125" style="69" bestFit="1" customWidth="1"/>
    <col min="28" max="28" width="12.140625" style="69" bestFit="1" customWidth="1"/>
    <col min="29" max="29" width="8.5703125" style="69" bestFit="1" customWidth="1"/>
    <col min="30" max="30" width="15.28515625" style="69" customWidth="1"/>
    <col min="31" max="31" width="11.7109375" style="69" bestFit="1" customWidth="1"/>
    <col min="32" max="32" width="10.28515625" style="69" bestFit="1" customWidth="1"/>
    <col min="33" max="33" width="12" style="69" bestFit="1" customWidth="1"/>
    <col min="34" max="34" width="14.42578125" style="69" customWidth="1"/>
    <col min="35" max="35" width="18.5703125" style="69" bestFit="1" customWidth="1"/>
    <col min="36" max="36" width="10.7109375" style="69" bestFit="1" customWidth="1"/>
    <col min="37" max="37" width="16.42578125" style="69" bestFit="1" customWidth="1"/>
    <col min="38" max="38" width="16.140625" style="69" bestFit="1" customWidth="1"/>
    <col min="39" max="39" width="14.42578125" style="69" customWidth="1"/>
    <col min="40" max="40" width="12.28515625" style="69" customWidth="1"/>
    <col min="41" max="16384" width="9.140625" style="69"/>
  </cols>
  <sheetData>
    <row r="3" spans="1:22" ht="23.25">
      <c r="A3" s="68" t="s">
        <v>87</v>
      </c>
      <c r="U3" s="68" t="s">
        <v>87</v>
      </c>
      <c r="V3" s="68"/>
    </row>
    <row r="4" spans="1:22" s="70" customFormat="1">
      <c r="A4" s="70" t="s">
        <v>31</v>
      </c>
      <c r="B4" s="70" t="s">
        <v>32</v>
      </c>
      <c r="C4" s="70" t="s">
        <v>69</v>
      </c>
      <c r="D4" s="70" t="s">
        <v>70</v>
      </c>
      <c r="E4" s="70" t="s">
        <v>71</v>
      </c>
      <c r="F4" s="70" t="s">
        <v>72</v>
      </c>
      <c r="G4" s="70" t="s">
        <v>73</v>
      </c>
      <c r="H4" s="70" t="s">
        <v>74</v>
      </c>
      <c r="I4" s="70" t="s">
        <v>75</v>
      </c>
      <c r="J4" s="70" t="s">
        <v>76</v>
      </c>
      <c r="K4" s="70" t="s">
        <v>77</v>
      </c>
      <c r="L4" s="70" t="s">
        <v>78</v>
      </c>
      <c r="M4" s="70" t="s">
        <v>79</v>
      </c>
      <c r="S4" s="70" t="s">
        <v>31</v>
      </c>
      <c r="T4" s="70" t="s">
        <v>32</v>
      </c>
      <c r="U4" s="70" t="s">
        <v>88</v>
      </c>
    </row>
    <row r="5" spans="1:22" s="73" customFormat="1">
      <c r="A5" s="71" t="s">
        <v>99</v>
      </c>
      <c r="B5" s="72">
        <v>2.3593230360377899</v>
      </c>
      <c r="C5" s="72">
        <v>3.2949999999999999</v>
      </c>
      <c r="D5" s="73">
        <f t="shared" ref="D5:D40" si="0">WEEKDAY(A5,14)</f>
        <v>5</v>
      </c>
      <c r="E5" s="73">
        <f t="shared" ref="E5:E40" si="1">VLOOKUP(D5,P$5:Q$11,2,FALSE)</f>
        <v>0.2</v>
      </c>
      <c r="F5" s="73">
        <f t="shared" ref="F5:F40" si="2">IF(AND(D5&gt;D4,F4&lt;6),F4+1,1)</f>
        <v>1</v>
      </c>
      <c r="G5" s="73">
        <f t="shared" ref="G5:G40" si="3">IF(F5&gt;F4,G4+B5*E5,B5*E5)</f>
        <v>0.47186460720755802</v>
      </c>
      <c r="H5" s="73">
        <f t="shared" ref="H5:H40" si="4">IF(AND(F5&lt;6,F5&gt;F4),E5+H4,E5)</f>
        <v>0.2</v>
      </c>
      <c r="I5" s="73">
        <f t="shared" ref="I5:I40" si="5">IF(F5&gt;F6,G5/H5,0)</f>
        <v>0</v>
      </c>
      <c r="J5" s="72">
        <f>IF(CurrentMtgRatesDataTable811[[#This Row],[WA CC]]&lt;&gt;0,C4-CurrentMtgRatesDataTable811[[#This Row],[WA CC]],0)</f>
        <v>0</v>
      </c>
      <c r="K5" s="72" t="str">
        <f>IF(CurrentMtgRatesDataTable811[[#This Row],[Servicing Spread]]&lt;=0,K4,CurrentMtgRatesDataTable811[[#This Row],[Servicing Spread]])</f>
        <v>Servicing Spread Non-Zero</v>
      </c>
      <c r="L5" s="72" t="e">
        <f>CurrentMtgRatesDataTable811[[#This Row],[Servicing Spread Non-Zero]]-K4</f>
        <v>#VALUE!</v>
      </c>
      <c r="M5" s="72" t="e">
        <f>IF(I4&lt;&gt;0,CurrentMtgRatesDataTable811[[#This Row],[Rate]]-C4,M4)</f>
        <v>#VALUE!</v>
      </c>
      <c r="O5" s="73" t="s">
        <v>80</v>
      </c>
      <c r="P5" s="73">
        <v>5</v>
      </c>
      <c r="Q5" s="73">
        <v>0.2</v>
      </c>
      <c r="S5" s="71" t="s">
        <v>147</v>
      </c>
      <c r="T5" s="72">
        <v>3.0811413392722198</v>
      </c>
      <c r="U5" s="72" t="s">
        <v>89</v>
      </c>
    </row>
    <row r="6" spans="1:22" s="73" customFormat="1">
      <c r="A6" s="71" t="s">
        <v>100</v>
      </c>
      <c r="B6" s="6">
        <v>2.4007367882510802</v>
      </c>
      <c r="C6" s="6">
        <v>3.2949999999999999</v>
      </c>
      <c r="D6" s="73">
        <f t="shared" si="0"/>
        <v>6</v>
      </c>
      <c r="E6" s="73">
        <f t="shared" si="1"/>
        <v>0.2</v>
      </c>
      <c r="F6" s="73">
        <f t="shared" si="2"/>
        <v>2</v>
      </c>
      <c r="G6" s="73">
        <f t="shared" si="3"/>
        <v>0.95201196485777406</v>
      </c>
      <c r="H6" s="73">
        <f t="shared" si="4"/>
        <v>0.4</v>
      </c>
      <c r="I6" s="73">
        <f t="shared" si="5"/>
        <v>0</v>
      </c>
      <c r="J6" s="72">
        <f>IF(CurrentMtgRatesDataTable811[[#This Row],[WA CC]]&lt;&gt;0,C5-CurrentMtgRatesDataTable811[[#This Row],[WA CC]],0)</f>
        <v>0</v>
      </c>
      <c r="K6" s="72" t="str">
        <f>IF(CurrentMtgRatesDataTable811[[#This Row],[Servicing Spread]]&lt;=0,K5,CurrentMtgRatesDataTable811[[#This Row],[Servicing Spread]])</f>
        <v>Servicing Spread Non-Zero</v>
      </c>
      <c r="L6" s="72" t="e">
        <f>CurrentMtgRatesDataTable811[[#This Row],[Servicing Spread Non-Zero]]-K5</f>
        <v>#VALUE!</v>
      </c>
      <c r="M6" s="72" t="e">
        <f>IF(I5&lt;&gt;0,CurrentMtgRatesDataTable811[[#This Row],[Rate]]-C5,M5)</f>
        <v>#VALUE!</v>
      </c>
      <c r="O6" s="73" t="s">
        <v>81</v>
      </c>
      <c r="P6" s="73">
        <v>6</v>
      </c>
      <c r="Q6" s="73">
        <v>0.2</v>
      </c>
      <c r="S6" s="71" t="s">
        <v>148</v>
      </c>
      <c r="T6" s="72">
        <v>3.1125235634348298</v>
      </c>
      <c r="U6" s="72" t="s">
        <v>89</v>
      </c>
    </row>
    <row r="7" spans="1:22" s="73" customFormat="1">
      <c r="A7" s="71" t="s">
        <v>101</v>
      </c>
      <c r="B7" s="6">
        <v>2.4230964984502701</v>
      </c>
      <c r="C7" s="6">
        <v>3.2949999999999999</v>
      </c>
      <c r="D7" s="73">
        <f t="shared" si="0"/>
        <v>7</v>
      </c>
      <c r="E7" s="73">
        <f t="shared" si="1"/>
        <v>0.2</v>
      </c>
      <c r="F7" s="73">
        <f t="shared" si="2"/>
        <v>3</v>
      </c>
      <c r="G7" s="73">
        <f t="shared" si="3"/>
        <v>1.4366312645478281</v>
      </c>
      <c r="H7" s="73">
        <f t="shared" si="4"/>
        <v>0.60000000000000009</v>
      </c>
      <c r="I7" s="73">
        <f t="shared" si="5"/>
        <v>2.3943854409130463</v>
      </c>
      <c r="J7" s="72">
        <f>IF(CurrentMtgRatesDataTable811[[#This Row],[WA CC]]&lt;&gt;0,C6-CurrentMtgRatesDataTable811[[#This Row],[WA CC]],0)</f>
        <v>0.90061455908695365</v>
      </c>
      <c r="K7" s="72">
        <f>IF(CurrentMtgRatesDataTable811[[#This Row],[Servicing Spread]]&lt;=0,K6,CurrentMtgRatesDataTable811[[#This Row],[Servicing Spread]])</f>
        <v>0.90061455908695365</v>
      </c>
      <c r="L7" s="72" t="e">
        <f>CurrentMtgRatesDataTable811[[#This Row],[Servicing Spread Non-Zero]]-K6</f>
        <v>#VALUE!</v>
      </c>
      <c r="M7" s="72" t="e">
        <f>IF(I6&lt;&gt;0,CurrentMtgRatesDataTable811[[#This Row],[Rate]]-C6,M6)</f>
        <v>#VALUE!</v>
      </c>
      <c r="O7" s="73" t="s">
        <v>82</v>
      </c>
      <c r="P7" s="73">
        <v>7</v>
      </c>
      <c r="Q7" s="73">
        <v>0.2</v>
      </c>
      <c r="S7" s="71" t="s">
        <v>149</v>
      </c>
      <c r="T7" s="72">
        <v>3.0232721749517699</v>
      </c>
      <c r="U7" s="72" t="s">
        <v>89</v>
      </c>
    </row>
    <row r="8" spans="1:22" s="73" customFormat="1">
      <c r="A8" s="71" t="s">
        <v>102</v>
      </c>
      <c r="B8" s="6">
        <v>2.4425561319038702</v>
      </c>
      <c r="C8" s="6">
        <v>3.37</v>
      </c>
      <c r="D8" s="73">
        <f t="shared" si="0"/>
        <v>1</v>
      </c>
      <c r="E8" s="73">
        <f t="shared" si="1"/>
        <v>0.2</v>
      </c>
      <c r="F8" s="73">
        <f t="shared" si="2"/>
        <v>1</v>
      </c>
      <c r="G8" s="73">
        <f t="shared" si="3"/>
        <v>0.48851122638077404</v>
      </c>
      <c r="H8" s="73">
        <f t="shared" si="4"/>
        <v>0.2</v>
      </c>
      <c r="I8" s="73">
        <f t="shared" si="5"/>
        <v>0</v>
      </c>
      <c r="J8" s="72">
        <f>IF(CurrentMtgRatesDataTable811[[#This Row],[WA CC]]&lt;&gt;0,C7-CurrentMtgRatesDataTable811[[#This Row],[WA CC]],0)</f>
        <v>0</v>
      </c>
      <c r="K8" s="72">
        <f>IF(CurrentMtgRatesDataTable811[[#This Row],[Servicing Spread]]&lt;=0,K7,CurrentMtgRatesDataTable811[[#This Row],[Servicing Spread]])</f>
        <v>0.90061455908695365</v>
      </c>
      <c r="L8" s="72">
        <f>CurrentMtgRatesDataTable811[[#This Row],[Servicing Spread Non-Zero]]-K7</f>
        <v>0</v>
      </c>
      <c r="M8" s="72">
        <f>IF(I7&lt;&gt;0,CurrentMtgRatesDataTable811[[#This Row],[Rate]]-C7,M7)</f>
        <v>7.5000000000000178E-2</v>
      </c>
      <c r="O8" s="73" t="s">
        <v>83</v>
      </c>
      <c r="P8" s="73">
        <v>1</v>
      </c>
      <c r="Q8" s="73">
        <v>0.2</v>
      </c>
    </row>
    <row r="9" spans="1:22" s="73" customFormat="1">
      <c r="A9" s="71" t="s">
        <v>103</v>
      </c>
      <c r="B9" s="6">
        <v>2.4494735846374298</v>
      </c>
      <c r="C9" s="6">
        <v>3.37</v>
      </c>
      <c r="D9" s="73">
        <f t="shared" si="0"/>
        <v>2</v>
      </c>
      <c r="E9" s="73">
        <f t="shared" si="1"/>
        <v>0.2</v>
      </c>
      <c r="F9" s="73">
        <f t="shared" si="2"/>
        <v>2</v>
      </c>
      <c r="G9" s="73">
        <f t="shared" si="3"/>
        <v>0.97840594330826003</v>
      </c>
      <c r="H9" s="73">
        <f t="shared" si="4"/>
        <v>0.4</v>
      </c>
      <c r="I9" s="73">
        <f t="shared" si="5"/>
        <v>0</v>
      </c>
      <c r="J9" s="72">
        <f>IF(CurrentMtgRatesDataTable811[[#This Row],[WA CC]]&lt;&gt;0,C8-CurrentMtgRatesDataTable811[[#This Row],[WA CC]],0)</f>
        <v>0</v>
      </c>
      <c r="K9" s="72">
        <f>IF(CurrentMtgRatesDataTable811[[#This Row],[Servicing Spread]]&lt;=0,K8,CurrentMtgRatesDataTable811[[#This Row],[Servicing Spread]])</f>
        <v>0.90061455908695365</v>
      </c>
      <c r="L9" s="72">
        <f>CurrentMtgRatesDataTable811[[#This Row],[Servicing Spread Non-Zero]]-K8</f>
        <v>0</v>
      </c>
      <c r="M9" s="72">
        <f>IF(I8&lt;&gt;0,CurrentMtgRatesDataTable811[[#This Row],[Rate]]-C8,M8)</f>
        <v>7.5000000000000178E-2</v>
      </c>
      <c r="O9" s="73" t="s">
        <v>84</v>
      </c>
      <c r="P9" s="73">
        <v>2</v>
      </c>
      <c r="Q9" s="73">
        <v>0.2</v>
      </c>
    </row>
    <row r="10" spans="1:22" s="73" customFormat="1">
      <c r="A10" s="71" t="s">
        <v>104</v>
      </c>
      <c r="B10" s="6">
        <v>2.4735241202306701</v>
      </c>
      <c r="C10" s="6">
        <v>3.37</v>
      </c>
      <c r="D10" s="73">
        <f t="shared" si="0"/>
        <v>6</v>
      </c>
      <c r="E10" s="73">
        <f t="shared" si="1"/>
        <v>0.2</v>
      </c>
      <c r="F10" s="73">
        <f t="shared" si="2"/>
        <v>3</v>
      </c>
      <c r="G10" s="73">
        <f t="shared" si="3"/>
        <v>1.4731107673543939</v>
      </c>
      <c r="H10" s="73">
        <f t="shared" si="4"/>
        <v>0.60000000000000009</v>
      </c>
      <c r="I10" s="73">
        <f t="shared" si="5"/>
        <v>0</v>
      </c>
      <c r="J10" s="72">
        <f>IF(CurrentMtgRatesDataTable811[[#This Row],[WA CC]]&lt;&gt;0,C9-CurrentMtgRatesDataTable811[[#This Row],[WA CC]],0)</f>
        <v>0</v>
      </c>
      <c r="K10" s="72">
        <f>IF(CurrentMtgRatesDataTable811[[#This Row],[Servicing Spread]]&lt;=0,K9,CurrentMtgRatesDataTable811[[#This Row],[Servicing Spread]])</f>
        <v>0.90061455908695365</v>
      </c>
      <c r="L10" s="72">
        <f>CurrentMtgRatesDataTable811[[#This Row],[Servicing Spread Non-Zero]]-K9</f>
        <v>0</v>
      </c>
      <c r="M10" s="72">
        <f>IF(I9&lt;&gt;0,CurrentMtgRatesDataTable811[[#This Row],[Rate]]-C9,M9)</f>
        <v>7.5000000000000178E-2</v>
      </c>
      <c r="O10" s="73" t="s">
        <v>85</v>
      </c>
      <c r="P10" s="73">
        <v>3</v>
      </c>
      <c r="Q10" s="73">
        <v>0</v>
      </c>
    </row>
    <row r="11" spans="1:22" s="73" customFormat="1">
      <c r="A11" s="71" t="s">
        <v>105</v>
      </c>
      <c r="B11" s="6">
        <v>2.49089475229058</v>
      </c>
      <c r="C11" s="6">
        <v>3.37</v>
      </c>
      <c r="D11" s="73">
        <f t="shared" si="0"/>
        <v>7</v>
      </c>
      <c r="E11" s="73">
        <f t="shared" si="1"/>
        <v>0.2</v>
      </c>
      <c r="F11" s="73">
        <f t="shared" si="2"/>
        <v>4</v>
      </c>
      <c r="G11" s="73">
        <f t="shared" si="3"/>
        <v>1.9712897178125099</v>
      </c>
      <c r="H11" s="73">
        <f t="shared" si="4"/>
        <v>0.8</v>
      </c>
      <c r="I11" s="73">
        <f t="shared" si="5"/>
        <v>2.4641121472656371</v>
      </c>
      <c r="J11" s="72">
        <f>IF(CurrentMtgRatesDataTable811[[#This Row],[WA CC]]&lt;&gt;0,C10-CurrentMtgRatesDataTable811[[#This Row],[WA CC]],0)</f>
        <v>0.90588785273436301</v>
      </c>
      <c r="K11" s="72">
        <f>IF(CurrentMtgRatesDataTable811[[#This Row],[Servicing Spread]]&lt;=0,K10,CurrentMtgRatesDataTable811[[#This Row],[Servicing Spread]])</f>
        <v>0.90588785273436301</v>
      </c>
      <c r="L11" s="72">
        <f>CurrentMtgRatesDataTable811[[#This Row],[Servicing Spread Non-Zero]]-K10</f>
        <v>5.2732936474093606E-3</v>
      </c>
      <c r="M11" s="72">
        <f>IF(I10&lt;&gt;0,CurrentMtgRatesDataTable811[[#This Row],[Rate]]-C10,M10)</f>
        <v>7.5000000000000178E-2</v>
      </c>
      <c r="O11" s="73" t="s">
        <v>86</v>
      </c>
      <c r="P11" s="73">
        <v>4</v>
      </c>
      <c r="Q11" s="73">
        <v>0</v>
      </c>
    </row>
    <row r="12" spans="1:22" s="73" customFormat="1">
      <c r="A12" s="71" t="s">
        <v>106</v>
      </c>
      <c r="B12" s="6">
        <v>2.4566708605099099</v>
      </c>
      <c r="C12" s="6">
        <v>3.395</v>
      </c>
      <c r="D12" s="73">
        <f t="shared" si="0"/>
        <v>1</v>
      </c>
      <c r="E12" s="73">
        <f t="shared" si="1"/>
        <v>0.2</v>
      </c>
      <c r="F12" s="73">
        <f t="shared" si="2"/>
        <v>1</v>
      </c>
      <c r="G12" s="73">
        <f t="shared" si="3"/>
        <v>0.49133417210198199</v>
      </c>
      <c r="H12" s="73">
        <f t="shared" si="4"/>
        <v>0.2</v>
      </c>
      <c r="I12" s="73">
        <f t="shared" si="5"/>
        <v>0</v>
      </c>
      <c r="J12" s="72">
        <f>IF(CurrentMtgRatesDataTable811[[#This Row],[WA CC]]&lt;&gt;0,C11-CurrentMtgRatesDataTable811[[#This Row],[WA CC]],0)</f>
        <v>0</v>
      </c>
      <c r="K12" s="72">
        <f>IF(CurrentMtgRatesDataTable811[[#This Row],[Servicing Spread]]&lt;=0,K11,CurrentMtgRatesDataTable811[[#This Row],[Servicing Spread]])</f>
        <v>0.90588785273436301</v>
      </c>
      <c r="L12" s="72">
        <f>CurrentMtgRatesDataTable811[[#This Row],[Servicing Spread Non-Zero]]-K11</f>
        <v>0</v>
      </c>
      <c r="M12" s="72">
        <f>IF(I11&lt;&gt;0,CurrentMtgRatesDataTable811[[#This Row],[Rate]]-C11,M11)</f>
        <v>2.4999999999999911E-2</v>
      </c>
    </row>
    <row r="13" spans="1:22" s="73" customFormat="1">
      <c r="A13" s="71" t="s">
        <v>107</v>
      </c>
      <c r="B13" s="6">
        <v>2.5031538447013899</v>
      </c>
      <c r="C13" s="6">
        <v>3.395</v>
      </c>
      <c r="D13" s="73">
        <f t="shared" si="0"/>
        <v>2</v>
      </c>
      <c r="E13" s="73">
        <f t="shared" si="1"/>
        <v>0.2</v>
      </c>
      <c r="F13" s="73">
        <f t="shared" si="2"/>
        <v>2</v>
      </c>
      <c r="G13" s="73">
        <f t="shared" si="3"/>
        <v>0.99196494104225996</v>
      </c>
      <c r="H13" s="73">
        <f t="shared" si="4"/>
        <v>0.4</v>
      </c>
      <c r="I13" s="73">
        <f t="shared" si="5"/>
        <v>0</v>
      </c>
      <c r="J13" s="72">
        <f>IF(CurrentMtgRatesDataTable811[[#This Row],[WA CC]]&lt;&gt;0,C12-CurrentMtgRatesDataTable811[[#This Row],[WA CC]],0)</f>
        <v>0</v>
      </c>
      <c r="K13" s="72">
        <f>IF(CurrentMtgRatesDataTable811[[#This Row],[Servicing Spread]]&lt;=0,K12,CurrentMtgRatesDataTable811[[#This Row],[Servicing Spread]])</f>
        <v>0.90588785273436301</v>
      </c>
      <c r="L13" s="72">
        <f>CurrentMtgRatesDataTable811[[#This Row],[Servicing Spread Non-Zero]]-K12</f>
        <v>0</v>
      </c>
      <c r="M13" s="72">
        <f>IF(I12&lt;&gt;0,CurrentMtgRatesDataTable811[[#This Row],[Rate]]-C12,M12)</f>
        <v>2.4999999999999911E-2</v>
      </c>
    </row>
    <row r="14" spans="1:22" s="73" customFormat="1">
      <c r="A14" s="71" t="s">
        <v>108</v>
      </c>
      <c r="B14" s="6">
        <v>2.48665049817154</v>
      </c>
      <c r="C14" s="6">
        <v>3.395</v>
      </c>
      <c r="D14" s="73">
        <f t="shared" si="0"/>
        <v>5</v>
      </c>
      <c r="E14" s="73">
        <f t="shared" si="1"/>
        <v>0.2</v>
      </c>
      <c r="F14" s="73">
        <f t="shared" si="2"/>
        <v>3</v>
      </c>
      <c r="G14" s="73">
        <f t="shared" si="3"/>
        <v>1.4892950406765679</v>
      </c>
      <c r="H14" s="73">
        <f t="shared" si="4"/>
        <v>0.60000000000000009</v>
      </c>
      <c r="I14" s="73">
        <f t="shared" si="5"/>
        <v>0</v>
      </c>
      <c r="J14" s="72">
        <f>IF(CurrentMtgRatesDataTable811[[#This Row],[WA CC]]&lt;&gt;0,C13-CurrentMtgRatesDataTable811[[#This Row],[WA CC]],0)</f>
        <v>0</v>
      </c>
      <c r="K14" s="72">
        <f>IF(CurrentMtgRatesDataTable811[[#This Row],[Servicing Spread]]&lt;=0,K13,CurrentMtgRatesDataTable811[[#This Row],[Servicing Spread]])</f>
        <v>0.90588785273436301</v>
      </c>
      <c r="L14" s="72">
        <f>CurrentMtgRatesDataTable811[[#This Row],[Servicing Spread Non-Zero]]-K13</f>
        <v>0</v>
      </c>
      <c r="M14" s="72">
        <f>IF(I13&lt;&gt;0,CurrentMtgRatesDataTable811[[#This Row],[Rate]]-C13,M13)</f>
        <v>2.4999999999999911E-2</v>
      </c>
    </row>
    <row r="15" spans="1:22" s="73" customFormat="1">
      <c r="A15" s="71" t="s">
        <v>109</v>
      </c>
      <c r="B15" s="6">
        <v>2.46551867128733</v>
      </c>
      <c r="C15" s="6">
        <v>3.395</v>
      </c>
      <c r="D15" s="73">
        <f t="shared" si="0"/>
        <v>6</v>
      </c>
      <c r="E15" s="73">
        <f t="shared" si="1"/>
        <v>0.2</v>
      </c>
      <c r="F15" s="73">
        <f t="shared" si="2"/>
        <v>4</v>
      </c>
      <c r="G15" s="73">
        <f t="shared" si="3"/>
        <v>1.9823987749340339</v>
      </c>
      <c r="H15" s="73">
        <f t="shared" si="4"/>
        <v>0.8</v>
      </c>
      <c r="I15" s="73">
        <f t="shared" si="5"/>
        <v>0</v>
      </c>
      <c r="J15" s="72">
        <f>IF(CurrentMtgRatesDataTable811[[#This Row],[WA CC]]&lt;&gt;0,C14-CurrentMtgRatesDataTable811[[#This Row],[WA CC]],0)</f>
        <v>0</v>
      </c>
      <c r="K15" s="72">
        <f>IF(CurrentMtgRatesDataTable811[[#This Row],[Servicing Spread]]&lt;=0,K14,CurrentMtgRatesDataTable811[[#This Row],[Servicing Spread]])</f>
        <v>0.90588785273436301</v>
      </c>
      <c r="L15" s="72">
        <f>CurrentMtgRatesDataTable811[[#This Row],[Servicing Spread Non-Zero]]-K14</f>
        <v>0</v>
      </c>
      <c r="M15" s="72">
        <f>IF(I14&lt;&gt;0,CurrentMtgRatesDataTable811[[#This Row],[Rate]]-C14,M14)</f>
        <v>2.4999999999999911E-2</v>
      </c>
    </row>
    <row r="16" spans="1:22" s="73" customFormat="1">
      <c r="A16" s="71" t="s">
        <v>110</v>
      </c>
      <c r="B16" s="6">
        <v>2.4639577006004401</v>
      </c>
      <c r="C16" s="6">
        <v>3.395</v>
      </c>
      <c r="D16" s="73">
        <f t="shared" si="0"/>
        <v>7</v>
      </c>
      <c r="E16" s="73">
        <f t="shared" si="1"/>
        <v>0.2</v>
      </c>
      <c r="F16" s="73">
        <f t="shared" si="2"/>
        <v>5</v>
      </c>
      <c r="G16" s="73">
        <f t="shared" si="3"/>
        <v>2.4751903150541219</v>
      </c>
      <c r="H16" s="73">
        <f t="shared" si="4"/>
        <v>1</v>
      </c>
      <c r="I16" s="73">
        <f t="shared" si="5"/>
        <v>2.4751903150541219</v>
      </c>
      <c r="J16" s="72">
        <f>IF(CurrentMtgRatesDataTable811[[#This Row],[WA CC]]&lt;&gt;0,C15-CurrentMtgRatesDataTable811[[#This Row],[WA CC]],0)</f>
        <v>0.91980968494587811</v>
      </c>
      <c r="K16" s="72">
        <f>IF(CurrentMtgRatesDataTable811[[#This Row],[Servicing Spread]]&lt;=0,K15,CurrentMtgRatesDataTable811[[#This Row],[Servicing Spread]])</f>
        <v>0.91980968494587811</v>
      </c>
      <c r="L16" s="72">
        <f>CurrentMtgRatesDataTable811[[#This Row],[Servicing Spread Non-Zero]]-K15</f>
        <v>1.3921832211515106E-2</v>
      </c>
      <c r="M16" s="72">
        <f>IF(I15&lt;&gt;0,CurrentMtgRatesDataTable811[[#This Row],[Rate]]-C15,M15)</f>
        <v>2.4999999999999911E-2</v>
      </c>
    </row>
    <row r="17" spans="1:13" s="73" customFormat="1">
      <c r="A17" s="71" t="s">
        <v>111</v>
      </c>
      <c r="B17" s="6">
        <v>2.45827138639036</v>
      </c>
      <c r="C17" s="6">
        <v>3.37</v>
      </c>
      <c r="D17" s="73">
        <f t="shared" si="0"/>
        <v>1</v>
      </c>
      <c r="E17" s="73">
        <f t="shared" si="1"/>
        <v>0.2</v>
      </c>
      <c r="F17" s="73">
        <f t="shared" si="2"/>
        <v>1</v>
      </c>
      <c r="G17" s="73">
        <f t="shared" si="3"/>
        <v>0.49165427727807204</v>
      </c>
      <c r="H17" s="73">
        <f t="shared" si="4"/>
        <v>0.2</v>
      </c>
      <c r="I17" s="73">
        <f t="shared" si="5"/>
        <v>0</v>
      </c>
      <c r="J17" s="72">
        <f>IF(CurrentMtgRatesDataTable811[[#This Row],[WA CC]]&lt;&gt;0,C16-CurrentMtgRatesDataTable811[[#This Row],[WA CC]],0)</f>
        <v>0</v>
      </c>
      <c r="K17" s="72">
        <f>IF(CurrentMtgRatesDataTable811[[#This Row],[Servicing Spread]]&lt;=0,K16,CurrentMtgRatesDataTable811[[#This Row],[Servicing Spread]])</f>
        <v>0.91980968494587811</v>
      </c>
      <c r="L17" s="72">
        <f>CurrentMtgRatesDataTable811[[#This Row],[Servicing Spread Non-Zero]]-K16</f>
        <v>0</v>
      </c>
      <c r="M17" s="72">
        <f>IF(I16&lt;&gt;0,CurrentMtgRatesDataTable811[[#This Row],[Rate]]-C16,M16)</f>
        <v>-2.4999999999999911E-2</v>
      </c>
    </row>
    <row r="18" spans="1:13" s="73" customFormat="1">
      <c r="A18" s="71" t="s">
        <v>112</v>
      </c>
      <c r="B18" s="6">
        <v>2.4486777045586599</v>
      </c>
      <c r="C18" s="6">
        <v>3.37</v>
      </c>
      <c r="D18" s="73">
        <f t="shared" si="0"/>
        <v>2</v>
      </c>
      <c r="E18" s="73">
        <f t="shared" si="1"/>
        <v>0.2</v>
      </c>
      <c r="F18" s="73">
        <f t="shared" si="2"/>
        <v>2</v>
      </c>
      <c r="G18" s="73">
        <f t="shared" si="3"/>
        <v>0.98138981818980398</v>
      </c>
      <c r="H18" s="73">
        <f t="shared" si="4"/>
        <v>0.4</v>
      </c>
      <c r="I18" s="73">
        <f t="shared" si="5"/>
        <v>0</v>
      </c>
      <c r="J18" s="72">
        <f>IF(CurrentMtgRatesDataTable811[[#This Row],[WA CC]]&lt;&gt;0,C17-CurrentMtgRatesDataTable811[[#This Row],[WA CC]],0)</f>
        <v>0</v>
      </c>
      <c r="K18" s="72">
        <f>IF(CurrentMtgRatesDataTable811[[#This Row],[Servicing Spread]]&lt;=0,K17,CurrentMtgRatesDataTable811[[#This Row],[Servicing Spread]])</f>
        <v>0.91980968494587811</v>
      </c>
      <c r="L18" s="72">
        <f>CurrentMtgRatesDataTable811[[#This Row],[Servicing Spread Non-Zero]]-K17</f>
        <v>0</v>
      </c>
      <c r="M18" s="72">
        <f>IF(I17&lt;&gt;0,CurrentMtgRatesDataTable811[[#This Row],[Rate]]-C17,M17)</f>
        <v>-2.4999999999999911E-2</v>
      </c>
    </row>
    <row r="19" spans="1:13" s="73" customFormat="1">
      <c r="A19" s="71" t="s">
        <v>113</v>
      </c>
      <c r="B19" s="6">
        <v>2.46526496945889</v>
      </c>
      <c r="C19" s="6">
        <v>3.37</v>
      </c>
      <c r="D19" s="73">
        <f t="shared" si="0"/>
        <v>5</v>
      </c>
      <c r="E19" s="73">
        <f t="shared" si="1"/>
        <v>0.2</v>
      </c>
      <c r="F19" s="73">
        <f t="shared" si="2"/>
        <v>3</v>
      </c>
      <c r="G19" s="73">
        <f t="shared" si="3"/>
        <v>1.474442812081582</v>
      </c>
      <c r="H19" s="73">
        <f t="shared" si="4"/>
        <v>0.60000000000000009</v>
      </c>
      <c r="I19" s="73">
        <f t="shared" si="5"/>
        <v>0</v>
      </c>
      <c r="J19" s="72">
        <f>IF(CurrentMtgRatesDataTable811[[#This Row],[WA CC]]&lt;&gt;0,C18-CurrentMtgRatesDataTable811[[#This Row],[WA CC]],0)</f>
        <v>0</v>
      </c>
      <c r="K19" s="72">
        <f>IF(CurrentMtgRatesDataTable811[[#This Row],[Servicing Spread]]&lt;=0,K18,CurrentMtgRatesDataTable811[[#This Row],[Servicing Spread]])</f>
        <v>0.91980968494587811</v>
      </c>
      <c r="L19" s="72">
        <f>CurrentMtgRatesDataTable811[[#This Row],[Servicing Spread Non-Zero]]-K18</f>
        <v>0</v>
      </c>
      <c r="M19" s="72">
        <f>IF(I18&lt;&gt;0,CurrentMtgRatesDataTable811[[#This Row],[Rate]]-C18,M18)</f>
        <v>-2.4999999999999911E-2</v>
      </c>
    </row>
    <row r="20" spans="1:13" s="73" customFormat="1">
      <c r="A20" s="71" t="s">
        <v>114</v>
      </c>
      <c r="B20" s="6">
        <v>2.4661306434007502</v>
      </c>
      <c r="C20" s="6">
        <v>3.37</v>
      </c>
      <c r="D20" s="73">
        <f t="shared" si="0"/>
        <v>6</v>
      </c>
      <c r="E20" s="73">
        <f t="shared" si="1"/>
        <v>0.2</v>
      </c>
      <c r="F20" s="73">
        <f t="shared" si="2"/>
        <v>4</v>
      </c>
      <c r="G20" s="73">
        <f t="shared" si="3"/>
        <v>1.967668940761732</v>
      </c>
      <c r="H20" s="73">
        <f t="shared" si="4"/>
        <v>0.8</v>
      </c>
      <c r="I20" s="73">
        <f t="shared" si="5"/>
        <v>0</v>
      </c>
      <c r="J20" s="72">
        <f>IF(CurrentMtgRatesDataTable811[[#This Row],[WA CC]]&lt;&gt;0,C19-CurrentMtgRatesDataTable811[[#This Row],[WA CC]],0)</f>
        <v>0</v>
      </c>
      <c r="K20" s="72">
        <f>IF(CurrentMtgRatesDataTable811[[#This Row],[Servicing Spread]]&lt;=0,K19,CurrentMtgRatesDataTable811[[#This Row],[Servicing Spread]])</f>
        <v>0.91980968494587811</v>
      </c>
      <c r="L20" s="72">
        <f>CurrentMtgRatesDataTable811[[#This Row],[Servicing Spread Non-Zero]]-K19</f>
        <v>0</v>
      </c>
      <c r="M20" s="72">
        <f>IF(I19&lt;&gt;0,CurrentMtgRatesDataTable811[[#This Row],[Rate]]-C19,M19)</f>
        <v>-2.4999999999999911E-2</v>
      </c>
    </row>
    <row r="21" spans="1:13" s="73" customFormat="1">
      <c r="A21" s="71" t="s">
        <v>115</v>
      </c>
      <c r="B21" s="6">
        <v>2.4860574973773799</v>
      </c>
      <c r="C21" s="6">
        <v>3.37</v>
      </c>
      <c r="D21" s="73">
        <f t="shared" si="0"/>
        <v>7</v>
      </c>
      <c r="E21" s="73">
        <f t="shared" si="1"/>
        <v>0.2</v>
      </c>
      <c r="F21" s="73">
        <f t="shared" si="2"/>
        <v>5</v>
      </c>
      <c r="G21" s="73">
        <f t="shared" si="3"/>
        <v>2.464880440237208</v>
      </c>
      <c r="H21" s="73">
        <f t="shared" si="4"/>
        <v>1</v>
      </c>
      <c r="I21" s="73">
        <f t="shared" si="5"/>
        <v>2.464880440237208</v>
      </c>
      <c r="J21" s="72">
        <f>IF(CurrentMtgRatesDataTable811[[#This Row],[WA CC]]&lt;&gt;0,C20-CurrentMtgRatesDataTable811[[#This Row],[WA CC]],0)</f>
        <v>0.90511955976279213</v>
      </c>
      <c r="K21" s="72">
        <f>IF(CurrentMtgRatesDataTable811[[#This Row],[Servicing Spread]]&lt;=0,K20,CurrentMtgRatesDataTable811[[#This Row],[Servicing Spread]])</f>
        <v>0.90511955976279213</v>
      </c>
      <c r="L21" s="72">
        <f>CurrentMtgRatesDataTable811[[#This Row],[Servicing Spread Non-Zero]]-K20</f>
        <v>-1.4690125183085989E-2</v>
      </c>
      <c r="M21" s="72">
        <f>IF(I20&lt;&gt;0,CurrentMtgRatesDataTable811[[#This Row],[Rate]]-C20,M20)</f>
        <v>-2.4999999999999911E-2</v>
      </c>
    </row>
    <row r="22" spans="1:13" s="73" customFormat="1">
      <c r="A22" s="123" t="s">
        <v>116</v>
      </c>
      <c r="B22" s="124">
        <v>2.5299104688545802</v>
      </c>
      <c r="C22" s="125">
        <v>3.415</v>
      </c>
      <c r="D22" s="119">
        <f t="shared" si="0"/>
        <v>1</v>
      </c>
      <c r="E22" s="119">
        <f t="shared" si="1"/>
        <v>0.2</v>
      </c>
      <c r="F22" s="119">
        <f t="shared" si="2"/>
        <v>1</v>
      </c>
      <c r="G22" s="119">
        <f t="shared" si="3"/>
        <v>0.50598209377091607</v>
      </c>
      <c r="H22" s="119">
        <f t="shared" si="4"/>
        <v>0.2</v>
      </c>
      <c r="I22" s="119">
        <f t="shared" si="5"/>
        <v>0</v>
      </c>
      <c r="J22" s="119">
        <f>IF(CurrentMtgRatesDataTable811[[#This Row],[WA CC]]&lt;&gt;0,C21-CurrentMtgRatesDataTable811[[#This Row],[WA CC]],0)</f>
        <v>0</v>
      </c>
      <c r="K22" s="119">
        <f>IF(CurrentMtgRatesDataTable811[[#This Row],[Servicing Spread]]&lt;=0,K21,CurrentMtgRatesDataTable811[[#This Row],[Servicing Spread]])</f>
        <v>0.90511955976279213</v>
      </c>
      <c r="L22" s="119">
        <f>CurrentMtgRatesDataTable811[[#This Row],[Servicing Spread Non-Zero]]-K21</f>
        <v>0</v>
      </c>
      <c r="M22" s="119">
        <f>IF(I21&lt;&gt;0,CurrentMtgRatesDataTable811[[#This Row],[Rate]]-C21,M21)</f>
        <v>4.4999999999999929E-2</v>
      </c>
    </row>
    <row r="23" spans="1:13" s="73" customFormat="1">
      <c r="A23" s="123" t="s">
        <v>117</v>
      </c>
      <c r="B23" s="124">
        <v>2.53316437266355</v>
      </c>
      <c r="C23" s="125">
        <v>3.415</v>
      </c>
      <c r="D23" s="119">
        <f t="shared" si="0"/>
        <v>2</v>
      </c>
      <c r="E23" s="119">
        <f t="shared" si="1"/>
        <v>0.2</v>
      </c>
      <c r="F23" s="119">
        <f t="shared" si="2"/>
        <v>2</v>
      </c>
      <c r="G23" s="119">
        <f t="shared" si="3"/>
        <v>1.0126149683036261</v>
      </c>
      <c r="H23" s="119">
        <f t="shared" si="4"/>
        <v>0.4</v>
      </c>
      <c r="I23" s="119">
        <f t="shared" si="5"/>
        <v>0</v>
      </c>
      <c r="J23" s="119">
        <f>IF(CurrentMtgRatesDataTable811[[#This Row],[WA CC]]&lt;&gt;0,C22-CurrentMtgRatesDataTable811[[#This Row],[WA CC]],0)</f>
        <v>0</v>
      </c>
      <c r="K23" s="119">
        <f>IF(CurrentMtgRatesDataTable811[[#This Row],[Servicing Spread]]&lt;=0,K22,CurrentMtgRatesDataTable811[[#This Row],[Servicing Spread]])</f>
        <v>0.90511955976279213</v>
      </c>
      <c r="L23" s="119">
        <f>CurrentMtgRatesDataTable811[[#This Row],[Servicing Spread Non-Zero]]-K22</f>
        <v>0</v>
      </c>
      <c r="M23" s="119">
        <f>IF(I22&lt;&gt;0,CurrentMtgRatesDataTable811[[#This Row],[Rate]]-C22,M22)</f>
        <v>4.4999999999999929E-2</v>
      </c>
    </row>
    <row r="24" spans="1:13" s="73" customFormat="1">
      <c r="A24" s="123" t="s">
        <v>118</v>
      </c>
      <c r="B24" s="124">
        <v>2.5336094696522</v>
      </c>
      <c r="C24" s="125">
        <v>3.415</v>
      </c>
      <c r="D24" s="119">
        <f t="shared" si="0"/>
        <v>5</v>
      </c>
      <c r="E24" s="119">
        <f t="shared" si="1"/>
        <v>0.2</v>
      </c>
      <c r="F24" s="119">
        <f t="shared" si="2"/>
        <v>3</v>
      </c>
      <c r="G24" s="119">
        <f t="shared" si="3"/>
        <v>1.5193368622340659</v>
      </c>
      <c r="H24" s="119">
        <f t="shared" si="4"/>
        <v>0.60000000000000009</v>
      </c>
      <c r="I24" s="119">
        <f t="shared" si="5"/>
        <v>0</v>
      </c>
      <c r="J24" s="119">
        <f>IF(CurrentMtgRatesDataTable811[[#This Row],[WA CC]]&lt;&gt;0,C23-CurrentMtgRatesDataTable811[[#This Row],[WA CC]],0)</f>
        <v>0</v>
      </c>
      <c r="K24" s="119">
        <f>IF(CurrentMtgRatesDataTable811[[#This Row],[Servicing Spread]]&lt;=0,K23,CurrentMtgRatesDataTable811[[#This Row],[Servicing Spread]])</f>
        <v>0.90511955976279213</v>
      </c>
      <c r="L24" s="119">
        <f>CurrentMtgRatesDataTable811[[#This Row],[Servicing Spread Non-Zero]]-K23</f>
        <v>0</v>
      </c>
      <c r="M24" s="119">
        <f>IF(I23&lt;&gt;0,CurrentMtgRatesDataTable811[[#This Row],[Rate]]-C23,M23)</f>
        <v>4.4999999999999929E-2</v>
      </c>
    </row>
    <row r="25" spans="1:13" s="73" customFormat="1">
      <c r="A25" s="123" t="s">
        <v>120</v>
      </c>
      <c r="B25" s="124">
        <v>2.5296440225789101</v>
      </c>
      <c r="C25" s="125">
        <v>3.415</v>
      </c>
      <c r="D25" s="119">
        <f t="shared" si="0"/>
        <v>6</v>
      </c>
      <c r="E25" s="119">
        <f t="shared" si="1"/>
        <v>0.2</v>
      </c>
      <c r="F25" s="119">
        <f t="shared" si="2"/>
        <v>4</v>
      </c>
      <c r="G25" s="119">
        <f t="shared" si="3"/>
        <v>2.0252656667498479</v>
      </c>
      <c r="H25" s="119">
        <f t="shared" si="4"/>
        <v>0.8</v>
      </c>
      <c r="I25" s="119">
        <f t="shared" si="5"/>
        <v>0</v>
      </c>
      <c r="J25" s="119">
        <f>IF(CurrentMtgRatesDataTable811[[#This Row],[WA CC]]&lt;&gt;0,C24-CurrentMtgRatesDataTable811[[#This Row],[WA CC]],0)</f>
        <v>0</v>
      </c>
      <c r="K25" s="119">
        <f>IF(CurrentMtgRatesDataTable811[[#This Row],[Servicing Spread]]&lt;=0,K24,CurrentMtgRatesDataTable811[[#This Row],[Servicing Spread]])</f>
        <v>0.90511955976279213</v>
      </c>
      <c r="L25" s="119">
        <f>CurrentMtgRatesDataTable811[[#This Row],[Servicing Spread Non-Zero]]-K24</f>
        <v>0</v>
      </c>
      <c r="M25" s="119">
        <f>IF(I24&lt;&gt;0,CurrentMtgRatesDataTable811[[#This Row],[Rate]]-C24,M24)</f>
        <v>4.4999999999999929E-2</v>
      </c>
    </row>
    <row r="26" spans="1:13" s="73" customFormat="1">
      <c r="A26" s="123" t="s">
        <v>121</v>
      </c>
      <c r="B26" s="124">
        <v>2.52426864553397</v>
      </c>
      <c r="C26" s="125">
        <v>3.415</v>
      </c>
      <c r="D26" s="119">
        <f t="shared" si="0"/>
        <v>7</v>
      </c>
      <c r="E26" s="119">
        <f t="shared" si="1"/>
        <v>0.2</v>
      </c>
      <c r="F26" s="119">
        <f t="shared" si="2"/>
        <v>5</v>
      </c>
      <c r="G26" s="119">
        <f t="shared" si="3"/>
        <v>2.5301193958566417</v>
      </c>
      <c r="H26" s="119">
        <f t="shared" si="4"/>
        <v>1</v>
      </c>
      <c r="I26" s="119">
        <f t="shared" si="5"/>
        <v>2.5301193958566417</v>
      </c>
      <c r="J26" s="119">
        <f>IF(CurrentMtgRatesDataTable811[[#This Row],[WA CC]]&lt;&gt;0,C25-CurrentMtgRatesDataTable811[[#This Row],[WA CC]],0)</f>
        <v>0.88488060414335834</v>
      </c>
      <c r="K26" s="119">
        <f>IF(CurrentMtgRatesDataTable811[[#This Row],[Servicing Spread]]&lt;=0,K25,CurrentMtgRatesDataTable811[[#This Row],[Servicing Spread]])</f>
        <v>0.88488060414335834</v>
      </c>
      <c r="L26" s="119">
        <f>CurrentMtgRatesDataTable811[[#This Row],[Servicing Spread Non-Zero]]-K25</f>
        <v>-2.0238955619433785E-2</v>
      </c>
      <c r="M26" s="119">
        <f>IF(I25&lt;&gt;0,CurrentMtgRatesDataTable811[[#This Row],[Rate]]-C25,M25)</f>
        <v>4.4999999999999929E-2</v>
      </c>
    </row>
    <row r="27" spans="1:13" s="73" customFormat="1">
      <c r="A27" s="138" t="s">
        <v>122</v>
      </c>
      <c r="B27" s="139">
        <v>2.53251832650023</v>
      </c>
      <c r="C27" s="6">
        <v>3.4449999999999998</v>
      </c>
      <c r="D27" s="72">
        <f t="shared" si="0"/>
        <v>1</v>
      </c>
      <c r="E27" s="72">
        <f t="shared" si="1"/>
        <v>0.2</v>
      </c>
      <c r="F27" s="72">
        <f t="shared" si="2"/>
        <v>1</v>
      </c>
      <c r="G27" s="72">
        <f t="shared" si="3"/>
        <v>0.50650366530004598</v>
      </c>
      <c r="H27" s="72">
        <f t="shared" si="4"/>
        <v>0.2</v>
      </c>
      <c r="I27" s="72">
        <f t="shared" si="5"/>
        <v>0</v>
      </c>
      <c r="J27" s="72">
        <f>IF(CurrentMtgRatesDataTable811[[#This Row],[WA CC]]&lt;&gt;0,C26-CurrentMtgRatesDataTable811[[#This Row],[WA CC]],0)</f>
        <v>0</v>
      </c>
      <c r="K27" s="72">
        <f>IF(CurrentMtgRatesDataTable811[[#This Row],[Servicing Spread]]&lt;=0,K26,CurrentMtgRatesDataTable811[[#This Row],[Servicing Spread]])</f>
        <v>0.88488060414335834</v>
      </c>
      <c r="L27" s="72">
        <f>CurrentMtgRatesDataTable811[[#This Row],[Servicing Spread Non-Zero]]-K26</f>
        <v>0</v>
      </c>
      <c r="M27" s="72">
        <f>IF(I26&lt;&gt;0,CurrentMtgRatesDataTable811[[#This Row],[Rate]]-C26,M26)</f>
        <v>2.9999999999999805E-2</v>
      </c>
    </row>
    <row r="28" spans="1:13" s="73" customFormat="1">
      <c r="A28" s="138" t="s">
        <v>123</v>
      </c>
      <c r="B28" s="139">
        <v>2.5169810735830902</v>
      </c>
      <c r="C28" s="6">
        <v>3.4449999999999998</v>
      </c>
      <c r="D28" s="72">
        <f t="shared" si="0"/>
        <v>2</v>
      </c>
      <c r="E28" s="72">
        <f t="shared" si="1"/>
        <v>0.2</v>
      </c>
      <c r="F28" s="72">
        <f t="shared" si="2"/>
        <v>2</v>
      </c>
      <c r="G28" s="72">
        <f t="shared" si="3"/>
        <v>1.0098998800166641</v>
      </c>
      <c r="H28" s="72">
        <f t="shared" si="4"/>
        <v>0.4</v>
      </c>
      <c r="I28" s="72">
        <f t="shared" si="5"/>
        <v>0</v>
      </c>
      <c r="J28" s="72">
        <f>IF(CurrentMtgRatesDataTable811[[#This Row],[WA CC]]&lt;&gt;0,C27-CurrentMtgRatesDataTable811[[#This Row],[WA CC]],0)</f>
        <v>0</v>
      </c>
      <c r="K28" s="72">
        <f>IF(CurrentMtgRatesDataTable811[[#This Row],[Servicing Spread]]&lt;=0,K27,CurrentMtgRatesDataTable811[[#This Row],[Servicing Spread]])</f>
        <v>0.88488060414335834</v>
      </c>
      <c r="L28" s="72">
        <f>CurrentMtgRatesDataTable811[[#This Row],[Servicing Spread Non-Zero]]-K27</f>
        <v>0</v>
      </c>
      <c r="M28" s="72">
        <f>IF(I27&lt;&gt;0,CurrentMtgRatesDataTable811[[#This Row],[Rate]]-C27,M27)</f>
        <v>2.9999999999999805E-2</v>
      </c>
    </row>
    <row r="29" spans="1:13" s="73" customFormat="1">
      <c r="A29" s="138" t="s">
        <v>124</v>
      </c>
      <c r="B29" s="139">
        <v>2.5437510721177499</v>
      </c>
      <c r="C29" s="6">
        <v>3.4449999999999998</v>
      </c>
      <c r="D29" s="72">
        <f t="shared" si="0"/>
        <v>5</v>
      </c>
      <c r="E29" s="72">
        <f t="shared" si="1"/>
        <v>0.2</v>
      </c>
      <c r="F29" s="72">
        <f t="shared" si="2"/>
        <v>3</v>
      </c>
      <c r="G29" s="72">
        <f t="shared" si="3"/>
        <v>1.5186500944402139</v>
      </c>
      <c r="H29" s="72">
        <f t="shared" si="4"/>
        <v>0.60000000000000009</v>
      </c>
      <c r="I29" s="72">
        <f t="shared" si="5"/>
        <v>0</v>
      </c>
      <c r="J29" s="72">
        <f>IF(CurrentMtgRatesDataTable811[[#This Row],[WA CC]]&lt;&gt;0,C28-CurrentMtgRatesDataTable811[[#This Row],[WA CC]],0)</f>
        <v>0</v>
      </c>
      <c r="K29" s="72">
        <f>IF(CurrentMtgRatesDataTable811[[#This Row],[Servicing Spread]]&lt;=0,K28,CurrentMtgRatesDataTable811[[#This Row],[Servicing Spread]])</f>
        <v>0.88488060414335834</v>
      </c>
      <c r="L29" s="72">
        <f>CurrentMtgRatesDataTable811[[#This Row],[Servicing Spread Non-Zero]]-K28</f>
        <v>0</v>
      </c>
      <c r="M29" s="72">
        <f>IF(I28&lt;&gt;0,CurrentMtgRatesDataTable811[[#This Row],[Rate]]-C28,M28)</f>
        <v>2.9999999999999805E-2</v>
      </c>
    </row>
    <row r="30" spans="1:13" s="73" customFormat="1">
      <c r="A30" s="138" t="s">
        <v>125</v>
      </c>
      <c r="B30" s="139">
        <v>2.5815492501069399</v>
      </c>
      <c r="C30" s="6">
        <v>3.4449999999999998</v>
      </c>
      <c r="D30" s="72">
        <f t="shared" si="0"/>
        <v>6</v>
      </c>
      <c r="E30" s="72">
        <f t="shared" si="1"/>
        <v>0.2</v>
      </c>
      <c r="F30" s="72">
        <f t="shared" si="2"/>
        <v>4</v>
      </c>
      <c r="G30" s="72">
        <f t="shared" si="3"/>
        <v>2.034959944461602</v>
      </c>
      <c r="H30" s="72">
        <f t="shared" si="4"/>
        <v>0.8</v>
      </c>
      <c r="I30" s="72">
        <f t="shared" si="5"/>
        <v>0</v>
      </c>
      <c r="J30" s="72">
        <f>IF(CurrentMtgRatesDataTable811[[#This Row],[WA CC]]&lt;&gt;0,C29-CurrentMtgRatesDataTable811[[#This Row],[WA CC]],0)</f>
        <v>0</v>
      </c>
      <c r="K30" s="72">
        <f>IF(CurrentMtgRatesDataTable811[[#This Row],[Servicing Spread]]&lt;=0,K29,CurrentMtgRatesDataTable811[[#This Row],[Servicing Spread]])</f>
        <v>0.88488060414335834</v>
      </c>
      <c r="L30" s="72">
        <f>CurrentMtgRatesDataTable811[[#This Row],[Servicing Spread Non-Zero]]-K29</f>
        <v>0</v>
      </c>
      <c r="M30" s="72">
        <f>IF(I29&lt;&gt;0,CurrentMtgRatesDataTable811[[#This Row],[Rate]]-C29,M29)</f>
        <v>2.9999999999999805E-2</v>
      </c>
    </row>
    <row r="31" spans="1:13" s="73" customFormat="1">
      <c r="A31" s="138" t="s">
        <v>126</v>
      </c>
      <c r="B31" s="139">
        <v>2.7578334689679198</v>
      </c>
      <c r="C31" s="6">
        <v>3.4449999999999998</v>
      </c>
      <c r="D31" s="72">
        <f t="shared" si="0"/>
        <v>7</v>
      </c>
      <c r="E31" s="72">
        <f t="shared" si="1"/>
        <v>0.2</v>
      </c>
      <c r="F31" s="72">
        <f t="shared" si="2"/>
        <v>5</v>
      </c>
      <c r="G31" s="72">
        <f t="shared" si="3"/>
        <v>2.5865266382551861</v>
      </c>
      <c r="H31" s="72">
        <f t="shared" si="4"/>
        <v>1</v>
      </c>
      <c r="I31" s="72">
        <f t="shared" si="5"/>
        <v>2.5865266382551861</v>
      </c>
      <c r="J31" s="72">
        <f>IF(CurrentMtgRatesDataTable811[[#This Row],[WA CC]]&lt;&gt;0,C30-CurrentMtgRatesDataTable811[[#This Row],[WA CC]],0)</f>
        <v>0.8584733617448137</v>
      </c>
      <c r="K31" s="72">
        <f>IF(CurrentMtgRatesDataTable811[[#This Row],[Servicing Spread]]&lt;=0,K30,CurrentMtgRatesDataTable811[[#This Row],[Servicing Spread]])</f>
        <v>0.8584733617448137</v>
      </c>
      <c r="L31" s="72">
        <f>CurrentMtgRatesDataTable811[[#This Row],[Servicing Spread Non-Zero]]-K30</f>
        <v>-2.6407242398544639E-2</v>
      </c>
      <c r="M31" s="72">
        <f>IF(I30&lt;&gt;0,CurrentMtgRatesDataTable811[[#This Row],[Rate]]-C30,M30)</f>
        <v>2.9999999999999805E-2</v>
      </c>
    </row>
    <row r="32" spans="1:13" s="73" customFormat="1">
      <c r="A32" s="138" t="s">
        <v>127</v>
      </c>
      <c r="B32" s="139">
        <v>2.8203429128505602</v>
      </c>
      <c r="C32" s="6">
        <v>3.8149999999999999</v>
      </c>
      <c r="D32" s="72">
        <f t="shared" si="0"/>
        <v>1</v>
      </c>
      <c r="E32" s="72">
        <f t="shared" si="1"/>
        <v>0.2</v>
      </c>
      <c r="F32" s="72">
        <f t="shared" si="2"/>
        <v>1</v>
      </c>
      <c r="G32" s="72">
        <f t="shared" si="3"/>
        <v>0.56406858257011205</v>
      </c>
      <c r="H32" s="72">
        <f t="shared" si="4"/>
        <v>0.2</v>
      </c>
      <c r="I32" s="72">
        <f t="shared" si="5"/>
        <v>0</v>
      </c>
      <c r="J32" s="72">
        <f>IF(CurrentMtgRatesDataTable811[[#This Row],[WA CC]]&lt;&gt;0,C31-CurrentMtgRatesDataTable811[[#This Row],[WA CC]],0)</f>
        <v>0</v>
      </c>
      <c r="K32" s="72">
        <f>IF(CurrentMtgRatesDataTable811[[#This Row],[Servicing Spread]]&lt;=0,K31,CurrentMtgRatesDataTable811[[#This Row],[Servicing Spread]])</f>
        <v>0.8584733617448137</v>
      </c>
      <c r="L32" s="72">
        <f>CurrentMtgRatesDataTable811[[#This Row],[Servicing Spread Non-Zero]]-K31</f>
        <v>0</v>
      </c>
      <c r="M32" s="72">
        <f>IF(I31&lt;&gt;0,CurrentMtgRatesDataTable811[[#This Row],[Rate]]-C31,M31)</f>
        <v>0.37000000000000011</v>
      </c>
    </row>
    <row r="33" spans="1:22" s="73" customFormat="1">
      <c r="A33" s="138" t="s">
        <v>128</v>
      </c>
      <c r="B33" s="139">
        <v>2.9518507510638798</v>
      </c>
      <c r="C33" s="6">
        <v>3.8149999999999999</v>
      </c>
      <c r="D33" s="72">
        <f t="shared" si="0"/>
        <v>5</v>
      </c>
      <c r="E33" s="72">
        <f t="shared" si="1"/>
        <v>0.2</v>
      </c>
      <c r="F33" s="72">
        <f t="shared" si="2"/>
        <v>2</v>
      </c>
      <c r="G33" s="72">
        <f t="shared" si="3"/>
        <v>1.154438732782888</v>
      </c>
      <c r="H33" s="72">
        <f t="shared" si="4"/>
        <v>0.4</v>
      </c>
      <c r="I33" s="72">
        <f t="shared" si="5"/>
        <v>0</v>
      </c>
      <c r="J33" s="72">
        <f>IF(CurrentMtgRatesDataTable811[[#This Row],[WA CC]]&lt;&gt;0,C32-CurrentMtgRatesDataTable811[[#This Row],[WA CC]],0)</f>
        <v>0</v>
      </c>
      <c r="K33" s="72">
        <f>IF(CurrentMtgRatesDataTable811[[#This Row],[Servicing Spread]]&lt;=0,K32,CurrentMtgRatesDataTable811[[#This Row],[Servicing Spread]])</f>
        <v>0.8584733617448137</v>
      </c>
      <c r="L33" s="72">
        <f>CurrentMtgRatesDataTable811[[#This Row],[Servicing Spread Non-Zero]]-K32</f>
        <v>0</v>
      </c>
      <c r="M33" s="72">
        <f>IF(I32&lt;&gt;0,CurrentMtgRatesDataTable811[[#This Row],[Rate]]-C32,M32)</f>
        <v>0.37000000000000011</v>
      </c>
    </row>
    <row r="34" spans="1:22" s="73" customFormat="1">
      <c r="A34" s="138" t="s">
        <v>129</v>
      </c>
      <c r="B34" s="139">
        <v>2.938815281358</v>
      </c>
      <c r="C34" s="6">
        <v>3.8149999999999999</v>
      </c>
      <c r="D34" s="72">
        <f t="shared" si="0"/>
        <v>6</v>
      </c>
      <c r="E34" s="72">
        <f t="shared" si="1"/>
        <v>0.2</v>
      </c>
      <c r="F34" s="72">
        <f t="shared" si="2"/>
        <v>3</v>
      </c>
      <c r="G34" s="72">
        <f t="shared" si="3"/>
        <v>1.7422017890544881</v>
      </c>
      <c r="H34" s="72">
        <f t="shared" si="4"/>
        <v>0.60000000000000009</v>
      </c>
      <c r="I34" s="72">
        <f t="shared" si="5"/>
        <v>0</v>
      </c>
      <c r="J34" s="72">
        <f>IF(CurrentMtgRatesDataTable811[[#This Row],[WA CC]]&lt;&gt;0,C33-CurrentMtgRatesDataTable811[[#This Row],[WA CC]],0)</f>
        <v>0</v>
      </c>
      <c r="K34" s="72">
        <f>IF(CurrentMtgRatesDataTable811[[#This Row],[Servicing Spread]]&lt;=0,K33,CurrentMtgRatesDataTable811[[#This Row],[Servicing Spread]])</f>
        <v>0.8584733617448137</v>
      </c>
      <c r="L34" s="72">
        <f>CurrentMtgRatesDataTable811[[#This Row],[Servicing Spread Non-Zero]]-K33</f>
        <v>0</v>
      </c>
      <c r="M34" s="72">
        <f>IF(I33&lt;&gt;0,CurrentMtgRatesDataTable811[[#This Row],[Rate]]-C33,M33)</f>
        <v>0.37000000000000011</v>
      </c>
    </row>
    <row r="35" spans="1:22" s="73" customFormat="1">
      <c r="A35" s="138" t="s">
        <v>130</v>
      </c>
      <c r="B35" s="139">
        <v>2.9180541697648699</v>
      </c>
      <c r="C35" s="6">
        <v>3.8149999999999999</v>
      </c>
      <c r="D35" s="72">
        <f t="shared" si="0"/>
        <v>7</v>
      </c>
      <c r="E35" s="72">
        <f t="shared" si="1"/>
        <v>0.2</v>
      </c>
      <c r="F35" s="72">
        <f t="shared" si="2"/>
        <v>4</v>
      </c>
      <c r="G35" s="72">
        <f t="shared" si="3"/>
        <v>2.3258126230074621</v>
      </c>
      <c r="H35" s="72">
        <f t="shared" si="4"/>
        <v>0.8</v>
      </c>
      <c r="I35" s="72">
        <f t="shared" si="5"/>
        <v>2.9072657787593275</v>
      </c>
      <c r="J35" s="72">
        <f>IF(CurrentMtgRatesDataTable811[[#This Row],[WA CC]]&lt;&gt;0,C34-CurrentMtgRatesDataTable811[[#This Row],[WA CC]],0)</f>
        <v>0.90773422124067249</v>
      </c>
      <c r="K35" s="72">
        <f>IF(CurrentMtgRatesDataTable811[[#This Row],[Servicing Spread]]&lt;=0,K34,CurrentMtgRatesDataTable811[[#This Row],[Servicing Spread]])</f>
        <v>0.90773422124067249</v>
      </c>
      <c r="L35" s="72">
        <f>CurrentMtgRatesDataTable811[[#This Row],[Servicing Spread Non-Zero]]-K34</f>
        <v>4.9260859495858789E-2</v>
      </c>
      <c r="M35" s="72">
        <f>IF(I34&lt;&gt;0,CurrentMtgRatesDataTable811[[#This Row],[Rate]]-C34,M34)</f>
        <v>0.37000000000000011</v>
      </c>
    </row>
    <row r="36" spans="1:22" s="73" customFormat="1">
      <c r="A36" s="138" t="s">
        <v>131</v>
      </c>
      <c r="B36" s="139">
        <v>2.9579353811966902</v>
      </c>
      <c r="C36" s="6">
        <v>3.9050000000000002</v>
      </c>
      <c r="D36" s="72">
        <f t="shared" si="0"/>
        <v>1</v>
      </c>
      <c r="E36" s="72">
        <f t="shared" si="1"/>
        <v>0.2</v>
      </c>
      <c r="F36" s="72">
        <f t="shared" si="2"/>
        <v>1</v>
      </c>
      <c r="G36" s="72">
        <f t="shared" si="3"/>
        <v>0.59158707623933804</v>
      </c>
      <c r="H36" s="72">
        <f t="shared" si="4"/>
        <v>0.2</v>
      </c>
      <c r="I36" s="72">
        <f t="shared" si="5"/>
        <v>0</v>
      </c>
      <c r="J36" s="72">
        <f>IF(CurrentMtgRatesDataTable811[[#This Row],[WA CC]]&lt;&gt;0,C35-CurrentMtgRatesDataTable811[[#This Row],[WA CC]],0)</f>
        <v>0</v>
      </c>
      <c r="K36" s="72">
        <f>IF(CurrentMtgRatesDataTable811[[#This Row],[Servicing Spread]]&lt;=0,K35,CurrentMtgRatesDataTable811[[#This Row],[Servicing Spread]])</f>
        <v>0.90773422124067249</v>
      </c>
      <c r="L36" s="72">
        <f>CurrentMtgRatesDataTable811[[#This Row],[Servicing Spread Non-Zero]]-K35</f>
        <v>0</v>
      </c>
      <c r="M36" s="72">
        <f>IF(I35&lt;&gt;0,CurrentMtgRatesDataTable811[[#This Row],[Rate]]-C35,M35)</f>
        <v>9.0000000000000302E-2</v>
      </c>
    </row>
    <row r="37" spans="1:22" s="73" customFormat="1">
      <c r="A37" s="138" t="s">
        <v>132</v>
      </c>
      <c r="B37" s="139">
        <v>3.03169131774919</v>
      </c>
      <c r="C37" s="6">
        <v>3.9050000000000002</v>
      </c>
      <c r="D37" s="72">
        <f t="shared" si="0"/>
        <v>2</v>
      </c>
      <c r="E37" s="72">
        <f t="shared" si="1"/>
        <v>0.2</v>
      </c>
      <c r="F37" s="72">
        <f t="shared" si="2"/>
        <v>2</v>
      </c>
      <c r="G37" s="72">
        <f t="shared" si="3"/>
        <v>1.197925339789176</v>
      </c>
      <c r="H37" s="72">
        <f t="shared" si="4"/>
        <v>0.4</v>
      </c>
      <c r="I37" s="72">
        <f t="shared" si="5"/>
        <v>0</v>
      </c>
      <c r="J37" s="72">
        <f>IF(CurrentMtgRatesDataTable811[[#This Row],[WA CC]]&lt;&gt;0,C36-CurrentMtgRatesDataTable811[[#This Row],[WA CC]],0)</f>
        <v>0</v>
      </c>
      <c r="K37" s="72">
        <f>IF(CurrentMtgRatesDataTable811[[#This Row],[Servicing Spread]]&lt;=0,K36,CurrentMtgRatesDataTable811[[#This Row],[Servicing Spread]])</f>
        <v>0.90773422124067249</v>
      </c>
      <c r="L37" s="72">
        <f>CurrentMtgRatesDataTable811[[#This Row],[Servicing Spread Non-Zero]]-K36</f>
        <v>0</v>
      </c>
      <c r="M37" s="72">
        <f>IF(I36&lt;&gt;0,CurrentMtgRatesDataTable811[[#This Row],[Rate]]-C36,M36)</f>
        <v>9.0000000000000302E-2</v>
      </c>
    </row>
    <row r="38" spans="1:22" s="73" customFormat="1">
      <c r="A38" s="138" t="s">
        <v>133</v>
      </c>
      <c r="B38" s="139">
        <v>3.0422928996340901</v>
      </c>
      <c r="C38" s="6">
        <v>3.9050000000000002</v>
      </c>
      <c r="D38" s="72">
        <f t="shared" si="0"/>
        <v>5</v>
      </c>
      <c r="E38" s="72">
        <f t="shared" si="1"/>
        <v>0.2</v>
      </c>
      <c r="F38" s="72">
        <f t="shared" si="2"/>
        <v>3</v>
      </c>
      <c r="G38" s="72">
        <f t="shared" si="3"/>
        <v>1.8063839197159941</v>
      </c>
      <c r="H38" s="72">
        <f t="shared" si="4"/>
        <v>0.60000000000000009</v>
      </c>
      <c r="I38" s="72">
        <f t="shared" si="5"/>
        <v>0</v>
      </c>
      <c r="J38" s="72">
        <f>IF(CurrentMtgRatesDataTable811[[#This Row],[WA CC]]&lt;&gt;0,C37-CurrentMtgRatesDataTable811[[#This Row],[WA CC]],0)</f>
        <v>0</v>
      </c>
      <c r="K38" s="72">
        <f>IF(CurrentMtgRatesDataTable811[[#This Row],[Servicing Spread]]&lt;=0,K37,CurrentMtgRatesDataTable811[[#This Row],[Servicing Spread]])</f>
        <v>0.90773422124067249</v>
      </c>
      <c r="L38" s="72">
        <f>CurrentMtgRatesDataTable811[[#This Row],[Servicing Spread Non-Zero]]-K37</f>
        <v>0</v>
      </c>
      <c r="M38" s="72">
        <f>IF(I37&lt;&gt;0,CurrentMtgRatesDataTable811[[#This Row],[Rate]]-C37,M37)</f>
        <v>9.0000000000000302E-2</v>
      </c>
    </row>
    <row r="39" spans="1:22" s="73" customFormat="1">
      <c r="A39" s="138" t="s">
        <v>134</v>
      </c>
      <c r="B39" s="139">
        <v>3.0253759468796799</v>
      </c>
      <c r="C39" s="6">
        <v>3.9050000000000002</v>
      </c>
      <c r="D39" s="72">
        <f t="shared" si="0"/>
        <v>6</v>
      </c>
      <c r="E39" s="72">
        <f t="shared" si="1"/>
        <v>0.2</v>
      </c>
      <c r="F39" s="72">
        <f t="shared" si="2"/>
        <v>4</v>
      </c>
      <c r="G39" s="72">
        <f t="shared" si="3"/>
        <v>2.41145910909193</v>
      </c>
      <c r="H39" s="72">
        <f t="shared" si="4"/>
        <v>0.8</v>
      </c>
      <c r="I39" s="72">
        <f t="shared" si="5"/>
        <v>0</v>
      </c>
      <c r="J39" s="72">
        <f>IF(CurrentMtgRatesDataTable811[[#This Row],[WA CC]]&lt;&gt;0,C38-CurrentMtgRatesDataTable811[[#This Row],[WA CC]],0)</f>
        <v>0</v>
      </c>
      <c r="K39" s="72">
        <f>IF(CurrentMtgRatesDataTable811[[#This Row],[Servicing Spread]]&lt;=0,K38,CurrentMtgRatesDataTable811[[#This Row],[Servicing Spread]])</f>
        <v>0.90773422124067249</v>
      </c>
      <c r="L39" s="72">
        <f>CurrentMtgRatesDataTable811[[#This Row],[Servicing Spread Non-Zero]]-K38</f>
        <v>0</v>
      </c>
      <c r="M39" s="72">
        <f>IF(I38&lt;&gt;0,CurrentMtgRatesDataTable811[[#This Row],[Rate]]-C38,M38)</f>
        <v>9.0000000000000302E-2</v>
      </c>
    </row>
    <row r="40" spans="1:22" s="73" customFormat="1">
      <c r="A40" s="138" t="s">
        <v>147</v>
      </c>
      <c r="B40" s="139">
        <v>3.0811413392722198</v>
      </c>
      <c r="C40" s="6">
        <v>3.9050000000000002</v>
      </c>
      <c r="D40" s="72">
        <f t="shared" si="0"/>
        <v>7</v>
      </c>
      <c r="E40" s="72">
        <f t="shared" si="1"/>
        <v>0.2</v>
      </c>
      <c r="F40" s="72">
        <f t="shared" si="2"/>
        <v>5</v>
      </c>
      <c r="G40" s="72">
        <f t="shared" si="3"/>
        <v>3.0276873769463739</v>
      </c>
      <c r="H40" s="72">
        <f t="shared" si="4"/>
        <v>1</v>
      </c>
      <c r="I40" s="72">
        <f t="shared" si="5"/>
        <v>3.0276873769463739</v>
      </c>
      <c r="J40" s="72">
        <f>IF(CurrentMtgRatesDataTable811[[#This Row],[WA CC]]&lt;&gt;0,C39-CurrentMtgRatesDataTable811[[#This Row],[WA CC]],0)</f>
        <v>0.87731262305362634</v>
      </c>
      <c r="K40" s="72">
        <f>IF(CurrentMtgRatesDataTable811[[#This Row],[Servicing Spread]]&lt;=0,K39,CurrentMtgRatesDataTable811[[#This Row],[Servicing Spread]])</f>
        <v>0.87731262305362634</v>
      </c>
      <c r="L40" s="72">
        <f>CurrentMtgRatesDataTable811[[#This Row],[Servicing Spread Non-Zero]]-K39</f>
        <v>-3.042159818704615E-2</v>
      </c>
      <c r="M40" s="72">
        <f>IF(I39&lt;&gt;0,CurrentMtgRatesDataTable811[[#This Row],[Rate]]-C39,M39)</f>
        <v>9.0000000000000302E-2</v>
      </c>
    </row>
    <row r="41" spans="1:22" s="73" customFormat="1">
      <c r="A41" s="69"/>
      <c r="B41" s="69"/>
      <c r="C41" s="69"/>
      <c r="D41" s="69"/>
      <c r="E41" s="69"/>
      <c r="F41" s="69"/>
      <c r="G41" s="69"/>
      <c r="H41" s="69"/>
      <c r="I41" s="69"/>
      <c r="J41" s="69"/>
      <c r="K41" s="69"/>
      <c r="L41" s="69"/>
      <c r="M41" s="69"/>
    </row>
    <row r="42" spans="1:22" s="73" customFormat="1">
      <c r="A42" s="69"/>
      <c r="B42" s="69"/>
      <c r="C42" s="69"/>
      <c r="D42" s="69"/>
      <c r="E42" s="69"/>
      <c r="F42" s="69"/>
      <c r="G42" s="69"/>
      <c r="H42" s="69"/>
      <c r="I42" s="69"/>
      <c r="J42" s="69"/>
      <c r="K42" s="69"/>
      <c r="L42" s="69"/>
      <c r="M42" s="69"/>
    </row>
    <row r="43" spans="1:22" s="73" customFormat="1">
      <c r="A43" s="69"/>
      <c r="B43" s="69"/>
      <c r="C43" s="69"/>
      <c r="D43" s="69"/>
      <c r="E43" s="69"/>
      <c r="F43" s="69"/>
      <c r="G43" s="69"/>
      <c r="H43" s="69"/>
      <c r="I43" s="69"/>
      <c r="J43" s="69"/>
      <c r="K43" s="69"/>
      <c r="L43" s="69"/>
      <c r="M43" s="69"/>
    </row>
    <row r="44" spans="1:22" s="73" customFormat="1">
      <c r="A44" s="69"/>
      <c r="B44" s="69"/>
      <c r="C44" s="69"/>
      <c r="D44" s="69"/>
      <c r="E44" s="69"/>
      <c r="F44" s="69"/>
      <c r="G44" s="69"/>
      <c r="H44" s="69"/>
      <c r="I44" s="69"/>
      <c r="J44" s="69"/>
      <c r="K44" s="69"/>
      <c r="L44" s="69"/>
      <c r="M44" s="69"/>
    </row>
    <row r="45" spans="1:22" s="73" customFormat="1">
      <c r="A45" s="69"/>
      <c r="B45" s="69"/>
      <c r="C45" s="69"/>
      <c r="D45" s="69"/>
      <c r="E45" s="69"/>
      <c r="F45" s="69"/>
      <c r="G45" s="69"/>
      <c r="H45" s="69"/>
      <c r="I45" s="69"/>
      <c r="J45" s="69"/>
      <c r="K45" s="69"/>
      <c r="L45" s="69"/>
      <c r="M45" s="69"/>
    </row>
    <row r="46" spans="1:22" s="73" customFormat="1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  <c r="M46" s="69"/>
    </row>
    <row r="47" spans="1:22" s="73" customFormat="1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</row>
    <row r="48" spans="1:22" s="73" customFormat="1">
      <c r="A48" s="69"/>
      <c r="B48" s="69"/>
      <c r="C48" s="69"/>
      <c r="D48" s="69"/>
      <c r="E48" s="69"/>
      <c r="F48" s="69"/>
      <c r="G48" s="69"/>
      <c r="H48" s="69"/>
      <c r="I48" s="69"/>
      <c r="J48" s="69"/>
      <c r="K48" s="69"/>
      <c r="L48" s="69"/>
      <c r="M48" s="69"/>
      <c r="T48" s="69"/>
      <c r="U48" s="69"/>
      <c r="V48" s="69"/>
    </row>
    <row r="49" spans="1:22" s="73" customFormat="1">
      <c r="A49" s="69"/>
      <c r="B49" s="69"/>
      <c r="C49" s="69"/>
      <c r="D49" s="69"/>
      <c r="E49" s="69"/>
      <c r="F49" s="69"/>
      <c r="G49" s="69"/>
      <c r="H49" s="69"/>
      <c r="I49" s="69"/>
      <c r="J49" s="69"/>
      <c r="K49" s="69"/>
      <c r="L49" s="69"/>
      <c r="M49" s="69"/>
      <c r="T49" s="69"/>
      <c r="U49" s="69"/>
      <c r="V49" s="69"/>
    </row>
    <row r="50" spans="1:22" s="73" customFormat="1">
      <c r="A50" s="69"/>
      <c r="B50" s="69"/>
      <c r="C50" s="69"/>
      <c r="D50" s="69"/>
      <c r="E50" s="69"/>
      <c r="F50" s="69"/>
      <c r="G50" s="69"/>
      <c r="H50" s="69"/>
      <c r="I50" s="69"/>
      <c r="J50" s="69"/>
      <c r="K50" s="69"/>
      <c r="L50" s="69"/>
      <c r="M50" s="69"/>
      <c r="T50" s="69"/>
      <c r="U50" s="69"/>
      <c r="V50" s="69"/>
    </row>
    <row r="51" spans="1:22" s="73" customFormat="1">
      <c r="A51" s="69"/>
      <c r="B51" s="69"/>
      <c r="C51" s="69"/>
      <c r="D51" s="69"/>
      <c r="E51" s="69"/>
      <c r="F51" s="69"/>
      <c r="G51" s="69"/>
      <c r="H51" s="69"/>
      <c r="I51" s="69"/>
      <c r="J51" s="69"/>
      <c r="K51" s="69"/>
      <c r="L51" s="69"/>
      <c r="M51" s="69"/>
      <c r="T51" s="69"/>
      <c r="U51" s="69"/>
      <c r="V51" s="69"/>
    </row>
    <row r="52" spans="1:22" s="73" customFormat="1">
      <c r="A52" s="69"/>
      <c r="B52" s="69"/>
      <c r="C52" s="69"/>
      <c r="D52" s="69"/>
      <c r="E52" s="69"/>
      <c r="F52" s="69"/>
      <c r="G52" s="69"/>
      <c r="H52" s="69"/>
      <c r="I52" s="69"/>
      <c r="J52" s="69"/>
      <c r="K52" s="69"/>
      <c r="L52" s="69"/>
      <c r="M52" s="69"/>
      <c r="T52" s="69"/>
      <c r="U52" s="69"/>
      <c r="V52" s="69"/>
    </row>
    <row r="53" spans="1:22" s="73" customFormat="1">
      <c r="A53" s="69"/>
      <c r="B53" s="69"/>
      <c r="C53" s="69"/>
      <c r="D53" s="69"/>
      <c r="E53" s="69"/>
      <c r="F53" s="69"/>
      <c r="G53" s="69"/>
      <c r="H53" s="69"/>
      <c r="I53" s="69"/>
      <c r="J53" s="69"/>
      <c r="K53" s="69"/>
      <c r="L53" s="69"/>
      <c r="M53" s="69"/>
      <c r="T53" s="69"/>
      <c r="U53" s="69"/>
      <c r="V53" s="69"/>
    </row>
    <row r="54" spans="1:22" s="73" customFormat="1">
      <c r="A54" s="69"/>
      <c r="B54" s="69"/>
      <c r="C54" s="69"/>
      <c r="D54" s="69"/>
      <c r="E54" s="69"/>
      <c r="F54" s="69"/>
      <c r="G54" s="69"/>
      <c r="H54" s="69"/>
      <c r="I54" s="69"/>
      <c r="J54" s="69"/>
      <c r="K54" s="69"/>
      <c r="L54" s="69"/>
      <c r="M54" s="69"/>
      <c r="T54" s="69"/>
      <c r="U54" s="69"/>
      <c r="V54" s="69"/>
    </row>
    <row r="55" spans="1:22" s="73" customFormat="1">
      <c r="A55" s="69"/>
      <c r="B55" s="69"/>
      <c r="C55" s="69"/>
      <c r="D55" s="69"/>
      <c r="E55" s="69"/>
      <c r="F55" s="69"/>
      <c r="G55" s="69"/>
      <c r="H55" s="69"/>
      <c r="I55" s="69"/>
      <c r="J55" s="69"/>
      <c r="K55" s="69"/>
      <c r="L55" s="69"/>
      <c r="M55" s="69"/>
      <c r="T55" s="69"/>
      <c r="U55" s="69"/>
      <c r="V55" s="69"/>
    </row>
    <row r="56" spans="1:22" s="73" customFormat="1">
      <c r="A56" s="69"/>
      <c r="B56" s="69"/>
      <c r="C56" s="69"/>
      <c r="D56" s="69"/>
      <c r="E56" s="69"/>
      <c r="F56" s="69"/>
      <c r="G56" s="69"/>
      <c r="H56" s="69"/>
      <c r="I56" s="69"/>
      <c r="J56" s="69"/>
      <c r="K56" s="69"/>
      <c r="L56" s="69"/>
      <c r="M56" s="69"/>
      <c r="T56" s="69"/>
      <c r="U56" s="69"/>
      <c r="V56" s="69"/>
    </row>
    <row r="57" spans="1:22" s="73" customFormat="1">
      <c r="A57" s="69"/>
      <c r="B57" s="69"/>
      <c r="C57" s="69"/>
      <c r="D57" s="69"/>
      <c r="E57" s="69"/>
      <c r="F57" s="69"/>
      <c r="G57" s="69"/>
      <c r="H57" s="69"/>
      <c r="I57" s="69"/>
      <c r="J57" s="69"/>
      <c r="K57" s="69"/>
      <c r="L57" s="69"/>
      <c r="M57" s="69"/>
      <c r="T57" s="69"/>
      <c r="U57" s="69"/>
      <c r="V57" s="69"/>
    </row>
    <row r="58" spans="1:22" s="73" customFormat="1">
      <c r="A58" s="69"/>
      <c r="B58" s="69"/>
      <c r="C58" s="69"/>
      <c r="D58" s="69"/>
      <c r="E58" s="69"/>
      <c r="F58" s="69"/>
      <c r="G58" s="69"/>
      <c r="H58" s="69"/>
      <c r="I58" s="69"/>
      <c r="J58" s="69"/>
      <c r="K58" s="69"/>
      <c r="L58" s="69"/>
      <c r="M58" s="69"/>
      <c r="T58" s="69"/>
      <c r="U58" s="69"/>
      <c r="V58" s="69"/>
    </row>
    <row r="59" spans="1:22" s="73" customFormat="1">
      <c r="A59" s="69"/>
      <c r="B59" s="69"/>
      <c r="C59" s="69"/>
      <c r="D59" s="69"/>
      <c r="E59" s="69"/>
      <c r="F59" s="69"/>
      <c r="G59" s="69"/>
      <c r="H59" s="69"/>
      <c r="I59" s="69"/>
      <c r="J59" s="69"/>
      <c r="K59" s="69"/>
      <c r="L59" s="69"/>
      <c r="M59" s="69"/>
      <c r="T59" s="69"/>
      <c r="U59" s="69"/>
      <c r="V59" s="69"/>
    </row>
    <row r="60" spans="1:22" s="73" customFormat="1">
      <c r="A60" s="69"/>
      <c r="B60" s="69"/>
      <c r="C60" s="69"/>
      <c r="D60" s="69"/>
      <c r="E60" s="69"/>
      <c r="F60" s="69"/>
      <c r="G60" s="69"/>
      <c r="H60" s="69"/>
      <c r="I60" s="69"/>
      <c r="J60" s="69"/>
      <c r="K60" s="69"/>
      <c r="L60" s="69"/>
      <c r="M60" s="69"/>
      <c r="T60" s="69"/>
      <c r="U60" s="69"/>
      <c r="V60" s="69"/>
    </row>
    <row r="61" spans="1:22" s="73" customFormat="1">
      <c r="A61" s="69"/>
      <c r="B61" s="69"/>
      <c r="C61" s="69"/>
      <c r="D61" s="69"/>
      <c r="E61" s="69"/>
      <c r="F61" s="69"/>
      <c r="G61" s="69"/>
      <c r="H61" s="69"/>
      <c r="I61" s="69"/>
      <c r="J61" s="69"/>
      <c r="K61" s="69"/>
      <c r="L61" s="69"/>
      <c r="M61" s="69"/>
      <c r="T61" s="69"/>
      <c r="U61" s="69"/>
      <c r="V61" s="69"/>
    </row>
    <row r="62" spans="1:22" s="73" customFormat="1">
      <c r="A62" s="69"/>
      <c r="B62" s="69"/>
      <c r="C62" s="69"/>
      <c r="D62" s="69"/>
      <c r="E62" s="69"/>
      <c r="F62" s="69"/>
      <c r="G62" s="69"/>
      <c r="H62" s="69"/>
      <c r="I62" s="69"/>
      <c r="J62" s="69"/>
      <c r="K62" s="69"/>
      <c r="L62" s="69"/>
      <c r="M62" s="69"/>
      <c r="T62" s="69"/>
      <c r="U62" s="69"/>
      <c r="V62" s="69"/>
    </row>
    <row r="63" spans="1:22" s="73" customFormat="1">
      <c r="A63" s="69"/>
      <c r="B63" s="69"/>
      <c r="C63" s="69"/>
      <c r="D63" s="69"/>
      <c r="E63" s="69"/>
      <c r="F63" s="69"/>
      <c r="G63" s="69"/>
      <c r="H63" s="69"/>
      <c r="I63" s="69"/>
      <c r="J63" s="69"/>
      <c r="K63" s="69"/>
      <c r="L63" s="69"/>
      <c r="M63" s="69"/>
      <c r="T63" s="69"/>
      <c r="U63" s="69"/>
      <c r="V63" s="69"/>
    </row>
    <row r="64" spans="1:22" s="73" customFormat="1">
      <c r="A64" s="69"/>
      <c r="B64" s="69"/>
      <c r="C64" s="69"/>
      <c r="D64" s="69"/>
      <c r="E64" s="69"/>
      <c r="F64" s="69"/>
      <c r="G64" s="69"/>
      <c r="H64" s="69"/>
      <c r="I64" s="69"/>
      <c r="J64" s="69"/>
      <c r="K64" s="69"/>
      <c r="L64" s="69"/>
      <c r="M64" s="69"/>
      <c r="T64" s="69"/>
      <c r="U64" s="69"/>
      <c r="V64" s="69"/>
    </row>
    <row r="65" spans="1:22" s="73" customFormat="1">
      <c r="A65" s="69"/>
      <c r="B65" s="69"/>
      <c r="C65" s="69"/>
      <c r="D65" s="69"/>
      <c r="E65" s="69"/>
      <c r="F65" s="69"/>
      <c r="G65" s="69"/>
      <c r="H65" s="69"/>
      <c r="I65" s="69"/>
      <c r="J65" s="69"/>
      <c r="K65" s="69"/>
      <c r="L65" s="69"/>
      <c r="M65" s="69"/>
      <c r="T65" s="69"/>
      <c r="U65" s="69"/>
      <c r="V65" s="69"/>
    </row>
    <row r="66" spans="1:22" s="73" customFormat="1">
      <c r="A66" s="69"/>
      <c r="B66" s="69"/>
      <c r="C66" s="69"/>
      <c r="D66" s="69"/>
      <c r="E66" s="69"/>
      <c r="F66" s="69"/>
      <c r="G66" s="69"/>
      <c r="H66" s="69"/>
      <c r="I66" s="69"/>
      <c r="J66" s="69"/>
      <c r="K66" s="69"/>
      <c r="L66" s="69"/>
      <c r="M66" s="69"/>
      <c r="T66" s="69"/>
      <c r="U66" s="69"/>
      <c r="V66" s="69"/>
    </row>
    <row r="67" spans="1:22" s="73" customFormat="1">
      <c r="A67" s="69"/>
      <c r="B67" s="69"/>
      <c r="C67" s="69"/>
      <c r="D67" s="69"/>
      <c r="E67" s="69"/>
      <c r="F67" s="69"/>
      <c r="G67" s="69"/>
      <c r="H67" s="69"/>
      <c r="I67" s="69"/>
      <c r="J67" s="69"/>
      <c r="K67" s="69"/>
      <c r="L67" s="69"/>
      <c r="M67" s="69"/>
      <c r="T67" s="69"/>
      <c r="U67" s="69"/>
      <c r="V67" s="69"/>
    </row>
    <row r="68" spans="1:22">
      <c r="N68" s="73"/>
      <c r="O68" s="73"/>
      <c r="P68" s="73"/>
      <c r="Q68" s="73"/>
      <c r="R68" s="73"/>
    </row>
    <row r="69" spans="1:22">
      <c r="N69" s="73"/>
      <c r="O69" s="73"/>
      <c r="P69" s="73"/>
      <c r="Q69" s="73"/>
      <c r="R69" s="73"/>
    </row>
    <row r="70" spans="1:22">
      <c r="N70" s="73"/>
      <c r="O70" s="73"/>
      <c r="P70" s="73"/>
      <c r="Q70" s="73"/>
      <c r="R70" s="73"/>
    </row>
    <row r="71" spans="1:22">
      <c r="N71" s="73"/>
      <c r="O71" s="73"/>
      <c r="P71" s="73"/>
      <c r="Q71" s="73"/>
      <c r="R71" s="73"/>
    </row>
    <row r="72" spans="1:22">
      <c r="N72" s="73"/>
      <c r="O72" s="73"/>
      <c r="P72" s="73"/>
      <c r="Q72" s="73"/>
      <c r="R72" s="73"/>
    </row>
    <row r="73" spans="1:22">
      <c r="N73" s="73"/>
      <c r="O73" s="73"/>
      <c r="P73" s="73"/>
      <c r="Q73" s="73"/>
      <c r="R73" s="73"/>
    </row>
    <row r="74" spans="1:22">
      <c r="N74" s="73"/>
      <c r="O74" s="73"/>
      <c r="P74" s="73"/>
      <c r="Q74" s="73"/>
      <c r="R74" s="73"/>
    </row>
    <row r="75" spans="1:22">
      <c r="N75" s="73"/>
      <c r="O75" s="73"/>
      <c r="P75" s="73"/>
      <c r="Q75" s="73"/>
      <c r="R75" s="73"/>
    </row>
    <row r="76" spans="1:22">
      <c r="N76" s="73"/>
      <c r="O76" s="73"/>
      <c r="P76" s="73"/>
      <c r="Q76" s="73"/>
      <c r="R76" s="73"/>
    </row>
    <row r="77" spans="1:22">
      <c r="N77" s="73"/>
      <c r="O77" s="73"/>
      <c r="P77" s="73"/>
      <c r="Q77" s="73"/>
      <c r="R77" s="73"/>
    </row>
    <row r="78" spans="1:22">
      <c r="N78" s="73"/>
      <c r="O78" s="73"/>
      <c r="P78" s="73"/>
      <c r="Q78" s="73"/>
      <c r="R78" s="73"/>
    </row>
    <row r="79" spans="1:22">
      <c r="N79" s="74"/>
      <c r="O79" s="74"/>
      <c r="P79" s="74"/>
      <c r="Q79" s="74"/>
      <c r="R79" s="74"/>
    </row>
    <row r="80" spans="1:22">
      <c r="N80" s="74"/>
      <c r="O80" s="74"/>
      <c r="P80" s="74"/>
      <c r="Q80" s="74"/>
      <c r="R80" s="74"/>
    </row>
    <row r="81" spans="14:18">
      <c r="N81" s="74"/>
      <c r="O81" s="74"/>
      <c r="P81" s="74"/>
      <c r="Q81" s="74"/>
      <c r="R81" s="74"/>
    </row>
    <row r="82" spans="14:18">
      <c r="N82" s="74"/>
      <c r="O82" s="74"/>
      <c r="P82" s="74"/>
      <c r="Q82" s="74"/>
      <c r="R82" s="74"/>
    </row>
    <row r="83" spans="14:18">
      <c r="N83" s="74"/>
      <c r="O83" s="74"/>
      <c r="P83" s="74"/>
      <c r="Q83" s="74"/>
      <c r="R83" s="74"/>
    </row>
    <row r="84" spans="14:18">
      <c r="N84" s="74"/>
      <c r="O84" s="74"/>
      <c r="P84" s="74"/>
      <c r="Q84" s="74"/>
      <c r="R84" s="74"/>
    </row>
    <row r="85" spans="14:18">
      <c r="N85" s="74"/>
      <c r="O85" s="74"/>
      <c r="P85" s="74"/>
      <c r="Q85" s="74"/>
      <c r="R85" s="74"/>
    </row>
    <row r="86" spans="14:18">
      <c r="N86" s="74"/>
      <c r="O86" s="74"/>
      <c r="P86" s="74"/>
      <c r="Q86" s="74"/>
      <c r="R86" s="74"/>
    </row>
    <row r="87" spans="14:18">
      <c r="N87" s="74"/>
      <c r="O87" s="74"/>
      <c r="P87" s="74"/>
      <c r="Q87" s="74"/>
      <c r="R87" s="74"/>
    </row>
    <row r="88" spans="14:18">
      <c r="N88" s="74"/>
      <c r="O88" s="74"/>
      <c r="P88" s="74"/>
      <c r="Q88" s="74"/>
      <c r="R88" s="74"/>
    </row>
    <row r="89" spans="14:18">
      <c r="N89" s="74"/>
      <c r="O89" s="74"/>
      <c r="P89" s="74"/>
      <c r="Q89" s="74"/>
      <c r="R89" s="74"/>
    </row>
    <row r="90" spans="14:18">
      <c r="N90" s="74"/>
      <c r="O90" s="74"/>
      <c r="P90" s="74"/>
      <c r="Q90" s="74"/>
      <c r="R90" s="74"/>
    </row>
    <row r="91" spans="14:18">
      <c r="N91" s="74"/>
      <c r="O91" s="74"/>
      <c r="P91" s="74"/>
      <c r="Q91" s="74"/>
      <c r="R91" s="74"/>
    </row>
    <row r="92" spans="14:18">
      <c r="N92" s="74"/>
      <c r="O92" s="74"/>
      <c r="P92" s="74"/>
      <c r="Q92" s="74"/>
      <c r="R92" s="74"/>
    </row>
    <row r="93" spans="14:18">
      <c r="N93" s="74"/>
      <c r="O93" s="74"/>
      <c r="P93" s="74"/>
      <c r="Q93" s="74"/>
      <c r="R93" s="74"/>
    </row>
    <row r="94" spans="14:18">
      <c r="N94" s="74"/>
      <c r="O94" s="74"/>
      <c r="P94" s="74"/>
      <c r="Q94" s="74"/>
      <c r="R94" s="74"/>
    </row>
    <row r="95" spans="14:18">
      <c r="N95" s="74"/>
      <c r="O95" s="74"/>
      <c r="P95" s="74"/>
      <c r="Q95" s="74"/>
      <c r="R95" s="74"/>
    </row>
    <row r="96" spans="14:18">
      <c r="N96" s="74"/>
      <c r="O96" s="74"/>
      <c r="P96" s="74"/>
      <c r="Q96" s="74"/>
      <c r="R96" s="74"/>
    </row>
    <row r="97" spans="14:18">
      <c r="N97" s="74"/>
      <c r="O97" s="74"/>
      <c r="P97" s="74"/>
      <c r="Q97" s="74"/>
      <c r="R97" s="74"/>
    </row>
    <row r="98" spans="14:18">
      <c r="N98" s="74"/>
      <c r="O98" s="74"/>
      <c r="P98" s="74"/>
      <c r="Q98" s="74"/>
      <c r="R98" s="74"/>
    </row>
    <row r="99" spans="14:18">
      <c r="N99" s="74"/>
      <c r="O99" s="74"/>
      <c r="P99" s="74"/>
      <c r="Q99" s="74"/>
      <c r="R99" s="74"/>
    </row>
    <row r="100" spans="14:18">
      <c r="N100" s="74"/>
      <c r="O100" s="74"/>
      <c r="P100" s="74"/>
      <c r="Q100" s="74"/>
      <c r="R100" s="74"/>
    </row>
    <row r="101" spans="14:18">
      <c r="N101" s="74"/>
      <c r="O101" s="74"/>
      <c r="P101" s="74"/>
      <c r="Q101" s="74"/>
      <c r="R101" s="74"/>
    </row>
    <row r="102" spans="14:18">
      <c r="N102" s="74"/>
      <c r="O102" s="74"/>
      <c r="P102" s="74"/>
      <c r="Q102" s="74"/>
      <c r="R102" s="74"/>
    </row>
    <row r="103" spans="14:18">
      <c r="N103" s="74"/>
      <c r="O103" s="74"/>
      <c r="P103" s="74"/>
      <c r="Q103" s="74"/>
      <c r="R103" s="74"/>
    </row>
    <row r="104" spans="14:18">
      <c r="N104" s="74"/>
      <c r="O104" s="74"/>
      <c r="P104" s="74"/>
      <c r="Q104" s="74"/>
      <c r="R104" s="74"/>
    </row>
    <row r="105" spans="14:18">
      <c r="N105" s="74"/>
      <c r="O105" s="74"/>
      <c r="P105" s="74"/>
      <c r="Q105" s="74"/>
      <c r="R105" s="74"/>
    </row>
    <row r="106" spans="14:18">
      <c r="N106" s="74"/>
      <c r="O106" s="74"/>
      <c r="P106" s="74"/>
      <c r="Q106" s="74"/>
      <c r="R106" s="74"/>
    </row>
    <row r="107" spans="14:18">
      <c r="N107" s="74"/>
      <c r="O107" s="74"/>
      <c r="P107" s="74"/>
      <c r="Q107" s="74"/>
      <c r="R107" s="74"/>
    </row>
    <row r="108" spans="14:18">
      <c r="N108" s="74"/>
      <c r="O108" s="74"/>
      <c r="P108" s="74"/>
      <c r="Q108" s="74"/>
      <c r="R108" s="74"/>
    </row>
    <row r="109" spans="14:18">
      <c r="N109" s="74"/>
      <c r="O109" s="74"/>
      <c r="P109" s="74"/>
      <c r="Q109" s="74"/>
      <c r="R109" s="74"/>
    </row>
    <row r="110" spans="14:18">
      <c r="N110" s="74"/>
      <c r="O110" s="74"/>
      <c r="P110" s="74"/>
      <c r="Q110" s="74"/>
      <c r="R110" s="74"/>
    </row>
    <row r="111" spans="14:18">
      <c r="N111" s="74"/>
      <c r="O111" s="74"/>
      <c r="P111" s="74"/>
      <c r="Q111" s="74"/>
      <c r="R111" s="74"/>
    </row>
    <row r="112" spans="14:18">
      <c r="N112" s="74"/>
      <c r="O112" s="74"/>
      <c r="P112" s="74"/>
      <c r="Q112" s="74"/>
      <c r="R112" s="74"/>
    </row>
    <row r="113" spans="14:18">
      <c r="N113" s="74"/>
      <c r="O113" s="74"/>
      <c r="P113" s="74"/>
      <c r="Q113" s="74"/>
      <c r="R113" s="74"/>
    </row>
    <row r="114" spans="14:18">
      <c r="N114" s="74"/>
      <c r="O114" s="74"/>
      <c r="P114" s="74"/>
      <c r="Q114" s="74"/>
      <c r="R114" s="74"/>
    </row>
    <row r="115" spans="14:18">
      <c r="N115" s="74"/>
      <c r="O115" s="74"/>
      <c r="P115" s="74"/>
      <c r="Q115" s="74"/>
      <c r="R115" s="74"/>
    </row>
    <row r="116" spans="14:18">
      <c r="N116" s="74"/>
      <c r="O116" s="74"/>
      <c r="P116" s="74"/>
      <c r="Q116" s="74"/>
      <c r="R116" s="74"/>
    </row>
    <row r="117" spans="14:18">
      <c r="N117" s="74"/>
      <c r="O117" s="74"/>
      <c r="P117" s="74"/>
      <c r="Q117" s="74"/>
      <c r="R117" s="74"/>
    </row>
    <row r="118" spans="14:18">
      <c r="N118" s="74"/>
      <c r="O118" s="74"/>
      <c r="P118" s="74"/>
      <c r="Q118" s="74"/>
      <c r="R118" s="74"/>
    </row>
    <row r="119" spans="14:18">
      <c r="N119" s="74"/>
      <c r="O119" s="74"/>
      <c r="P119" s="74"/>
      <c r="Q119" s="74"/>
      <c r="R119" s="74"/>
    </row>
    <row r="120" spans="14:18">
      <c r="N120" s="74"/>
      <c r="O120" s="74"/>
      <c r="P120" s="74"/>
      <c r="Q120" s="74"/>
      <c r="R120" s="74"/>
    </row>
    <row r="121" spans="14:18">
      <c r="N121" s="74"/>
      <c r="O121" s="74"/>
      <c r="P121" s="74"/>
      <c r="Q121" s="74"/>
      <c r="R121" s="74"/>
    </row>
    <row r="122" spans="14:18">
      <c r="N122" s="74"/>
      <c r="O122" s="74"/>
      <c r="P122" s="74"/>
      <c r="Q122" s="74"/>
      <c r="R122" s="74"/>
    </row>
    <row r="123" spans="14:18">
      <c r="N123" s="74"/>
      <c r="O123" s="74"/>
      <c r="P123" s="74"/>
      <c r="Q123" s="74"/>
      <c r="R123" s="74"/>
    </row>
    <row r="124" spans="14:18">
      <c r="N124" s="74"/>
      <c r="O124" s="74"/>
      <c r="P124" s="74"/>
      <c r="Q124" s="74"/>
      <c r="R124" s="74"/>
    </row>
    <row r="125" spans="14:18">
      <c r="N125" s="74"/>
      <c r="O125" s="74"/>
      <c r="P125" s="74"/>
      <c r="Q125" s="74"/>
      <c r="R125" s="74"/>
    </row>
    <row r="126" spans="14:18">
      <c r="N126" s="74"/>
      <c r="O126" s="74"/>
      <c r="P126" s="74"/>
      <c r="Q126" s="74"/>
      <c r="R126" s="74"/>
    </row>
    <row r="127" spans="14:18">
      <c r="N127" s="74"/>
      <c r="O127" s="74"/>
      <c r="P127" s="74"/>
      <c r="Q127" s="74"/>
      <c r="R127" s="74"/>
    </row>
    <row r="128" spans="14:18">
      <c r="N128" s="74"/>
      <c r="O128" s="74"/>
      <c r="P128" s="74"/>
      <c r="Q128" s="74"/>
      <c r="R128" s="74"/>
    </row>
    <row r="129" spans="14:18">
      <c r="N129" s="74"/>
      <c r="O129" s="74"/>
      <c r="P129" s="74"/>
      <c r="Q129" s="74"/>
      <c r="R129" s="74"/>
    </row>
    <row r="130" spans="14:18">
      <c r="N130" s="74"/>
      <c r="O130" s="74"/>
      <c r="P130" s="74"/>
      <c r="Q130" s="74"/>
      <c r="R130" s="74"/>
    </row>
    <row r="131" spans="14:18">
      <c r="N131" s="74"/>
      <c r="O131" s="74"/>
      <c r="P131" s="74"/>
      <c r="Q131" s="74"/>
      <c r="R131" s="74"/>
    </row>
    <row r="132" spans="14:18">
      <c r="N132" s="74"/>
      <c r="O132" s="74"/>
      <c r="P132" s="74"/>
      <c r="Q132" s="74"/>
      <c r="R132" s="74"/>
    </row>
    <row r="133" spans="14:18">
      <c r="N133" s="74"/>
      <c r="O133" s="74"/>
      <c r="P133" s="74"/>
      <c r="Q133" s="74"/>
      <c r="R133" s="74"/>
    </row>
    <row r="134" spans="14:18">
      <c r="N134" s="74"/>
      <c r="O134" s="74"/>
      <c r="P134" s="74"/>
      <c r="Q134" s="74"/>
      <c r="R134" s="74"/>
    </row>
    <row r="135" spans="14:18">
      <c r="N135" s="74"/>
      <c r="O135" s="74"/>
      <c r="P135" s="74"/>
      <c r="Q135" s="74"/>
      <c r="R135" s="74"/>
    </row>
    <row r="136" spans="14:18">
      <c r="N136" s="74"/>
      <c r="O136" s="74"/>
      <c r="P136" s="74"/>
      <c r="Q136" s="74"/>
      <c r="R136" s="74"/>
    </row>
    <row r="137" spans="14:18">
      <c r="N137" s="74"/>
      <c r="O137" s="74"/>
      <c r="P137" s="74"/>
      <c r="Q137" s="74"/>
      <c r="R137" s="74"/>
    </row>
    <row r="138" spans="14:18">
      <c r="N138" s="74"/>
      <c r="O138" s="74"/>
      <c r="P138" s="74"/>
      <c r="Q138" s="74"/>
      <c r="R138" s="74"/>
    </row>
    <row r="139" spans="14:18">
      <c r="N139" s="74"/>
      <c r="O139" s="74"/>
      <c r="P139" s="74"/>
      <c r="Q139" s="74"/>
      <c r="R139" s="74"/>
    </row>
    <row r="140" spans="14:18">
      <c r="N140" s="74"/>
      <c r="O140" s="74"/>
      <c r="P140" s="74"/>
      <c r="Q140" s="74"/>
      <c r="R140" s="74"/>
    </row>
    <row r="141" spans="14:18">
      <c r="N141" s="74"/>
      <c r="O141" s="74"/>
      <c r="P141" s="74"/>
      <c r="Q141" s="74"/>
      <c r="R141" s="74"/>
    </row>
    <row r="142" spans="14:18">
      <c r="N142" s="74"/>
      <c r="O142" s="74"/>
      <c r="P142" s="74"/>
      <c r="Q142" s="74"/>
      <c r="R142" s="74"/>
    </row>
    <row r="143" spans="14:18">
      <c r="N143" s="74"/>
      <c r="O143" s="74"/>
      <c r="P143" s="74"/>
      <c r="Q143" s="74"/>
      <c r="R143" s="74"/>
    </row>
    <row r="144" spans="14:18">
      <c r="N144" s="74"/>
      <c r="O144" s="74"/>
      <c r="P144" s="74"/>
      <c r="Q144" s="74"/>
      <c r="R144" s="74"/>
    </row>
    <row r="145" spans="14:18">
      <c r="N145" s="74"/>
      <c r="O145" s="74"/>
      <c r="P145" s="74"/>
      <c r="Q145" s="74"/>
      <c r="R145" s="74"/>
    </row>
    <row r="146" spans="14:18">
      <c r="N146" s="74"/>
      <c r="O146" s="74"/>
      <c r="P146" s="74"/>
      <c r="Q146" s="74"/>
      <c r="R146" s="74"/>
    </row>
    <row r="147" spans="14:18">
      <c r="N147" s="74"/>
      <c r="O147" s="74"/>
      <c r="P147" s="74"/>
      <c r="Q147" s="74"/>
      <c r="R147" s="74"/>
    </row>
    <row r="148" spans="14:18">
      <c r="N148" s="74"/>
      <c r="O148" s="74"/>
      <c r="P148" s="74"/>
      <c r="Q148" s="74"/>
      <c r="R148" s="74"/>
    </row>
    <row r="149" spans="14:18">
      <c r="N149" s="74"/>
      <c r="O149" s="74"/>
      <c r="P149" s="74"/>
      <c r="Q149" s="74"/>
      <c r="R149" s="74"/>
    </row>
    <row r="150" spans="14:18">
      <c r="N150" s="74"/>
      <c r="O150" s="74"/>
      <c r="P150" s="74"/>
      <c r="Q150" s="74"/>
      <c r="R150" s="74"/>
    </row>
    <row r="151" spans="14:18">
      <c r="N151" s="74"/>
      <c r="O151" s="74"/>
      <c r="P151" s="74"/>
      <c r="Q151" s="74"/>
      <c r="R151" s="74"/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18</vt:i4>
      </vt:variant>
    </vt:vector>
  </HeadingPairs>
  <TitlesOfParts>
    <vt:vector size="23" baseType="lpstr">
      <vt:lpstr>Report</vt:lpstr>
      <vt:lpstr>Query</vt:lpstr>
      <vt:lpstr>Bloomberg</vt:lpstr>
      <vt:lpstr>Function Of Rate</vt:lpstr>
      <vt:lpstr>Current Coupon</vt:lpstr>
      <vt:lpstr>CurrentCloseDate</vt:lpstr>
      <vt:lpstr>CurrentRate</vt:lpstr>
      <vt:lpstr>CurrentRate1</vt:lpstr>
      <vt:lpstr>CurrentRateDate</vt:lpstr>
      <vt:lpstr>CurrMonth</vt:lpstr>
      <vt:lpstr>CuurentRate1</vt:lpstr>
      <vt:lpstr>CuurRate</vt:lpstr>
      <vt:lpstr>DatabaseEnv</vt:lpstr>
      <vt:lpstr>DateToChangeLag</vt:lpstr>
      <vt:lpstr>ImpliedRate</vt:lpstr>
      <vt:lpstr>LastMonth</vt:lpstr>
      <vt:lpstr>LastThursday</vt:lpstr>
      <vt:lpstr>PDFReportDir</vt:lpstr>
      <vt:lpstr>PDFReportName</vt:lpstr>
      <vt:lpstr>Report!Print_Area</vt:lpstr>
      <vt:lpstr>SaveRatesToDB</vt:lpstr>
      <vt:lpstr>ServSpread</vt:lpstr>
      <vt:lpstr>SPREAD_DATE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2016-11-29T21:21:58Z</cp:lastPrinted>
  <dcterms:created xsi:type="dcterms:W3CDTF">2006-09-16T00:00:00Z</dcterms:created>
  <dcterms:modified xsi:type="dcterms:W3CDTF">2016-11-29T21:31:33Z</dcterms:modified>
</cp:coreProperties>
</file>