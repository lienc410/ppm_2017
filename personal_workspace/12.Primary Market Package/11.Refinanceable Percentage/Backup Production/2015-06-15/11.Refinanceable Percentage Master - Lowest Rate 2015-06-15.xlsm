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6.xml" ContentType="application/vnd.openxmlformats-officedocument.spreadsheetml.queryTable+xml"/>
  <Override PartName="/xl/tables/table5.xml" ContentType="application/vnd.openxmlformats-officedocument.spreadsheetml.table+xml"/>
  <Override PartName="/xl/queryTables/queryTable7.xml" ContentType="application/vnd.openxmlformats-officedocument.spreadsheetml.queryTable+xml"/>
  <Override PartName="/xl/tables/table6.xml" ContentType="application/vnd.openxmlformats-officedocument.spreadsheetml.table+xml"/>
  <Override PartName="/xl/queryTables/queryTable8.xml" ContentType="application/vnd.openxmlformats-officedocument.spreadsheetml.queryTable+xml"/>
  <Override PartName="/xl/tables/table7.xml" ContentType="application/vnd.openxmlformats-officedocument.spreadsheetml.table+xml"/>
  <Override PartName="/xl/queryTables/queryTable9.xml" ContentType="application/vnd.openxmlformats-officedocument.spreadsheetml.queryTab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Query" sheetId="18" r:id="rId2"/>
    <sheet name="Bloomberg" sheetId="19" r:id="rId3"/>
    <sheet name="Function Of Rate" sheetId="27" r:id="rId4"/>
  </sheets>
  <functionGroups builtInGroupCount="17"/>
  <externalReferences>
    <externalReference r:id="rId5"/>
    <externalReference r:id="rId6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Report!$AA$2</definedName>
    <definedName name="CurrentRate">CurrentMtgRatesDataTable82523[SeriesNumValue]</definedName>
    <definedName name="CurrentRate1">'Function Of Rate'!$C$5</definedName>
    <definedName name="CurrentRateDate">CurrentMtgRatesDataTable82523[AsOfDate]</definedName>
    <definedName name="CurrMonth">Report!$AA$9</definedName>
    <definedName name="CuurentRate1">'Function Of Rate'!$C$5</definedName>
    <definedName name="CuurRate">CurrentMtgRatesDataTable82523[SeriesNumValue]</definedName>
    <definedName name="DatabaseEnv">Report!$AA$1</definedName>
    <definedName name="DateToChangeLag">Report!$AA$12</definedName>
    <definedName name="HistoricalMtgRatesDataTable">#REF!</definedName>
    <definedName name="IR">#REF!</definedName>
    <definedName name="LastMonth">Report!$AA$10</definedName>
    <definedName name="LastThursday">Report!$AA$13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Report!$AA$3</definedName>
    <definedName name="PDFReportName">Report!$AA$4</definedName>
    <definedName name="PivotTable10">#REF!</definedName>
    <definedName name="PivotTable11">#REF!</definedName>
    <definedName name="PivotTable12">#REF!</definedName>
    <definedName name="_xlnm.Print_Area" localSheetId="0">Report!$B$1:$U$54</definedName>
    <definedName name="Query_from_Agency_10" localSheetId="1" hidden="1">Query!#REF!</definedName>
    <definedName name="Query_from_Agency_11" localSheetId="3" hidden="1">'Function Of Rate'!$B$2:$C$3</definedName>
    <definedName name="Query_from_Agency_11" localSheetId="1" hidden="1">Query!$K$2:$L$3</definedName>
    <definedName name="Query_from_Agency_12" localSheetId="3" hidden="1">'Function Of Rate'!$F$2:$P$3</definedName>
    <definedName name="Query_from_Agency_12" localSheetId="1" hidden="1">Query!$S$2:$T$3</definedName>
    <definedName name="Query_from_Agency_13" localSheetId="3" hidden="1">'Function Of Rate'!$F$7:$P$8</definedName>
    <definedName name="Query_from_Agency_14" localSheetId="3" hidden="1">'Function Of Rate'!$F$11:$P$12</definedName>
    <definedName name="Query_from_Agency_6" localSheetId="1" hidden="1">Query!$B$2:$C$234</definedName>
    <definedName name="Query_from_Agency_7" localSheetId="1" hidden="1">Query!#REF!</definedName>
    <definedName name="Query_from_Agency_8" localSheetId="1" hidden="1">Query!#REF!</definedName>
    <definedName name="Query_from_Agency_9" localSheetId="1" hidden="1">Query!#REF!</definedName>
    <definedName name="SaveRatesToDB">Report!$AC$1</definedName>
    <definedName name="temp" localSheetId="1">Query!$H$2:$I$232</definedName>
    <definedName name="temp_1" localSheetId="1">Query!#REF!</definedName>
    <definedName name="temp_17">#REF!</definedName>
    <definedName name="temp_2" localSheetId="1">Query!$O$2:$P$232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  <fileRecoveryPr repairLoad="1"/>
</workbook>
</file>

<file path=xl/calcChain.xml><?xml version="1.0" encoding="utf-8"?>
<calcChain xmlns="http://schemas.openxmlformats.org/spreadsheetml/2006/main"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E3" i="18"/>
  <c r="E4" i="18"/>
  <c r="E5" i="18"/>
  <c r="E6" i="18"/>
  <c r="E7" i="18"/>
  <c r="E8" i="18"/>
  <c r="J47" i="16" s="1"/>
  <c r="E9" i="18"/>
  <c r="J48" i="16" s="1"/>
  <c r="E10" i="18"/>
  <c r="J49" i="16" s="1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T49" i="16"/>
  <c r="T45" i="16"/>
  <c r="T46" i="16"/>
  <c r="T42" i="16"/>
  <c r="J51" i="16"/>
  <c r="J43" i="16"/>
  <c r="J44" i="16"/>
  <c r="J45" i="16"/>
  <c r="J46" i="16"/>
  <c r="J50" i="16"/>
  <c r="J42" i="16"/>
  <c r="G18" i="27"/>
  <c r="T43" i="16" s="1"/>
  <c r="H18" i="27"/>
  <c r="T44" i="16" s="1"/>
  <c r="I18" i="27"/>
  <c r="J18" i="27"/>
  <c r="K18" i="27"/>
  <c r="T47" i="16" s="1"/>
  <c r="L18" i="27"/>
  <c r="T48" i="16" s="1"/>
  <c r="M18" i="27"/>
  <c r="N18" i="27"/>
  <c r="T50" i="16" s="1"/>
  <c r="O18" i="27"/>
  <c r="T51" i="16" s="1"/>
  <c r="P18" i="27"/>
  <c r="T52" i="16" s="1"/>
  <c r="F18" i="27"/>
  <c r="AA13" i="16" l="1"/>
  <c r="Q39" i="16"/>
  <c r="AA4" i="16" l="1"/>
  <c r="S39" i="16" l="1"/>
  <c r="G17" i="27"/>
  <c r="R43" i="16" s="1"/>
  <c r="H17" i="27"/>
  <c r="R44" i="16" s="1"/>
  <c r="I17" i="27"/>
  <c r="R45" i="16" s="1"/>
  <c r="J17" i="27"/>
  <c r="R46" i="16" s="1"/>
  <c r="K17" i="27"/>
  <c r="R47" i="16" s="1"/>
  <c r="L17" i="27"/>
  <c r="R48" i="16" s="1"/>
  <c r="M17" i="27"/>
  <c r="R49" i="16" s="1"/>
  <c r="N17" i="27"/>
  <c r="R50" i="16" s="1"/>
  <c r="O17" i="27"/>
  <c r="R51" i="16" s="1"/>
  <c r="P17" i="27"/>
  <c r="R52" i="16" s="1"/>
  <c r="F17" i="27"/>
  <c r="R42" i="16" s="1"/>
  <c r="B5" i="27"/>
  <c r="G16" i="27"/>
  <c r="P43" i="16" s="1"/>
  <c r="H16" i="27"/>
  <c r="P44" i="16" s="1"/>
  <c r="I16" i="27"/>
  <c r="P45" i="16" s="1"/>
  <c r="J16" i="27"/>
  <c r="P46" i="16" s="1"/>
  <c r="K16" i="27"/>
  <c r="P47" i="16" s="1"/>
  <c r="L16" i="27"/>
  <c r="P48" i="16" s="1"/>
  <c r="M16" i="27"/>
  <c r="P49" i="16" s="1"/>
  <c r="N16" i="27"/>
  <c r="P50" i="16" s="1"/>
  <c r="O16" i="27"/>
  <c r="P51" i="16" s="1"/>
  <c r="P16" i="27"/>
  <c r="P52" i="16" s="1"/>
  <c r="F16" i="27"/>
  <c r="P42" i="16" s="1"/>
  <c r="G42" i="16"/>
  <c r="G43" i="16"/>
  <c r="G45" i="16"/>
  <c r="G46" i="16"/>
  <c r="G47" i="16"/>
  <c r="G51" i="16"/>
  <c r="C5" i="27"/>
  <c r="K15" i="27" s="1"/>
  <c r="O47" i="16" s="1"/>
  <c r="G50" i="16"/>
  <c r="AA9" i="16"/>
  <c r="AA10" i="16" s="1"/>
  <c r="F43" i="16"/>
  <c r="F44" i="16"/>
  <c r="F45" i="16"/>
  <c r="F46" i="16"/>
  <c r="F47" i="16"/>
  <c r="F48" i="16"/>
  <c r="F49" i="16"/>
  <c r="F50" i="16"/>
  <c r="F51" i="16"/>
  <c r="F42" i="16"/>
  <c r="E43" i="16"/>
  <c r="E44" i="16"/>
  <c r="E45" i="16"/>
  <c r="E46" i="16"/>
  <c r="E47" i="16"/>
  <c r="E48" i="16"/>
  <c r="E49" i="16"/>
  <c r="E50" i="16"/>
  <c r="E51" i="16"/>
  <c r="E42" i="16"/>
  <c r="D43" i="16"/>
  <c r="D44" i="16"/>
  <c r="D45" i="16"/>
  <c r="D46" i="16"/>
  <c r="D47" i="16"/>
  <c r="D48" i="16"/>
  <c r="D49" i="16"/>
  <c r="D50" i="16"/>
  <c r="D51" i="16"/>
  <c r="D42" i="16"/>
  <c r="C43" i="16"/>
  <c r="C44" i="16"/>
  <c r="C45" i="16"/>
  <c r="C46" i="16"/>
  <c r="C47" i="16"/>
  <c r="C48" i="16"/>
  <c r="C49" i="16"/>
  <c r="C50" i="16"/>
  <c r="C51" i="16"/>
  <c r="C42" i="16"/>
  <c r="F81" i="16"/>
  <c r="Q43" i="16" l="1"/>
  <c r="Q48" i="16"/>
  <c r="Q49" i="16"/>
  <c r="Q45" i="16"/>
  <c r="Q52" i="16"/>
  <c r="Q44" i="16"/>
  <c r="Q46" i="16"/>
  <c r="Q51" i="16"/>
  <c r="Q50" i="16"/>
  <c r="Q42" i="16"/>
  <c r="S52" i="16"/>
  <c r="S51" i="16"/>
  <c r="S49" i="16"/>
  <c r="S50" i="16"/>
  <c r="S48" i="16"/>
  <c r="S43" i="16"/>
  <c r="S46" i="16"/>
  <c r="S44" i="16"/>
  <c r="S42" i="16"/>
  <c r="S45" i="16"/>
  <c r="I44" i="16"/>
  <c r="I51" i="16"/>
  <c r="H51" i="16"/>
  <c r="I43" i="16"/>
  <c r="H48" i="16"/>
  <c r="H46" i="16"/>
  <c r="H43" i="16"/>
  <c r="G44" i="16"/>
  <c r="I45" i="16"/>
  <c r="I46" i="16"/>
  <c r="H45" i="16"/>
  <c r="I49" i="16"/>
  <c r="I50" i="16"/>
  <c r="I42" i="16"/>
  <c r="H42" i="16"/>
  <c r="I47" i="16"/>
  <c r="H50" i="16"/>
  <c r="I48" i="16"/>
  <c r="H47" i="16"/>
  <c r="H44" i="16"/>
  <c r="G48" i="16"/>
  <c r="G49" i="16"/>
  <c r="H49" i="16"/>
  <c r="B2" i="19"/>
  <c r="F3" i="18" l="1"/>
  <c r="F11" i="18"/>
  <c r="F19" i="18"/>
  <c r="F27" i="18"/>
  <c r="F35" i="18"/>
  <c r="F43" i="18"/>
  <c r="F51" i="18"/>
  <c r="F59" i="18"/>
  <c r="F67" i="18"/>
  <c r="F75" i="18"/>
  <c r="F83" i="18"/>
  <c r="F91" i="18"/>
  <c r="F99" i="18"/>
  <c r="F107" i="18"/>
  <c r="F115" i="18"/>
  <c r="F123" i="18"/>
  <c r="F131" i="18"/>
  <c r="F139" i="18"/>
  <c r="F147" i="18"/>
  <c r="F155" i="18"/>
  <c r="F163" i="18"/>
  <c r="F171" i="18"/>
  <c r="F179" i="18"/>
  <c r="F187" i="18"/>
  <c r="F195" i="18"/>
  <c r="F203" i="18"/>
  <c r="F211" i="18"/>
  <c r="F219" i="18"/>
  <c r="F227" i="18"/>
  <c r="F9" i="18"/>
  <c r="F73" i="18"/>
  <c r="F113" i="18"/>
  <c r="F145" i="18"/>
  <c r="F169" i="18"/>
  <c r="F201" i="18"/>
  <c r="F26" i="18"/>
  <c r="F50" i="18"/>
  <c r="F74" i="18"/>
  <c r="F98" i="18"/>
  <c r="F122" i="18"/>
  <c r="F146" i="18"/>
  <c r="F170" i="18"/>
  <c r="F194" i="18"/>
  <c r="F210" i="18"/>
  <c r="F234" i="18"/>
  <c r="F4" i="18"/>
  <c r="F12" i="18"/>
  <c r="F20" i="18"/>
  <c r="F28" i="18"/>
  <c r="F36" i="18"/>
  <c r="F44" i="18"/>
  <c r="F52" i="18"/>
  <c r="F60" i="18"/>
  <c r="F68" i="18"/>
  <c r="F76" i="18"/>
  <c r="F84" i="18"/>
  <c r="F92" i="18"/>
  <c r="F100" i="18"/>
  <c r="F108" i="18"/>
  <c r="F116" i="18"/>
  <c r="F124" i="18"/>
  <c r="F132" i="18"/>
  <c r="F140" i="18"/>
  <c r="F148" i="18"/>
  <c r="F156" i="18"/>
  <c r="F164" i="18"/>
  <c r="F172" i="18"/>
  <c r="F180" i="18"/>
  <c r="F188" i="18"/>
  <c r="F196" i="18"/>
  <c r="F204" i="18"/>
  <c r="F212" i="18"/>
  <c r="F220" i="18"/>
  <c r="F228" i="18"/>
  <c r="F6" i="18"/>
  <c r="F22" i="18"/>
  <c r="F38" i="18"/>
  <c r="F54" i="18"/>
  <c r="F70" i="18"/>
  <c r="F86" i="18"/>
  <c r="F102" i="18"/>
  <c r="F118" i="18"/>
  <c r="F134" i="18"/>
  <c r="F150" i="18"/>
  <c r="F166" i="18"/>
  <c r="F182" i="18"/>
  <c r="F198" i="18"/>
  <c r="F214" i="18"/>
  <c r="F230" i="18"/>
  <c r="F24" i="18"/>
  <c r="F56" i="18"/>
  <c r="F80" i="18"/>
  <c r="F104" i="18"/>
  <c r="F128" i="18"/>
  <c r="F152" i="18"/>
  <c r="F176" i="18"/>
  <c r="F200" i="18"/>
  <c r="F224" i="18"/>
  <c r="F33" i="18"/>
  <c r="F65" i="18"/>
  <c r="F97" i="18"/>
  <c r="F129" i="18"/>
  <c r="F161" i="18"/>
  <c r="F193" i="18"/>
  <c r="F225" i="18"/>
  <c r="F18" i="18"/>
  <c r="F34" i="18"/>
  <c r="F66" i="18"/>
  <c r="F90" i="18"/>
  <c r="F114" i="18"/>
  <c r="F138" i="18"/>
  <c r="F162" i="18"/>
  <c r="F186" i="18"/>
  <c r="F218" i="18"/>
  <c r="F5" i="18"/>
  <c r="F13" i="18"/>
  <c r="F21" i="18"/>
  <c r="F29" i="18"/>
  <c r="F37" i="18"/>
  <c r="F45" i="18"/>
  <c r="F53" i="18"/>
  <c r="F61" i="18"/>
  <c r="F69" i="18"/>
  <c r="F77" i="18"/>
  <c r="F85" i="18"/>
  <c r="F93" i="18"/>
  <c r="F101" i="18"/>
  <c r="F109" i="18"/>
  <c r="F117" i="18"/>
  <c r="F125" i="18"/>
  <c r="F133" i="18"/>
  <c r="F141" i="18"/>
  <c r="F149" i="18"/>
  <c r="F157" i="18"/>
  <c r="F165" i="18"/>
  <c r="F173" i="18"/>
  <c r="F181" i="18"/>
  <c r="F189" i="18"/>
  <c r="F197" i="18"/>
  <c r="F205" i="18"/>
  <c r="F213" i="18"/>
  <c r="F221" i="18"/>
  <c r="F229" i="18"/>
  <c r="F14" i="18"/>
  <c r="F30" i="18"/>
  <c r="F46" i="18"/>
  <c r="F62" i="18"/>
  <c r="F78" i="18"/>
  <c r="F94" i="18"/>
  <c r="F110" i="18"/>
  <c r="F126" i="18"/>
  <c r="F142" i="18"/>
  <c r="F158" i="18"/>
  <c r="F174" i="18"/>
  <c r="F190" i="18"/>
  <c r="F206" i="18"/>
  <c r="F222" i="18"/>
  <c r="F16" i="18"/>
  <c r="F40" i="18"/>
  <c r="F64" i="18"/>
  <c r="F88" i="18"/>
  <c r="F112" i="18"/>
  <c r="F136" i="18"/>
  <c r="F160" i="18"/>
  <c r="F184" i="18"/>
  <c r="F208" i="18"/>
  <c r="F17" i="18"/>
  <c r="F49" i="18"/>
  <c r="F81" i="18"/>
  <c r="F105" i="18"/>
  <c r="F137" i="18"/>
  <c r="F177" i="18"/>
  <c r="F217" i="18"/>
  <c r="F10" i="18"/>
  <c r="F42" i="18"/>
  <c r="F58" i="18"/>
  <c r="F82" i="18"/>
  <c r="F106" i="18"/>
  <c r="F130" i="18"/>
  <c r="F154" i="18"/>
  <c r="F178" i="18"/>
  <c r="F202" i="18"/>
  <c r="F226" i="18"/>
  <c r="F7" i="18"/>
  <c r="F15" i="18"/>
  <c r="F23" i="18"/>
  <c r="F31" i="18"/>
  <c r="F39" i="18"/>
  <c r="F47" i="18"/>
  <c r="F55" i="18"/>
  <c r="F63" i="18"/>
  <c r="F71" i="18"/>
  <c r="F79" i="18"/>
  <c r="F87" i="18"/>
  <c r="F95" i="18"/>
  <c r="F103" i="18"/>
  <c r="F111" i="18"/>
  <c r="F119" i="18"/>
  <c r="F127" i="18"/>
  <c r="F135" i="18"/>
  <c r="F143" i="18"/>
  <c r="F151" i="18"/>
  <c r="F159" i="18"/>
  <c r="F167" i="18"/>
  <c r="F175" i="18"/>
  <c r="F183" i="18"/>
  <c r="F191" i="18"/>
  <c r="F199" i="18"/>
  <c r="F207" i="18"/>
  <c r="F215" i="18"/>
  <c r="F223" i="18"/>
  <c r="F231" i="18"/>
  <c r="F8" i="18"/>
  <c r="F32" i="18"/>
  <c r="F48" i="18"/>
  <c r="F72" i="18"/>
  <c r="F96" i="18"/>
  <c r="F120" i="18"/>
  <c r="F144" i="18"/>
  <c r="F168" i="18"/>
  <c r="F192" i="18"/>
  <c r="F216" i="18"/>
  <c r="F232" i="18"/>
  <c r="F25" i="18"/>
  <c r="F41" i="18"/>
  <c r="F57" i="18"/>
  <c r="F89" i="18"/>
  <c r="F121" i="18"/>
  <c r="F153" i="18"/>
  <c r="F185" i="18"/>
  <c r="F209" i="18"/>
  <c r="F233" i="18"/>
  <c r="F92" i="16" a="1"/>
  <c r="F92" i="16" s="1"/>
  <c r="D90" i="16" a="1"/>
  <c r="D90" i="16" s="1"/>
  <c r="E87" i="16" a="1"/>
  <c r="E87" i="16" s="1"/>
  <c r="F84" i="16" a="1"/>
  <c r="F84" i="16" s="1"/>
  <c r="D89" i="16" a="1"/>
  <c r="D89" i="16" s="1"/>
  <c r="F88" i="16" a="1"/>
  <c r="F88" i="16" s="1"/>
  <c r="F85" i="16" a="1"/>
  <c r="F85" i="16" s="1"/>
  <c r="E92" i="16" a="1"/>
  <c r="E92" i="16" s="1"/>
  <c r="F89" i="16" a="1"/>
  <c r="F89" i="16" s="1"/>
  <c r="D87" i="16" a="1"/>
  <c r="D87" i="16" s="1"/>
  <c r="E84" i="16" a="1"/>
  <c r="E84" i="16" s="1"/>
  <c r="D92" i="16" a="1"/>
  <c r="D92" i="16" s="1"/>
  <c r="E89" i="16" a="1"/>
  <c r="E89" i="16" s="1"/>
  <c r="F86" i="16" a="1"/>
  <c r="F86" i="16" s="1"/>
  <c r="D84" i="16" a="1"/>
  <c r="D84" i="16" s="1"/>
  <c r="F91" i="16" a="1"/>
  <c r="F91" i="16" s="1"/>
  <c r="F83" i="16" a="1"/>
  <c r="F83" i="16" s="1"/>
  <c r="D86" i="16" a="1"/>
  <c r="D86" i="16" s="1"/>
  <c r="E88" i="16" a="1"/>
  <c r="E88" i="16" s="1"/>
  <c r="F90" i="16" a="1"/>
  <c r="F90" i="16" s="1"/>
  <c r="D88" i="16" a="1"/>
  <c r="D88" i="16" s="1"/>
  <c r="E85" i="16" a="1"/>
  <c r="E85" i="16" s="1"/>
  <c r="E90" i="16" a="1"/>
  <c r="E90" i="16" s="1"/>
  <c r="F87" i="16" a="1"/>
  <c r="F87" i="16" s="1"/>
  <c r="D85" i="16" a="1"/>
  <c r="D85" i="16" s="1"/>
  <c r="E86" i="16" a="1"/>
  <c r="E86" i="16" s="1"/>
  <c r="E91" i="16" a="1"/>
  <c r="E91" i="16" s="1"/>
  <c r="E83" i="16" a="1"/>
  <c r="E83" i="16" s="1"/>
  <c r="D91" i="16" a="1"/>
  <c r="D91" i="16" s="1"/>
  <c r="D83" i="16" a="1"/>
  <c r="D83" i="16" s="1"/>
  <c r="M46" i="16" l="1"/>
  <c r="M49" i="16"/>
  <c r="M44" i="16"/>
  <c r="M47" i="16"/>
  <c r="M51" i="16"/>
  <c r="M48" i="16"/>
  <c r="M50" i="16"/>
  <c r="M43" i="16"/>
  <c r="M45" i="16"/>
  <c r="M42" i="16"/>
  <c r="K48" i="16"/>
  <c r="L48" i="16"/>
  <c r="K50" i="16"/>
  <c r="L50" i="16"/>
  <c r="K44" i="16"/>
  <c r="L44" i="16"/>
  <c r="K51" i="16"/>
  <c r="L51" i="16"/>
  <c r="K46" i="16"/>
  <c r="L46" i="16"/>
  <c r="K45" i="16"/>
  <c r="L45" i="16"/>
  <c r="K43" i="16"/>
  <c r="L43" i="16"/>
  <c r="K49" i="16"/>
  <c r="L49" i="16"/>
  <c r="K47" i="16"/>
  <c r="L47" i="16"/>
  <c r="K42" i="16"/>
  <c r="L42" i="16"/>
</calcChain>
</file>

<file path=xl/connections.xml><?xml version="1.0" encoding="utf-8"?>
<connections xmlns="http://schemas.openxmlformats.org/spreadsheetml/2006/main">
  <connection id="1" name="FunctionOfRatesLoanQuery" type="1" refreshedVersion="4" savePassword="1" saveData="1">
    <dbPr connection="DSN=Agency" command="exec RefinancibleUniverse_FunctionOfRates_Loan  3.94, '2015-06-11'"/>
  </connection>
  <connection id="2" name="FunctionOfRatesLoanWithLowestRateQuery" type="1" refreshedVersion="4" savePassword="1" saveData="1">
    <dbPr connection="DSN=Agency" command="exec RefinancibleUniverse_FunctionOfRates_LowestRate_Loan 3.94, '2015-06-11'"/>
  </connection>
  <connection id="3" name="FunctionOfRatesPoolQuery" type="1" refreshedVersion="4" savePassword="1" saveData="1">
    <dbPr connection="DSN=Agency" command="exec RefinancibleUniverse_FunctionOfRates  3.94, '2015-06-01'"/>
  </connection>
  <connection id="4" name="LoanLevelLowestRateQuery" type="1" refreshedVersion="4" savePassword="1" saveData="1">
    <dbPr connection="DSN=Agency" command="exec RefinancibleUniverse_LoanLevel_withLowestRate '2015-06-12'"/>
  </connection>
  <connection id="5" name="LoanLevelQuery" type="1" refreshedVersion="4" savePassword="1" saveData="1">
    <dbPr connection="DSN=Agency" command="exec RefinancibleUniverse_LoanLevel '2015-06-12'"/>
  </connection>
  <connection id="6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7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8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9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0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1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2" name="PMMSQuery" type="1" refreshedVersion="4" savePassword="1" saveData="1">
    <dbPr connection="DSN=Agency" command="select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= '2015-06-11' group by AsOfDate "/>
  </connection>
  <connection id="13" name="PoolLevelQuery" type="1" refreshedVersion="4" savePassword="1" saveData="1">
    <dbPr connection="DSN=Agency" command="DROP TABLE IF EXISTS #tempone select AsOfDate, SeriesNumValue = sum(case when M.SeriesType = 'Points_US' then (1.0 - d.SeriesNumvalue)/-4.0 else d.SeriesNumvalue end) into #tempone from report.TimeSeriesMeta M, report.TimeSeries D where M.TimeSeriesMetaId = D.TimeSeriesMetaId and M.Source = 'Freddie' and M.TickerName  ='PMMS_FRM_30YR' and M.SeriesType in ('Points_US','Rate_US') group by AsOfDate order by AsOfDate DESC select t.asOfDate, refinancible = sum(case when f.wac - t.SeriesNumValue &gt;= 0.5 then f.currentBalance else 0 end)/sum(f.currentBalance) from fnm.sec p, fnm.secFactor f,  #tempone t, fnm.secSupp s where p.issueId = f.issueId and p.issueId = s.issueId and f.asOf = s.asOf and p.collateralType = 'LOAN'  and p.marketTicker in ('FNCL') and year(t.asOfDate) * 100 + month(t.asOfDate) = year(f.asOf)* 100 + month(f.asOf) and t.asOfDate &gt;= '20110101' group by t.asOfDate order by t.asOfDate desc"/>
  </connection>
  <connection id="14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5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6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7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8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19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0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1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2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<sst xmlns="http://schemas.openxmlformats.org/spreadsheetml/2006/main" count="133" uniqueCount="87">
  <si>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</si>
  <si>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</si>
  <si>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</si>
  <si>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</si>
  <si>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</si>
  <si>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</si>
  <si>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</si>
  <si>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</si>
  <si>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</si>
  <si>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</si>
  <si>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</si>
  <si>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</si>
  <si>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</si>
  <si>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</si>
  <si>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Market Share</t>
  </si>
  <si>
    <t>Month</t>
  </si>
  <si>
    <t>Last Month</t>
  </si>
  <si>
    <t>Servicer Name</t>
  </si>
  <si>
    <t>Top 10 For Current Month</t>
  </si>
  <si>
    <t>Report Folder</t>
  </si>
  <si>
    <t>Volume (M)</t>
  </si>
  <si>
    <t>Issue Month:</t>
  </si>
  <si>
    <t>asOfDate</t>
  </si>
  <si>
    <t>refinancible</t>
  </si>
  <si>
    <t>refinanceible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</si>
  <si>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</si>
  <si>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</si>
  <si>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</si>
  <si>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</si>
  <si>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</si>
  <si>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</si>
  <si>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</si>
  <si>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</si>
  <si>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</si>
  <si>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Last Thursday</t>
  </si>
  <si>
    <t>Loan Level Latest Update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</si>
  <si>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</si>
  <si>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</si>
  <si>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</si>
  <si>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</si>
  <si>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</si>
  <si>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</si>
  <si>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</si>
  <si>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</si>
  <si>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</si>
  <si>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</si>
  <si>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</si>
  <si>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</si>
  <si>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</si>
  <si>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</si>
  <si>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</si>
  <si>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</si>
  <si>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</si>
  <si>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</si>
  <si>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</si>
  <si>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</si>
  <si>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</si>
  <si>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</si>
  <si>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</si>
  <si>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refinanceible1</t>
  </si>
  <si>
    <t>refinanceible2</t>
  </si>
  <si>
    <t>refinanceible3</t>
  </si>
  <si>
    <t>refinanceible4</t>
  </si>
  <si>
    <t>refinanceible5</t>
  </si>
  <si>
    <t>refinanceible6</t>
  </si>
  <si>
    <t>refinanceible7</t>
  </si>
  <si>
    <t>refinanceible8</t>
  </si>
  <si>
    <t>refinanceible9</t>
  </si>
  <si>
    <t>refinanceible10</t>
  </si>
  <si>
    <t>refinanceible11</t>
  </si>
  <si>
    <t>Rates</t>
  </si>
  <si>
    <t>Refi %</t>
  </si>
  <si>
    <t>Chg</t>
  </si>
  <si>
    <t>-</t>
  </si>
  <si>
    <t>1-Point Rate:</t>
  </si>
  <si>
    <t>As Of:</t>
  </si>
  <si>
    <t>Bloomberg Refi Index is conventional Refi Index (MBAVCMRS)</t>
  </si>
  <si>
    <t>Pool Level Model is based on FNCL data; Loan Level Model is using FGLMC loan level data.</t>
  </si>
  <si>
    <t>Refi Index</t>
  </si>
  <si>
    <t>S:\IT\Production\Daily Reports\Primary Market\2015-06\</t>
  </si>
  <si>
    <t>Refi Index will be updated on next Wednesday.</t>
  </si>
  <si>
    <t>Loan Level with Lowest Rate</t>
  </si>
  <si>
    <t>Loan Level with Lowest Rate Latest Update</t>
  </si>
  <si>
    <t>Lowest Rate Weekly-cerrect</t>
  </si>
  <si>
    <t>With Lowest Rate</t>
  </si>
  <si>
    <t>Loan with Lowest Rate</t>
  </si>
  <si>
    <t>Lowest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</si>
</sst>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</numFmts>
  <fonts count="1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sz val="10"/>
      <color theme="1"/>
      <name val="Calibri"/>
      <family val="2"/>
      <scheme val="minor"/>
    </font>
  </fonts>
  <fills count="6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  <border>
      <left/>
      <right/>
      <top style="medium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 style="medium">
        <color rgb="FF2E398A"/>
      </right>
      <top style="medium">
        <color rgb="FF2E398A"/>
      </top>
      <bottom/>
      <diagonal/>
    </border>
    <border>
      <left style="medium">
        <color rgb="FF2E398A"/>
      </left>
      <right style="medium">
        <color rgb="FF2E398A"/>
      </right>
      <top/>
      <bottom style="thin">
        <color rgb="FF2E398A"/>
      </bottom>
      <diagonal/>
    </border>
  </borders>
  <cellStyleXfs count="1050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" fillId="54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" fillId="56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" fillId="60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" fillId="6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5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" fillId="5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" fillId="57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6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63" borderId="0" applyNumberFormat="0" applyBorder="0" applyAlignment="0" applyProtection="0"/>
    <xf numFmtId="0" fontId="135" fillId="52" borderId="1" applyNumberFormat="0" applyAlignment="0" applyProtection="0"/>
    <xf numFmtId="0" fontId="133" fillId="52" borderId="1" applyNumberFormat="0" applyAlignment="0" applyProtection="0"/>
    <xf numFmtId="0" fontId="35" fillId="42" borderId="8" applyNumberFormat="0"/>
    <xf numFmtId="0" fontId="80" fillId="36" borderId="42" applyNumberFormat="0"/>
    <xf numFmtId="0" fontId="80" fillId="36" borderId="42" applyNumberFormat="0"/>
    <xf numFmtId="0" fontId="34" fillId="38" borderId="8" applyNumberFormat="0"/>
    <xf numFmtId="0" fontId="136" fillId="65" borderId="42" applyNumberFormat="0"/>
    <xf numFmtId="14" fontId="36" fillId="41" borderId="10" applyNumberFormat="0" applyAlignment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  <xf numFmtId="0" fontId="136" fillId="36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3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34" fillId="6" borderId="0" applyNumberFormat="0" applyFont="0" applyBorder="0" applyAlignment="0" applyProtection="0"/>
    <xf numFmtId="0" fontId="132" fillId="52" borderId="41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3" fillId="39" borderId="9" applyBorder="0">
      <alignment horizontal="center" wrapText="1"/>
    </xf>
    <xf numFmtId="0" fontId="136" fillId="45" borderId="33" applyBorder="0">
      <alignment horizontal="center" wrapText="1"/>
    </xf>
    <xf numFmtId="0" fontId="34" fillId="49" borderId="9" applyBorder="0">
      <alignment horizontal="center" wrapText="1"/>
    </xf>
    <xf numFmtId="0" fontId="136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119" fillId="0" borderId="37" applyNumberFormat="0" applyFill="0" applyAlignment="0" applyProtection="0"/>
    <xf numFmtId="0" fontId="119" fillId="0" borderId="37" applyNumberFormat="0" applyFill="0" applyAlignment="0" applyProtection="0"/>
    <xf numFmtId="0" fontId="134" fillId="0" borderId="0" applyNumberFormat="0" applyFill="0" applyBorder="0" applyAlignment="0" applyProtection="0"/>
    <xf numFmtId="1" fontId="124" fillId="42" borderId="10"/>
    <xf numFmtId="0" fontId="126" fillId="41" borderId="4" applyNumberFormat="0" applyAlignment="0"/>
  </cellStyleXfs>
  <cellXfs count="84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38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14" fontId="7" fillId="0" borderId="39" xfId="0" applyNumberFormat="1" applyFont="1" applyBorder="1" applyAlignment="1">
      <alignment horizontal="left"/>
    </xf>
    <xf numFmtId="194" fontId="7" fillId="0" borderId="39" xfId="1" applyNumberFormat="1" applyFont="1" applyBorder="1" applyAlignment="1">
      <alignment horizontal="center"/>
    </xf>
    <xf numFmtId="195" fontId="7" fillId="0" borderId="40" xfId="1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14" fontId="7" fillId="0" borderId="43" xfId="0" applyNumberFormat="1" applyFont="1" applyBorder="1"/>
    <xf numFmtId="164" fontId="8" fillId="7" borderId="44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10" fontId="7" fillId="0" borderId="45" xfId="0" applyNumberFormat="1" applyFont="1" applyBorder="1"/>
    <xf numFmtId="10" fontId="0" fillId="0" borderId="0" xfId="0" applyNumberForma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4" xfId="1" applyNumberFormat="1" applyFont="1" applyBorder="1" applyAlignment="1">
      <alignment horizontal="center" vertical="center"/>
    </xf>
    <xf numFmtId="1" fontId="7" fillId="0" borderId="44" xfId="1" applyNumberFormat="1" applyFont="1" applyBorder="1" applyAlignment="1">
      <alignment horizontal="center" vertical="center"/>
    </xf>
    <xf numFmtId="0" fontId="0" fillId="0" borderId="44" xfId="0" applyBorder="1"/>
    <xf numFmtId="10" fontId="0" fillId="0" borderId="44" xfId="0" applyNumberFormat="1" applyBorder="1"/>
    <xf numFmtId="2" fontId="8" fillId="7" borderId="44" xfId="0" applyNumberFormat="1" applyFont="1" applyFill="1" applyBorder="1" applyAlignment="1">
      <alignment horizontal="center"/>
    </xf>
    <xf numFmtId="0" fontId="138" fillId="0" borderId="0" xfId="0" applyFont="1"/>
    <xf numFmtId="0" fontId="139" fillId="0" borderId="0" xfId="0" applyFont="1"/>
    <xf numFmtId="0" fontId="139" fillId="0" borderId="0" xfId="0" applyFont="1" applyAlignment="1">
      <alignment horizontal="left"/>
    </xf>
    <xf numFmtId="0" fontId="139" fillId="0" borderId="0" xfId="0" applyFont="1" applyAlignment="1">
      <alignment horizontal="right"/>
    </xf>
    <xf numFmtId="164" fontId="8" fillId="7" borderId="49" xfId="0" applyNumberFormat="1" applyFont="1" applyFill="1" applyBorder="1" applyAlignment="1">
      <alignment horizontal="center"/>
    </xf>
    <xf numFmtId="164" fontId="8" fillId="7" borderId="50" xfId="0" applyNumberFormat="1" applyFont="1" applyFill="1" applyBorder="1" applyAlignment="1">
      <alignment horizontal="center"/>
    </xf>
    <xf numFmtId="14" fontId="7" fillId="0" borderId="49" xfId="0" applyNumberFormat="1" applyFont="1" applyBorder="1" applyAlignment="1">
      <alignment horizontal="center" vertical="center"/>
    </xf>
    <xf numFmtId="1" fontId="7" fillId="0" borderId="50" xfId="1" applyNumberFormat="1" applyFont="1" applyBorder="1" applyAlignment="1">
      <alignment horizontal="center" vertical="center"/>
    </xf>
    <xf numFmtId="14" fontId="7" fillId="0" borderId="51" xfId="0" applyNumberFormat="1" applyFont="1" applyBorder="1" applyAlignment="1">
      <alignment horizontal="center" vertical="center"/>
    </xf>
    <xf numFmtId="194" fontId="7" fillId="0" borderId="52" xfId="1" applyNumberFormat="1" applyFont="1" applyBorder="1" applyAlignment="1">
      <alignment horizontal="center" vertical="center"/>
    </xf>
    <xf numFmtId="1" fontId="7" fillId="0" borderId="52" xfId="1" applyNumberFormat="1" applyFont="1" applyBorder="1" applyAlignment="1">
      <alignment horizontal="center" vertical="center"/>
    </xf>
    <xf numFmtId="1" fontId="7" fillId="0" borderId="53" xfId="1" applyNumberFormat="1" applyFont="1" applyBorder="1" applyAlignment="1">
      <alignment horizontal="center" vertical="center"/>
    </xf>
    <xf numFmtId="164" fontId="8" fillId="7" borderId="54" xfId="0" applyNumberFormat="1" applyFont="1" applyFill="1" applyBorder="1" applyAlignment="1">
      <alignment horizontal="left" vertical="center"/>
    </xf>
    <xf numFmtId="164" fontId="8" fillId="7" borderId="55" xfId="0" applyNumberFormat="1" applyFont="1" applyFill="1" applyBorder="1" applyAlignment="1">
      <alignment horizontal="center"/>
    </xf>
    <xf numFmtId="14" fontId="7" fillId="0" borderId="55" xfId="0" applyNumberFormat="1" applyFont="1" applyBorder="1" applyAlignment="1">
      <alignment horizontal="center" vertical="center"/>
    </xf>
    <xf numFmtId="14" fontId="7" fillId="0" borderId="56" xfId="0" applyNumberFormat="1" applyFont="1" applyBorder="1" applyAlignment="1">
      <alignment horizontal="center" vertical="center"/>
    </xf>
    <xf numFmtId="194" fontId="7" fillId="0" borderId="49" xfId="0" applyNumberFormat="1" applyFont="1" applyBorder="1" applyAlignment="1">
      <alignment horizontal="center" vertical="center"/>
    </xf>
    <xf numFmtId="194" fontId="7" fillId="0" borderId="50" xfId="1" applyNumberFormat="1" applyFont="1" applyBorder="1" applyAlignment="1">
      <alignment horizontal="center" vertical="center"/>
    </xf>
    <xf numFmtId="194" fontId="7" fillId="0" borderId="51" xfId="0" applyNumberFormat="1" applyFont="1" applyBorder="1" applyAlignment="1">
      <alignment horizontal="center" vertical="center"/>
    </xf>
    <xf numFmtId="194" fontId="7" fillId="0" borderId="53" xfId="1" applyNumberFormat="1" applyFont="1" applyBorder="1" applyAlignment="1">
      <alignment horizontal="center" vertical="center"/>
    </xf>
    <xf numFmtId="1" fontId="7" fillId="0" borderId="49" xfId="0" applyNumberFormat="1" applyFont="1" applyBorder="1" applyAlignment="1">
      <alignment horizontal="center" vertical="center"/>
    </xf>
    <xf numFmtId="1" fontId="7" fillId="0" borderId="51" xfId="0" applyNumberFormat="1" applyFont="1" applyBorder="1" applyAlignment="1">
      <alignment horizontal="center" vertical="center"/>
    </xf>
    <xf numFmtId="194" fontId="4" fillId="67" borderId="44" xfId="1" applyNumberFormat="1" applyFont="1" applyFill="1" applyBorder="1" applyAlignment="1">
      <alignment horizontal="center" vertical="center"/>
    </xf>
    <xf numFmtId="164" fontId="8" fillId="7" borderId="46" xfId="0" applyNumberFormat="1" applyFont="1" applyFill="1" applyBorder="1" applyAlignment="1">
      <alignment vertical="center"/>
    </xf>
    <xf numFmtId="2" fontId="4" fillId="67" borderId="49" xfId="0" applyNumberFormat="1" applyFont="1" applyFill="1" applyBorder="1" applyAlignment="1">
      <alignment horizontal="center" vertical="center"/>
    </xf>
    <xf numFmtId="194" fontId="4" fillId="67" borderId="50" xfId="1" quotePrefix="1" applyNumberFormat="1" applyFont="1" applyFill="1" applyBorder="1" applyAlignment="1">
      <alignment horizontal="center" vertical="center"/>
    </xf>
    <xf numFmtId="194" fontId="7" fillId="0" borderId="49" xfId="1" applyNumberFormat="1" applyFont="1" applyBorder="1" applyAlignment="1">
      <alignment horizontal="center" vertical="center"/>
    </xf>
    <xf numFmtId="194" fontId="4" fillId="67" borderId="49" xfId="1" applyNumberFormat="1" applyFont="1" applyFill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  <xf numFmtId="14" fontId="140" fillId="0" borderId="0" xfId="0" applyNumberFormat="1" applyFont="1"/>
    <xf numFmtId="10" fontId="140" fillId="0" borderId="0" xfId="0" applyNumberFormat="1" applyFont="1"/>
    <xf numFmtId="2" fontId="140" fillId="0" borderId="0" xfId="0" applyNumberFormat="1" applyFont="1"/>
    <xf numFmtId="14" fontId="139" fillId="0" borderId="0" xfId="0" applyNumberFormat="1" applyFont="1" applyAlignment="1">
      <alignment horizontal="left"/>
    </xf>
    <xf numFmtId="164" fontId="8" fillId="7" borderId="46" xfId="0" applyNumberFormat="1" applyFont="1" applyFill="1" applyBorder="1" applyAlignment="1">
      <alignment horizontal="center" vertical="center"/>
    </xf>
    <xf numFmtId="164" fontId="8" fillId="7" borderId="47" xfId="0" applyNumberFormat="1" applyFont="1" applyFill="1" applyBorder="1" applyAlignment="1">
      <alignment horizontal="center" vertical="center"/>
    </xf>
    <xf numFmtId="164" fontId="8" fillId="7" borderId="48" xfId="0" applyNumberFormat="1" applyFont="1" applyFill="1" applyBorder="1" applyAlignment="1">
      <alignment horizontal="center" vertical="center"/>
    </xf>
    <xf numFmtId="164" fontId="8" fillId="7" borderId="57" xfId="0" applyNumberFormat="1" applyFont="1" applyFill="1" applyBorder="1" applyAlignment="1">
      <alignment horizontal="center" vertical="center"/>
    </xf>
    <xf numFmtId="164" fontId="8" fillId="7" borderId="39" xfId="0" applyNumberFormat="1" applyFont="1" applyFill="1" applyBorder="1" applyAlignment="1">
      <alignment horizontal="center"/>
    </xf>
    <xf numFmtId="194" fontId="7" fillId="0" borderId="39" xfId="1" applyNumberFormat="1" applyFont="1" applyBorder="1" applyAlignment="1">
      <alignment horizontal="center" vertical="center"/>
    </xf>
    <xf numFmtId="194" fontId="7" fillId="0" borderId="58" xfId="1" applyNumberFormat="1" applyFont="1" applyBorder="1" applyAlignment="1">
      <alignment horizontal="center" vertical="center"/>
    </xf>
    <xf numFmtId="164" fontId="8" fillId="7" borderId="59" xfId="0" applyNumberFormat="1" applyFont="1" applyFill="1" applyBorder="1" applyAlignment="1">
      <alignment horizontal="center" vertical="center" wrapText="1"/>
    </xf>
    <xf numFmtId="164" fontId="8" fillId="7" borderId="60" xfId="0" applyNumberFormat="1" applyFont="1" applyFill="1" applyBorder="1" applyAlignment="1">
      <alignment horizontal="center" vertical="center" wrapText="1"/>
    </xf>
  </cellXfs>
  <cellStyles count="1050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4 2" xfId="527"/>
    <cellStyle name="20% - Accent1 4 2 2" xfId="528"/>
    <cellStyle name="20% - Accent1 4 3" xfId="529"/>
    <cellStyle name="20% - Accent1 4 3 2" xfId="530"/>
    <cellStyle name="20% - Accent1 4 4" xfId="531"/>
    <cellStyle name="20% - Accent1 4_Primary vs Secondary Spread Oct 3" xfId="532"/>
    <cellStyle name="20% - Accent1 5" xfId="17"/>
    <cellStyle name="20% - Accent2 2" xfId="18"/>
    <cellStyle name="20% - Accent2 3" xfId="19"/>
    <cellStyle name="20% - Accent2 4" xfId="20"/>
    <cellStyle name="20% - Accent2 4 2" xfId="533"/>
    <cellStyle name="20% - Accent2 4 2 2" xfId="534"/>
    <cellStyle name="20% - Accent2 4 3" xfId="535"/>
    <cellStyle name="20% - Accent2 4 3 2" xfId="536"/>
    <cellStyle name="20% - Accent2 4 4" xfId="537"/>
    <cellStyle name="20% - Accent2 4_Primary vs Secondary Spread Oct 3" xfId="538"/>
    <cellStyle name="20% - Accent2 5" xfId="539"/>
    <cellStyle name="20% - Accent3 2" xfId="21"/>
    <cellStyle name="20% - Accent3 3" xfId="22"/>
    <cellStyle name="20% - Accent3 4" xfId="23"/>
    <cellStyle name="20% - Accent3 4 2" xfId="540"/>
    <cellStyle name="20% - Accent3 4 2 2" xfId="541"/>
    <cellStyle name="20% - Accent3 4 3" xfId="542"/>
    <cellStyle name="20% - Accent3 4 3 2" xfId="543"/>
    <cellStyle name="20% - Accent3 4 4" xfId="544"/>
    <cellStyle name="20% - Accent3 4_Primary vs Secondary Spread Oct 3" xfId="545"/>
    <cellStyle name="20% - Accent3 5" xfId="546"/>
    <cellStyle name="20% - Accent4 2" xfId="24"/>
    <cellStyle name="20% - Accent4 3" xfId="25"/>
    <cellStyle name="20% - Accent4 4" xfId="26"/>
    <cellStyle name="20% - Accent4 4 2" xfId="547"/>
    <cellStyle name="20% - Accent4 4 2 2" xfId="548"/>
    <cellStyle name="20% - Accent4 4 3" xfId="549"/>
    <cellStyle name="20% - Accent4 4 3 2" xfId="550"/>
    <cellStyle name="20% - Accent4 4 4" xfId="551"/>
    <cellStyle name="20% - Accent4 4_Primary vs Secondary Spread Oct 3" xfId="552"/>
    <cellStyle name="20% - Accent4 5" xfId="553"/>
    <cellStyle name="20% - Accent5 2" xfId="27"/>
    <cellStyle name="20% - Accent5 3" xfId="28"/>
    <cellStyle name="20% - Accent5 4" xfId="29"/>
    <cellStyle name="20% - Accent5 4 2" xfId="554"/>
    <cellStyle name="20% - Accent5 4 2 2" xfId="555"/>
    <cellStyle name="20% - Accent5 4 3" xfId="556"/>
    <cellStyle name="20% - Accent5 4 3 2" xfId="557"/>
    <cellStyle name="20% - Accent5 4 4" xfId="558"/>
    <cellStyle name="20% - Accent5 4_Primary vs Secondary Spread Oct 3" xfId="559"/>
    <cellStyle name="20% - Accent5 5" xfId="560"/>
    <cellStyle name="20% - Accent6 2" xfId="30"/>
    <cellStyle name="20% - Accent6 3" xfId="31"/>
    <cellStyle name="20% - Accent6 4" xfId="32"/>
    <cellStyle name="20% - Accent6 4 2" xfId="561"/>
    <cellStyle name="20% - Accent6 4 2 2" xfId="562"/>
    <cellStyle name="20% - Accent6 4 3" xfId="563"/>
    <cellStyle name="20% - Accent6 4 3 2" xfId="564"/>
    <cellStyle name="20% - Accent6 4 4" xfId="565"/>
    <cellStyle name="20% - Accent6 4_Primary vs Secondary Spread Oct 3" xfId="566"/>
    <cellStyle name="20% - Accent6 5" xfId="567"/>
    <cellStyle name="40% - Accent1 2" xfId="33"/>
    <cellStyle name="40% - Accent1 3" xfId="34"/>
    <cellStyle name="40% - Accent1 4" xfId="35"/>
    <cellStyle name="40% - Accent1 4 2" xfId="568"/>
    <cellStyle name="40% - Accent1 4 2 2" xfId="569"/>
    <cellStyle name="40% - Accent1 4 3" xfId="570"/>
    <cellStyle name="40% - Accent1 4 3 2" xfId="571"/>
    <cellStyle name="40% - Accent1 4 4" xfId="572"/>
    <cellStyle name="40% - Accent1 4_Primary vs Secondary Spread Oct 3" xfId="573"/>
    <cellStyle name="40% - Accent1 5" xfId="574"/>
    <cellStyle name="40% - Accent2 2" xfId="36"/>
    <cellStyle name="40% - Accent2 3" xfId="37"/>
    <cellStyle name="40% - Accent2 4" xfId="38"/>
    <cellStyle name="40% - Accent2 4 2" xfId="575"/>
    <cellStyle name="40% - Accent2 4 2 2" xfId="576"/>
    <cellStyle name="40% - Accent2 4 3" xfId="577"/>
    <cellStyle name="40% - Accent2 4 3 2" xfId="578"/>
    <cellStyle name="40% - Accent2 4 4" xfId="579"/>
    <cellStyle name="40% - Accent2 4_Primary vs Secondary Spread Oct 3" xfId="580"/>
    <cellStyle name="40% - Accent2 5" xfId="581"/>
    <cellStyle name="40% - Accent3 2" xfId="39"/>
    <cellStyle name="40% - Accent3 3" xfId="40"/>
    <cellStyle name="40% - Accent3 4" xfId="41"/>
    <cellStyle name="40% - Accent3 4 2" xfId="582"/>
    <cellStyle name="40% - Accent3 4 2 2" xfId="583"/>
    <cellStyle name="40% - Accent3 4 3" xfId="584"/>
    <cellStyle name="40% - Accent3 4 3 2" xfId="585"/>
    <cellStyle name="40% - Accent3 4 4" xfId="586"/>
    <cellStyle name="40% - Accent3 4_Primary vs Secondary Spread Oct 3" xfId="587"/>
    <cellStyle name="40% - Accent3 5" xfId="588"/>
    <cellStyle name="40% - Accent4 2" xfId="42"/>
    <cellStyle name="40% - Accent4 3" xfId="43"/>
    <cellStyle name="40% - Accent4 4" xfId="44"/>
    <cellStyle name="40% - Accent4 4 2" xfId="589"/>
    <cellStyle name="40% - Accent4 4 2 2" xfId="590"/>
    <cellStyle name="40% - Accent4 4 3" xfId="591"/>
    <cellStyle name="40% - Accent4 4 3 2" xfId="592"/>
    <cellStyle name="40% - Accent4 4 4" xfId="593"/>
    <cellStyle name="40% - Accent4 4_Primary vs Secondary Spread Oct 3" xfId="594"/>
    <cellStyle name="40% - Accent4 5" xfId="595"/>
    <cellStyle name="40% - Accent5 2" xfId="45"/>
    <cellStyle name="40% - Accent5 3" xfId="46"/>
    <cellStyle name="40% - Accent5 4" xfId="47"/>
    <cellStyle name="40% - Accent5 4 2" xfId="596"/>
    <cellStyle name="40% - Accent5 4 2 2" xfId="597"/>
    <cellStyle name="40% - Accent5 4 3" xfId="598"/>
    <cellStyle name="40% - Accent5 4 3 2" xfId="599"/>
    <cellStyle name="40% - Accent5 4 4" xfId="600"/>
    <cellStyle name="40% - Accent5 4_Primary vs Secondary Spread Oct 3" xfId="601"/>
    <cellStyle name="40% - Accent5 5" xfId="602"/>
    <cellStyle name="40% - Accent6 2" xfId="48"/>
    <cellStyle name="40% - Accent6 3" xfId="49"/>
    <cellStyle name="40% - Accent6 4" xfId="50"/>
    <cellStyle name="40% - Accent6 4 2" xfId="603"/>
    <cellStyle name="40% - Accent6 4 2 2" xfId="604"/>
    <cellStyle name="40% - Accent6 4 3" xfId="605"/>
    <cellStyle name="40% - Accent6 4 3 2" xfId="606"/>
    <cellStyle name="40% - Accent6 4 4" xfId="607"/>
    <cellStyle name="40% - Accent6 4_Primary vs Secondary Spread Oct 3" xfId="608"/>
    <cellStyle name="40% - Accent6 5" xfId="609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alculation 5" xfId="610"/>
    <cellStyle name="Calculation 6" xfId="611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2 3" xfId="612"/>
    <cellStyle name="Cello Calculation 2_Primary vs Secondary Spread Oct 3" xfId="613"/>
    <cellStyle name="Cello Calculation 3" xfId="126"/>
    <cellStyle name="Cello Calculation 4" xfId="127"/>
    <cellStyle name="Cello Calculation_Primary vs Secondary Spread Oct 3" xfId="614"/>
    <cellStyle name="Cello Input" xfId="2"/>
    <cellStyle name="Cello Input 2" xfId="128"/>
    <cellStyle name="Cello Input 2 2" xfId="129"/>
    <cellStyle name="Cello Input 2 3" xfId="130"/>
    <cellStyle name="Cello Input 2 4" xfId="615"/>
    <cellStyle name="Cello Input 2 5" xfId="131"/>
    <cellStyle name="Cello Input 2_Primary vs Secondary Spread Oct 3" xfId="616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ello Linked Cell 3" xfId="617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29 2 2" xfId="618"/>
    <cellStyle name="Comma 29 3" xfId="619"/>
    <cellStyle name="Comma 29 3 2" xfId="620"/>
    <cellStyle name="Comma 29 4" xfId="621"/>
    <cellStyle name="Comma 29 5" xfId="622"/>
    <cellStyle name="Comma 3" xfId="182"/>
    <cellStyle name="Comma 30" xfId="183"/>
    <cellStyle name="Comma 31" xfId="623"/>
    <cellStyle name="Comma 32" xfId="624"/>
    <cellStyle name="Comma 33" xfId="625"/>
    <cellStyle name="Comma 34" xfId="626"/>
    <cellStyle name="Comma 35" xfId="627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16" xfId="628"/>
    <cellStyle name="Currency 17" xfId="629"/>
    <cellStyle name="Currency 18" xfId="630"/>
    <cellStyle name="Currency 19" xfId="631"/>
    <cellStyle name="Currency 2" xfId="205"/>
    <cellStyle name="Currency 20" xfId="632"/>
    <cellStyle name="Currency 21" xfId="633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Hyperlink 3" xfId="634"/>
    <cellStyle name="Input [yellow]" xfId="288"/>
    <cellStyle name="Input 10" xfId="635"/>
    <cellStyle name="Input 11" xfId="636"/>
    <cellStyle name="Input 12" xfId="637"/>
    <cellStyle name="Input 13" xfId="638"/>
    <cellStyle name="Input 14" xfId="639"/>
    <cellStyle name="Input 15" xfId="640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nput 8" xfId="641"/>
    <cellStyle name="Input 9" xfId="642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2 3" xfId="643"/>
    <cellStyle name="Normal 2 2_Primary vs Secondary Spread Oct 3" xfId="644"/>
    <cellStyle name="Normal 2 3" xfId="340"/>
    <cellStyle name="Normal 2 3 2" xfId="341"/>
    <cellStyle name="Normal 2 3 2 2" xfId="342"/>
    <cellStyle name="Normal 2 3 3" xfId="343"/>
    <cellStyle name="Normal 2 3_Primary vs Secondary Spread Oct 3" xfId="645"/>
    <cellStyle name="Normal 2 4" xfId="344"/>
    <cellStyle name="Normal 2 4 2" xfId="345"/>
    <cellStyle name="Normal 2 4 2 2" xfId="346"/>
    <cellStyle name="Normal 2 4 3" xfId="347"/>
    <cellStyle name="Normal 2 4_Primary vs Secondary Spread Oct 3" xfId="646"/>
    <cellStyle name="Normal 2 5" xfId="348"/>
    <cellStyle name="Normal 2 5 2" xfId="349"/>
    <cellStyle name="Normal 2 6" xfId="350"/>
    <cellStyle name="Normal 2 7" xfId="351"/>
    <cellStyle name="Normal 2_Primary vs Secondary Spread Oct 3" xfId="647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 3" xfId="648"/>
    <cellStyle name="Normal 3_Primary vs Secondary Spread Oct 3" xfId="649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8_Primary vs Secondary Spread Oct 3" xfId="650"/>
    <cellStyle name="Normal 39" xfId="377"/>
    <cellStyle name="Normal 4" xfId="378"/>
    <cellStyle name="Normal 4 2" xfId="379"/>
    <cellStyle name="Normal 4 3" xfId="380"/>
    <cellStyle name="Normal 4 4" xfId="381"/>
    <cellStyle name="Normal 4_Primary vs Secondary Spread Oct 3" xfId="651"/>
    <cellStyle name="Normal 40" xfId="382"/>
    <cellStyle name="Normal 41" xfId="383"/>
    <cellStyle name="Normal 42" xfId="384"/>
    <cellStyle name="Normal 42 2" xfId="385"/>
    <cellStyle name="Normal 43" xfId="652"/>
    <cellStyle name="Normal 44" xfId="653"/>
    <cellStyle name="Normal 45" xfId="654"/>
    <cellStyle name="Normal 46" xfId="655"/>
    <cellStyle name="Normal 47" xfId="656"/>
    <cellStyle name="Normal 48" xfId="657"/>
    <cellStyle name="Normal 49" xfId="658"/>
    <cellStyle name="Normal 5" xfId="386"/>
    <cellStyle name="Normal 5 2" xfId="659"/>
    <cellStyle name="Normal 5 2 2" xfId="660"/>
    <cellStyle name="Normal 5 3" xfId="661"/>
    <cellStyle name="Normal 5 3 2" xfId="662"/>
    <cellStyle name="Normal 5 4" xfId="663"/>
    <cellStyle name="Normal 5_Primary vs Secondary Spread Oct 3" xfId="664"/>
    <cellStyle name="Normal 50" xfId="665"/>
    <cellStyle name="Normal 51" xfId="666"/>
    <cellStyle name="Normal 52" xfId="667"/>
    <cellStyle name="Normal 53" xfId="668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4 2" xfId="669"/>
    <cellStyle name="Note 4 2 2" xfId="670"/>
    <cellStyle name="Note 4 3" xfId="671"/>
    <cellStyle name="Note 4 3 2" xfId="672"/>
    <cellStyle name="Note 4 4" xfId="673"/>
    <cellStyle name="Note 5" xfId="401"/>
    <cellStyle name="Note 5 2" xfId="674"/>
    <cellStyle name="Note 5 2 2" xfId="675"/>
    <cellStyle name="Note 5 3" xfId="676"/>
    <cellStyle name="Note 5 3 2" xfId="677"/>
    <cellStyle name="Note 5 4" xfId="678"/>
    <cellStyle name="Note 6" xfId="402"/>
    <cellStyle name="Note 6 2" xfId="679"/>
    <cellStyle name="Note 6 2 2" xfId="680"/>
    <cellStyle name="Note 6 3" xfId="681"/>
    <cellStyle name="Note 6 3 2" xfId="682"/>
    <cellStyle name="Note 6 4" xfId="683"/>
    <cellStyle name="Note 6 5" xfId="684"/>
    <cellStyle name="Note 7" xfId="403"/>
    <cellStyle name="Note 7 2" xfId="404"/>
    <cellStyle name="Note 7 2 2" xfId="685"/>
    <cellStyle name="Note 7 3" xfId="686"/>
    <cellStyle name="Note 7 3 2" xfId="687"/>
    <cellStyle name="Note 7 4" xfId="688"/>
    <cellStyle name="Note 7 5" xfId="689"/>
    <cellStyle name="Note 8" xfId="405"/>
    <cellStyle name="Note 9" xfId="690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ffWhite 2" xfId="691"/>
    <cellStyle name="OffWhite 2 2" xfId="692"/>
    <cellStyle name="OffWhite 3" xfId="693"/>
    <cellStyle name="OffWhite 3 2" xfId="694"/>
    <cellStyle name="OffWhite 4" xfId="695"/>
    <cellStyle name="Option" xfId="413"/>
    <cellStyle name="orange text cell" xfId="414"/>
    <cellStyle name="Output 2" xfId="415"/>
    <cellStyle name="Output 3" xfId="416"/>
    <cellStyle name="Output 4" xfId="417"/>
    <cellStyle name="Output 5" xfId="696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2 2 2" xfId="697"/>
    <cellStyle name="Percent 2 3" xfId="698"/>
    <cellStyle name="Percent 2 3 2" xfId="699"/>
    <cellStyle name="Percent 2 4" xfId="700"/>
    <cellStyle name="Percent 2 5" xfId="701"/>
    <cellStyle name="Percent 3" xfId="431"/>
    <cellStyle name="Percent 3 2" xfId="702"/>
    <cellStyle name="Percent 3 2 2" xfId="703"/>
    <cellStyle name="Percent 3 3" xfId="704"/>
    <cellStyle name="Percent 3 3 2" xfId="705"/>
    <cellStyle name="Percent 3 4" xfId="706"/>
    <cellStyle name="Percent 4" xfId="707"/>
    <cellStyle name="Percent 4 2" xfId="708"/>
    <cellStyle name="Percent 4 2 2" xfId="709"/>
    <cellStyle name="Percent 4 3" xfId="710"/>
    <cellStyle name="Percent 4 3 2" xfId="711"/>
    <cellStyle name="Percent 4 4" xfId="712"/>
    <cellStyle name="Percent 5" xfId="713"/>
    <cellStyle name="Percent 5 2" xfId="714"/>
    <cellStyle name="Percent 5 2 2" xfId="715"/>
    <cellStyle name="Percent 5 3" xfId="716"/>
    <cellStyle name="Percent 5 3 2" xfId="717"/>
    <cellStyle name="Percent 5 4" xfId="718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Calculations 2 2" xfId="719"/>
    <cellStyle name="Title Calculations_Primary vs Secondary Spread Oct 3" xfId="720"/>
    <cellStyle name="Title Indicative" xfId="501"/>
    <cellStyle name="Title Indicative 2" xfId="502"/>
    <cellStyle name="Title Indicative 2 2" xfId="721"/>
    <cellStyle name="Title Indicative_Primary vs Secondary Spread Oct 3" xfId="722"/>
    <cellStyle name="Title Pricing Assumptions" xfId="503"/>
    <cellStyle name="Title Pricing Assumptions 10" xfId="723"/>
    <cellStyle name="Title Pricing Assumptions 10 2" xfId="724"/>
    <cellStyle name="Title Pricing Assumptions 10 2 2" xfId="725"/>
    <cellStyle name="Title Pricing Assumptions 10 2_Primary vs Secondary Spread Oct 3" xfId="726"/>
    <cellStyle name="Title Pricing Assumptions 10 3" xfId="727"/>
    <cellStyle name="Title Pricing Assumptions 10 4" xfId="728"/>
    <cellStyle name="Title Pricing Assumptions 10 5" xfId="729"/>
    <cellStyle name="Title Pricing Assumptions 10_Primary vs Secondary Spread Oct 3" xfId="730"/>
    <cellStyle name="Title Pricing Assumptions 11" xfId="731"/>
    <cellStyle name="Title Pricing Assumptions 11 2" xfId="732"/>
    <cellStyle name="Title Pricing Assumptions 11_Primary vs Secondary Spread Oct 3" xfId="733"/>
    <cellStyle name="Title Pricing Assumptions 12" xfId="734"/>
    <cellStyle name="Title Pricing Assumptions 12 2" xfId="735"/>
    <cellStyle name="Title Pricing Assumptions 12_Primary vs Secondary Spread Oct 3" xfId="736"/>
    <cellStyle name="Title Pricing Assumptions 13" xfId="737"/>
    <cellStyle name="Title Pricing Assumptions 14" xfId="738"/>
    <cellStyle name="Title Pricing Assumptions 15" xfId="739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0" xfId="740"/>
    <cellStyle name="Title Pricing Assumptions 3 10 2" xfId="741"/>
    <cellStyle name="Title Pricing Assumptions 3 10_Primary vs Secondary Spread Oct 3" xfId="742"/>
    <cellStyle name="Title Pricing Assumptions 3 11" xfId="743"/>
    <cellStyle name="Title Pricing Assumptions 3 12" xfId="744"/>
    <cellStyle name="Title Pricing Assumptions 3 12 8" xfId="508"/>
    <cellStyle name="Title Pricing Assumptions 3 2" xfId="745"/>
    <cellStyle name="Title Pricing Assumptions 3 2 2" xfId="746"/>
    <cellStyle name="Title Pricing Assumptions 3 2 2 2" xfId="747"/>
    <cellStyle name="Title Pricing Assumptions 3 2 2 2 2" xfId="748"/>
    <cellStyle name="Title Pricing Assumptions 3 2 2 2_Primary vs Secondary Spread Oct 3" xfId="749"/>
    <cellStyle name="Title Pricing Assumptions 3 2 2 3" xfId="750"/>
    <cellStyle name="Title Pricing Assumptions 3 2 2 4" xfId="751"/>
    <cellStyle name="Title Pricing Assumptions 3 2 2 5" xfId="752"/>
    <cellStyle name="Title Pricing Assumptions 3 2 2_Primary vs Secondary Spread Oct 3" xfId="753"/>
    <cellStyle name="Title Pricing Assumptions 3 2 3" xfId="754"/>
    <cellStyle name="Title Pricing Assumptions 3 2 3 2" xfId="755"/>
    <cellStyle name="Title Pricing Assumptions 3 2 3 2 2" xfId="756"/>
    <cellStyle name="Title Pricing Assumptions 3 2 3 2_Primary vs Secondary Spread Oct 3" xfId="757"/>
    <cellStyle name="Title Pricing Assumptions 3 2 3 3" xfId="758"/>
    <cellStyle name="Title Pricing Assumptions 3 2 3 4" xfId="759"/>
    <cellStyle name="Title Pricing Assumptions 3 2 3 5" xfId="760"/>
    <cellStyle name="Title Pricing Assumptions 3 2 3_Primary vs Secondary Spread Oct 3" xfId="761"/>
    <cellStyle name="Title Pricing Assumptions 3 2 4" xfId="762"/>
    <cellStyle name="Title Pricing Assumptions 3 2 4 2" xfId="763"/>
    <cellStyle name="Title Pricing Assumptions 3 2 4 2 2" xfId="764"/>
    <cellStyle name="Title Pricing Assumptions 3 2 4 2_Primary vs Secondary Spread Oct 3" xfId="765"/>
    <cellStyle name="Title Pricing Assumptions 3 2 4 3" xfId="766"/>
    <cellStyle name="Title Pricing Assumptions 3 2 4 4" xfId="767"/>
    <cellStyle name="Title Pricing Assumptions 3 2 4 5" xfId="768"/>
    <cellStyle name="Title Pricing Assumptions 3 2 4_Primary vs Secondary Spread Oct 3" xfId="769"/>
    <cellStyle name="Title Pricing Assumptions 3 2 5" xfId="770"/>
    <cellStyle name="Title Pricing Assumptions 3 2 5 2" xfId="771"/>
    <cellStyle name="Title Pricing Assumptions 3 2 5_Primary vs Secondary Spread Oct 3" xfId="772"/>
    <cellStyle name="Title Pricing Assumptions 3 2 6" xfId="773"/>
    <cellStyle name="Title Pricing Assumptions 3 2 6 2" xfId="774"/>
    <cellStyle name="Title Pricing Assumptions 3 2 6_Primary vs Secondary Spread Oct 3" xfId="775"/>
    <cellStyle name="Title Pricing Assumptions 3 2 7" xfId="776"/>
    <cellStyle name="Title Pricing Assumptions 3 2 8" xfId="777"/>
    <cellStyle name="Title Pricing Assumptions 3 2_Primary vs Secondary Spread Oct 3" xfId="778"/>
    <cellStyle name="Title Pricing Assumptions 3 3" xfId="779"/>
    <cellStyle name="Title Pricing Assumptions 3 3 2" xfId="780"/>
    <cellStyle name="Title Pricing Assumptions 3 3 2 2" xfId="781"/>
    <cellStyle name="Title Pricing Assumptions 3 3 2 2 2" xfId="782"/>
    <cellStyle name="Title Pricing Assumptions 3 3 2 2_Primary vs Secondary Spread Oct 3" xfId="783"/>
    <cellStyle name="Title Pricing Assumptions 3 3 2 3" xfId="784"/>
    <cellStyle name="Title Pricing Assumptions 3 3 2 4" xfId="785"/>
    <cellStyle name="Title Pricing Assumptions 3 3 2 5" xfId="786"/>
    <cellStyle name="Title Pricing Assumptions 3 3 2_Primary vs Secondary Spread Oct 3" xfId="787"/>
    <cellStyle name="Title Pricing Assumptions 3 3 3" xfId="788"/>
    <cellStyle name="Title Pricing Assumptions 3 3 3 2" xfId="789"/>
    <cellStyle name="Title Pricing Assumptions 3 3 3 2 2" xfId="790"/>
    <cellStyle name="Title Pricing Assumptions 3 3 3 2_Primary vs Secondary Spread Oct 3" xfId="791"/>
    <cellStyle name="Title Pricing Assumptions 3 3 3 3" xfId="792"/>
    <cellStyle name="Title Pricing Assumptions 3 3 3 4" xfId="793"/>
    <cellStyle name="Title Pricing Assumptions 3 3 3 5" xfId="794"/>
    <cellStyle name="Title Pricing Assumptions 3 3 3_Primary vs Secondary Spread Oct 3" xfId="795"/>
    <cellStyle name="Title Pricing Assumptions 3 3 4" xfId="796"/>
    <cellStyle name="Title Pricing Assumptions 3 3 4 2" xfId="797"/>
    <cellStyle name="Title Pricing Assumptions 3 3 4 2 2" xfId="798"/>
    <cellStyle name="Title Pricing Assumptions 3 3 4 2_Primary vs Secondary Spread Oct 3" xfId="799"/>
    <cellStyle name="Title Pricing Assumptions 3 3 4 3" xfId="800"/>
    <cellStyle name="Title Pricing Assumptions 3 3 4 4" xfId="801"/>
    <cellStyle name="Title Pricing Assumptions 3 3 4 5" xfId="802"/>
    <cellStyle name="Title Pricing Assumptions 3 3 4_Primary vs Secondary Spread Oct 3" xfId="803"/>
    <cellStyle name="Title Pricing Assumptions 3 3 5" xfId="804"/>
    <cellStyle name="Title Pricing Assumptions 3 3 5 2" xfId="805"/>
    <cellStyle name="Title Pricing Assumptions 3 3 5_Primary vs Secondary Spread Oct 3" xfId="806"/>
    <cellStyle name="Title Pricing Assumptions 3 3 6" xfId="807"/>
    <cellStyle name="Title Pricing Assumptions 3 3 6 2" xfId="808"/>
    <cellStyle name="Title Pricing Assumptions 3 3 6_Primary vs Secondary Spread Oct 3" xfId="809"/>
    <cellStyle name="Title Pricing Assumptions 3 3 7" xfId="810"/>
    <cellStyle name="Title Pricing Assumptions 3 3 8" xfId="811"/>
    <cellStyle name="Title Pricing Assumptions 3 3_Primary vs Secondary Spread Oct 3" xfId="812"/>
    <cellStyle name="Title Pricing Assumptions 3 4" xfId="813"/>
    <cellStyle name="Title Pricing Assumptions 3 4 2" xfId="814"/>
    <cellStyle name="Title Pricing Assumptions 3 4 2 2" xfId="815"/>
    <cellStyle name="Title Pricing Assumptions 3 4 2 2 2" xfId="816"/>
    <cellStyle name="Title Pricing Assumptions 3 4 2 2_Primary vs Secondary Spread Oct 3" xfId="817"/>
    <cellStyle name="Title Pricing Assumptions 3 4 2 3" xfId="818"/>
    <cellStyle name="Title Pricing Assumptions 3 4 2 4" xfId="819"/>
    <cellStyle name="Title Pricing Assumptions 3 4 2 5" xfId="820"/>
    <cellStyle name="Title Pricing Assumptions 3 4 2_Primary vs Secondary Spread Oct 3" xfId="821"/>
    <cellStyle name="Title Pricing Assumptions 3 4 3" xfId="822"/>
    <cellStyle name="Title Pricing Assumptions 3 4 3 2" xfId="823"/>
    <cellStyle name="Title Pricing Assumptions 3 4 3 2 2" xfId="824"/>
    <cellStyle name="Title Pricing Assumptions 3 4 3 2_Primary vs Secondary Spread Oct 3" xfId="825"/>
    <cellStyle name="Title Pricing Assumptions 3 4 3 3" xfId="826"/>
    <cellStyle name="Title Pricing Assumptions 3 4 3 4" xfId="827"/>
    <cellStyle name="Title Pricing Assumptions 3 4 3 5" xfId="828"/>
    <cellStyle name="Title Pricing Assumptions 3 4 3_Primary vs Secondary Spread Oct 3" xfId="829"/>
    <cellStyle name="Title Pricing Assumptions 3 4 4" xfId="830"/>
    <cellStyle name="Title Pricing Assumptions 3 4 4 2" xfId="831"/>
    <cellStyle name="Title Pricing Assumptions 3 4 4 2 2" xfId="832"/>
    <cellStyle name="Title Pricing Assumptions 3 4 4 2_Primary vs Secondary Spread Oct 3" xfId="833"/>
    <cellStyle name="Title Pricing Assumptions 3 4 4 3" xfId="834"/>
    <cellStyle name="Title Pricing Assumptions 3 4 4 4" xfId="835"/>
    <cellStyle name="Title Pricing Assumptions 3 4 4 5" xfId="836"/>
    <cellStyle name="Title Pricing Assumptions 3 4 4_Primary vs Secondary Spread Oct 3" xfId="837"/>
    <cellStyle name="Title Pricing Assumptions 3 4 5" xfId="838"/>
    <cellStyle name="Title Pricing Assumptions 3 4 5 2" xfId="839"/>
    <cellStyle name="Title Pricing Assumptions 3 4 5_Primary vs Secondary Spread Oct 3" xfId="840"/>
    <cellStyle name="Title Pricing Assumptions 3 4 6" xfId="841"/>
    <cellStyle name="Title Pricing Assumptions 3 4 6 2" xfId="842"/>
    <cellStyle name="Title Pricing Assumptions 3 4 6_Primary vs Secondary Spread Oct 3" xfId="843"/>
    <cellStyle name="Title Pricing Assumptions 3 4 7" xfId="844"/>
    <cellStyle name="Title Pricing Assumptions 3 4 8" xfId="845"/>
    <cellStyle name="Title Pricing Assumptions 3 4_Primary vs Secondary Spread Oct 3" xfId="846"/>
    <cellStyle name="Title Pricing Assumptions 3 5" xfId="847"/>
    <cellStyle name="Title Pricing Assumptions 3 5 2" xfId="848"/>
    <cellStyle name="Title Pricing Assumptions 3 5 2 2" xfId="849"/>
    <cellStyle name="Title Pricing Assumptions 3 5 2 2 2" xfId="850"/>
    <cellStyle name="Title Pricing Assumptions 3 5 2 2_Primary vs Secondary Spread Oct 3" xfId="851"/>
    <cellStyle name="Title Pricing Assumptions 3 5 2 3" xfId="852"/>
    <cellStyle name="Title Pricing Assumptions 3 5 2 4" xfId="853"/>
    <cellStyle name="Title Pricing Assumptions 3 5 2 5" xfId="854"/>
    <cellStyle name="Title Pricing Assumptions 3 5 2_Primary vs Secondary Spread Oct 3" xfId="855"/>
    <cellStyle name="Title Pricing Assumptions 3 5 3" xfId="856"/>
    <cellStyle name="Title Pricing Assumptions 3 5 3 2" xfId="857"/>
    <cellStyle name="Title Pricing Assumptions 3 5 3 2 2" xfId="858"/>
    <cellStyle name="Title Pricing Assumptions 3 5 3 2_Primary vs Secondary Spread Oct 3" xfId="859"/>
    <cellStyle name="Title Pricing Assumptions 3 5 3 3" xfId="860"/>
    <cellStyle name="Title Pricing Assumptions 3 5 3 4" xfId="861"/>
    <cellStyle name="Title Pricing Assumptions 3 5 3 5" xfId="862"/>
    <cellStyle name="Title Pricing Assumptions 3 5 3_Primary vs Secondary Spread Oct 3" xfId="863"/>
    <cellStyle name="Title Pricing Assumptions 3 5 4" xfId="864"/>
    <cellStyle name="Title Pricing Assumptions 3 5 4 2" xfId="865"/>
    <cellStyle name="Title Pricing Assumptions 3 5 4_Primary vs Secondary Spread Oct 3" xfId="866"/>
    <cellStyle name="Title Pricing Assumptions 3 5 5" xfId="867"/>
    <cellStyle name="Title Pricing Assumptions 3 5 5 2" xfId="868"/>
    <cellStyle name="Title Pricing Assumptions 3 5 5_Primary vs Secondary Spread Oct 3" xfId="869"/>
    <cellStyle name="Title Pricing Assumptions 3 5 6" xfId="870"/>
    <cellStyle name="Title Pricing Assumptions 3 5 7" xfId="871"/>
    <cellStyle name="Title Pricing Assumptions 3 5_Primary vs Secondary Spread Oct 3" xfId="872"/>
    <cellStyle name="Title Pricing Assumptions 3 6" xfId="873"/>
    <cellStyle name="Title Pricing Assumptions 3 6 2" xfId="874"/>
    <cellStyle name="Title Pricing Assumptions 3 6 2 2" xfId="875"/>
    <cellStyle name="Title Pricing Assumptions 3 6 2_Primary vs Secondary Spread Oct 3" xfId="876"/>
    <cellStyle name="Title Pricing Assumptions 3 6 3" xfId="877"/>
    <cellStyle name="Title Pricing Assumptions 3 6 4" xfId="878"/>
    <cellStyle name="Title Pricing Assumptions 3 6 4 2 8" xfId="509"/>
    <cellStyle name="Title Pricing Assumptions 3 6 5" xfId="879"/>
    <cellStyle name="Title Pricing Assumptions 3 6_Primary vs Secondary Spread Oct 3" xfId="880"/>
    <cellStyle name="Title Pricing Assumptions 3 7" xfId="881"/>
    <cellStyle name="Title Pricing Assumptions 3 7 2" xfId="882"/>
    <cellStyle name="Title Pricing Assumptions 3 7 2 2" xfId="883"/>
    <cellStyle name="Title Pricing Assumptions 3 7 2_Primary vs Secondary Spread Oct 3" xfId="884"/>
    <cellStyle name="Title Pricing Assumptions 3 7 3" xfId="885"/>
    <cellStyle name="Title Pricing Assumptions 3 7 4" xfId="886"/>
    <cellStyle name="Title Pricing Assumptions 3 7 5" xfId="887"/>
    <cellStyle name="Title Pricing Assumptions 3 7_Primary vs Secondary Spread Oct 3" xfId="888"/>
    <cellStyle name="Title Pricing Assumptions 3 8" xfId="889"/>
    <cellStyle name="Title Pricing Assumptions 3 8 2" xfId="890"/>
    <cellStyle name="Title Pricing Assumptions 3 8 2 2" xfId="891"/>
    <cellStyle name="Title Pricing Assumptions 3 8 2_Primary vs Secondary Spread Oct 3" xfId="892"/>
    <cellStyle name="Title Pricing Assumptions 3 8 3" xfId="893"/>
    <cellStyle name="Title Pricing Assumptions 3 8 4" xfId="894"/>
    <cellStyle name="Title Pricing Assumptions 3 8 5" xfId="895"/>
    <cellStyle name="Title Pricing Assumptions 3 8_Primary vs Secondary Spread Oct 3" xfId="896"/>
    <cellStyle name="Title Pricing Assumptions 3 9" xfId="897"/>
    <cellStyle name="Title Pricing Assumptions 3 9 2" xfId="898"/>
    <cellStyle name="Title Pricing Assumptions 3 9_Primary vs Secondary Spread Oct 3" xfId="899"/>
    <cellStyle name="Title Pricing Assumptions 3_Primary vs Secondary Spread Oct 3" xfId="900"/>
    <cellStyle name="Title Pricing Assumptions 4" xfId="901"/>
    <cellStyle name="Title Pricing Assumptions 4 2" xfId="902"/>
    <cellStyle name="Title Pricing Assumptions 4 2 2" xfId="903"/>
    <cellStyle name="Title Pricing Assumptions 4 2 2 2" xfId="904"/>
    <cellStyle name="Title Pricing Assumptions 4 2 2_Primary vs Secondary Spread Oct 3" xfId="905"/>
    <cellStyle name="Title Pricing Assumptions 4 2 3" xfId="906"/>
    <cellStyle name="Title Pricing Assumptions 4 2 4" xfId="907"/>
    <cellStyle name="Title Pricing Assumptions 4 2 5" xfId="908"/>
    <cellStyle name="Title Pricing Assumptions 4 2_Primary vs Secondary Spread Oct 3" xfId="909"/>
    <cellStyle name="Title Pricing Assumptions 4 3" xfId="910"/>
    <cellStyle name="Title Pricing Assumptions 4 3 2" xfId="911"/>
    <cellStyle name="Title Pricing Assumptions 4 3 2 2" xfId="912"/>
    <cellStyle name="Title Pricing Assumptions 4 3 2_Primary vs Secondary Spread Oct 3" xfId="913"/>
    <cellStyle name="Title Pricing Assumptions 4 3 3" xfId="914"/>
    <cellStyle name="Title Pricing Assumptions 4 3 4" xfId="915"/>
    <cellStyle name="Title Pricing Assumptions 4 3 5" xfId="916"/>
    <cellStyle name="Title Pricing Assumptions 4 3_Primary vs Secondary Spread Oct 3" xfId="917"/>
    <cellStyle name="Title Pricing Assumptions 4 4" xfId="918"/>
    <cellStyle name="Title Pricing Assumptions 4 4 2" xfId="919"/>
    <cellStyle name="Title Pricing Assumptions 4 4 2 2" xfId="920"/>
    <cellStyle name="Title Pricing Assumptions 4 4 2_Primary vs Secondary Spread Oct 3" xfId="921"/>
    <cellStyle name="Title Pricing Assumptions 4 4 3" xfId="922"/>
    <cellStyle name="Title Pricing Assumptions 4 4 4" xfId="923"/>
    <cellStyle name="Title Pricing Assumptions 4 4 5" xfId="924"/>
    <cellStyle name="Title Pricing Assumptions 4 4_Primary vs Secondary Spread Oct 3" xfId="925"/>
    <cellStyle name="Title Pricing Assumptions 4 5" xfId="926"/>
    <cellStyle name="Title Pricing Assumptions 4 5 2" xfId="927"/>
    <cellStyle name="Title Pricing Assumptions 4 5_Primary vs Secondary Spread Oct 3" xfId="928"/>
    <cellStyle name="Title Pricing Assumptions 4 6" xfId="929"/>
    <cellStyle name="Title Pricing Assumptions 4 6 2" xfId="930"/>
    <cellStyle name="Title Pricing Assumptions 4 6_Primary vs Secondary Spread Oct 3" xfId="931"/>
    <cellStyle name="Title Pricing Assumptions 4 7" xfId="932"/>
    <cellStyle name="Title Pricing Assumptions 4 8" xfId="933"/>
    <cellStyle name="Title Pricing Assumptions 4_Primary vs Secondary Spread Oct 3" xfId="934"/>
    <cellStyle name="Title Pricing Assumptions 5" xfId="935"/>
    <cellStyle name="Title Pricing Assumptions 5 2" xfId="936"/>
    <cellStyle name="Title Pricing Assumptions 5 2 2" xfId="937"/>
    <cellStyle name="Title Pricing Assumptions 5 2 2 2" xfId="938"/>
    <cellStyle name="Title Pricing Assumptions 5 2 2_Primary vs Secondary Spread Oct 3" xfId="939"/>
    <cellStyle name="Title Pricing Assumptions 5 2 3" xfId="940"/>
    <cellStyle name="Title Pricing Assumptions 5 2 4" xfId="941"/>
    <cellStyle name="Title Pricing Assumptions 5 2 5" xfId="942"/>
    <cellStyle name="Title Pricing Assumptions 5 2_Primary vs Secondary Spread Oct 3" xfId="943"/>
    <cellStyle name="Title Pricing Assumptions 5 3" xfId="944"/>
    <cellStyle name="Title Pricing Assumptions 5 3 2" xfId="945"/>
    <cellStyle name="Title Pricing Assumptions 5 3 2 2" xfId="946"/>
    <cellStyle name="Title Pricing Assumptions 5 3 2_Primary vs Secondary Spread Oct 3" xfId="947"/>
    <cellStyle name="Title Pricing Assumptions 5 3 3" xfId="948"/>
    <cellStyle name="Title Pricing Assumptions 5 3 4" xfId="949"/>
    <cellStyle name="Title Pricing Assumptions 5 3 5" xfId="950"/>
    <cellStyle name="Title Pricing Assumptions 5 3_Primary vs Secondary Spread Oct 3" xfId="951"/>
    <cellStyle name="Title Pricing Assumptions 5 4" xfId="952"/>
    <cellStyle name="Title Pricing Assumptions 5 4 2" xfId="953"/>
    <cellStyle name="Title Pricing Assumptions 5 4 2 2" xfId="954"/>
    <cellStyle name="Title Pricing Assumptions 5 4 2_Primary vs Secondary Spread Oct 3" xfId="955"/>
    <cellStyle name="Title Pricing Assumptions 5 4 3" xfId="956"/>
    <cellStyle name="Title Pricing Assumptions 5 4 4" xfId="957"/>
    <cellStyle name="Title Pricing Assumptions 5 4 5" xfId="958"/>
    <cellStyle name="Title Pricing Assumptions 5 4_Primary vs Secondary Spread Oct 3" xfId="959"/>
    <cellStyle name="Title Pricing Assumptions 5 5" xfId="960"/>
    <cellStyle name="Title Pricing Assumptions 5 5 2" xfId="961"/>
    <cellStyle name="Title Pricing Assumptions 5 5_Primary vs Secondary Spread Oct 3" xfId="962"/>
    <cellStyle name="Title Pricing Assumptions 5 6" xfId="963"/>
    <cellStyle name="Title Pricing Assumptions 5 6 2" xfId="964"/>
    <cellStyle name="Title Pricing Assumptions 5 6_Primary vs Secondary Spread Oct 3" xfId="965"/>
    <cellStyle name="Title Pricing Assumptions 5 7" xfId="966"/>
    <cellStyle name="Title Pricing Assumptions 5 8" xfId="967"/>
    <cellStyle name="Title Pricing Assumptions 5_Primary vs Secondary Spread Oct 3" xfId="968"/>
    <cellStyle name="Title Pricing Assumptions 6" xfId="969"/>
    <cellStyle name="Title Pricing Assumptions 6 2" xfId="970"/>
    <cellStyle name="Title Pricing Assumptions 6 2 2" xfId="971"/>
    <cellStyle name="Title Pricing Assumptions 6 2 2 2" xfId="972"/>
    <cellStyle name="Title Pricing Assumptions 6 2 2_Primary vs Secondary Spread Oct 3" xfId="973"/>
    <cellStyle name="Title Pricing Assumptions 6 2 3" xfId="974"/>
    <cellStyle name="Title Pricing Assumptions 6 2 4" xfId="975"/>
    <cellStyle name="Title Pricing Assumptions 6 2 5" xfId="976"/>
    <cellStyle name="Title Pricing Assumptions 6 2_Primary vs Secondary Spread Oct 3" xfId="977"/>
    <cellStyle name="Title Pricing Assumptions 6 3" xfId="978"/>
    <cellStyle name="Title Pricing Assumptions 6 3 2" xfId="979"/>
    <cellStyle name="Title Pricing Assumptions 6 3 2 2" xfId="980"/>
    <cellStyle name="Title Pricing Assumptions 6 3 2_Primary vs Secondary Spread Oct 3" xfId="981"/>
    <cellStyle name="Title Pricing Assumptions 6 3 3" xfId="982"/>
    <cellStyle name="Title Pricing Assumptions 6 3 4" xfId="983"/>
    <cellStyle name="Title Pricing Assumptions 6 3_Primary vs Secondary Spread Oct 3" xfId="984"/>
    <cellStyle name="Title Pricing Assumptions 6 4" xfId="985"/>
    <cellStyle name="Title Pricing Assumptions 6 4 2" xfId="986"/>
    <cellStyle name="Title Pricing Assumptions 6 4 2 2" xfId="987"/>
    <cellStyle name="Title Pricing Assumptions 6 4 2_Primary vs Secondary Spread Oct 3" xfId="988"/>
    <cellStyle name="Title Pricing Assumptions 6 4 3" xfId="989"/>
    <cellStyle name="Title Pricing Assumptions 6 4 4" xfId="990"/>
    <cellStyle name="Title Pricing Assumptions 6 4 5" xfId="991"/>
    <cellStyle name="Title Pricing Assumptions 6 4_Primary vs Secondary Spread Oct 3" xfId="992"/>
    <cellStyle name="Title Pricing Assumptions 6 5" xfId="993"/>
    <cellStyle name="Title Pricing Assumptions 6 5 2" xfId="994"/>
    <cellStyle name="Title Pricing Assumptions 6 5_Primary vs Secondary Spread Oct 3" xfId="995"/>
    <cellStyle name="Title Pricing Assumptions 6 6" xfId="996"/>
    <cellStyle name="Title Pricing Assumptions 6 6 2" xfId="997"/>
    <cellStyle name="Title Pricing Assumptions 6 6_Primary vs Secondary Spread Oct 3" xfId="998"/>
    <cellStyle name="Title Pricing Assumptions 6 7" xfId="999"/>
    <cellStyle name="Title Pricing Assumptions 6 8" xfId="1000"/>
    <cellStyle name="Title Pricing Assumptions 6_Primary vs Secondary Spread Oct 3" xfId="1001"/>
    <cellStyle name="Title Pricing Assumptions 7" xfId="1002"/>
    <cellStyle name="Title Pricing Assumptions 7 2" xfId="1003"/>
    <cellStyle name="Title Pricing Assumptions 7 2 2" xfId="1004"/>
    <cellStyle name="Title Pricing Assumptions 7 2 2 2" xfId="1005"/>
    <cellStyle name="Title Pricing Assumptions 7 2 2_Primary vs Secondary Spread Oct 3" xfId="1006"/>
    <cellStyle name="Title Pricing Assumptions 7 2 3" xfId="1007"/>
    <cellStyle name="Title Pricing Assumptions 7 2 4" xfId="1008"/>
    <cellStyle name="Title Pricing Assumptions 7 2 5" xfId="1009"/>
    <cellStyle name="Title Pricing Assumptions 7 2_Primary vs Secondary Spread Oct 3" xfId="1010"/>
    <cellStyle name="Title Pricing Assumptions 7 3" xfId="1011"/>
    <cellStyle name="Title Pricing Assumptions 7 3 2" xfId="1012"/>
    <cellStyle name="Title Pricing Assumptions 7 3 2 2" xfId="1013"/>
    <cellStyle name="Title Pricing Assumptions 7 3 2_Primary vs Secondary Spread Oct 3" xfId="1014"/>
    <cellStyle name="Title Pricing Assumptions 7 3 3" xfId="1015"/>
    <cellStyle name="Title Pricing Assumptions 7 3 4" xfId="1016"/>
    <cellStyle name="Title Pricing Assumptions 7 3 5" xfId="1017"/>
    <cellStyle name="Title Pricing Assumptions 7 3_Primary vs Secondary Spread Oct 3" xfId="1018"/>
    <cellStyle name="Title Pricing Assumptions 7 4" xfId="1019"/>
    <cellStyle name="Title Pricing Assumptions 7 4 2" xfId="1020"/>
    <cellStyle name="Title Pricing Assumptions 7 4_Primary vs Secondary Spread Oct 3" xfId="1021"/>
    <cellStyle name="Title Pricing Assumptions 7 5" xfId="1022"/>
    <cellStyle name="Title Pricing Assumptions 7 5 2" xfId="1023"/>
    <cellStyle name="Title Pricing Assumptions 7 5_Primary vs Secondary Spread Oct 3" xfId="1024"/>
    <cellStyle name="Title Pricing Assumptions 7 6" xfId="1025"/>
    <cellStyle name="Title Pricing Assumptions 7 7" xfId="1026"/>
    <cellStyle name="Title Pricing Assumptions 7_Primary vs Secondary Spread Oct 3" xfId="1027"/>
    <cellStyle name="Title Pricing Assumptions 8" xfId="1028"/>
    <cellStyle name="Title Pricing Assumptions 8 2" xfId="1029"/>
    <cellStyle name="Title Pricing Assumptions 8 2 2" xfId="1030"/>
    <cellStyle name="Title Pricing Assumptions 8 2_Primary vs Secondary Spread Oct 3" xfId="1031"/>
    <cellStyle name="Title Pricing Assumptions 8 3" xfId="1032"/>
    <cellStyle name="Title Pricing Assumptions 8 4" xfId="1033"/>
    <cellStyle name="Title Pricing Assumptions 8 5" xfId="1034"/>
    <cellStyle name="Title Pricing Assumptions 8_Primary vs Secondary Spread Oct 3" xfId="1035"/>
    <cellStyle name="Title Pricing Assumptions 9" xfId="1036"/>
    <cellStyle name="Title Pricing Assumptions 9 2" xfId="1037"/>
    <cellStyle name="Title Pricing Assumptions 9 2 2" xfId="1038"/>
    <cellStyle name="Title Pricing Assumptions 9 2_Primary vs Secondary Spread Oct 3" xfId="1039"/>
    <cellStyle name="Title Pricing Assumptions 9 3" xfId="1040"/>
    <cellStyle name="Title Pricing Assumptions 9 4" xfId="1041"/>
    <cellStyle name="Title Pricing Assumptions 9 5" xfId="1042"/>
    <cellStyle name="Title Pricing Assumptions 9_Primary vs Secondary Spread Oct 3" xfId="1043"/>
    <cellStyle name="Title Pricing Assumptions_Primary vs Secondary Spread Oct 3" xfId="1044"/>
    <cellStyle name="Titles - Other" xfId="510"/>
    <cellStyle name="Total 2" xfId="511"/>
    <cellStyle name="Total 2 2" xfId="512"/>
    <cellStyle name="Total 3" xfId="513"/>
    <cellStyle name="Total 4" xfId="514"/>
    <cellStyle name="Total 4 2" xfId="1045"/>
    <cellStyle name="Total 4_Primary vs Secondary Spread Oct 3" xfId="1046"/>
    <cellStyle name="Warning" xfId="515"/>
    <cellStyle name="Warning Text 2" xfId="516"/>
    <cellStyle name="Warning Text 3" xfId="517"/>
    <cellStyle name="Warning Text 4" xfId="518"/>
    <cellStyle name="Warning Text 5" xfId="1047"/>
    <cellStyle name="YB Calculations" xfId="519"/>
    <cellStyle name="YB Calculations 2" xfId="520"/>
    <cellStyle name="YB Calculations 2 2" xfId="1048"/>
    <cellStyle name="YB Curve" xfId="521"/>
    <cellStyle name="YB Indicative" xfId="522"/>
    <cellStyle name="YB Indicative 2" xfId="1049"/>
    <cellStyle name="YBINDIC" xfId="523"/>
    <cellStyle name="YBIOPOBE" xfId="524"/>
    <cellStyle name="YBPRICE" xfId="525"/>
    <cellStyle name="一般_原始檔案" xfId="526"/>
  </cellStyles>
  <dxfs count="80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color rgb="FFC00000"/>
      </font>
    </dxf>
    <dxf>
      <fill>
        <patternFill>
          <bgColor rgb="FFFFFF00"/>
        </patternFill>
      </fill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8A60"/>
      <color rgb="FFC7732D"/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0.74492812302243472</c:v>
                </c:pt>
                <c:pt idx="1">
                  <c:v>0.64603565087211712</c:v>
                </c:pt>
                <c:pt idx="2">
                  <c:v>0.59773420684065992</c:v>
                </c:pt>
                <c:pt idx="3">
                  <c:v>0.56001013617974804</c:v>
                </c:pt>
                <c:pt idx="4">
                  <c:v>0.51913962145422732</c:v>
                </c:pt>
                <c:pt idx="5">
                  <c:v>0.45634727397891434</c:v>
                </c:pt>
                <c:pt idx="6">
                  <c:v>0.38236936388652831</c:v>
                </c:pt>
                <c:pt idx="7">
                  <c:v>0.33090326656578811</c:v>
                </c:pt>
                <c:pt idx="8">
                  <c:v>0.29098744878566229</c:v>
                </c:pt>
                <c:pt idx="9">
                  <c:v>0.27208831634225966</c:v>
                </c:pt>
                <c:pt idx="10">
                  <c:v>0.20485185088280758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0.66132281927372705</c:v>
                </c:pt>
                <c:pt idx="1">
                  <c:v>0.61742443167358063</c:v>
                </c:pt>
                <c:pt idx="2">
                  <c:v>0.55482890552564113</c:v>
                </c:pt>
                <c:pt idx="3">
                  <c:v>0.52193552323103543</c:v>
                </c:pt>
                <c:pt idx="4">
                  <c:v>0.45915371064370136</c:v>
                </c:pt>
                <c:pt idx="5">
                  <c:v>0.39779633268543002</c:v>
                </c:pt>
                <c:pt idx="6">
                  <c:v>0.36431880223413576</c:v>
                </c:pt>
                <c:pt idx="7">
                  <c:v>0.32134943910537084</c:v>
                </c:pt>
                <c:pt idx="8">
                  <c:v>0.29464449046498603</c:v>
                </c:pt>
                <c:pt idx="9">
                  <c:v>0.24410272227756832</c:v>
                </c:pt>
                <c:pt idx="10">
                  <c:v>0.20106252470542499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circle"/>
            <c:size val="5"/>
            <c:spPr>
              <a:solidFill>
                <a:srgbClr val="2E8A60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0.20405539978490747</c:v>
                </c:pt>
                <c:pt idx="1">
                  <c:v>8.8363009906858286E-3</c:v>
                </c:pt>
                <c:pt idx="2">
                  <c:v>1.7846726369342121E-3</c:v>
                </c:pt>
                <c:pt idx="3">
                  <c:v>2.8983733075451279E-4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412096"/>
        <c:axId val="193422080"/>
      </c:lineChart>
      <c:catAx>
        <c:axId val="19341209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93422080"/>
        <c:crosses val="autoZero"/>
        <c:auto val="1"/>
        <c:lblAlgn val="ctr"/>
        <c:lblOffset val="100"/>
        <c:noMultiLvlLbl val="0"/>
      </c:catAx>
      <c:valAx>
        <c:axId val="19342208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93412096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Historical Refinancible Universe vs Refi Index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Query!$E$2</c:f>
              <c:strCache>
                <c:ptCount val="1"/>
                <c:pt idx="0">
                  <c:v>With Lowest Rate</c:v>
                </c:pt>
              </c:strCache>
            </c:strRef>
          </c:tx>
          <c:spPr>
            <a:solidFill>
              <a:srgbClr val="C7732D"/>
            </a:solidFill>
            <a:ln>
              <a:noFill/>
            </a:ln>
          </c:spPr>
          <c:invertIfNegative val="0"/>
          <c:cat>
            <c:numRef>
              <c:f>Query!$B$3:$B$234</c:f>
              <c:numCache>
                <c:formatCode>m/d/yyyy</c:formatCode>
                <c:ptCount val="232"/>
                <c:pt idx="0">
                  <c:v>42166</c:v>
                </c:pt>
                <c:pt idx="1">
                  <c:v>42159</c:v>
                </c:pt>
                <c:pt idx="2">
                  <c:v>42152</c:v>
                </c:pt>
                <c:pt idx="3">
                  <c:v>42145</c:v>
                </c:pt>
                <c:pt idx="4">
                  <c:v>42138</c:v>
                </c:pt>
                <c:pt idx="5">
                  <c:v>42131</c:v>
                </c:pt>
                <c:pt idx="6">
                  <c:v>42124</c:v>
                </c:pt>
                <c:pt idx="7">
                  <c:v>42117</c:v>
                </c:pt>
                <c:pt idx="8">
                  <c:v>42110</c:v>
                </c:pt>
                <c:pt idx="9">
                  <c:v>42103</c:v>
                </c:pt>
                <c:pt idx="10">
                  <c:v>42096</c:v>
                </c:pt>
                <c:pt idx="11">
                  <c:v>42089</c:v>
                </c:pt>
                <c:pt idx="12">
                  <c:v>42082</c:v>
                </c:pt>
                <c:pt idx="13">
                  <c:v>42075</c:v>
                </c:pt>
                <c:pt idx="14">
                  <c:v>42068</c:v>
                </c:pt>
                <c:pt idx="15">
                  <c:v>42061</c:v>
                </c:pt>
                <c:pt idx="16">
                  <c:v>42054</c:v>
                </c:pt>
                <c:pt idx="17">
                  <c:v>42047</c:v>
                </c:pt>
                <c:pt idx="18">
                  <c:v>42040</c:v>
                </c:pt>
                <c:pt idx="19">
                  <c:v>42033</c:v>
                </c:pt>
                <c:pt idx="20">
                  <c:v>42026</c:v>
                </c:pt>
                <c:pt idx="21">
                  <c:v>42019</c:v>
                </c:pt>
                <c:pt idx="22">
                  <c:v>42012</c:v>
                </c:pt>
                <c:pt idx="23">
                  <c:v>42004</c:v>
                </c:pt>
                <c:pt idx="24">
                  <c:v>41997</c:v>
                </c:pt>
                <c:pt idx="25">
                  <c:v>41991</c:v>
                </c:pt>
                <c:pt idx="26">
                  <c:v>41984</c:v>
                </c:pt>
                <c:pt idx="27">
                  <c:v>41977</c:v>
                </c:pt>
                <c:pt idx="28">
                  <c:v>41969</c:v>
                </c:pt>
                <c:pt idx="29">
                  <c:v>41963</c:v>
                </c:pt>
                <c:pt idx="30">
                  <c:v>41956</c:v>
                </c:pt>
                <c:pt idx="31">
                  <c:v>41949</c:v>
                </c:pt>
                <c:pt idx="32">
                  <c:v>41942</c:v>
                </c:pt>
                <c:pt idx="33">
                  <c:v>41935</c:v>
                </c:pt>
                <c:pt idx="34">
                  <c:v>41928</c:v>
                </c:pt>
                <c:pt idx="35">
                  <c:v>41921</c:v>
                </c:pt>
                <c:pt idx="36">
                  <c:v>41914</c:v>
                </c:pt>
                <c:pt idx="37">
                  <c:v>41907</c:v>
                </c:pt>
                <c:pt idx="38">
                  <c:v>41900</c:v>
                </c:pt>
                <c:pt idx="39">
                  <c:v>41893</c:v>
                </c:pt>
                <c:pt idx="40">
                  <c:v>41886</c:v>
                </c:pt>
                <c:pt idx="41">
                  <c:v>41879</c:v>
                </c:pt>
                <c:pt idx="42">
                  <c:v>41872</c:v>
                </c:pt>
                <c:pt idx="43">
                  <c:v>41865</c:v>
                </c:pt>
                <c:pt idx="44">
                  <c:v>41858</c:v>
                </c:pt>
                <c:pt idx="45">
                  <c:v>41851</c:v>
                </c:pt>
                <c:pt idx="46">
                  <c:v>41844</c:v>
                </c:pt>
                <c:pt idx="47">
                  <c:v>41837</c:v>
                </c:pt>
                <c:pt idx="48">
                  <c:v>41830</c:v>
                </c:pt>
                <c:pt idx="49">
                  <c:v>41823</c:v>
                </c:pt>
                <c:pt idx="50">
                  <c:v>41816</c:v>
                </c:pt>
                <c:pt idx="51">
                  <c:v>41809</c:v>
                </c:pt>
                <c:pt idx="52">
                  <c:v>41802</c:v>
                </c:pt>
                <c:pt idx="53">
                  <c:v>41795</c:v>
                </c:pt>
                <c:pt idx="54">
                  <c:v>41788</c:v>
                </c:pt>
                <c:pt idx="55">
                  <c:v>41781</c:v>
                </c:pt>
                <c:pt idx="56">
                  <c:v>41774</c:v>
                </c:pt>
                <c:pt idx="57">
                  <c:v>41767</c:v>
                </c:pt>
                <c:pt idx="58">
                  <c:v>41760</c:v>
                </c:pt>
                <c:pt idx="59">
                  <c:v>41753</c:v>
                </c:pt>
                <c:pt idx="60">
                  <c:v>41746</c:v>
                </c:pt>
                <c:pt idx="61">
                  <c:v>41739</c:v>
                </c:pt>
                <c:pt idx="62">
                  <c:v>41732</c:v>
                </c:pt>
                <c:pt idx="63">
                  <c:v>41725</c:v>
                </c:pt>
                <c:pt idx="64">
                  <c:v>41718</c:v>
                </c:pt>
                <c:pt idx="65">
                  <c:v>41711</c:v>
                </c:pt>
                <c:pt idx="66">
                  <c:v>41704</c:v>
                </c:pt>
                <c:pt idx="67">
                  <c:v>41697</c:v>
                </c:pt>
                <c:pt idx="68">
                  <c:v>41690</c:v>
                </c:pt>
                <c:pt idx="69">
                  <c:v>41683</c:v>
                </c:pt>
                <c:pt idx="70">
                  <c:v>41676</c:v>
                </c:pt>
                <c:pt idx="71">
                  <c:v>41669</c:v>
                </c:pt>
                <c:pt idx="72">
                  <c:v>41662</c:v>
                </c:pt>
                <c:pt idx="73">
                  <c:v>41655</c:v>
                </c:pt>
                <c:pt idx="74">
                  <c:v>41648</c:v>
                </c:pt>
                <c:pt idx="75">
                  <c:v>41641</c:v>
                </c:pt>
                <c:pt idx="76">
                  <c:v>41634</c:v>
                </c:pt>
                <c:pt idx="77">
                  <c:v>41627</c:v>
                </c:pt>
                <c:pt idx="78">
                  <c:v>41620</c:v>
                </c:pt>
                <c:pt idx="79">
                  <c:v>41613</c:v>
                </c:pt>
                <c:pt idx="80">
                  <c:v>41605</c:v>
                </c:pt>
                <c:pt idx="81">
                  <c:v>41599</c:v>
                </c:pt>
                <c:pt idx="82">
                  <c:v>41592</c:v>
                </c:pt>
                <c:pt idx="83">
                  <c:v>41585</c:v>
                </c:pt>
                <c:pt idx="84">
                  <c:v>41578</c:v>
                </c:pt>
                <c:pt idx="85">
                  <c:v>41571</c:v>
                </c:pt>
                <c:pt idx="86">
                  <c:v>41564</c:v>
                </c:pt>
                <c:pt idx="87">
                  <c:v>41557</c:v>
                </c:pt>
                <c:pt idx="88">
                  <c:v>41550</c:v>
                </c:pt>
                <c:pt idx="89">
                  <c:v>41543</c:v>
                </c:pt>
                <c:pt idx="90">
                  <c:v>41536</c:v>
                </c:pt>
                <c:pt idx="91">
                  <c:v>41529</c:v>
                </c:pt>
                <c:pt idx="92">
                  <c:v>41522</c:v>
                </c:pt>
                <c:pt idx="93">
                  <c:v>41515</c:v>
                </c:pt>
                <c:pt idx="94">
                  <c:v>41508</c:v>
                </c:pt>
                <c:pt idx="95">
                  <c:v>41501</c:v>
                </c:pt>
                <c:pt idx="96">
                  <c:v>41494</c:v>
                </c:pt>
                <c:pt idx="97">
                  <c:v>41487</c:v>
                </c:pt>
                <c:pt idx="98">
                  <c:v>41480</c:v>
                </c:pt>
                <c:pt idx="99">
                  <c:v>41473</c:v>
                </c:pt>
                <c:pt idx="100">
                  <c:v>41466</c:v>
                </c:pt>
                <c:pt idx="101">
                  <c:v>41458</c:v>
                </c:pt>
                <c:pt idx="102">
                  <c:v>41452</c:v>
                </c:pt>
                <c:pt idx="103">
                  <c:v>41445</c:v>
                </c:pt>
                <c:pt idx="104">
                  <c:v>41438</c:v>
                </c:pt>
                <c:pt idx="105">
                  <c:v>41431</c:v>
                </c:pt>
                <c:pt idx="106">
                  <c:v>41424</c:v>
                </c:pt>
                <c:pt idx="107">
                  <c:v>41417</c:v>
                </c:pt>
                <c:pt idx="108">
                  <c:v>41410</c:v>
                </c:pt>
                <c:pt idx="109">
                  <c:v>41403</c:v>
                </c:pt>
                <c:pt idx="110">
                  <c:v>41396</c:v>
                </c:pt>
                <c:pt idx="111">
                  <c:v>41389</c:v>
                </c:pt>
                <c:pt idx="112">
                  <c:v>41382</c:v>
                </c:pt>
                <c:pt idx="113">
                  <c:v>41375</c:v>
                </c:pt>
                <c:pt idx="114">
                  <c:v>41368</c:v>
                </c:pt>
                <c:pt idx="115">
                  <c:v>41361</c:v>
                </c:pt>
                <c:pt idx="116">
                  <c:v>41354</c:v>
                </c:pt>
                <c:pt idx="117">
                  <c:v>41347</c:v>
                </c:pt>
                <c:pt idx="118">
                  <c:v>41340</c:v>
                </c:pt>
                <c:pt idx="119">
                  <c:v>41333</c:v>
                </c:pt>
                <c:pt idx="120">
                  <c:v>41326</c:v>
                </c:pt>
                <c:pt idx="121">
                  <c:v>41319</c:v>
                </c:pt>
                <c:pt idx="122">
                  <c:v>41312</c:v>
                </c:pt>
                <c:pt idx="123">
                  <c:v>41305</c:v>
                </c:pt>
                <c:pt idx="124">
                  <c:v>41298</c:v>
                </c:pt>
                <c:pt idx="125">
                  <c:v>41291</c:v>
                </c:pt>
                <c:pt idx="126">
                  <c:v>41284</c:v>
                </c:pt>
                <c:pt idx="127">
                  <c:v>41277</c:v>
                </c:pt>
                <c:pt idx="128">
                  <c:v>41270</c:v>
                </c:pt>
                <c:pt idx="129">
                  <c:v>41263</c:v>
                </c:pt>
                <c:pt idx="130">
                  <c:v>41256</c:v>
                </c:pt>
                <c:pt idx="131">
                  <c:v>41249</c:v>
                </c:pt>
                <c:pt idx="132">
                  <c:v>41242</c:v>
                </c:pt>
                <c:pt idx="133">
                  <c:v>41234</c:v>
                </c:pt>
                <c:pt idx="134">
                  <c:v>41228</c:v>
                </c:pt>
                <c:pt idx="135">
                  <c:v>41221</c:v>
                </c:pt>
                <c:pt idx="136">
                  <c:v>41214</c:v>
                </c:pt>
                <c:pt idx="137">
                  <c:v>41207</c:v>
                </c:pt>
                <c:pt idx="138">
                  <c:v>41200</c:v>
                </c:pt>
                <c:pt idx="139">
                  <c:v>41193</c:v>
                </c:pt>
                <c:pt idx="140">
                  <c:v>41186</c:v>
                </c:pt>
                <c:pt idx="141">
                  <c:v>41179</c:v>
                </c:pt>
                <c:pt idx="142">
                  <c:v>41172</c:v>
                </c:pt>
                <c:pt idx="143">
                  <c:v>41165</c:v>
                </c:pt>
                <c:pt idx="144">
                  <c:v>41158</c:v>
                </c:pt>
                <c:pt idx="145">
                  <c:v>41151</c:v>
                </c:pt>
                <c:pt idx="146">
                  <c:v>41144</c:v>
                </c:pt>
                <c:pt idx="147">
                  <c:v>41137</c:v>
                </c:pt>
                <c:pt idx="148">
                  <c:v>41130</c:v>
                </c:pt>
                <c:pt idx="149">
                  <c:v>41123</c:v>
                </c:pt>
                <c:pt idx="150">
                  <c:v>41116</c:v>
                </c:pt>
                <c:pt idx="151">
                  <c:v>41109</c:v>
                </c:pt>
                <c:pt idx="152">
                  <c:v>41102</c:v>
                </c:pt>
                <c:pt idx="153">
                  <c:v>41095</c:v>
                </c:pt>
                <c:pt idx="154">
                  <c:v>41088</c:v>
                </c:pt>
                <c:pt idx="155">
                  <c:v>41081</c:v>
                </c:pt>
                <c:pt idx="156">
                  <c:v>41074</c:v>
                </c:pt>
                <c:pt idx="157">
                  <c:v>41067</c:v>
                </c:pt>
                <c:pt idx="158">
                  <c:v>41060</c:v>
                </c:pt>
                <c:pt idx="159">
                  <c:v>41053</c:v>
                </c:pt>
                <c:pt idx="160">
                  <c:v>41046</c:v>
                </c:pt>
                <c:pt idx="161">
                  <c:v>41039</c:v>
                </c:pt>
                <c:pt idx="162">
                  <c:v>41032</c:v>
                </c:pt>
                <c:pt idx="163">
                  <c:v>41025</c:v>
                </c:pt>
                <c:pt idx="164">
                  <c:v>41018</c:v>
                </c:pt>
                <c:pt idx="165">
                  <c:v>41011</c:v>
                </c:pt>
                <c:pt idx="166">
                  <c:v>41004</c:v>
                </c:pt>
                <c:pt idx="167">
                  <c:v>40997</c:v>
                </c:pt>
                <c:pt idx="168">
                  <c:v>40990</c:v>
                </c:pt>
                <c:pt idx="169">
                  <c:v>40983</c:v>
                </c:pt>
                <c:pt idx="170">
                  <c:v>40976</c:v>
                </c:pt>
                <c:pt idx="171">
                  <c:v>40969</c:v>
                </c:pt>
                <c:pt idx="172">
                  <c:v>40962</c:v>
                </c:pt>
                <c:pt idx="173">
                  <c:v>40955</c:v>
                </c:pt>
                <c:pt idx="174">
                  <c:v>40948</c:v>
                </c:pt>
                <c:pt idx="175">
                  <c:v>40941</c:v>
                </c:pt>
                <c:pt idx="176">
                  <c:v>40934</c:v>
                </c:pt>
                <c:pt idx="177">
                  <c:v>40927</c:v>
                </c:pt>
                <c:pt idx="178">
                  <c:v>40920</c:v>
                </c:pt>
                <c:pt idx="179">
                  <c:v>40913</c:v>
                </c:pt>
                <c:pt idx="180">
                  <c:v>40906</c:v>
                </c:pt>
                <c:pt idx="181">
                  <c:v>40899</c:v>
                </c:pt>
                <c:pt idx="182">
                  <c:v>40892</c:v>
                </c:pt>
                <c:pt idx="183">
                  <c:v>40885</c:v>
                </c:pt>
                <c:pt idx="184">
                  <c:v>40878</c:v>
                </c:pt>
                <c:pt idx="185">
                  <c:v>40870</c:v>
                </c:pt>
                <c:pt idx="186">
                  <c:v>40864</c:v>
                </c:pt>
                <c:pt idx="187">
                  <c:v>40857</c:v>
                </c:pt>
                <c:pt idx="188">
                  <c:v>40850</c:v>
                </c:pt>
                <c:pt idx="189">
                  <c:v>40843</c:v>
                </c:pt>
                <c:pt idx="190">
                  <c:v>40836</c:v>
                </c:pt>
                <c:pt idx="191">
                  <c:v>40829</c:v>
                </c:pt>
                <c:pt idx="192">
                  <c:v>40822</c:v>
                </c:pt>
                <c:pt idx="193">
                  <c:v>40815</c:v>
                </c:pt>
                <c:pt idx="194">
                  <c:v>40808</c:v>
                </c:pt>
                <c:pt idx="195">
                  <c:v>40801</c:v>
                </c:pt>
                <c:pt idx="196">
                  <c:v>40794</c:v>
                </c:pt>
                <c:pt idx="197">
                  <c:v>40787</c:v>
                </c:pt>
                <c:pt idx="198">
                  <c:v>40780</c:v>
                </c:pt>
                <c:pt idx="199">
                  <c:v>40773</c:v>
                </c:pt>
                <c:pt idx="200">
                  <c:v>40766</c:v>
                </c:pt>
                <c:pt idx="201">
                  <c:v>40759</c:v>
                </c:pt>
                <c:pt idx="202">
                  <c:v>40752</c:v>
                </c:pt>
                <c:pt idx="203">
                  <c:v>40745</c:v>
                </c:pt>
                <c:pt idx="204">
                  <c:v>40738</c:v>
                </c:pt>
                <c:pt idx="205">
                  <c:v>40731</c:v>
                </c:pt>
                <c:pt idx="206">
                  <c:v>40724</c:v>
                </c:pt>
                <c:pt idx="207">
                  <c:v>40717</c:v>
                </c:pt>
                <c:pt idx="208">
                  <c:v>40710</c:v>
                </c:pt>
                <c:pt idx="209">
                  <c:v>40703</c:v>
                </c:pt>
                <c:pt idx="210">
                  <c:v>40696</c:v>
                </c:pt>
                <c:pt idx="211">
                  <c:v>40689</c:v>
                </c:pt>
                <c:pt idx="212">
                  <c:v>40682</c:v>
                </c:pt>
                <c:pt idx="213">
                  <c:v>40675</c:v>
                </c:pt>
                <c:pt idx="214">
                  <c:v>40668</c:v>
                </c:pt>
                <c:pt idx="215">
                  <c:v>40661</c:v>
                </c:pt>
                <c:pt idx="216">
                  <c:v>40654</c:v>
                </c:pt>
                <c:pt idx="217">
                  <c:v>40647</c:v>
                </c:pt>
                <c:pt idx="218">
                  <c:v>40640</c:v>
                </c:pt>
                <c:pt idx="219">
                  <c:v>40633</c:v>
                </c:pt>
                <c:pt idx="220">
                  <c:v>40626</c:v>
                </c:pt>
                <c:pt idx="221">
                  <c:v>40619</c:v>
                </c:pt>
                <c:pt idx="222">
                  <c:v>40612</c:v>
                </c:pt>
                <c:pt idx="223">
                  <c:v>40605</c:v>
                </c:pt>
                <c:pt idx="224">
                  <c:v>40598</c:v>
                </c:pt>
                <c:pt idx="225">
                  <c:v>40591</c:v>
                </c:pt>
                <c:pt idx="226">
                  <c:v>40584</c:v>
                </c:pt>
                <c:pt idx="227">
                  <c:v>40577</c:v>
                </c:pt>
                <c:pt idx="228">
                  <c:v>40570</c:v>
                </c:pt>
                <c:pt idx="229">
                  <c:v>40563</c:v>
                </c:pt>
                <c:pt idx="230">
                  <c:v>40556</c:v>
                </c:pt>
                <c:pt idx="231">
                  <c:v>40549</c:v>
                </c:pt>
              </c:numCache>
            </c:numRef>
          </c:cat>
          <c:val>
            <c:numRef>
              <c:f>Query!$E$3:$E$234</c:f>
              <c:numCache>
                <c:formatCode>0.00%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3.9431628666260904E-3</c:v>
                </c:pt>
                <c:pt idx="8">
                  <c:v>0</c:v>
                </c:pt>
                <c:pt idx="9">
                  <c:v>3.87908393633439E-3</c:v>
                </c:pt>
                <c:pt idx="10">
                  <c:v>0</c:v>
                </c:pt>
                <c:pt idx="11">
                  <c:v>9.60298428502188E-4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0.17933240004933601</c:v>
                </c:pt>
                <c:pt idx="19">
                  <c:v>0</c:v>
                </c:pt>
                <c:pt idx="20">
                  <c:v>0.17811212012226099</c:v>
                </c:pt>
                <c:pt idx="21">
                  <c:v>0.177765501913389</c:v>
                </c:pt>
                <c:pt idx="22">
                  <c:v>0.14268475210645201</c:v>
                </c:pt>
                <c:pt idx="23">
                  <c:v>0</c:v>
                </c:pt>
                <c:pt idx="24">
                  <c:v>0</c:v>
                </c:pt>
                <c:pt idx="25">
                  <c:v>0.127103043508559</c:v>
                </c:pt>
                <c:pt idx="26">
                  <c:v>0</c:v>
                </c:pt>
                <c:pt idx="27">
                  <c:v>0.106230521131833</c:v>
                </c:pt>
                <c:pt idx="28">
                  <c:v>1.9601498700341099E-3</c:v>
                </c:pt>
                <c:pt idx="29">
                  <c:v>1.9465534524820899E-3</c:v>
                </c:pt>
                <c:pt idx="30">
                  <c:v>1.4902494177175701E-3</c:v>
                </c:pt>
                <c:pt idx="31">
                  <c:v>0</c:v>
                </c:pt>
                <c:pt idx="32">
                  <c:v>0</c:v>
                </c:pt>
                <c:pt idx="33">
                  <c:v>0.103644934949105</c:v>
                </c:pt>
                <c:pt idx="34">
                  <c:v>9.0356790924596503E-2</c:v>
                </c:pt>
                <c:pt idx="35">
                  <c:v>1.00775509847578E-3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5.44200843584444E-2</c:v>
                </c:pt>
                <c:pt idx="43">
                  <c:v>5.9130346511517896E-4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4.9242422986382497E-2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3.2896088379140397E-2</c:v>
                </c:pt>
                <c:pt idx="54">
                  <c:v>2.8641136811507002E-2</c:v>
                </c:pt>
                <c:pt idx="55">
                  <c:v>1.7600292816905099E-2</c:v>
                </c:pt>
                <c:pt idx="56">
                  <c:v>1.3390108612719401E-2</c:v>
                </c:pt>
                <c:pt idx="57">
                  <c:v>1.33698656511534E-2</c:v>
                </c:pt>
                <c:pt idx="58">
                  <c:v>0</c:v>
                </c:pt>
                <c:pt idx="59">
                  <c:v>0</c:v>
                </c:pt>
                <c:pt idx="60">
                  <c:v>1.3569924293908599E-3</c:v>
                </c:pt>
                <c:pt idx="61">
                  <c:v>3.2608018628066501E-4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1.56502134325395E-3</c:v>
                </c:pt>
                <c:pt idx="71">
                  <c:v>9.04155248858617E-4</c:v>
                </c:pt>
                <c:pt idx="72">
                  <c:v>4.3538471617421198E-4</c:v>
                </c:pt>
                <c:pt idx="73">
                  <c:v>4.3244857845843099E-4</c:v>
                </c:pt>
                <c:pt idx="74">
                  <c:v>1.04165660314928E-4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6.1587902327108696E-3</c:v>
                </c:pt>
                <c:pt idx="85">
                  <c:v>4.7022607373106203E-3</c:v>
                </c:pt>
                <c:pt idx="86">
                  <c:v>0</c:v>
                </c:pt>
                <c:pt idx="87">
                  <c:v>0</c:v>
                </c:pt>
                <c:pt idx="88">
                  <c:v>1.7927762872913E-3</c:v>
                </c:pt>
                <c:pt idx="89">
                  <c:v>8.9334697556313401E-4</c:v>
                </c:pt>
                <c:pt idx="90">
                  <c:v>1.2070812662829E-4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9.3714860500272602E-3</c:v>
                </c:pt>
                <c:pt idx="111">
                  <c:v>0</c:v>
                </c:pt>
                <c:pt idx="112">
                  <c:v>5.4959854023419203E-3</c:v>
                </c:pt>
                <c:pt idx="113">
                  <c:v>3.9681299102296798E-3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7.62863846133132E-4</c:v>
                </c:pt>
                <c:pt idx="119">
                  <c:v>5.5309707563809801E-4</c:v>
                </c:pt>
                <c:pt idx="120">
                  <c:v>0</c:v>
                </c:pt>
                <c:pt idx="121">
                  <c:v>5.4993651942507197E-4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1.92397129365898E-3</c:v>
                </c:pt>
                <c:pt idx="131">
                  <c:v>0</c:v>
                </c:pt>
                <c:pt idx="132">
                  <c:v>0</c:v>
                </c:pt>
                <c:pt idx="133">
                  <c:v>0.88870182147749199</c:v>
                </c:pt>
                <c:pt idx="134">
                  <c:v>3.6805392889150699E-3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0.89337068210282</c:v>
                </c:pt>
                <c:pt idx="141">
                  <c:v>0.91307424668051995</c:v>
                </c:pt>
                <c:pt idx="142">
                  <c:v>0.87391634150534703</c:v>
                </c:pt>
                <c:pt idx="143">
                  <c:v>3.4287960012666001E-3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0.89854811201564799</c:v>
                </c:pt>
                <c:pt idx="151">
                  <c:v>0.88557582733423201</c:v>
                </c:pt>
                <c:pt idx="152">
                  <c:v>0.88306588959651799</c:v>
                </c:pt>
                <c:pt idx="153">
                  <c:v>0.85480310148891403</c:v>
                </c:pt>
                <c:pt idx="154">
                  <c:v>0.86355719580735102</c:v>
                </c:pt>
                <c:pt idx="155">
                  <c:v>0.86355719580735102</c:v>
                </c:pt>
                <c:pt idx="156">
                  <c:v>0</c:v>
                </c:pt>
                <c:pt idx="157">
                  <c:v>0.86123151402869003</c:v>
                </c:pt>
                <c:pt idx="158">
                  <c:v>0.83309495413351498</c:v>
                </c:pt>
                <c:pt idx="159">
                  <c:v>0</c:v>
                </c:pt>
                <c:pt idx="160">
                  <c:v>0.831927164274886</c:v>
                </c:pt>
                <c:pt idx="161">
                  <c:v>0.80754152596055995</c:v>
                </c:pt>
                <c:pt idx="162">
                  <c:v>0.80415566862182497</c:v>
                </c:pt>
                <c:pt idx="163">
                  <c:v>0.80265108338267499</c:v>
                </c:pt>
                <c:pt idx="164">
                  <c:v>0</c:v>
                </c:pt>
                <c:pt idx="165">
                  <c:v>0.80265108338267499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7.6028475141971797E-4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0.81663205917875104</c:v>
                </c:pt>
                <c:pt idx="179">
                  <c:v>0</c:v>
                </c:pt>
                <c:pt idx="180">
                  <c:v>0</c:v>
                </c:pt>
                <c:pt idx="181">
                  <c:v>0.82559057548597004</c:v>
                </c:pt>
                <c:pt idx="182">
                  <c:v>0.79669049657242397</c:v>
                </c:pt>
                <c:pt idx="183">
                  <c:v>6.7786594921879302E-4</c:v>
                </c:pt>
                <c:pt idx="184">
                  <c:v>0</c:v>
                </c:pt>
                <c:pt idx="185">
                  <c:v>8.8101230968728496E-4</c:v>
                </c:pt>
                <c:pt idx="186">
                  <c:v>0</c:v>
                </c:pt>
                <c:pt idx="187">
                  <c:v>8.7950076846855297E-4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0.82194247765297301</c:v>
                </c:pt>
                <c:pt idx="193">
                  <c:v>0.83561176946303795</c:v>
                </c:pt>
                <c:pt idx="194">
                  <c:v>0</c:v>
                </c:pt>
                <c:pt idx="195">
                  <c:v>0.78833832359916201</c:v>
                </c:pt>
                <c:pt idx="196">
                  <c:v>0.786160649616369</c:v>
                </c:pt>
                <c:pt idx="197">
                  <c:v>0</c:v>
                </c:pt>
                <c:pt idx="198">
                  <c:v>0</c:v>
                </c:pt>
                <c:pt idx="199">
                  <c:v>0.76977670194978398</c:v>
                </c:pt>
                <c:pt idx="200">
                  <c:v>3.6312412114141997E-2</c:v>
                </c:pt>
                <c:pt idx="201">
                  <c:v>1.93393301571353E-2</c:v>
                </c:pt>
                <c:pt idx="202">
                  <c:v>0</c:v>
                </c:pt>
                <c:pt idx="203">
                  <c:v>0</c:v>
                </c:pt>
                <c:pt idx="204">
                  <c:v>6.2583851957797503E-4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1.05889699277147E-2</c:v>
                </c:pt>
                <c:pt idx="210">
                  <c:v>7.3340957383171597E-3</c:v>
                </c:pt>
                <c:pt idx="211">
                  <c:v>4.6547514757033599E-3</c:v>
                </c:pt>
                <c:pt idx="212">
                  <c:v>4.6431452038205798E-3</c:v>
                </c:pt>
                <c:pt idx="213">
                  <c:v>4.5959167751793003E-3</c:v>
                </c:pt>
                <c:pt idx="214">
                  <c:v>1.82362980081562E-3</c:v>
                </c:pt>
                <c:pt idx="215">
                  <c:v>3.6290053539469699E-4</c:v>
                </c:pt>
                <c:pt idx="216">
                  <c:v>3.6012387911354998E-4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4.9225242343752603E-4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5.80030998251819E-5</c:v>
                </c:pt>
                <c:pt idx="2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689536"/>
        <c:axId val="414696960"/>
      </c:barChart>
      <c:lineChart>
        <c:grouping val="standard"/>
        <c:varyColors val="0"/>
        <c:ser>
          <c:idx val="0"/>
          <c:order val="0"/>
          <c:tx>
            <c:v>Pool Level</c:v>
          </c:tx>
          <c:spPr>
            <a:ln w="19050"/>
          </c:spPr>
          <c:marker>
            <c:symbol val="none"/>
          </c:marker>
          <c:cat>
            <c:numRef>
              <c:f>Query!$B$3:$B$234</c:f>
              <c:numCache>
                <c:formatCode>m/d/yyyy</c:formatCode>
                <c:ptCount val="232"/>
                <c:pt idx="0">
                  <c:v>42166</c:v>
                </c:pt>
                <c:pt idx="1">
                  <c:v>42159</c:v>
                </c:pt>
                <c:pt idx="2">
                  <c:v>42152</c:v>
                </c:pt>
                <c:pt idx="3">
                  <c:v>42145</c:v>
                </c:pt>
                <c:pt idx="4">
                  <c:v>42138</c:v>
                </c:pt>
                <c:pt idx="5">
                  <c:v>42131</c:v>
                </c:pt>
                <c:pt idx="6">
                  <c:v>42124</c:v>
                </c:pt>
                <c:pt idx="7">
                  <c:v>42117</c:v>
                </c:pt>
                <c:pt idx="8">
                  <c:v>42110</c:v>
                </c:pt>
                <c:pt idx="9">
                  <c:v>42103</c:v>
                </c:pt>
                <c:pt idx="10">
                  <c:v>42096</c:v>
                </c:pt>
                <c:pt idx="11">
                  <c:v>42089</c:v>
                </c:pt>
                <c:pt idx="12">
                  <c:v>42082</c:v>
                </c:pt>
                <c:pt idx="13">
                  <c:v>42075</c:v>
                </c:pt>
                <c:pt idx="14">
                  <c:v>42068</c:v>
                </c:pt>
                <c:pt idx="15">
                  <c:v>42061</c:v>
                </c:pt>
                <c:pt idx="16">
                  <c:v>42054</c:v>
                </c:pt>
                <c:pt idx="17">
                  <c:v>42047</c:v>
                </c:pt>
                <c:pt idx="18">
                  <c:v>42040</c:v>
                </c:pt>
                <c:pt idx="19">
                  <c:v>42033</c:v>
                </c:pt>
                <c:pt idx="20">
                  <c:v>42026</c:v>
                </c:pt>
                <c:pt idx="21">
                  <c:v>42019</c:v>
                </c:pt>
                <c:pt idx="22">
                  <c:v>42012</c:v>
                </c:pt>
                <c:pt idx="23">
                  <c:v>42004</c:v>
                </c:pt>
                <c:pt idx="24">
                  <c:v>41997</c:v>
                </c:pt>
                <c:pt idx="25">
                  <c:v>41991</c:v>
                </c:pt>
                <c:pt idx="26">
                  <c:v>41984</c:v>
                </c:pt>
                <c:pt idx="27">
                  <c:v>41977</c:v>
                </c:pt>
                <c:pt idx="28">
                  <c:v>41969</c:v>
                </c:pt>
                <c:pt idx="29">
                  <c:v>41963</c:v>
                </c:pt>
                <c:pt idx="30">
                  <c:v>41956</c:v>
                </c:pt>
                <c:pt idx="31">
                  <c:v>41949</c:v>
                </c:pt>
                <c:pt idx="32">
                  <c:v>41942</c:v>
                </c:pt>
                <c:pt idx="33">
                  <c:v>41935</c:v>
                </c:pt>
                <c:pt idx="34">
                  <c:v>41928</c:v>
                </c:pt>
                <c:pt idx="35">
                  <c:v>41921</c:v>
                </c:pt>
                <c:pt idx="36">
                  <c:v>41914</c:v>
                </c:pt>
                <c:pt idx="37">
                  <c:v>41907</c:v>
                </c:pt>
                <c:pt idx="38">
                  <c:v>41900</c:v>
                </c:pt>
                <c:pt idx="39">
                  <c:v>41893</c:v>
                </c:pt>
                <c:pt idx="40">
                  <c:v>41886</c:v>
                </c:pt>
                <c:pt idx="41">
                  <c:v>41879</c:v>
                </c:pt>
                <c:pt idx="42">
                  <c:v>41872</c:v>
                </c:pt>
                <c:pt idx="43">
                  <c:v>41865</c:v>
                </c:pt>
                <c:pt idx="44">
                  <c:v>41858</c:v>
                </c:pt>
                <c:pt idx="45">
                  <c:v>41851</c:v>
                </c:pt>
                <c:pt idx="46">
                  <c:v>41844</c:v>
                </c:pt>
                <c:pt idx="47">
                  <c:v>41837</c:v>
                </c:pt>
                <c:pt idx="48">
                  <c:v>41830</c:v>
                </c:pt>
                <c:pt idx="49">
                  <c:v>41823</c:v>
                </c:pt>
                <c:pt idx="50">
                  <c:v>41816</c:v>
                </c:pt>
                <c:pt idx="51">
                  <c:v>41809</c:v>
                </c:pt>
                <c:pt idx="52">
                  <c:v>41802</c:v>
                </c:pt>
                <c:pt idx="53">
                  <c:v>41795</c:v>
                </c:pt>
                <c:pt idx="54">
                  <c:v>41788</c:v>
                </c:pt>
                <c:pt idx="55">
                  <c:v>41781</c:v>
                </c:pt>
                <c:pt idx="56">
                  <c:v>41774</c:v>
                </c:pt>
                <c:pt idx="57">
                  <c:v>41767</c:v>
                </c:pt>
                <c:pt idx="58">
                  <c:v>41760</c:v>
                </c:pt>
                <c:pt idx="59">
                  <c:v>41753</c:v>
                </c:pt>
                <c:pt idx="60">
                  <c:v>41746</c:v>
                </c:pt>
                <c:pt idx="61">
                  <c:v>41739</c:v>
                </c:pt>
                <c:pt idx="62">
                  <c:v>41732</c:v>
                </c:pt>
                <c:pt idx="63">
                  <c:v>41725</c:v>
                </c:pt>
                <c:pt idx="64">
                  <c:v>41718</c:v>
                </c:pt>
                <c:pt idx="65">
                  <c:v>41711</c:v>
                </c:pt>
                <c:pt idx="66">
                  <c:v>41704</c:v>
                </c:pt>
                <c:pt idx="67">
                  <c:v>41697</c:v>
                </c:pt>
                <c:pt idx="68">
                  <c:v>41690</c:v>
                </c:pt>
                <c:pt idx="69">
                  <c:v>41683</c:v>
                </c:pt>
                <c:pt idx="70">
                  <c:v>41676</c:v>
                </c:pt>
                <c:pt idx="71">
                  <c:v>41669</c:v>
                </c:pt>
                <c:pt idx="72">
                  <c:v>41662</c:v>
                </c:pt>
                <c:pt idx="73">
                  <c:v>41655</c:v>
                </c:pt>
                <c:pt idx="74">
                  <c:v>41648</c:v>
                </c:pt>
                <c:pt idx="75">
                  <c:v>41641</c:v>
                </c:pt>
                <c:pt idx="76">
                  <c:v>41634</c:v>
                </c:pt>
                <c:pt idx="77">
                  <c:v>41627</c:v>
                </c:pt>
                <c:pt idx="78">
                  <c:v>41620</c:v>
                </c:pt>
                <c:pt idx="79">
                  <c:v>41613</c:v>
                </c:pt>
                <c:pt idx="80">
                  <c:v>41605</c:v>
                </c:pt>
                <c:pt idx="81">
                  <c:v>41599</c:v>
                </c:pt>
                <c:pt idx="82">
                  <c:v>41592</c:v>
                </c:pt>
                <c:pt idx="83">
                  <c:v>41585</c:v>
                </c:pt>
                <c:pt idx="84">
                  <c:v>41578</c:v>
                </c:pt>
                <c:pt idx="85">
                  <c:v>41571</c:v>
                </c:pt>
                <c:pt idx="86">
                  <c:v>41564</c:v>
                </c:pt>
                <c:pt idx="87">
                  <c:v>41557</c:v>
                </c:pt>
                <c:pt idx="88">
                  <c:v>41550</c:v>
                </c:pt>
                <c:pt idx="89">
                  <c:v>41543</c:v>
                </c:pt>
                <c:pt idx="90">
                  <c:v>41536</c:v>
                </c:pt>
                <c:pt idx="91">
                  <c:v>41529</c:v>
                </c:pt>
                <c:pt idx="92">
                  <c:v>41522</c:v>
                </c:pt>
                <c:pt idx="93">
                  <c:v>41515</c:v>
                </c:pt>
                <c:pt idx="94">
                  <c:v>41508</c:v>
                </c:pt>
                <c:pt idx="95">
                  <c:v>41501</c:v>
                </c:pt>
                <c:pt idx="96">
                  <c:v>41494</c:v>
                </c:pt>
                <c:pt idx="97">
                  <c:v>41487</c:v>
                </c:pt>
                <c:pt idx="98">
                  <c:v>41480</c:v>
                </c:pt>
                <c:pt idx="99">
                  <c:v>41473</c:v>
                </c:pt>
                <c:pt idx="100">
                  <c:v>41466</c:v>
                </c:pt>
                <c:pt idx="101">
                  <c:v>41458</c:v>
                </c:pt>
                <c:pt idx="102">
                  <c:v>41452</c:v>
                </c:pt>
                <c:pt idx="103">
                  <c:v>41445</c:v>
                </c:pt>
                <c:pt idx="104">
                  <c:v>41438</c:v>
                </c:pt>
                <c:pt idx="105">
                  <c:v>41431</c:v>
                </c:pt>
                <c:pt idx="106">
                  <c:v>41424</c:v>
                </c:pt>
                <c:pt idx="107">
                  <c:v>41417</c:v>
                </c:pt>
                <c:pt idx="108">
                  <c:v>41410</c:v>
                </c:pt>
                <c:pt idx="109">
                  <c:v>41403</c:v>
                </c:pt>
                <c:pt idx="110">
                  <c:v>41396</c:v>
                </c:pt>
                <c:pt idx="111">
                  <c:v>41389</c:v>
                </c:pt>
                <c:pt idx="112">
                  <c:v>41382</c:v>
                </c:pt>
                <c:pt idx="113">
                  <c:v>41375</c:v>
                </c:pt>
                <c:pt idx="114">
                  <c:v>41368</c:v>
                </c:pt>
                <c:pt idx="115">
                  <c:v>41361</c:v>
                </c:pt>
                <c:pt idx="116">
                  <c:v>41354</c:v>
                </c:pt>
                <c:pt idx="117">
                  <c:v>41347</c:v>
                </c:pt>
                <c:pt idx="118">
                  <c:v>41340</c:v>
                </c:pt>
                <c:pt idx="119">
                  <c:v>41333</c:v>
                </c:pt>
                <c:pt idx="120">
                  <c:v>41326</c:v>
                </c:pt>
                <c:pt idx="121">
                  <c:v>41319</c:v>
                </c:pt>
                <c:pt idx="122">
                  <c:v>41312</c:v>
                </c:pt>
                <c:pt idx="123">
                  <c:v>41305</c:v>
                </c:pt>
                <c:pt idx="124">
                  <c:v>41298</c:v>
                </c:pt>
                <c:pt idx="125">
                  <c:v>41291</c:v>
                </c:pt>
                <c:pt idx="126">
                  <c:v>41284</c:v>
                </c:pt>
                <c:pt idx="127">
                  <c:v>41277</c:v>
                </c:pt>
                <c:pt idx="128">
                  <c:v>41270</c:v>
                </c:pt>
                <c:pt idx="129">
                  <c:v>41263</c:v>
                </c:pt>
                <c:pt idx="130">
                  <c:v>41256</c:v>
                </c:pt>
                <c:pt idx="131">
                  <c:v>41249</c:v>
                </c:pt>
                <c:pt idx="132">
                  <c:v>41242</c:v>
                </c:pt>
                <c:pt idx="133">
                  <c:v>41234</c:v>
                </c:pt>
                <c:pt idx="134">
                  <c:v>41228</c:v>
                </c:pt>
                <c:pt idx="135">
                  <c:v>41221</c:v>
                </c:pt>
                <c:pt idx="136">
                  <c:v>41214</c:v>
                </c:pt>
                <c:pt idx="137">
                  <c:v>41207</c:v>
                </c:pt>
                <c:pt idx="138">
                  <c:v>41200</c:v>
                </c:pt>
                <c:pt idx="139">
                  <c:v>41193</c:v>
                </c:pt>
                <c:pt idx="140">
                  <c:v>41186</c:v>
                </c:pt>
                <c:pt idx="141">
                  <c:v>41179</c:v>
                </c:pt>
                <c:pt idx="142">
                  <c:v>41172</c:v>
                </c:pt>
                <c:pt idx="143">
                  <c:v>41165</c:v>
                </c:pt>
                <c:pt idx="144">
                  <c:v>41158</c:v>
                </c:pt>
                <c:pt idx="145">
                  <c:v>41151</c:v>
                </c:pt>
                <c:pt idx="146">
                  <c:v>41144</c:v>
                </c:pt>
                <c:pt idx="147">
                  <c:v>41137</c:v>
                </c:pt>
                <c:pt idx="148">
                  <c:v>41130</c:v>
                </c:pt>
                <c:pt idx="149">
                  <c:v>41123</c:v>
                </c:pt>
                <c:pt idx="150">
                  <c:v>41116</c:v>
                </c:pt>
                <c:pt idx="151">
                  <c:v>41109</c:v>
                </c:pt>
                <c:pt idx="152">
                  <c:v>41102</c:v>
                </c:pt>
                <c:pt idx="153">
                  <c:v>41095</c:v>
                </c:pt>
                <c:pt idx="154">
                  <c:v>41088</c:v>
                </c:pt>
                <c:pt idx="155">
                  <c:v>41081</c:v>
                </c:pt>
                <c:pt idx="156">
                  <c:v>41074</c:v>
                </c:pt>
                <c:pt idx="157">
                  <c:v>41067</c:v>
                </c:pt>
                <c:pt idx="158">
                  <c:v>41060</c:v>
                </c:pt>
                <c:pt idx="159">
                  <c:v>41053</c:v>
                </c:pt>
                <c:pt idx="160">
                  <c:v>41046</c:v>
                </c:pt>
                <c:pt idx="161">
                  <c:v>41039</c:v>
                </c:pt>
                <c:pt idx="162">
                  <c:v>41032</c:v>
                </c:pt>
                <c:pt idx="163">
                  <c:v>41025</c:v>
                </c:pt>
                <c:pt idx="164">
                  <c:v>41018</c:v>
                </c:pt>
                <c:pt idx="165">
                  <c:v>41011</c:v>
                </c:pt>
                <c:pt idx="166">
                  <c:v>41004</c:v>
                </c:pt>
                <c:pt idx="167">
                  <c:v>40997</c:v>
                </c:pt>
                <c:pt idx="168">
                  <c:v>40990</c:v>
                </c:pt>
                <c:pt idx="169">
                  <c:v>40983</c:v>
                </c:pt>
                <c:pt idx="170">
                  <c:v>40976</c:v>
                </c:pt>
                <c:pt idx="171">
                  <c:v>40969</c:v>
                </c:pt>
                <c:pt idx="172">
                  <c:v>40962</c:v>
                </c:pt>
                <c:pt idx="173">
                  <c:v>40955</c:v>
                </c:pt>
                <c:pt idx="174">
                  <c:v>40948</c:v>
                </c:pt>
                <c:pt idx="175">
                  <c:v>40941</c:v>
                </c:pt>
                <c:pt idx="176">
                  <c:v>40934</c:v>
                </c:pt>
                <c:pt idx="177">
                  <c:v>40927</c:v>
                </c:pt>
                <c:pt idx="178">
                  <c:v>40920</c:v>
                </c:pt>
                <c:pt idx="179">
                  <c:v>40913</c:v>
                </c:pt>
                <c:pt idx="180">
                  <c:v>40906</c:v>
                </c:pt>
                <c:pt idx="181">
                  <c:v>40899</c:v>
                </c:pt>
                <c:pt idx="182">
                  <c:v>40892</c:v>
                </c:pt>
                <c:pt idx="183">
                  <c:v>40885</c:v>
                </c:pt>
                <c:pt idx="184">
                  <c:v>40878</c:v>
                </c:pt>
                <c:pt idx="185">
                  <c:v>40870</c:v>
                </c:pt>
                <c:pt idx="186">
                  <c:v>40864</c:v>
                </c:pt>
                <c:pt idx="187">
                  <c:v>40857</c:v>
                </c:pt>
                <c:pt idx="188">
                  <c:v>40850</c:v>
                </c:pt>
                <c:pt idx="189">
                  <c:v>40843</c:v>
                </c:pt>
                <c:pt idx="190">
                  <c:v>40836</c:v>
                </c:pt>
                <c:pt idx="191">
                  <c:v>40829</c:v>
                </c:pt>
                <c:pt idx="192">
                  <c:v>40822</c:v>
                </c:pt>
                <c:pt idx="193">
                  <c:v>40815</c:v>
                </c:pt>
                <c:pt idx="194">
                  <c:v>40808</c:v>
                </c:pt>
                <c:pt idx="195">
                  <c:v>40801</c:v>
                </c:pt>
                <c:pt idx="196">
                  <c:v>40794</c:v>
                </c:pt>
                <c:pt idx="197">
                  <c:v>40787</c:v>
                </c:pt>
                <c:pt idx="198">
                  <c:v>40780</c:v>
                </c:pt>
                <c:pt idx="199">
                  <c:v>40773</c:v>
                </c:pt>
                <c:pt idx="200">
                  <c:v>40766</c:v>
                </c:pt>
                <c:pt idx="201">
                  <c:v>40759</c:v>
                </c:pt>
                <c:pt idx="202">
                  <c:v>40752</c:v>
                </c:pt>
                <c:pt idx="203">
                  <c:v>40745</c:v>
                </c:pt>
                <c:pt idx="204">
                  <c:v>40738</c:v>
                </c:pt>
                <c:pt idx="205">
                  <c:v>40731</c:v>
                </c:pt>
                <c:pt idx="206">
                  <c:v>40724</c:v>
                </c:pt>
                <c:pt idx="207">
                  <c:v>40717</c:v>
                </c:pt>
                <c:pt idx="208">
                  <c:v>40710</c:v>
                </c:pt>
                <c:pt idx="209">
                  <c:v>40703</c:v>
                </c:pt>
                <c:pt idx="210">
                  <c:v>40696</c:v>
                </c:pt>
                <c:pt idx="211">
                  <c:v>40689</c:v>
                </c:pt>
                <c:pt idx="212">
                  <c:v>40682</c:v>
                </c:pt>
                <c:pt idx="213">
                  <c:v>40675</c:v>
                </c:pt>
                <c:pt idx="214">
                  <c:v>40668</c:v>
                </c:pt>
                <c:pt idx="215">
                  <c:v>40661</c:v>
                </c:pt>
                <c:pt idx="216">
                  <c:v>40654</c:v>
                </c:pt>
                <c:pt idx="217">
                  <c:v>40647</c:v>
                </c:pt>
                <c:pt idx="218">
                  <c:v>40640</c:v>
                </c:pt>
                <c:pt idx="219">
                  <c:v>40633</c:v>
                </c:pt>
                <c:pt idx="220">
                  <c:v>40626</c:v>
                </c:pt>
                <c:pt idx="221">
                  <c:v>40619</c:v>
                </c:pt>
                <c:pt idx="222">
                  <c:v>40612</c:v>
                </c:pt>
                <c:pt idx="223">
                  <c:v>40605</c:v>
                </c:pt>
                <c:pt idx="224">
                  <c:v>40598</c:v>
                </c:pt>
                <c:pt idx="225">
                  <c:v>40591</c:v>
                </c:pt>
                <c:pt idx="226">
                  <c:v>40584</c:v>
                </c:pt>
                <c:pt idx="227">
                  <c:v>40577</c:v>
                </c:pt>
                <c:pt idx="228">
                  <c:v>40570</c:v>
                </c:pt>
                <c:pt idx="229">
                  <c:v>40563</c:v>
                </c:pt>
                <c:pt idx="230">
                  <c:v>40556</c:v>
                </c:pt>
                <c:pt idx="231">
                  <c:v>40549</c:v>
                </c:pt>
              </c:numCache>
            </c:numRef>
          </c:cat>
          <c:val>
            <c:numRef>
              <c:f>Query!$C$3:$C$234</c:f>
              <c:numCache>
                <c:formatCode>0.00%</c:formatCode>
                <c:ptCount val="232"/>
                <c:pt idx="0">
                  <c:v>0.45634727397891434</c:v>
                </c:pt>
                <c:pt idx="1">
                  <c:v>0.5434918954980853</c:v>
                </c:pt>
                <c:pt idx="2">
                  <c:v>0.54951676769042945</c:v>
                </c:pt>
                <c:pt idx="3">
                  <c:v>0.55264936292906153</c:v>
                </c:pt>
                <c:pt idx="4">
                  <c:v>0.56120232410101856</c:v>
                </c:pt>
                <c:pt idx="5">
                  <c:v>0.58097914250817684</c:v>
                </c:pt>
                <c:pt idx="6">
                  <c:v>0.63639402671923606</c:v>
                </c:pt>
                <c:pt idx="7">
                  <c:v>0.64951370522505292</c:v>
                </c:pt>
                <c:pt idx="8">
                  <c:v>0.63055503904182508</c:v>
                </c:pt>
                <c:pt idx="9">
                  <c:v>0.64459292642165245</c:v>
                </c:pt>
                <c:pt idx="10">
                  <c:v>0.62778439660000751</c:v>
                </c:pt>
                <c:pt idx="11">
                  <c:v>0.64195316325793905</c:v>
                </c:pt>
                <c:pt idx="12">
                  <c:v>0.60937196228640689</c:v>
                </c:pt>
                <c:pt idx="13">
                  <c:v>0.57559445438514367</c:v>
                </c:pt>
                <c:pt idx="14">
                  <c:v>0.61966926616186646</c:v>
                </c:pt>
                <c:pt idx="15">
                  <c:v>0.61098575112407738</c:v>
                </c:pt>
                <c:pt idx="16">
                  <c:v>0.62651628119673453</c:v>
                </c:pt>
                <c:pt idx="17">
                  <c:v>0.64890841265420796</c:v>
                </c:pt>
                <c:pt idx="18">
                  <c:v>0.68438167594716182</c:v>
                </c:pt>
                <c:pt idx="19">
                  <c:v>0.66264885680249008</c:v>
                </c:pt>
                <c:pt idx="20">
                  <c:v>0.66474126748702123</c:v>
                </c:pt>
                <c:pt idx="21">
                  <c:v>0.66264885680249008</c:v>
                </c:pt>
                <c:pt idx="22">
                  <c:v>0.63580141506138355</c:v>
                </c:pt>
                <c:pt idx="23">
                  <c:v>0.59072795930158906</c:v>
                </c:pt>
                <c:pt idx="24">
                  <c:v>0.60574636223541978</c:v>
                </c:pt>
                <c:pt idx="25">
                  <c:v>0.6155496963810797</c:v>
                </c:pt>
                <c:pt idx="26">
                  <c:v>0.5786710507683992</c:v>
                </c:pt>
                <c:pt idx="27">
                  <c:v>0.59279776197128353</c:v>
                </c:pt>
                <c:pt idx="28">
                  <c:v>0.57290983086857539</c:v>
                </c:pt>
                <c:pt idx="29">
                  <c:v>0.56606721089043732</c:v>
                </c:pt>
                <c:pt idx="30">
                  <c:v>0.55497671209744126</c:v>
                </c:pt>
                <c:pt idx="31">
                  <c:v>0.54857982917990311</c:v>
                </c:pt>
                <c:pt idx="32">
                  <c:v>0.57181297396619646</c:v>
                </c:pt>
                <c:pt idx="33">
                  <c:v>0.58745733896979668</c:v>
                </c:pt>
                <c:pt idx="34">
                  <c:v>0.57517284737260799</c:v>
                </c:pt>
                <c:pt idx="35">
                  <c:v>0.47165449273347226</c:v>
                </c:pt>
                <c:pt idx="36">
                  <c:v>0.43232059685066798</c:v>
                </c:pt>
                <c:pt idx="37">
                  <c:v>0.41373230170663788</c:v>
                </c:pt>
                <c:pt idx="38">
                  <c:v>0.3981672862675662</c:v>
                </c:pt>
                <c:pt idx="39">
                  <c:v>0.4741591952243816</c:v>
                </c:pt>
                <c:pt idx="40">
                  <c:v>0.4873264191007175</c:v>
                </c:pt>
                <c:pt idx="41">
                  <c:v>0.49084413664233395</c:v>
                </c:pt>
                <c:pt idx="42">
                  <c:v>0.49084413664233395</c:v>
                </c:pt>
                <c:pt idx="43">
                  <c:v>0.45575254137027688</c:v>
                </c:pt>
                <c:pt idx="44">
                  <c:v>0.42413376349642812</c:v>
                </c:pt>
                <c:pt idx="45">
                  <c:v>0.45923072088835232</c:v>
                </c:pt>
                <c:pt idx="46">
                  <c:v>0.45155296827836544</c:v>
                </c:pt>
                <c:pt idx="47">
                  <c:v>0.45155296827836544</c:v>
                </c:pt>
                <c:pt idx="48">
                  <c:v>0.42147742037560049</c:v>
                </c:pt>
                <c:pt idx="49">
                  <c:v>0.48178321750260522</c:v>
                </c:pt>
                <c:pt idx="50">
                  <c:v>0.46847875373528863</c:v>
                </c:pt>
                <c:pt idx="51">
                  <c:v>0.42635938692148717</c:v>
                </c:pt>
                <c:pt idx="52">
                  <c:v>0.41096738430920449</c:v>
                </c:pt>
                <c:pt idx="53">
                  <c:v>0.46847875373528863</c:v>
                </c:pt>
                <c:pt idx="54">
                  <c:v>0.46362020494951672</c:v>
                </c:pt>
                <c:pt idx="55">
                  <c:v>0.44799454346559853</c:v>
                </c:pt>
                <c:pt idx="56">
                  <c:v>0.4132153406951769</c:v>
                </c:pt>
                <c:pt idx="57">
                  <c:v>0.40975674753773905</c:v>
                </c:pt>
                <c:pt idx="58">
                  <c:v>0.37360583835556432</c:v>
                </c:pt>
                <c:pt idx="59">
                  <c:v>0.37393962817107157</c:v>
                </c:pt>
                <c:pt idx="60">
                  <c:v>0.38166972699665563</c:v>
                </c:pt>
                <c:pt idx="61">
                  <c:v>0.36683376695248865</c:v>
                </c:pt>
                <c:pt idx="62">
                  <c:v>0.35521926568999218</c:v>
                </c:pt>
                <c:pt idx="63">
                  <c:v>0.36565400061256043</c:v>
                </c:pt>
                <c:pt idx="64">
                  <c:v>0.38030249532079374</c:v>
                </c:pt>
                <c:pt idx="65">
                  <c:v>0.36933430427665681</c:v>
                </c:pt>
                <c:pt idx="66">
                  <c:v>0.38316963725836589</c:v>
                </c:pt>
                <c:pt idx="67">
                  <c:v>0.36967404481869215</c:v>
                </c:pt>
                <c:pt idx="68">
                  <c:v>0.3755719775185945</c:v>
                </c:pt>
                <c:pt idx="69">
                  <c:v>0.38532630107916044</c:v>
                </c:pt>
                <c:pt idx="70">
                  <c:v>0.40068103493110224</c:v>
                </c:pt>
                <c:pt idx="71">
                  <c:v>0.38160196936392621</c:v>
                </c:pt>
                <c:pt idx="72">
                  <c:v>0.37084428304329614</c:v>
                </c:pt>
                <c:pt idx="73">
                  <c:v>0.36774882579493112</c:v>
                </c:pt>
                <c:pt idx="74">
                  <c:v>0.2902260049252946</c:v>
                </c:pt>
                <c:pt idx="75">
                  <c:v>0.26212623729092371</c:v>
                </c:pt>
                <c:pt idx="76">
                  <c:v>0.33029809597210952</c:v>
                </c:pt>
                <c:pt idx="77">
                  <c:v>0.33974567777608206</c:v>
                </c:pt>
                <c:pt idx="78">
                  <c:v>0.3707206267478419</c:v>
                </c:pt>
                <c:pt idx="79">
                  <c:v>0.37338021104571051</c:v>
                </c:pt>
                <c:pt idx="80">
                  <c:v>0.3969981593322805</c:v>
                </c:pt>
                <c:pt idx="81">
                  <c:v>0.41410653536495057</c:v>
                </c:pt>
                <c:pt idx="82">
                  <c:v>0.38756459325455095</c:v>
                </c:pt>
                <c:pt idx="83">
                  <c:v>0.42159370418067171</c:v>
                </c:pt>
                <c:pt idx="84">
                  <c:v>0.4605405147219428</c:v>
                </c:pt>
                <c:pt idx="85">
                  <c:v>0.43156912924668556</c:v>
                </c:pt>
                <c:pt idx="86">
                  <c:v>0.40232481590336117</c:v>
                </c:pt>
                <c:pt idx="87">
                  <c:v>0.41314719259777027</c:v>
                </c:pt>
                <c:pt idx="88">
                  <c:v>0.41528178559290679</c:v>
                </c:pt>
                <c:pt idx="89">
                  <c:v>0.40445747526612724</c:v>
                </c:pt>
                <c:pt idx="90">
                  <c:v>0.33277831045649614</c:v>
                </c:pt>
                <c:pt idx="91">
                  <c:v>0.27463010199382165</c:v>
                </c:pt>
                <c:pt idx="92">
                  <c:v>0.2818649256036454</c:v>
                </c:pt>
                <c:pt idx="93">
                  <c:v>0.32707732602530493</c:v>
                </c:pt>
                <c:pt idx="94">
                  <c:v>0.28211495793674252</c:v>
                </c:pt>
                <c:pt idx="95">
                  <c:v>0.40797811985401045</c:v>
                </c:pt>
                <c:pt idx="96">
                  <c:v>0.40797811985401045</c:v>
                </c:pt>
                <c:pt idx="97">
                  <c:v>0.40917398895537016</c:v>
                </c:pt>
                <c:pt idx="98">
                  <c:v>0.42922629610906576</c:v>
                </c:pt>
                <c:pt idx="99">
                  <c:v>0.42624975952077765</c:v>
                </c:pt>
                <c:pt idx="100">
                  <c:v>0.31856955774356621</c:v>
                </c:pt>
                <c:pt idx="101">
                  <c:v>0.4330864642120939</c:v>
                </c:pt>
                <c:pt idx="102">
                  <c:v>0.39082116641682313</c:v>
                </c:pt>
                <c:pt idx="103">
                  <c:v>0.58795254732817659</c:v>
                </c:pt>
                <c:pt idx="104">
                  <c:v>0.57343184072471942</c:v>
                </c:pt>
                <c:pt idx="105">
                  <c:v>0.60569175356282723</c:v>
                </c:pt>
                <c:pt idx="106">
                  <c:v>0.63267241864898449</c:v>
                </c:pt>
                <c:pt idx="107">
                  <c:v>0.69528028144531095</c:v>
                </c:pt>
                <c:pt idx="108">
                  <c:v>0.77783403735744605</c:v>
                </c:pt>
                <c:pt idx="109">
                  <c:v>0.80807149473903783</c:v>
                </c:pt>
                <c:pt idx="110">
                  <c:v>0.81686282095814366</c:v>
                </c:pt>
                <c:pt idx="111">
                  <c:v>0.82478602429419701</c:v>
                </c:pt>
                <c:pt idx="112">
                  <c:v>0.8263799320049966</c:v>
                </c:pt>
                <c:pt idx="113">
                  <c:v>0.81951890925716175</c:v>
                </c:pt>
                <c:pt idx="114">
                  <c:v>0.74812714109915845</c:v>
                </c:pt>
                <c:pt idx="115">
                  <c:v>0.73085022058809757</c:v>
                </c:pt>
                <c:pt idx="116">
                  <c:v>0.76832708554350626</c:v>
                </c:pt>
                <c:pt idx="117">
                  <c:v>0.70260073761186825</c:v>
                </c:pt>
                <c:pt idx="118">
                  <c:v>0.81254588826988361</c:v>
                </c:pt>
                <c:pt idx="119">
                  <c:v>0.81599621049204552</c:v>
                </c:pt>
                <c:pt idx="120">
                  <c:v>0.75767121274967097</c:v>
                </c:pt>
                <c:pt idx="121">
                  <c:v>0.79744674672768578</c:v>
                </c:pt>
                <c:pt idx="122">
                  <c:v>0.79744674672768578</c:v>
                </c:pt>
                <c:pt idx="123">
                  <c:v>0.84748759806752005</c:v>
                </c:pt>
                <c:pt idx="124">
                  <c:v>0.88379536104531342</c:v>
                </c:pt>
                <c:pt idx="125">
                  <c:v>0.88631407683414742</c:v>
                </c:pt>
                <c:pt idx="126">
                  <c:v>0.88507237465236011</c:v>
                </c:pt>
                <c:pt idx="127">
                  <c:v>0.88829814088555981</c:v>
                </c:pt>
                <c:pt idx="128">
                  <c:v>0.91018597538933266</c:v>
                </c:pt>
                <c:pt idx="129">
                  <c:v>0.90965157918840345</c:v>
                </c:pt>
                <c:pt idx="130">
                  <c:v>0.9126136851792267</c:v>
                </c:pt>
                <c:pt idx="131">
                  <c:v>0.9105479087849232</c:v>
                </c:pt>
                <c:pt idx="132">
                  <c:v>0.92756020040727527</c:v>
                </c:pt>
                <c:pt idx="133">
                  <c:v>0.9299301195282087</c:v>
                </c:pt>
                <c:pt idx="134">
                  <c:v>0.92772026190850965</c:v>
                </c:pt>
                <c:pt idx="135">
                  <c:v>0.9252942527060104</c:v>
                </c:pt>
                <c:pt idx="136">
                  <c:v>0.92571311512973709</c:v>
                </c:pt>
                <c:pt idx="137">
                  <c:v>0.95079229345734595</c:v>
                </c:pt>
                <c:pt idx="138">
                  <c:v>0.95277295236812309</c:v>
                </c:pt>
                <c:pt idx="139">
                  <c:v>0.95159604304738465</c:v>
                </c:pt>
                <c:pt idx="140">
                  <c:v>0.95362908529618629</c:v>
                </c:pt>
                <c:pt idx="141">
                  <c:v>0.96459917415866681</c:v>
                </c:pt>
                <c:pt idx="142">
                  <c:v>0.95891425076544745</c:v>
                </c:pt>
                <c:pt idx="143">
                  <c:v>0.94047646256577366</c:v>
                </c:pt>
                <c:pt idx="144">
                  <c:v>0.91761037893987563</c:v>
                </c:pt>
                <c:pt idx="145">
                  <c:v>0.92408794393225557</c:v>
                </c:pt>
                <c:pt idx="146">
                  <c:v>0.85694996797233836</c:v>
                </c:pt>
                <c:pt idx="147">
                  <c:v>0.88445471641937157</c:v>
                </c:pt>
                <c:pt idx="148">
                  <c:v>0.92408794393225557</c:v>
                </c:pt>
                <c:pt idx="149">
                  <c:v>0.9385222539497815</c:v>
                </c:pt>
                <c:pt idx="150">
                  <c:v>0.98451993370244106</c:v>
                </c:pt>
                <c:pt idx="151">
                  <c:v>0.97186924857158052</c:v>
                </c:pt>
                <c:pt idx="152">
                  <c:v>0.94551237246929465</c:v>
                </c:pt>
                <c:pt idx="153">
                  <c:v>0.8819114104860859</c:v>
                </c:pt>
                <c:pt idx="154">
                  <c:v>0.89407594990163874</c:v>
                </c:pt>
                <c:pt idx="155">
                  <c:v>0.89407594990163874</c:v>
                </c:pt>
                <c:pt idx="156">
                  <c:v>0.88667449797815956</c:v>
                </c:pt>
                <c:pt idx="157">
                  <c:v>0.8920195449585564</c:v>
                </c:pt>
                <c:pt idx="158">
                  <c:v>0.89512122084695944</c:v>
                </c:pt>
                <c:pt idx="159">
                  <c:v>0.89443957907281746</c:v>
                </c:pt>
                <c:pt idx="160">
                  <c:v>0.8948997967143093</c:v>
                </c:pt>
                <c:pt idx="161">
                  <c:v>0.89337268606647302</c:v>
                </c:pt>
                <c:pt idx="162">
                  <c:v>0.89225108632442729</c:v>
                </c:pt>
                <c:pt idx="163">
                  <c:v>0.90849340717481886</c:v>
                </c:pt>
                <c:pt idx="164">
                  <c:v>0.9034983903169389</c:v>
                </c:pt>
                <c:pt idx="165">
                  <c:v>0.90849340717481886</c:v>
                </c:pt>
                <c:pt idx="166">
                  <c:v>0.86928745494692716</c:v>
                </c:pt>
                <c:pt idx="167">
                  <c:v>0.87490910290764468</c:v>
                </c:pt>
                <c:pt idx="168">
                  <c:v>0.78959380464288376</c:v>
                </c:pt>
                <c:pt idx="169">
                  <c:v>0.90514599034862198</c:v>
                </c:pt>
                <c:pt idx="170">
                  <c:v>0.91902765125865959</c:v>
                </c:pt>
                <c:pt idx="171">
                  <c:v>0.91584710240533518</c:v>
                </c:pt>
                <c:pt idx="172">
                  <c:v>0.90921329115869776</c:v>
                </c:pt>
                <c:pt idx="173">
                  <c:v>0.94107838104995334</c:v>
                </c:pt>
                <c:pt idx="174">
                  <c:v>0.94107838104995334</c:v>
                </c:pt>
                <c:pt idx="175">
                  <c:v>0.94107838104995334</c:v>
                </c:pt>
                <c:pt idx="176">
                  <c:v>0.91861521434498927</c:v>
                </c:pt>
                <c:pt idx="177">
                  <c:v>0.95182771809710431</c:v>
                </c:pt>
                <c:pt idx="178">
                  <c:v>0.95320351892281485</c:v>
                </c:pt>
                <c:pt idx="179">
                  <c:v>0.94481773750585774</c:v>
                </c:pt>
                <c:pt idx="180">
                  <c:v>0.94762260030460288</c:v>
                </c:pt>
                <c:pt idx="181">
                  <c:v>0.9601958662364245</c:v>
                </c:pt>
                <c:pt idx="182">
                  <c:v>0.93969161247928745</c:v>
                </c:pt>
                <c:pt idx="183">
                  <c:v>0.9248746068169833</c:v>
                </c:pt>
                <c:pt idx="184">
                  <c:v>0.91542628506626045</c:v>
                </c:pt>
                <c:pt idx="185">
                  <c:v>0.94997170807452469</c:v>
                </c:pt>
                <c:pt idx="186">
                  <c:v>0.93485323798856346</c:v>
                </c:pt>
                <c:pt idx="187">
                  <c:v>0.94404770550683115</c:v>
                </c:pt>
                <c:pt idx="188">
                  <c:v>0.93485323798856346</c:v>
                </c:pt>
                <c:pt idx="189">
                  <c:v>0.86512672485653175</c:v>
                </c:pt>
                <c:pt idx="190">
                  <c:v>0.85635864773186432</c:v>
                </c:pt>
                <c:pt idx="191">
                  <c:v>0.84917694017596268</c:v>
                </c:pt>
                <c:pt idx="192">
                  <c:v>0.96725200604215567</c:v>
                </c:pt>
                <c:pt idx="193">
                  <c:v>0.94644262124543443</c:v>
                </c:pt>
                <c:pt idx="194">
                  <c:v>0.90242289630359074</c:v>
                </c:pt>
                <c:pt idx="195">
                  <c:v>0.90242289630359074</c:v>
                </c:pt>
                <c:pt idx="196">
                  <c:v>0.87859103936280614</c:v>
                </c:pt>
                <c:pt idx="197">
                  <c:v>0.84129278814437181</c:v>
                </c:pt>
                <c:pt idx="198">
                  <c:v>0.84714025108084823</c:v>
                </c:pt>
                <c:pt idx="199">
                  <c:v>0.86117434904403212</c:v>
                </c:pt>
                <c:pt idx="200">
                  <c:v>0.83404184296119399</c:v>
                </c:pt>
                <c:pt idx="201">
                  <c:v>0.81803711941746404</c:v>
                </c:pt>
                <c:pt idx="202">
                  <c:v>0.61660059317974736</c:v>
                </c:pt>
                <c:pt idx="203">
                  <c:v>0.66675683999516944</c:v>
                </c:pt>
                <c:pt idx="204">
                  <c:v>0.684475421712615</c:v>
                </c:pt>
                <c:pt idx="205">
                  <c:v>0.60410549631050647</c:v>
                </c:pt>
                <c:pt idx="206">
                  <c:v>0.69050447134038251</c:v>
                </c:pt>
                <c:pt idx="207">
                  <c:v>0.66311590107349083</c:v>
                </c:pt>
                <c:pt idx="208">
                  <c:v>0.72397022872334449</c:v>
                </c:pt>
                <c:pt idx="209">
                  <c:v>0.74517189360077984</c:v>
                </c:pt>
                <c:pt idx="210">
                  <c:v>0.66311590107349083</c:v>
                </c:pt>
                <c:pt idx="211">
                  <c:v>0.61599363608099678</c:v>
                </c:pt>
                <c:pt idx="212">
                  <c:v>0.61264076908113763</c:v>
                </c:pt>
                <c:pt idx="213">
                  <c:v>0.60662155942020002</c:v>
                </c:pt>
                <c:pt idx="214">
                  <c:v>0.59391131067456038</c:v>
                </c:pt>
                <c:pt idx="215">
                  <c:v>0.59445921362542997</c:v>
                </c:pt>
                <c:pt idx="216">
                  <c:v>0.59356262313394537</c:v>
                </c:pt>
                <c:pt idx="217">
                  <c:v>0.58155199492979581</c:v>
                </c:pt>
                <c:pt idx="218">
                  <c:v>0.58542144661011908</c:v>
                </c:pt>
                <c:pt idx="219">
                  <c:v>0.593225708201635</c:v>
                </c:pt>
                <c:pt idx="220">
                  <c:v>0.59950595681897523</c:v>
                </c:pt>
                <c:pt idx="221">
                  <c:v>0.60261779474869925</c:v>
                </c:pt>
                <c:pt idx="222">
                  <c:v>0.59090570789662444</c:v>
                </c:pt>
                <c:pt idx="223">
                  <c:v>0.59224775585706535</c:v>
                </c:pt>
                <c:pt idx="224">
                  <c:v>0.57709503787578109</c:v>
                </c:pt>
                <c:pt idx="225">
                  <c:v>0.52965901814335548</c:v>
                </c:pt>
                <c:pt idx="226">
                  <c:v>0.50868797673712363</c:v>
                </c:pt>
                <c:pt idx="227">
                  <c:v>0.60653142223595213</c:v>
                </c:pt>
                <c:pt idx="228">
                  <c:v>0.62392159162868732</c:v>
                </c:pt>
                <c:pt idx="229">
                  <c:v>0.62597730951219899</c:v>
                </c:pt>
                <c:pt idx="230">
                  <c:v>0.62817294477626939</c:v>
                </c:pt>
                <c:pt idx="231">
                  <c:v>0.62402170072443153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Query!$D$2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Query!$B$3:$B$234</c:f>
              <c:numCache>
                <c:formatCode>m/d/yyyy</c:formatCode>
                <c:ptCount val="232"/>
                <c:pt idx="0">
                  <c:v>42166</c:v>
                </c:pt>
                <c:pt idx="1">
                  <c:v>42159</c:v>
                </c:pt>
                <c:pt idx="2">
                  <c:v>42152</c:v>
                </c:pt>
                <c:pt idx="3">
                  <c:v>42145</c:v>
                </c:pt>
                <c:pt idx="4">
                  <c:v>42138</c:v>
                </c:pt>
                <c:pt idx="5">
                  <c:v>42131</c:v>
                </c:pt>
                <c:pt idx="6">
                  <c:v>42124</c:v>
                </c:pt>
                <c:pt idx="7">
                  <c:v>42117</c:v>
                </c:pt>
                <c:pt idx="8">
                  <c:v>42110</c:v>
                </c:pt>
                <c:pt idx="9">
                  <c:v>42103</c:v>
                </c:pt>
                <c:pt idx="10">
                  <c:v>42096</c:v>
                </c:pt>
                <c:pt idx="11">
                  <c:v>42089</c:v>
                </c:pt>
                <c:pt idx="12">
                  <c:v>42082</c:v>
                </c:pt>
                <c:pt idx="13">
                  <c:v>42075</c:v>
                </c:pt>
                <c:pt idx="14">
                  <c:v>42068</c:v>
                </c:pt>
                <c:pt idx="15">
                  <c:v>42061</c:v>
                </c:pt>
                <c:pt idx="16">
                  <c:v>42054</c:v>
                </c:pt>
                <c:pt idx="17">
                  <c:v>42047</c:v>
                </c:pt>
                <c:pt idx="18">
                  <c:v>42040</c:v>
                </c:pt>
                <c:pt idx="19">
                  <c:v>42033</c:v>
                </c:pt>
                <c:pt idx="20">
                  <c:v>42026</c:v>
                </c:pt>
                <c:pt idx="21">
                  <c:v>42019</c:v>
                </c:pt>
                <c:pt idx="22">
                  <c:v>42012</c:v>
                </c:pt>
                <c:pt idx="23">
                  <c:v>42004</c:v>
                </c:pt>
                <c:pt idx="24">
                  <c:v>41997</c:v>
                </c:pt>
                <c:pt idx="25">
                  <c:v>41991</c:v>
                </c:pt>
                <c:pt idx="26">
                  <c:v>41984</c:v>
                </c:pt>
                <c:pt idx="27">
                  <c:v>41977</c:v>
                </c:pt>
                <c:pt idx="28">
                  <c:v>41969</c:v>
                </c:pt>
                <c:pt idx="29">
                  <c:v>41963</c:v>
                </c:pt>
                <c:pt idx="30">
                  <c:v>41956</c:v>
                </c:pt>
                <c:pt idx="31">
                  <c:v>41949</c:v>
                </c:pt>
                <c:pt idx="32">
                  <c:v>41942</c:v>
                </c:pt>
                <c:pt idx="33">
                  <c:v>41935</c:v>
                </c:pt>
                <c:pt idx="34">
                  <c:v>41928</c:v>
                </c:pt>
                <c:pt idx="35">
                  <c:v>41921</c:v>
                </c:pt>
                <c:pt idx="36">
                  <c:v>41914</c:v>
                </c:pt>
                <c:pt idx="37">
                  <c:v>41907</c:v>
                </c:pt>
                <c:pt idx="38">
                  <c:v>41900</c:v>
                </c:pt>
                <c:pt idx="39">
                  <c:v>41893</c:v>
                </c:pt>
                <c:pt idx="40">
                  <c:v>41886</c:v>
                </c:pt>
                <c:pt idx="41">
                  <c:v>41879</c:v>
                </c:pt>
                <c:pt idx="42">
                  <c:v>41872</c:v>
                </c:pt>
                <c:pt idx="43">
                  <c:v>41865</c:v>
                </c:pt>
                <c:pt idx="44">
                  <c:v>41858</c:v>
                </c:pt>
                <c:pt idx="45">
                  <c:v>41851</c:v>
                </c:pt>
                <c:pt idx="46">
                  <c:v>41844</c:v>
                </c:pt>
                <c:pt idx="47">
                  <c:v>41837</c:v>
                </c:pt>
                <c:pt idx="48">
                  <c:v>41830</c:v>
                </c:pt>
                <c:pt idx="49">
                  <c:v>41823</c:v>
                </c:pt>
                <c:pt idx="50">
                  <c:v>41816</c:v>
                </c:pt>
                <c:pt idx="51">
                  <c:v>41809</c:v>
                </c:pt>
                <c:pt idx="52">
                  <c:v>41802</c:v>
                </c:pt>
                <c:pt idx="53">
                  <c:v>41795</c:v>
                </c:pt>
                <c:pt idx="54">
                  <c:v>41788</c:v>
                </c:pt>
                <c:pt idx="55">
                  <c:v>41781</c:v>
                </c:pt>
                <c:pt idx="56">
                  <c:v>41774</c:v>
                </c:pt>
                <c:pt idx="57">
                  <c:v>41767</c:v>
                </c:pt>
                <c:pt idx="58">
                  <c:v>41760</c:v>
                </c:pt>
                <c:pt idx="59">
                  <c:v>41753</c:v>
                </c:pt>
                <c:pt idx="60">
                  <c:v>41746</c:v>
                </c:pt>
                <c:pt idx="61">
                  <c:v>41739</c:v>
                </c:pt>
                <c:pt idx="62">
                  <c:v>41732</c:v>
                </c:pt>
                <c:pt idx="63">
                  <c:v>41725</c:v>
                </c:pt>
                <c:pt idx="64">
                  <c:v>41718</c:v>
                </c:pt>
                <c:pt idx="65">
                  <c:v>41711</c:v>
                </c:pt>
                <c:pt idx="66">
                  <c:v>41704</c:v>
                </c:pt>
                <c:pt idx="67">
                  <c:v>41697</c:v>
                </c:pt>
                <c:pt idx="68">
                  <c:v>41690</c:v>
                </c:pt>
                <c:pt idx="69">
                  <c:v>41683</c:v>
                </c:pt>
                <c:pt idx="70">
                  <c:v>41676</c:v>
                </c:pt>
                <c:pt idx="71">
                  <c:v>41669</c:v>
                </c:pt>
                <c:pt idx="72">
                  <c:v>41662</c:v>
                </c:pt>
                <c:pt idx="73">
                  <c:v>41655</c:v>
                </c:pt>
                <c:pt idx="74">
                  <c:v>41648</c:v>
                </c:pt>
                <c:pt idx="75">
                  <c:v>41641</c:v>
                </c:pt>
                <c:pt idx="76">
                  <c:v>41634</c:v>
                </c:pt>
                <c:pt idx="77">
                  <c:v>41627</c:v>
                </c:pt>
                <c:pt idx="78">
                  <c:v>41620</c:v>
                </c:pt>
                <c:pt idx="79">
                  <c:v>41613</c:v>
                </c:pt>
                <c:pt idx="80">
                  <c:v>41605</c:v>
                </c:pt>
                <c:pt idx="81">
                  <c:v>41599</c:v>
                </c:pt>
                <c:pt idx="82">
                  <c:v>41592</c:v>
                </c:pt>
                <c:pt idx="83">
                  <c:v>41585</c:v>
                </c:pt>
                <c:pt idx="84">
                  <c:v>41578</c:v>
                </c:pt>
                <c:pt idx="85">
                  <c:v>41571</c:v>
                </c:pt>
                <c:pt idx="86">
                  <c:v>41564</c:v>
                </c:pt>
                <c:pt idx="87">
                  <c:v>41557</c:v>
                </c:pt>
                <c:pt idx="88">
                  <c:v>41550</c:v>
                </c:pt>
                <c:pt idx="89">
                  <c:v>41543</c:v>
                </c:pt>
                <c:pt idx="90">
                  <c:v>41536</c:v>
                </c:pt>
                <c:pt idx="91">
                  <c:v>41529</c:v>
                </c:pt>
                <c:pt idx="92">
                  <c:v>41522</c:v>
                </c:pt>
                <c:pt idx="93">
                  <c:v>41515</c:v>
                </c:pt>
                <c:pt idx="94">
                  <c:v>41508</c:v>
                </c:pt>
                <c:pt idx="95">
                  <c:v>41501</c:v>
                </c:pt>
                <c:pt idx="96">
                  <c:v>41494</c:v>
                </c:pt>
                <c:pt idx="97">
                  <c:v>41487</c:v>
                </c:pt>
                <c:pt idx="98">
                  <c:v>41480</c:v>
                </c:pt>
                <c:pt idx="99">
                  <c:v>41473</c:v>
                </c:pt>
                <c:pt idx="100">
                  <c:v>41466</c:v>
                </c:pt>
                <c:pt idx="101">
                  <c:v>41458</c:v>
                </c:pt>
                <c:pt idx="102">
                  <c:v>41452</c:v>
                </c:pt>
                <c:pt idx="103">
                  <c:v>41445</c:v>
                </c:pt>
                <c:pt idx="104">
                  <c:v>41438</c:v>
                </c:pt>
                <c:pt idx="105">
                  <c:v>41431</c:v>
                </c:pt>
                <c:pt idx="106">
                  <c:v>41424</c:v>
                </c:pt>
                <c:pt idx="107">
                  <c:v>41417</c:v>
                </c:pt>
                <c:pt idx="108">
                  <c:v>41410</c:v>
                </c:pt>
                <c:pt idx="109">
                  <c:v>41403</c:v>
                </c:pt>
                <c:pt idx="110">
                  <c:v>41396</c:v>
                </c:pt>
                <c:pt idx="111">
                  <c:v>41389</c:v>
                </c:pt>
                <c:pt idx="112">
                  <c:v>41382</c:v>
                </c:pt>
                <c:pt idx="113">
                  <c:v>41375</c:v>
                </c:pt>
                <c:pt idx="114">
                  <c:v>41368</c:v>
                </c:pt>
                <c:pt idx="115">
                  <c:v>41361</c:v>
                </c:pt>
                <c:pt idx="116">
                  <c:v>41354</c:v>
                </c:pt>
                <c:pt idx="117">
                  <c:v>41347</c:v>
                </c:pt>
                <c:pt idx="118">
                  <c:v>41340</c:v>
                </c:pt>
                <c:pt idx="119">
                  <c:v>41333</c:v>
                </c:pt>
                <c:pt idx="120">
                  <c:v>41326</c:v>
                </c:pt>
                <c:pt idx="121">
                  <c:v>41319</c:v>
                </c:pt>
                <c:pt idx="122">
                  <c:v>41312</c:v>
                </c:pt>
                <c:pt idx="123">
                  <c:v>41305</c:v>
                </c:pt>
                <c:pt idx="124">
                  <c:v>41298</c:v>
                </c:pt>
                <c:pt idx="125">
                  <c:v>41291</c:v>
                </c:pt>
                <c:pt idx="126">
                  <c:v>41284</c:v>
                </c:pt>
                <c:pt idx="127">
                  <c:v>41277</c:v>
                </c:pt>
                <c:pt idx="128">
                  <c:v>41270</c:v>
                </c:pt>
                <c:pt idx="129">
                  <c:v>41263</c:v>
                </c:pt>
                <c:pt idx="130">
                  <c:v>41256</c:v>
                </c:pt>
                <c:pt idx="131">
                  <c:v>41249</c:v>
                </c:pt>
                <c:pt idx="132">
                  <c:v>41242</c:v>
                </c:pt>
                <c:pt idx="133">
                  <c:v>41234</c:v>
                </c:pt>
                <c:pt idx="134">
                  <c:v>41228</c:v>
                </c:pt>
                <c:pt idx="135">
                  <c:v>41221</c:v>
                </c:pt>
                <c:pt idx="136">
                  <c:v>41214</c:v>
                </c:pt>
                <c:pt idx="137">
                  <c:v>41207</c:v>
                </c:pt>
                <c:pt idx="138">
                  <c:v>41200</c:v>
                </c:pt>
                <c:pt idx="139">
                  <c:v>41193</c:v>
                </c:pt>
                <c:pt idx="140">
                  <c:v>41186</c:v>
                </c:pt>
                <c:pt idx="141">
                  <c:v>41179</c:v>
                </c:pt>
                <c:pt idx="142">
                  <c:v>41172</c:v>
                </c:pt>
                <c:pt idx="143">
                  <c:v>41165</c:v>
                </c:pt>
                <c:pt idx="144">
                  <c:v>41158</c:v>
                </c:pt>
                <c:pt idx="145">
                  <c:v>41151</c:v>
                </c:pt>
                <c:pt idx="146">
                  <c:v>41144</c:v>
                </c:pt>
                <c:pt idx="147">
                  <c:v>41137</c:v>
                </c:pt>
                <c:pt idx="148">
                  <c:v>41130</c:v>
                </c:pt>
                <c:pt idx="149">
                  <c:v>41123</c:v>
                </c:pt>
                <c:pt idx="150">
                  <c:v>41116</c:v>
                </c:pt>
                <c:pt idx="151">
                  <c:v>41109</c:v>
                </c:pt>
                <c:pt idx="152">
                  <c:v>41102</c:v>
                </c:pt>
                <c:pt idx="153">
                  <c:v>41095</c:v>
                </c:pt>
                <c:pt idx="154">
                  <c:v>41088</c:v>
                </c:pt>
                <c:pt idx="155">
                  <c:v>41081</c:v>
                </c:pt>
                <c:pt idx="156">
                  <c:v>41074</c:v>
                </c:pt>
                <c:pt idx="157">
                  <c:v>41067</c:v>
                </c:pt>
                <c:pt idx="158">
                  <c:v>41060</c:v>
                </c:pt>
                <c:pt idx="159">
                  <c:v>41053</c:v>
                </c:pt>
                <c:pt idx="160">
                  <c:v>41046</c:v>
                </c:pt>
                <c:pt idx="161">
                  <c:v>41039</c:v>
                </c:pt>
                <c:pt idx="162">
                  <c:v>41032</c:v>
                </c:pt>
                <c:pt idx="163">
                  <c:v>41025</c:v>
                </c:pt>
                <c:pt idx="164">
                  <c:v>41018</c:v>
                </c:pt>
                <c:pt idx="165">
                  <c:v>41011</c:v>
                </c:pt>
                <c:pt idx="166">
                  <c:v>41004</c:v>
                </c:pt>
                <c:pt idx="167">
                  <c:v>40997</c:v>
                </c:pt>
                <c:pt idx="168">
                  <c:v>40990</c:v>
                </c:pt>
                <c:pt idx="169">
                  <c:v>40983</c:v>
                </c:pt>
                <c:pt idx="170">
                  <c:v>40976</c:v>
                </c:pt>
                <c:pt idx="171">
                  <c:v>40969</c:v>
                </c:pt>
                <c:pt idx="172">
                  <c:v>40962</c:v>
                </c:pt>
                <c:pt idx="173">
                  <c:v>40955</c:v>
                </c:pt>
                <c:pt idx="174">
                  <c:v>40948</c:v>
                </c:pt>
                <c:pt idx="175">
                  <c:v>40941</c:v>
                </c:pt>
                <c:pt idx="176">
                  <c:v>40934</c:v>
                </c:pt>
                <c:pt idx="177">
                  <c:v>40927</c:v>
                </c:pt>
                <c:pt idx="178">
                  <c:v>40920</c:v>
                </c:pt>
                <c:pt idx="179">
                  <c:v>40913</c:v>
                </c:pt>
                <c:pt idx="180">
                  <c:v>40906</c:v>
                </c:pt>
                <c:pt idx="181">
                  <c:v>40899</c:v>
                </c:pt>
                <c:pt idx="182">
                  <c:v>40892</c:v>
                </c:pt>
                <c:pt idx="183">
                  <c:v>40885</c:v>
                </c:pt>
                <c:pt idx="184">
                  <c:v>40878</c:v>
                </c:pt>
                <c:pt idx="185">
                  <c:v>40870</c:v>
                </c:pt>
                <c:pt idx="186">
                  <c:v>40864</c:v>
                </c:pt>
                <c:pt idx="187">
                  <c:v>40857</c:v>
                </c:pt>
                <c:pt idx="188">
                  <c:v>40850</c:v>
                </c:pt>
                <c:pt idx="189">
                  <c:v>40843</c:v>
                </c:pt>
                <c:pt idx="190">
                  <c:v>40836</c:v>
                </c:pt>
                <c:pt idx="191">
                  <c:v>40829</c:v>
                </c:pt>
                <c:pt idx="192">
                  <c:v>40822</c:v>
                </c:pt>
                <c:pt idx="193">
                  <c:v>40815</c:v>
                </c:pt>
                <c:pt idx="194">
                  <c:v>40808</c:v>
                </c:pt>
                <c:pt idx="195">
                  <c:v>40801</c:v>
                </c:pt>
                <c:pt idx="196">
                  <c:v>40794</c:v>
                </c:pt>
                <c:pt idx="197">
                  <c:v>40787</c:v>
                </c:pt>
                <c:pt idx="198">
                  <c:v>40780</c:v>
                </c:pt>
                <c:pt idx="199">
                  <c:v>40773</c:v>
                </c:pt>
                <c:pt idx="200">
                  <c:v>40766</c:v>
                </c:pt>
                <c:pt idx="201">
                  <c:v>40759</c:v>
                </c:pt>
                <c:pt idx="202">
                  <c:v>40752</c:v>
                </c:pt>
                <c:pt idx="203">
                  <c:v>40745</c:v>
                </c:pt>
                <c:pt idx="204">
                  <c:v>40738</c:v>
                </c:pt>
                <c:pt idx="205">
                  <c:v>40731</c:v>
                </c:pt>
                <c:pt idx="206">
                  <c:v>40724</c:v>
                </c:pt>
                <c:pt idx="207">
                  <c:v>40717</c:v>
                </c:pt>
                <c:pt idx="208">
                  <c:v>40710</c:v>
                </c:pt>
                <c:pt idx="209">
                  <c:v>40703</c:v>
                </c:pt>
                <c:pt idx="210">
                  <c:v>40696</c:v>
                </c:pt>
                <c:pt idx="211">
                  <c:v>40689</c:v>
                </c:pt>
                <c:pt idx="212">
                  <c:v>40682</c:v>
                </c:pt>
                <c:pt idx="213">
                  <c:v>40675</c:v>
                </c:pt>
                <c:pt idx="214">
                  <c:v>40668</c:v>
                </c:pt>
                <c:pt idx="215">
                  <c:v>40661</c:v>
                </c:pt>
                <c:pt idx="216">
                  <c:v>40654</c:v>
                </c:pt>
                <c:pt idx="217">
                  <c:v>40647</c:v>
                </c:pt>
                <c:pt idx="218">
                  <c:v>40640</c:v>
                </c:pt>
                <c:pt idx="219">
                  <c:v>40633</c:v>
                </c:pt>
                <c:pt idx="220">
                  <c:v>40626</c:v>
                </c:pt>
                <c:pt idx="221">
                  <c:v>40619</c:v>
                </c:pt>
                <c:pt idx="222">
                  <c:v>40612</c:v>
                </c:pt>
                <c:pt idx="223">
                  <c:v>40605</c:v>
                </c:pt>
                <c:pt idx="224">
                  <c:v>40598</c:v>
                </c:pt>
                <c:pt idx="225">
                  <c:v>40591</c:v>
                </c:pt>
                <c:pt idx="226">
                  <c:v>40584</c:v>
                </c:pt>
                <c:pt idx="227">
                  <c:v>40577</c:v>
                </c:pt>
                <c:pt idx="228">
                  <c:v>40570</c:v>
                </c:pt>
                <c:pt idx="229">
                  <c:v>40563</c:v>
                </c:pt>
                <c:pt idx="230">
                  <c:v>40556</c:v>
                </c:pt>
                <c:pt idx="231">
                  <c:v>40549</c:v>
                </c:pt>
              </c:numCache>
            </c:numRef>
          </c:cat>
          <c:val>
            <c:numRef>
              <c:f>Query!$D$3:$D$234</c:f>
              <c:numCache>
                <c:formatCode>0.00%</c:formatCode>
                <c:ptCount val="232"/>
                <c:pt idx="0">
                  <c:v>0.39779633268543002</c:v>
                </c:pt>
                <c:pt idx="1">
                  <c:v>0.49151040605794738</c:v>
                </c:pt>
                <c:pt idx="2">
                  <c:v>0.49518214427458052</c:v>
                </c:pt>
                <c:pt idx="3">
                  <c:v>0.49530657385961702</c:v>
                </c:pt>
                <c:pt idx="4">
                  <c:v>0.52626041924754496</c:v>
                </c:pt>
                <c:pt idx="5">
                  <c:v>0.53238458781035902</c:v>
                </c:pt>
                <c:pt idx="6">
                  <c:v>0.608876308109219</c:v>
                </c:pt>
                <c:pt idx="7">
                  <c:v>0.63350921207897204</c:v>
                </c:pt>
                <c:pt idx="8">
                  <c:v>0.60745911385405604</c:v>
                </c:pt>
                <c:pt idx="9">
                  <c:v>0.63179874985391804</c:v>
                </c:pt>
                <c:pt idx="10">
                  <c:v>0.60618674833379105</c:v>
                </c:pt>
                <c:pt idx="11">
                  <c:v>0.61985540937113104</c:v>
                </c:pt>
                <c:pt idx="12">
                  <c:v>0.58146564562660097</c:v>
                </c:pt>
                <c:pt idx="13">
                  <c:v>0.51703371456013503</c:v>
                </c:pt>
                <c:pt idx="14">
                  <c:v>0.58384753948448997</c:v>
                </c:pt>
                <c:pt idx="15">
                  <c:v>0.56144623129586702</c:v>
                </c:pt>
                <c:pt idx="16">
                  <c:v>0.59003468905342005</c:v>
                </c:pt>
                <c:pt idx="17">
                  <c:v>0.62719075850631201</c:v>
                </c:pt>
                <c:pt idx="18">
                  <c:v>0.65455905311871299</c:v>
                </c:pt>
                <c:pt idx="19">
                  <c:v>0.65582330233583797</c:v>
                </c:pt>
                <c:pt idx="20">
                  <c:v>0.65720471867066899</c:v>
                </c:pt>
                <c:pt idx="21">
                  <c:v>0.65582330233583797</c:v>
                </c:pt>
                <c:pt idx="22">
                  <c:v>0.59931706558407905</c:v>
                </c:pt>
                <c:pt idx="23">
                  <c:v>0.53680415412734395</c:v>
                </c:pt>
                <c:pt idx="24">
                  <c:v>0.57166642614489205</c:v>
                </c:pt>
                <c:pt idx="25">
                  <c:v>0.57447022909045797</c:v>
                </c:pt>
                <c:pt idx="26">
                  <c:v>0.53353274326337596</c:v>
                </c:pt>
                <c:pt idx="27">
                  <c:v>0.53685925114667898</c:v>
                </c:pt>
                <c:pt idx="28">
                  <c:v>0.51222876537846296</c:v>
                </c:pt>
                <c:pt idx="29">
                  <c:v>0.51126312077979097</c:v>
                </c:pt>
                <c:pt idx="30">
                  <c:v>0.47696082053878203</c:v>
                </c:pt>
                <c:pt idx="31">
                  <c:v>0.47679161148246502</c:v>
                </c:pt>
                <c:pt idx="32">
                  <c:v>0.519221652370358</c:v>
                </c:pt>
                <c:pt idx="33">
                  <c:v>0.54838604953283498</c:v>
                </c:pt>
                <c:pt idx="34">
                  <c:v>0.51982909302980596</c:v>
                </c:pt>
                <c:pt idx="35">
                  <c:v>0.45168042618119703</c:v>
                </c:pt>
                <c:pt idx="36">
                  <c:v>0.419925946793896</c:v>
                </c:pt>
                <c:pt idx="37">
                  <c:v>0.40569534905697002</c:v>
                </c:pt>
                <c:pt idx="38">
                  <c:v>0.403775681059653</c:v>
                </c:pt>
                <c:pt idx="39">
                  <c:v>0.45995272695767497</c:v>
                </c:pt>
                <c:pt idx="40">
                  <c:v>0.46145357757128402</c:v>
                </c:pt>
                <c:pt idx="41">
                  <c:v>0.46725416935729103</c:v>
                </c:pt>
                <c:pt idx="42">
                  <c:v>0.46725416935729103</c:v>
                </c:pt>
                <c:pt idx="43">
                  <c:v>0.437009219217877</c:v>
                </c:pt>
                <c:pt idx="44">
                  <c:v>0.41284557270170602</c:v>
                </c:pt>
                <c:pt idx="45">
                  <c:v>0.44366576481104603</c:v>
                </c:pt>
                <c:pt idx="46">
                  <c:v>0.44241787954298001</c:v>
                </c:pt>
                <c:pt idx="47">
                  <c:v>0.44241787954298001</c:v>
                </c:pt>
                <c:pt idx="48">
                  <c:v>0.41926854513922601</c:v>
                </c:pt>
                <c:pt idx="49">
                  <c:v>0.47241973099249801</c:v>
                </c:pt>
                <c:pt idx="50">
                  <c:v>0.447997908024105</c:v>
                </c:pt>
                <c:pt idx="51">
                  <c:v>0.42434402519227898</c:v>
                </c:pt>
                <c:pt idx="52">
                  <c:v>0.42258598579352902</c:v>
                </c:pt>
                <c:pt idx="53">
                  <c:v>0.447997908024105</c:v>
                </c:pt>
                <c:pt idx="54">
                  <c:v>0.44740081291084099</c:v>
                </c:pt>
                <c:pt idx="55">
                  <c:v>0.44562837110466802</c:v>
                </c:pt>
                <c:pt idx="56">
                  <c:v>0.42349289634896597</c:v>
                </c:pt>
                <c:pt idx="57">
                  <c:v>0.42315654967107302</c:v>
                </c:pt>
                <c:pt idx="58">
                  <c:v>0.37348002875422498</c:v>
                </c:pt>
                <c:pt idx="59">
                  <c:v>0.37394334466633</c:v>
                </c:pt>
                <c:pt idx="60">
                  <c:v>0.37550642358643799</c:v>
                </c:pt>
                <c:pt idx="61">
                  <c:v>0.34451093908200903</c:v>
                </c:pt>
                <c:pt idx="62">
                  <c:v>0.31383635422742501</c:v>
                </c:pt>
                <c:pt idx="63">
                  <c:v>0.34373332978073601</c:v>
                </c:pt>
                <c:pt idx="64">
                  <c:v>0.37475184713589199</c:v>
                </c:pt>
                <c:pt idx="65">
                  <c:v>0.34537825411835699</c:v>
                </c:pt>
                <c:pt idx="66">
                  <c:v>0.37584545219724702</c:v>
                </c:pt>
                <c:pt idx="67">
                  <c:v>0.34853875137296803</c:v>
                </c:pt>
                <c:pt idx="68">
                  <c:v>0.35043602810261099</c:v>
                </c:pt>
                <c:pt idx="69">
                  <c:v>0.380280894786581</c:v>
                </c:pt>
                <c:pt idx="70">
                  <c:v>0.407383000493176</c:v>
                </c:pt>
                <c:pt idx="71">
                  <c:v>0.38449844249950499</c:v>
                </c:pt>
                <c:pt idx="72">
                  <c:v>0.32547727058860199</c:v>
                </c:pt>
                <c:pt idx="73">
                  <c:v>0.32467403778332998</c:v>
                </c:pt>
                <c:pt idx="74">
                  <c:v>0.29015447722721099</c:v>
                </c:pt>
                <c:pt idx="75">
                  <c:v>0.265306805945277</c:v>
                </c:pt>
                <c:pt idx="76">
                  <c:v>0.29162362501885603</c:v>
                </c:pt>
                <c:pt idx="77">
                  <c:v>0.29198850689481598</c:v>
                </c:pt>
                <c:pt idx="78">
                  <c:v>0.33082970500556302</c:v>
                </c:pt>
                <c:pt idx="79">
                  <c:v>0.331227934580689</c:v>
                </c:pt>
                <c:pt idx="80">
                  <c:v>0.401262959025458</c:v>
                </c:pt>
                <c:pt idx="81">
                  <c:v>0.42989701258795199</c:v>
                </c:pt>
                <c:pt idx="82">
                  <c:v>0.37120289750535601</c:v>
                </c:pt>
                <c:pt idx="83">
                  <c:v>0.44788779304034998</c:v>
                </c:pt>
                <c:pt idx="84">
                  <c:v>0.47501022290439499</c:v>
                </c:pt>
                <c:pt idx="85">
                  <c:v>0.45648777309490202</c:v>
                </c:pt>
                <c:pt idx="86">
                  <c:v>0.40902347477168999</c:v>
                </c:pt>
                <c:pt idx="87">
                  <c:v>0.43701315967767701</c:v>
                </c:pt>
                <c:pt idx="88">
                  <c:v>0.43751781158176101</c:v>
                </c:pt>
                <c:pt idx="89">
                  <c:v>0.41607421536967498</c:v>
                </c:pt>
                <c:pt idx="90">
                  <c:v>0.32091811677951898</c:v>
                </c:pt>
                <c:pt idx="91">
                  <c:v>0.28251411119681702</c:v>
                </c:pt>
                <c:pt idx="92">
                  <c:v>0.29894428975906101</c:v>
                </c:pt>
                <c:pt idx="93">
                  <c:v>0.32738957382411199</c:v>
                </c:pt>
                <c:pt idx="94">
                  <c:v>0.28848466841060699</c:v>
                </c:pt>
                <c:pt idx="95">
                  <c:v>0.36292296585782302</c:v>
                </c:pt>
                <c:pt idx="96">
                  <c:v>0.36292296585782302</c:v>
                </c:pt>
                <c:pt idx="97">
                  <c:v>0.36357930006355599</c:v>
                </c:pt>
                <c:pt idx="98">
                  <c:v>0.40895553727695599</c:v>
                </c:pt>
                <c:pt idx="99">
                  <c:v>0.407195502334876</c:v>
                </c:pt>
                <c:pt idx="100">
                  <c:v>0.32003461094412999</c:v>
                </c:pt>
                <c:pt idx="101">
                  <c:v>0.439218479739446</c:v>
                </c:pt>
                <c:pt idx="102">
                  <c:v>0.35042164075900101</c:v>
                </c:pt>
                <c:pt idx="103">
                  <c:v>0.55919632116239604</c:v>
                </c:pt>
                <c:pt idx="104">
                  <c:v>0.55842108987699401</c:v>
                </c:pt>
                <c:pt idx="105">
                  <c:v>0.57861777554698002</c:v>
                </c:pt>
                <c:pt idx="106">
                  <c:v>0.61546645850988302</c:v>
                </c:pt>
                <c:pt idx="107">
                  <c:v>0.68530860108825797</c:v>
                </c:pt>
                <c:pt idx="108">
                  <c:v>0.72159050384319001</c:v>
                </c:pt>
                <c:pt idx="109">
                  <c:v>0.75094523370436095</c:v>
                </c:pt>
                <c:pt idx="110">
                  <c:v>0.77520531199879605</c:v>
                </c:pt>
                <c:pt idx="111">
                  <c:v>0.759939269856726</c:v>
                </c:pt>
                <c:pt idx="112">
                  <c:v>0.76108985756873504</c:v>
                </c:pt>
                <c:pt idx="113">
                  <c:v>0.73719138808657003</c:v>
                </c:pt>
                <c:pt idx="114">
                  <c:v>0.71361316522728502</c:v>
                </c:pt>
                <c:pt idx="115">
                  <c:v>0.712062870316722</c:v>
                </c:pt>
                <c:pt idx="116">
                  <c:v>0.72870485724391698</c:v>
                </c:pt>
                <c:pt idx="117">
                  <c:v>0.69793386100167498</c:v>
                </c:pt>
                <c:pt idx="118">
                  <c:v>0.731898053840778</c:v>
                </c:pt>
                <c:pt idx="119">
                  <c:v>0.75332777657917305</c:v>
                </c:pt>
                <c:pt idx="120">
                  <c:v>0.73462902469773095</c:v>
                </c:pt>
                <c:pt idx="121">
                  <c:v>0.75155379277106704</c:v>
                </c:pt>
                <c:pt idx="122">
                  <c:v>0.75155379277106704</c:v>
                </c:pt>
                <c:pt idx="123">
                  <c:v>0.77322369572310801</c:v>
                </c:pt>
                <c:pt idx="124">
                  <c:v>0.81634992305868503</c:v>
                </c:pt>
                <c:pt idx="125">
                  <c:v>0.83503612629874802</c:v>
                </c:pt>
                <c:pt idx="126">
                  <c:v>0.81798384699460103</c:v>
                </c:pt>
                <c:pt idx="127">
                  <c:v>0.83696581575361895</c:v>
                </c:pt>
                <c:pt idx="128">
                  <c:v>0.85626060279274896</c:v>
                </c:pt>
                <c:pt idx="129">
                  <c:v>0.85522983991809798</c:v>
                </c:pt>
                <c:pt idx="130">
                  <c:v>0.87412257034895602</c:v>
                </c:pt>
                <c:pt idx="131">
                  <c:v>0.85662578219432695</c:v>
                </c:pt>
                <c:pt idx="132">
                  <c:v>0.86996445945149903</c:v>
                </c:pt>
                <c:pt idx="133">
                  <c:v>0.88773399472374204</c:v>
                </c:pt>
                <c:pt idx="134">
                  <c:v>0.86999483052125803</c:v>
                </c:pt>
                <c:pt idx="135">
                  <c:v>0.85194480836680198</c:v>
                </c:pt>
                <c:pt idx="136">
                  <c:v>0.85225052894835196</c:v>
                </c:pt>
                <c:pt idx="137">
                  <c:v>0.87683234085301398</c:v>
                </c:pt>
                <c:pt idx="138">
                  <c:v>0.89368551357821302</c:v>
                </c:pt>
                <c:pt idx="139">
                  <c:v>0.87811016351224602</c:v>
                </c:pt>
                <c:pt idx="140">
                  <c:v>0.89522709255279198</c:v>
                </c:pt>
                <c:pt idx="141">
                  <c:v>0.91259028169208301</c:v>
                </c:pt>
                <c:pt idx="142">
                  <c:v>0.87344930653794395</c:v>
                </c:pt>
                <c:pt idx="143">
                  <c:v>0.85731125996939705</c:v>
                </c:pt>
                <c:pt idx="144">
                  <c:v>0.854493626143913</c:v>
                </c:pt>
                <c:pt idx="145">
                  <c:v>0.86745968477328095</c:v>
                </c:pt>
                <c:pt idx="146">
                  <c:v>0.83819941388679298</c:v>
                </c:pt>
                <c:pt idx="147">
                  <c:v>0.85198632502448901</c:v>
                </c:pt>
                <c:pt idx="148">
                  <c:v>0.86745968477328095</c:v>
                </c:pt>
                <c:pt idx="149">
                  <c:v>0.86768818253450297</c:v>
                </c:pt>
                <c:pt idx="150">
                  <c:v>0.89814744996460805</c:v>
                </c:pt>
                <c:pt idx="151">
                  <c:v>0.88516739973977598</c:v>
                </c:pt>
                <c:pt idx="152">
                  <c:v>0.88265848165302496</c:v>
                </c:pt>
                <c:pt idx="153">
                  <c:v>0.85531584833132801</c:v>
                </c:pt>
                <c:pt idx="154">
                  <c:v>0.86306170802286497</c:v>
                </c:pt>
                <c:pt idx="155">
                  <c:v>0.86306170802286497</c:v>
                </c:pt>
                <c:pt idx="156">
                  <c:v>0.84549296973434196</c:v>
                </c:pt>
                <c:pt idx="157">
                  <c:v>0.86243439572202496</c:v>
                </c:pt>
                <c:pt idx="158">
                  <c:v>0.83268888035603505</c:v>
                </c:pt>
                <c:pt idx="159">
                  <c:v>0.82948257912141399</c:v>
                </c:pt>
                <c:pt idx="160">
                  <c:v>0.83152220645888697</c:v>
                </c:pt>
                <c:pt idx="161">
                  <c:v>0.807152941952609</c:v>
                </c:pt>
                <c:pt idx="162">
                  <c:v>0.80437080516661097</c:v>
                </c:pt>
                <c:pt idx="163">
                  <c:v>0.80193881910043296</c:v>
                </c:pt>
                <c:pt idx="164">
                  <c:v>0.77781138796328697</c:v>
                </c:pt>
                <c:pt idx="165">
                  <c:v>0.80193881910043296</c:v>
                </c:pt>
                <c:pt idx="166">
                  <c:v>0.75253147533014197</c:v>
                </c:pt>
                <c:pt idx="167">
                  <c:v>0.749723434167341</c:v>
                </c:pt>
                <c:pt idx="168">
                  <c:v>0.69937061468571404</c:v>
                </c:pt>
                <c:pt idx="169">
                  <c:v>0.77421402081353796</c:v>
                </c:pt>
                <c:pt idx="170">
                  <c:v>0.78283886771012201</c:v>
                </c:pt>
                <c:pt idx="171">
                  <c:v>0.77480777056815697</c:v>
                </c:pt>
                <c:pt idx="172">
                  <c:v>0.76669716579457303</c:v>
                </c:pt>
                <c:pt idx="173">
                  <c:v>0.79842547980239797</c:v>
                </c:pt>
                <c:pt idx="174">
                  <c:v>0.79842547980239797</c:v>
                </c:pt>
                <c:pt idx="175">
                  <c:v>0.79842547980239797</c:v>
                </c:pt>
                <c:pt idx="176">
                  <c:v>0.78339393568549298</c:v>
                </c:pt>
                <c:pt idx="177">
                  <c:v>0.81461584859780101</c:v>
                </c:pt>
                <c:pt idx="178">
                  <c:v>0.81626218699844599</c:v>
                </c:pt>
                <c:pt idx="179">
                  <c:v>0.80629912189469399</c:v>
                </c:pt>
                <c:pt idx="180">
                  <c:v>0.81734633197465201</c:v>
                </c:pt>
                <c:pt idx="181">
                  <c:v>0.82537040355923197</c:v>
                </c:pt>
                <c:pt idx="182">
                  <c:v>0.79646175435893696</c:v>
                </c:pt>
                <c:pt idx="183">
                  <c:v>0.79445840936885304</c:v>
                </c:pt>
                <c:pt idx="184">
                  <c:v>0.79441104681633201</c:v>
                </c:pt>
                <c:pt idx="185">
                  <c:v>0.80850149462655696</c:v>
                </c:pt>
                <c:pt idx="186">
                  <c:v>0.80719780316763601</c:v>
                </c:pt>
                <c:pt idx="187">
                  <c:v>0.80724570771905702</c:v>
                </c:pt>
                <c:pt idx="188">
                  <c:v>0.80719780316763601</c:v>
                </c:pt>
                <c:pt idx="189">
                  <c:v>0.77033919514702098</c:v>
                </c:pt>
                <c:pt idx="190">
                  <c:v>0.76889855223368597</c:v>
                </c:pt>
                <c:pt idx="191">
                  <c:v>0.75043074974252599</c:v>
                </c:pt>
                <c:pt idx="192">
                  <c:v>0.82324225699227804</c:v>
                </c:pt>
                <c:pt idx="193">
                  <c:v>0.83535228019697605</c:v>
                </c:pt>
                <c:pt idx="194">
                  <c:v>0.78804143101353397</c:v>
                </c:pt>
                <c:pt idx="195">
                  <c:v>0.78804143101353397</c:v>
                </c:pt>
                <c:pt idx="196">
                  <c:v>0.78586619764471199</c:v>
                </c:pt>
                <c:pt idx="197">
                  <c:v>0.72518805605942505</c:v>
                </c:pt>
                <c:pt idx="198">
                  <c:v>0.73013076231760698</c:v>
                </c:pt>
                <c:pt idx="199">
                  <c:v>0.76968967049094095</c:v>
                </c:pt>
                <c:pt idx="200">
                  <c:v>0.68796050816059295</c:v>
                </c:pt>
                <c:pt idx="201">
                  <c:v>0.59636201439054404</c:v>
                </c:pt>
                <c:pt idx="202">
                  <c:v>0.52333294764067595</c:v>
                </c:pt>
                <c:pt idx="203">
                  <c:v>0.53018048409344898</c:v>
                </c:pt>
                <c:pt idx="204">
                  <c:v>0.55014388201104203</c:v>
                </c:pt>
                <c:pt idx="205">
                  <c:v>0.49771283747510803</c:v>
                </c:pt>
                <c:pt idx="206">
                  <c:v>0.55445082777023702</c:v>
                </c:pt>
                <c:pt idx="207">
                  <c:v>0.53450860338875705</c:v>
                </c:pt>
                <c:pt idx="208">
                  <c:v>0.55544034698333999</c:v>
                </c:pt>
                <c:pt idx="209">
                  <c:v>0.55556126357331004</c:v>
                </c:pt>
                <c:pt idx="210">
                  <c:v>0.53450860338875705</c:v>
                </c:pt>
                <c:pt idx="211">
                  <c:v>0.50568534347274297</c:v>
                </c:pt>
                <c:pt idx="212">
                  <c:v>0.50447592982476996</c:v>
                </c:pt>
                <c:pt idx="213">
                  <c:v>0.50042582297659</c:v>
                </c:pt>
                <c:pt idx="214">
                  <c:v>0.45891120103405703</c:v>
                </c:pt>
                <c:pt idx="215">
                  <c:v>0.44565511936132601</c:v>
                </c:pt>
                <c:pt idx="216">
                  <c:v>0.44381782258269298</c:v>
                </c:pt>
                <c:pt idx="217">
                  <c:v>0.41340612440810998</c:v>
                </c:pt>
                <c:pt idx="218">
                  <c:v>0.414778538159287</c:v>
                </c:pt>
                <c:pt idx="219">
                  <c:v>0.42282958858632702</c:v>
                </c:pt>
                <c:pt idx="220">
                  <c:v>0.450158099668103</c:v>
                </c:pt>
                <c:pt idx="221">
                  <c:v>0.46784663358763601</c:v>
                </c:pt>
                <c:pt idx="222">
                  <c:v>0.42124985629360401</c:v>
                </c:pt>
                <c:pt idx="223">
                  <c:v>0.42215163100202302</c:v>
                </c:pt>
                <c:pt idx="224">
                  <c:v>0.41551493659156002</c:v>
                </c:pt>
                <c:pt idx="225">
                  <c:v>0.37678804128174298</c:v>
                </c:pt>
                <c:pt idx="226">
                  <c:v>0.35529176669040102</c:v>
                </c:pt>
                <c:pt idx="227">
                  <c:v>0.43462013043084002</c:v>
                </c:pt>
                <c:pt idx="228">
                  <c:v>0.47679593730615699</c:v>
                </c:pt>
                <c:pt idx="229">
                  <c:v>0.48029569588235599</c:v>
                </c:pt>
                <c:pt idx="230">
                  <c:v>0.49650185657562101</c:v>
                </c:pt>
                <c:pt idx="231">
                  <c:v>0.477996028899563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689536"/>
        <c:axId val="414696960"/>
      </c:lineChart>
      <c:lineChart>
        <c:grouping val="standard"/>
        <c:varyColors val="0"/>
        <c:ser>
          <c:idx val="3"/>
          <c:order val="3"/>
          <c:tx>
            <c:strRef>
              <c:f>Query!$F$2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Query!$B$3:$B$234</c:f>
              <c:numCache>
                <c:formatCode>m/d/yyyy</c:formatCode>
                <c:ptCount val="232"/>
                <c:pt idx="0">
                  <c:v>42166</c:v>
                </c:pt>
                <c:pt idx="1">
                  <c:v>42159</c:v>
                </c:pt>
                <c:pt idx="2">
                  <c:v>42152</c:v>
                </c:pt>
                <c:pt idx="3">
                  <c:v>42145</c:v>
                </c:pt>
                <c:pt idx="4">
                  <c:v>42138</c:v>
                </c:pt>
                <c:pt idx="5">
                  <c:v>42131</c:v>
                </c:pt>
                <c:pt idx="6">
                  <c:v>42124</c:v>
                </c:pt>
                <c:pt idx="7">
                  <c:v>42117</c:v>
                </c:pt>
                <c:pt idx="8">
                  <c:v>42110</c:v>
                </c:pt>
                <c:pt idx="9">
                  <c:v>42103</c:v>
                </c:pt>
                <c:pt idx="10">
                  <c:v>42096</c:v>
                </c:pt>
                <c:pt idx="11">
                  <c:v>42089</c:v>
                </c:pt>
                <c:pt idx="12">
                  <c:v>42082</c:v>
                </c:pt>
                <c:pt idx="13">
                  <c:v>42075</c:v>
                </c:pt>
                <c:pt idx="14">
                  <c:v>42068</c:v>
                </c:pt>
                <c:pt idx="15">
                  <c:v>42061</c:v>
                </c:pt>
                <c:pt idx="16">
                  <c:v>42054</c:v>
                </c:pt>
                <c:pt idx="17">
                  <c:v>42047</c:v>
                </c:pt>
                <c:pt idx="18">
                  <c:v>42040</c:v>
                </c:pt>
                <c:pt idx="19">
                  <c:v>42033</c:v>
                </c:pt>
                <c:pt idx="20">
                  <c:v>42026</c:v>
                </c:pt>
                <c:pt idx="21">
                  <c:v>42019</c:v>
                </c:pt>
                <c:pt idx="22">
                  <c:v>42012</c:v>
                </c:pt>
                <c:pt idx="23">
                  <c:v>42004</c:v>
                </c:pt>
                <c:pt idx="24">
                  <c:v>41997</c:v>
                </c:pt>
                <c:pt idx="25">
                  <c:v>41991</c:v>
                </c:pt>
                <c:pt idx="26">
                  <c:v>41984</c:v>
                </c:pt>
                <c:pt idx="27">
                  <c:v>41977</c:v>
                </c:pt>
                <c:pt idx="28">
                  <c:v>41969</c:v>
                </c:pt>
                <c:pt idx="29">
                  <c:v>41963</c:v>
                </c:pt>
                <c:pt idx="30">
                  <c:v>41956</c:v>
                </c:pt>
                <c:pt idx="31">
                  <c:v>41949</c:v>
                </c:pt>
                <c:pt idx="32">
                  <c:v>41942</c:v>
                </c:pt>
                <c:pt idx="33">
                  <c:v>41935</c:v>
                </c:pt>
                <c:pt idx="34">
                  <c:v>41928</c:v>
                </c:pt>
                <c:pt idx="35">
                  <c:v>41921</c:v>
                </c:pt>
                <c:pt idx="36">
                  <c:v>41914</c:v>
                </c:pt>
                <c:pt idx="37">
                  <c:v>41907</c:v>
                </c:pt>
                <c:pt idx="38">
                  <c:v>41900</c:v>
                </c:pt>
                <c:pt idx="39">
                  <c:v>41893</c:v>
                </c:pt>
                <c:pt idx="40">
                  <c:v>41886</c:v>
                </c:pt>
                <c:pt idx="41">
                  <c:v>41879</c:v>
                </c:pt>
                <c:pt idx="42">
                  <c:v>41872</c:v>
                </c:pt>
                <c:pt idx="43">
                  <c:v>41865</c:v>
                </c:pt>
                <c:pt idx="44">
                  <c:v>41858</c:v>
                </c:pt>
                <c:pt idx="45">
                  <c:v>41851</c:v>
                </c:pt>
                <c:pt idx="46">
                  <c:v>41844</c:v>
                </c:pt>
                <c:pt idx="47">
                  <c:v>41837</c:v>
                </c:pt>
                <c:pt idx="48">
                  <c:v>41830</c:v>
                </c:pt>
                <c:pt idx="49">
                  <c:v>41823</c:v>
                </c:pt>
                <c:pt idx="50">
                  <c:v>41816</c:v>
                </c:pt>
                <c:pt idx="51">
                  <c:v>41809</c:v>
                </c:pt>
                <c:pt idx="52">
                  <c:v>41802</c:v>
                </c:pt>
                <c:pt idx="53">
                  <c:v>41795</c:v>
                </c:pt>
                <c:pt idx="54">
                  <c:v>41788</c:v>
                </c:pt>
                <c:pt idx="55">
                  <c:v>41781</c:v>
                </c:pt>
                <c:pt idx="56">
                  <c:v>41774</c:v>
                </c:pt>
                <c:pt idx="57">
                  <c:v>41767</c:v>
                </c:pt>
                <c:pt idx="58">
                  <c:v>41760</c:v>
                </c:pt>
                <c:pt idx="59">
                  <c:v>41753</c:v>
                </c:pt>
                <c:pt idx="60">
                  <c:v>41746</c:v>
                </c:pt>
                <c:pt idx="61">
                  <c:v>41739</c:v>
                </c:pt>
                <c:pt idx="62">
                  <c:v>41732</c:v>
                </c:pt>
                <c:pt idx="63">
                  <c:v>41725</c:v>
                </c:pt>
                <c:pt idx="64">
                  <c:v>41718</c:v>
                </c:pt>
                <c:pt idx="65">
                  <c:v>41711</c:v>
                </c:pt>
                <c:pt idx="66">
                  <c:v>41704</c:v>
                </c:pt>
                <c:pt idx="67">
                  <c:v>41697</c:v>
                </c:pt>
                <c:pt idx="68">
                  <c:v>41690</c:v>
                </c:pt>
                <c:pt idx="69">
                  <c:v>41683</c:v>
                </c:pt>
                <c:pt idx="70">
                  <c:v>41676</c:v>
                </c:pt>
                <c:pt idx="71">
                  <c:v>41669</c:v>
                </c:pt>
                <c:pt idx="72">
                  <c:v>41662</c:v>
                </c:pt>
                <c:pt idx="73">
                  <c:v>41655</c:v>
                </c:pt>
                <c:pt idx="74">
                  <c:v>41648</c:v>
                </c:pt>
                <c:pt idx="75">
                  <c:v>41641</c:v>
                </c:pt>
                <c:pt idx="76">
                  <c:v>41634</c:v>
                </c:pt>
                <c:pt idx="77">
                  <c:v>41627</c:v>
                </c:pt>
                <c:pt idx="78">
                  <c:v>41620</c:v>
                </c:pt>
                <c:pt idx="79">
                  <c:v>41613</c:v>
                </c:pt>
                <c:pt idx="80">
                  <c:v>41605</c:v>
                </c:pt>
                <c:pt idx="81">
                  <c:v>41599</c:v>
                </c:pt>
                <c:pt idx="82">
                  <c:v>41592</c:v>
                </c:pt>
                <c:pt idx="83">
                  <c:v>41585</c:v>
                </c:pt>
                <c:pt idx="84">
                  <c:v>41578</c:v>
                </c:pt>
                <c:pt idx="85">
                  <c:v>41571</c:v>
                </c:pt>
                <c:pt idx="86">
                  <c:v>41564</c:v>
                </c:pt>
                <c:pt idx="87">
                  <c:v>41557</c:v>
                </c:pt>
                <c:pt idx="88">
                  <c:v>41550</c:v>
                </c:pt>
                <c:pt idx="89">
                  <c:v>41543</c:v>
                </c:pt>
                <c:pt idx="90">
                  <c:v>41536</c:v>
                </c:pt>
                <c:pt idx="91">
                  <c:v>41529</c:v>
                </c:pt>
                <c:pt idx="92">
                  <c:v>41522</c:v>
                </c:pt>
                <c:pt idx="93">
                  <c:v>41515</c:v>
                </c:pt>
                <c:pt idx="94">
                  <c:v>41508</c:v>
                </c:pt>
                <c:pt idx="95">
                  <c:v>41501</c:v>
                </c:pt>
                <c:pt idx="96">
                  <c:v>41494</c:v>
                </c:pt>
                <c:pt idx="97">
                  <c:v>41487</c:v>
                </c:pt>
                <c:pt idx="98">
                  <c:v>41480</c:v>
                </c:pt>
                <c:pt idx="99">
                  <c:v>41473</c:v>
                </c:pt>
                <c:pt idx="100">
                  <c:v>41466</c:v>
                </c:pt>
                <c:pt idx="101">
                  <c:v>41458</c:v>
                </c:pt>
                <c:pt idx="102">
                  <c:v>41452</c:v>
                </c:pt>
                <c:pt idx="103">
                  <c:v>41445</c:v>
                </c:pt>
                <c:pt idx="104">
                  <c:v>41438</c:v>
                </c:pt>
                <c:pt idx="105">
                  <c:v>41431</c:v>
                </c:pt>
                <c:pt idx="106">
                  <c:v>41424</c:v>
                </c:pt>
                <c:pt idx="107">
                  <c:v>41417</c:v>
                </c:pt>
                <c:pt idx="108">
                  <c:v>41410</c:v>
                </c:pt>
                <c:pt idx="109">
                  <c:v>41403</c:v>
                </c:pt>
                <c:pt idx="110">
                  <c:v>41396</c:v>
                </c:pt>
                <c:pt idx="111">
                  <c:v>41389</c:v>
                </c:pt>
                <c:pt idx="112">
                  <c:v>41382</c:v>
                </c:pt>
                <c:pt idx="113">
                  <c:v>41375</c:v>
                </c:pt>
                <c:pt idx="114">
                  <c:v>41368</c:v>
                </c:pt>
                <c:pt idx="115">
                  <c:v>41361</c:v>
                </c:pt>
                <c:pt idx="116">
                  <c:v>41354</c:v>
                </c:pt>
                <c:pt idx="117">
                  <c:v>41347</c:v>
                </c:pt>
                <c:pt idx="118">
                  <c:v>41340</c:v>
                </c:pt>
                <c:pt idx="119">
                  <c:v>41333</c:v>
                </c:pt>
                <c:pt idx="120">
                  <c:v>41326</c:v>
                </c:pt>
                <c:pt idx="121">
                  <c:v>41319</c:v>
                </c:pt>
                <c:pt idx="122">
                  <c:v>41312</c:v>
                </c:pt>
                <c:pt idx="123">
                  <c:v>41305</c:v>
                </c:pt>
                <c:pt idx="124">
                  <c:v>41298</c:v>
                </c:pt>
                <c:pt idx="125">
                  <c:v>41291</c:v>
                </c:pt>
                <c:pt idx="126">
                  <c:v>41284</c:v>
                </c:pt>
                <c:pt idx="127">
                  <c:v>41277</c:v>
                </c:pt>
                <c:pt idx="128">
                  <c:v>41270</c:v>
                </c:pt>
                <c:pt idx="129">
                  <c:v>41263</c:v>
                </c:pt>
                <c:pt idx="130">
                  <c:v>41256</c:v>
                </c:pt>
                <c:pt idx="131">
                  <c:v>41249</c:v>
                </c:pt>
                <c:pt idx="132">
                  <c:v>41242</c:v>
                </c:pt>
                <c:pt idx="133">
                  <c:v>41234</c:v>
                </c:pt>
                <c:pt idx="134">
                  <c:v>41228</c:v>
                </c:pt>
                <c:pt idx="135">
                  <c:v>41221</c:v>
                </c:pt>
                <c:pt idx="136">
                  <c:v>41214</c:v>
                </c:pt>
                <c:pt idx="137">
                  <c:v>41207</c:v>
                </c:pt>
                <c:pt idx="138">
                  <c:v>41200</c:v>
                </c:pt>
                <c:pt idx="139">
                  <c:v>41193</c:v>
                </c:pt>
                <c:pt idx="140">
                  <c:v>41186</c:v>
                </c:pt>
                <c:pt idx="141">
                  <c:v>41179</c:v>
                </c:pt>
                <c:pt idx="142">
                  <c:v>41172</c:v>
                </c:pt>
                <c:pt idx="143">
                  <c:v>41165</c:v>
                </c:pt>
                <c:pt idx="144">
                  <c:v>41158</c:v>
                </c:pt>
                <c:pt idx="145">
                  <c:v>41151</c:v>
                </c:pt>
                <c:pt idx="146">
                  <c:v>41144</c:v>
                </c:pt>
                <c:pt idx="147">
                  <c:v>41137</c:v>
                </c:pt>
                <c:pt idx="148">
                  <c:v>41130</c:v>
                </c:pt>
                <c:pt idx="149">
                  <c:v>41123</c:v>
                </c:pt>
                <c:pt idx="150">
                  <c:v>41116</c:v>
                </c:pt>
                <c:pt idx="151">
                  <c:v>41109</c:v>
                </c:pt>
                <c:pt idx="152">
                  <c:v>41102</c:v>
                </c:pt>
                <c:pt idx="153">
                  <c:v>41095</c:v>
                </c:pt>
                <c:pt idx="154">
                  <c:v>41088</c:v>
                </c:pt>
                <c:pt idx="155">
                  <c:v>41081</c:v>
                </c:pt>
                <c:pt idx="156">
                  <c:v>41074</c:v>
                </c:pt>
                <c:pt idx="157">
                  <c:v>41067</c:v>
                </c:pt>
                <c:pt idx="158">
                  <c:v>41060</c:v>
                </c:pt>
                <c:pt idx="159">
                  <c:v>41053</c:v>
                </c:pt>
                <c:pt idx="160">
                  <c:v>41046</c:v>
                </c:pt>
                <c:pt idx="161">
                  <c:v>41039</c:v>
                </c:pt>
                <c:pt idx="162">
                  <c:v>41032</c:v>
                </c:pt>
                <c:pt idx="163">
                  <c:v>41025</c:v>
                </c:pt>
                <c:pt idx="164">
                  <c:v>41018</c:v>
                </c:pt>
                <c:pt idx="165">
                  <c:v>41011</c:v>
                </c:pt>
                <c:pt idx="166">
                  <c:v>41004</c:v>
                </c:pt>
                <c:pt idx="167">
                  <c:v>40997</c:v>
                </c:pt>
                <c:pt idx="168">
                  <c:v>40990</c:v>
                </c:pt>
                <c:pt idx="169">
                  <c:v>40983</c:v>
                </c:pt>
                <c:pt idx="170">
                  <c:v>40976</c:v>
                </c:pt>
                <c:pt idx="171">
                  <c:v>40969</c:v>
                </c:pt>
                <c:pt idx="172">
                  <c:v>40962</c:v>
                </c:pt>
                <c:pt idx="173">
                  <c:v>40955</c:v>
                </c:pt>
                <c:pt idx="174">
                  <c:v>40948</c:v>
                </c:pt>
                <c:pt idx="175">
                  <c:v>40941</c:v>
                </c:pt>
                <c:pt idx="176">
                  <c:v>40934</c:v>
                </c:pt>
                <c:pt idx="177">
                  <c:v>40927</c:v>
                </c:pt>
                <c:pt idx="178">
                  <c:v>40920</c:v>
                </c:pt>
                <c:pt idx="179">
                  <c:v>40913</c:v>
                </c:pt>
                <c:pt idx="180">
                  <c:v>40906</c:v>
                </c:pt>
                <c:pt idx="181">
                  <c:v>40899</c:v>
                </c:pt>
                <c:pt idx="182">
                  <c:v>40892</c:v>
                </c:pt>
                <c:pt idx="183">
                  <c:v>40885</c:v>
                </c:pt>
                <c:pt idx="184">
                  <c:v>40878</c:v>
                </c:pt>
                <c:pt idx="185">
                  <c:v>40870</c:v>
                </c:pt>
                <c:pt idx="186">
                  <c:v>40864</c:v>
                </c:pt>
                <c:pt idx="187">
                  <c:v>40857</c:v>
                </c:pt>
                <c:pt idx="188">
                  <c:v>40850</c:v>
                </c:pt>
                <c:pt idx="189">
                  <c:v>40843</c:v>
                </c:pt>
                <c:pt idx="190">
                  <c:v>40836</c:v>
                </c:pt>
                <c:pt idx="191">
                  <c:v>40829</c:v>
                </c:pt>
                <c:pt idx="192">
                  <c:v>40822</c:v>
                </c:pt>
                <c:pt idx="193">
                  <c:v>40815</c:v>
                </c:pt>
                <c:pt idx="194">
                  <c:v>40808</c:v>
                </c:pt>
                <c:pt idx="195">
                  <c:v>40801</c:v>
                </c:pt>
                <c:pt idx="196">
                  <c:v>40794</c:v>
                </c:pt>
                <c:pt idx="197">
                  <c:v>40787</c:v>
                </c:pt>
                <c:pt idx="198">
                  <c:v>40780</c:v>
                </c:pt>
                <c:pt idx="199">
                  <c:v>40773</c:v>
                </c:pt>
                <c:pt idx="200">
                  <c:v>40766</c:v>
                </c:pt>
                <c:pt idx="201">
                  <c:v>40759</c:v>
                </c:pt>
                <c:pt idx="202">
                  <c:v>40752</c:v>
                </c:pt>
                <c:pt idx="203">
                  <c:v>40745</c:v>
                </c:pt>
                <c:pt idx="204">
                  <c:v>40738</c:v>
                </c:pt>
                <c:pt idx="205">
                  <c:v>40731</c:v>
                </c:pt>
                <c:pt idx="206">
                  <c:v>40724</c:v>
                </c:pt>
                <c:pt idx="207">
                  <c:v>40717</c:v>
                </c:pt>
                <c:pt idx="208">
                  <c:v>40710</c:v>
                </c:pt>
                <c:pt idx="209">
                  <c:v>40703</c:v>
                </c:pt>
                <c:pt idx="210">
                  <c:v>40696</c:v>
                </c:pt>
                <c:pt idx="211">
                  <c:v>40689</c:v>
                </c:pt>
                <c:pt idx="212">
                  <c:v>40682</c:v>
                </c:pt>
                <c:pt idx="213">
                  <c:v>40675</c:v>
                </c:pt>
                <c:pt idx="214">
                  <c:v>40668</c:v>
                </c:pt>
                <c:pt idx="215">
                  <c:v>40661</c:v>
                </c:pt>
                <c:pt idx="216">
                  <c:v>40654</c:v>
                </c:pt>
                <c:pt idx="217">
                  <c:v>40647</c:v>
                </c:pt>
                <c:pt idx="218">
                  <c:v>40640</c:v>
                </c:pt>
                <c:pt idx="219">
                  <c:v>40633</c:v>
                </c:pt>
                <c:pt idx="220">
                  <c:v>40626</c:v>
                </c:pt>
                <c:pt idx="221">
                  <c:v>40619</c:v>
                </c:pt>
                <c:pt idx="222">
                  <c:v>40612</c:v>
                </c:pt>
                <c:pt idx="223">
                  <c:v>40605</c:v>
                </c:pt>
                <c:pt idx="224">
                  <c:v>40598</c:v>
                </c:pt>
                <c:pt idx="225">
                  <c:v>40591</c:v>
                </c:pt>
                <c:pt idx="226">
                  <c:v>40584</c:v>
                </c:pt>
                <c:pt idx="227">
                  <c:v>40577</c:v>
                </c:pt>
                <c:pt idx="228">
                  <c:v>40570</c:v>
                </c:pt>
                <c:pt idx="229">
                  <c:v>40563</c:v>
                </c:pt>
                <c:pt idx="230">
                  <c:v>40556</c:v>
                </c:pt>
                <c:pt idx="231">
                  <c:v>40549</c:v>
                </c:pt>
              </c:numCache>
            </c:numRef>
          </c:cat>
          <c:val>
            <c:numRef>
              <c:f>Query!$F$3:$F$234</c:f>
              <c:numCache>
                <c:formatCode>0.00</c:formatCode>
                <c:ptCount val="232"/>
                <c:pt idx="0">
                  <c:v>#N/A</c:v>
                </c:pt>
                <c:pt idx="1">
                  <c:v>1342.4</c:v>
                </c:pt>
                <c:pt idx="2">
                  <c:v>1233.9000000000001</c:v>
                </c:pt>
                <c:pt idx="3">
                  <c:v>1408.1</c:v>
                </c:pt>
                <c:pt idx="4">
                  <c:v>1448.8</c:v>
                </c:pt>
                <c:pt idx="5">
                  <c:v>1477.8</c:v>
                </c:pt>
                <c:pt idx="6">
                  <c:v>1559.4</c:v>
                </c:pt>
                <c:pt idx="7">
                  <c:v>1723</c:v>
                </c:pt>
                <c:pt idx="8">
                  <c:v>1817</c:v>
                </c:pt>
                <c:pt idx="9">
                  <c:v>1804.6</c:v>
                </c:pt>
                <c:pt idx="10">
                  <c:v>1854.7</c:v>
                </c:pt>
                <c:pt idx="11">
                  <c:v>1941.6</c:v>
                </c:pt>
                <c:pt idx="12">
                  <c:v>1860.8</c:v>
                </c:pt>
                <c:pt idx="13">
                  <c:v>1623.6</c:v>
                </c:pt>
                <c:pt idx="14">
                  <c:v>1685.7</c:v>
                </c:pt>
                <c:pt idx="15">
                  <c:v>1740.3</c:v>
                </c:pt>
                <c:pt idx="16">
                  <c:v>1703.1</c:v>
                </c:pt>
                <c:pt idx="17">
                  <c:v>1904.2</c:v>
                </c:pt>
                <c:pt idx="18">
                  <c:v>2291.3000000000002</c:v>
                </c:pt>
                <c:pt idx="19">
                  <c:v>2584.8000000000002</c:v>
                </c:pt>
                <c:pt idx="20">
                  <c:v>2572.3000000000002</c:v>
                </c:pt>
                <c:pt idx="21">
                  <c:v>2799.3</c:v>
                </c:pt>
                <c:pt idx="22">
                  <c:v>2271.5</c:v>
                </c:pt>
                <c:pt idx="23">
                  <c:v>1347.6</c:v>
                </c:pt>
                <c:pt idx="24">
                  <c:v>1164.2</c:v>
                </c:pt>
                <c:pt idx="25">
                  <c:v>1538.7</c:v>
                </c:pt>
                <c:pt idx="26">
                  <c:v>1518.8</c:v>
                </c:pt>
                <c:pt idx="27">
                  <c:v>1548.6</c:v>
                </c:pt>
                <c:pt idx="28">
                  <c:v>#N/A</c:v>
                </c:pt>
                <c:pt idx="29">
                  <c:v>1547.9</c:v>
                </c:pt>
                <c:pt idx="30">
                  <c:v>1563.2</c:v>
                </c:pt>
                <c:pt idx="31">
                  <c:v>1565.3</c:v>
                </c:pt>
                <c:pt idx="32">
                  <c:v>1604.8</c:v>
                </c:pt>
                <c:pt idx="33">
                  <c:v>1713.6</c:v>
                </c:pt>
                <c:pt idx="34">
                  <c:v>1898.2</c:v>
                </c:pt>
                <c:pt idx="35">
                  <c:v>1560.6</c:v>
                </c:pt>
                <c:pt idx="36">
                  <c:v>1387.1</c:v>
                </c:pt>
                <c:pt idx="37">
                  <c:v>1326.2</c:v>
                </c:pt>
                <c:pt idx="38">
                  <c:v>1335.1</c:v>
                </c:pt>
                <c:pt idx="39">
                  <c:v>1398.4</c:v>
                </c:pt>
                <c:pt idx="40">
                  <c:v>1275.8</c:v>
                </c:pt>
                <c:pt idx="41">
                  <c:v>1436</c:v>
                </c:pt>
                <c:pt idx="42">
                  <c:v>1439.4</c:v>
                </c:pt>
                <c:pt idx="43">
                  <c:v>1404.9</c:v>
                </c:pt>
                <c:pt idx="44">
                  <c:v>1342.6</c:v>
                </c:pt>
                <c:pt idx="45">
                  <c:v>1373.9</c:v>
                </c:pt>
                <c:pt idx="46">
                  <c:v>1327.5</c:v>
                </c:pt>
                <c:pt idx="47">
                  <c:v>1400.7</c:v>
                </c:pt>
                <c:pt idx="48">
                  <c:v>1329.7</c:v>
                </c:pt>
                <c:pt idx="49">
                  <c:v>1346.8</c:v>
                </c:pt>
                <c:pt idx="50">
                  <c:v>1341.8</c:v>
                </c:pt>
                <c:pt idx="51">
                  <c:v>1333.5</c:v>
                </c:pt>
                <c:pt idx="52">
                  <c:v>1321.3</c:v>
                </c:pt>
                <c:pt idx="53">
                  <c:v>1516.9</c:v>
                </c:pt>
                <c:pt idx="54">
                  <c:v>1382.6</c:v>
                </c:pt>
                <c:pt idx="55">
                  <c:v>1453.4</c:v>
                </c:pt>
                <c:pt idx="56">
                  <c:v>1460.6</c:v>
                </c:pt>
                <c:pt idx="57">
                  <c:v>1400.9</c:v>
                </c:pt>
                <c:pt idx="58">
                  <c:v>1323.9</c:v>
                </c:pt>
                <c:pt idx="59">
                  <c:v>1298.0999999999999</c:v>
                </c:pt>
                <c:pt idx="60">
                  <c:v>1370.9</c:v>
                </c:pt>
                <c:pt idx="61">
                  <c:v>1429.9</c:v>
                </c:pt>
                <c:pt idx="62">
                  <c:v>1324.7</c:v>
                </c:pt>
                <c:pt idx="63">
                  <c:v>1383.5</c:v>
                </c:pt>
                <c:pt idx="64">
                  <c:v>1426.3</c:v>
                </c:pt>
                <c:pt idx="65">
                  <c:v>1552.1</c:v>
                </c:pt>
                <c:pt idx="66">
                  <c:v>1528</c:v>
                </c:pt>
                <c:pt idx="67">
                  <c:v>1600.6</c:v>
                </c:pt>
                <c:pt idx="68">
                  <c:v>1442.3</c:v>
                </c:pt>
                <c:pt idx="69">
                  <c:v>1650.6</c:v>
                </c:pt>
                <c:pt idx="70">
                  <c:v>1674.2</c:v>
                </c:pt>
                <c:pt idx="71">
                  <c:v>1667.5</c:v>
                </c:pt>
                <c:pt idx="72">
                  <c:v>1601.2</c:v>
                </c:pt>
                <c:pt idx="73">
                  <c:v>1675.8</c:v>
                </c:pt>
                <c:pt idx="74">
                  <c:v>1507</c:v>
                </c:pt>
                <c:pt idx="75">
                  <c:v>1352.7</c:v>
                </c:pt>
                <c:pt idx="76">
                  <c:v>1277.8</c:v>
                </c:pt>
                <c:pt idx="77">
                  <c:v>1426.7</c:v>
                </c:pt>
                <c:pt idx="78">
                  <c:v>1529.8</c:v>
                </c:pt>
                <c:pt idx="79">
                  <c:v>1599.4</c:v>
                </c:pt>
                <c:pt idx="80">
                  <c:v>#N/A</c:v>
                </c:pt>
                <c:pt idx="81">
                  <c:v>1917.2</c:v>
                </c:pt>
                <c:pt idx="82">
                  <c:v>1903.5</c:v>
                </c:pt>
                <c:pt idx="83">
                  <c:v>2056.9</c:v>
                </c:pt>
                <c:pt idx="84">
                  <c:v>2105.6</c:v>
                </c:pt>
                <c:pt idx="85">
                  <c:v>2211.8000000000002</c:v>
                </c:pt>
                <c:pt idx="86">
                  <c:v>2033.7</c:v>
                </c:pt>
                <c:pt idx="87">
                  <c:v>2102.6999999999998</c:v>
                </c:pt>
                <c:pt idx="88">
                  <c:v>2025.3</c:v>
                </c:pt>
                <c:pt idx="89">
                  <c:v>1956.6</c:v>
                </c:pt>
                <c:pt idx="90">
                  <c:v>1922.9</c:v>
                </c:pt>
                <c:pt idx="91">
                  <c:v>1814</c:v>
                </c:pt>
                <c:pt idx="92">
                  <c:v>1512.9</c:v>
                </c:pt>
                <c:pt idx="93">
                  <c:v>1909</c:v>
                </c:pt>
                <c:pt idx="94">
                  <c:v>1842.6</c:v>
                </c:pt>
                <c:pt idx="95">
                  <c:v>1935.1</c:v>
                </c:pt>
                <c:pt idx="96">
                  <c:v>2110.6</c:v>
                </c:pt>
                <c:pt idx="97">
                  <c:v>2228.9</c:v>
                </c:pt>
                <c:pt idx="98">
                  <c:v>2218.3000000000002</c:v>
                </c:pt>
                <c:pt idx="99">
                  <c:v>2288</c:v>
                </c:pt>
                <c:pt idx="100">
                  <c:v>2242.1999999999998</c:v>
                </c:pt>
                <c:pt idx="101">
                  <c:v>#N/A</c:v>
                </c:pt>
                <c:pt idx="102">
                  <c:v>2573.4</c:v>
                </c:pt>
                <c:pt idx="103">
                  <c:v>3040.1</c:v>
                </c:pt>
                <c:pt idx="104">
                  <c:v>3214.4</c:v>
                </c:pt>
                <c:pt idx="105">
                  <c:v>3339.8</c:v>
                </c:pt>
                <c:pt idx="106">
                  <c:v>3163.6</c:v>
                </c:pt>
                <c:pt idx="107">
                  <c:v>3709.4</c:v>
                </c:pt>
                <c:pt idx="108">
                  <c:v>4241.5</c:v>
                </c:pt>
                <c:pt idx="109">
                  <c:v>4797.2</c:v>
                </c:pt>
                <c:pt idx="110">
                  <c:v>5279.9</c:v>
                </c:pt>
                <c:pt idx="111">
                  <c:v>4854.1000000000004</c:v>
                </c:pt>
                <c:pt idx="112">
                  <c:v>4672.1000000000004</c:v>
                </c:pt>
                <c:pt idx="113">
                  <c:v>4726.8999999999996</c:v>
                </c:pt>
                <c:pt idx="114">
                  <c:v>4528.8999999999996</c:v>
                </c:pt>
                <c:pt idx="115">
                  <c:v>4119.2</c:v>
                </c:pt>
                <c:pt idx="116">
                  <c:v>4412.8999999999996</c:v>
                </c:pt>
                <c:pt idx="117">
                  <c:v>4111.3</c:v>
                </c:pt>
                <c:pt idx="118">
                  <c:v>4485.2</c:v>
                </c:pt>
                <c:pt idx="119">
                  <c:v>4724.8999999999996</c:v>
                </c:pt>
                <c:pt idx="120">
                  <c:v>4136.3</c:v>
                </c:pt>
                <c:pt idx="121">
                  <c:v>4261.8</c:v>
                </c:pt>
                <c:pt idx="122">
                  <c:v>4284.3</c:v>
                </c:pt>
                <c:pt idx="123">
                  <c:v>4579</c:v>
                </c:pt>
                <c:pt idx="124">
                  <c:v>4433.6000000000004</c:v>
                </c:pt>
                <c:pt idx="125">
                  <c:v>4937.3999999999996</c:v>
                </c:pt>
                <c:pt idx="126">
                  <c:v>4554.3999999999996</c:v>
                </c:pt>
                <c:pt idx="127">
                  <c:v>3896.4</c:v>
                </c:pt>
                <c:pt idx="128">
                  <c:v>3488.9</c:v>
                </c:pt>
                <c:pt idx="129">
                  <c:v>3983.2</c:v>
                </c:pt>
                <c:pt idx="130">
                  <c:v>4564.3999999999996</c:v>
                </c:pt>
                <c:pt idx="131">
                  <c:v>5368.1</c:v>
                </c:pt>
                <c:pt idx="132">
                  <c:v>4943</c:v>
                </c:pt>
                <c:pt idx="133">
                  <c:v>#N/A</c:v>
                </c:pt>
                <c:pt idx="134">
                  <c:v>4702.3999999999996</c:v>
                </c:pt>
                <c:pt idx="135">
                  <c:v>4856.1000000000004</c:v>
                </c:pt>
                <c:pt idx="136">
                  <c:v>4297.7</c:v>
                </c:pt>
                <c:pt idx="137">
                  <c:v>4550.7</c:v>
                </c:pt>
                <c:pt idx="138">
                  <c:v>4847.2</c:v>
                </c:pt>
                <c:pt idx="139">
                  <c:v>5572.2</c:v>
                </c:pt>
                <c:pt idx="140">
                  <c:v>5892.5</c:v>
                </c:pt>
                <c:pt idx="141">
                  <c:v>5965.5</c:v>
                </c:pt>
                <c:pt idx="142">
                  <c:v>4979</c:v>
                </c:pt>
                <c:pt idx="143">
                  <c:v>4823.3</c:v>
                </c:pt>
                <c:pt idx="144">
                  <c:v>4779.1000000000004</c:v>
                </c:pt>
                <c:pt idx="145">
                  <c:v>4274.8</c:v>
                </c:pt>
                <c:pt idx="146">
                  <c:v>4414.6000000000004</c:v>
                </c:pt>
                <c:pt idx="147">
                  <c:v>4671.1000000000004</c:v>
                </c:pt>
                <c:pt idx="148">
                  <c:v>5172.2</c:v>
                </c:pt>
                <c:pt idx="149">
                  <c:v>5444.3</c:v>
                </c:pt>
                <c:pt idx="150">
                  <c:v>5492.1</c:v>
                </c:pt>
                <c:pt idx="151">
                  <c:v>5383.1</c:v>
                </c:pt>
                <c:pt idx="152">
                  <c:v>5246.8</c:v>
                </c:pt>
                <c:pt idx="153">
                  <c:v>4267.8999999999996</c:v>
                </c:pt>
                <c:pt idx="154">
                  <c:v>4372.2</c:v>
                </c:pt>
                <c:pt idx="155">
                  <c:v>4585.8</c:v>
                </c:pt>
                <c:pt idx="156">
                  <c:v>4719.6000000000004</c:v>
                </c:pt>
                <c:pt idx="157">
                  <c:v>5590</c:v>
                </c:pt>
                <c:pt idx="158">
                  <c:v>4736</c:v>
                </c:pt>
                <c:pt idx="159">
                  <c:v>4675.8999999999996</c:v>
                </c:pt>
                <c:pt idx="160">
                  <c:v>4732</c:v>
                </c:pt>
                <c:pt idx="161">
                  <c:v>4482</c:v>
                </c:pt>
                <c:pt idx="162">
                  <c:v>3924.4</c:v>
                </c:pt>
                <c:pt idx="163">
                  <c:v>3856</c:v>
                </c:pt>
                <c:pt idx="164">
                  <c:v>3892.2</c:v>
                </c:pt>
                <c:pt idx="165">
                  <c:v>4144.3</c:v>
                </c:pt>
                <c:pt idx="166">
                  <c:v>3549.3</c:v>
                </c:pt>
                <c:pt idx="167">
                  <c:v>3699.5</c:v>
                </c:pt>
                <c:pt idx="168">
                  <c:v>3588.4</c:v>
                </c:pt>
                <c:pt idx="169">
                  <c:v>3715.2</c:v>
                </c:pt>
                <c:pt idx="170">
                  <c:v>4063.4</c:v>
                </c:pt>
                <c:pt idx="171">
                  <c:v>4277.6000000000004</c:v>
                </c:pt>
                <c:pt idx="172">
                  <c:v>4379.1000000000004</c:v>
                </c:pt>
                <c:pt idx="173">
                  <c:v>4466.8999999999996</c:v>
                </c:pt>
                <c:pt idx="174">
                  <c:v>4716.1000000000004</c:v>
                </c:pt>
                <c:pt idx="175">
                  <c:v>4617.1000000000004</c:v>
                </c:pt>
                <c:pt idx="176">
                  <c:v>4184.3</c:v>
                </c:pt>
                <c:pt idx="177">
                  <c:v>4326.3999999999996</c:v>
                </c:pt>
                <c:pt idx="178">
                  <c:v>4626.5</c:v>
                </c:pt>
                <c:pt idx="179">
                  <c:v>3668.3</c:v>
                </c:pt>
                <c:pt idx="180">
                  <c:v>3608.1</c:v>
                </c:pt>
                <c:pt idx="181">
                  <c:v>3684.5</c:v>
                </c:pt>
                <c:pt idx="182">
                  <c:v>3676.1</c:v>
                </c:pt>
                <c:pt idx="183">
                  <c:v>3708.6</c:v>
                </c:pt>
                <c:pt idx="184">
                  <c:v>3394.7</c:v>
                </c:pt>
                <c:pt idx="185">
                  <c:v>#N/A</c:v>
                </c:pt>
                <c:pt idx="186">
                  <c:v>3466.8</c:v>
                </c:pt>
                <c:pt idx="187">
                  <c:v>3664.5</c:v>
                </c:pt>
                <c:pt idx="188">
                  <c:v>4137.6000000000004</c:v>
                </c:pt>
                <c:pt idx="189">
                  <c:v>3695</c:v>
                </c:pt>
                <c:pt idx="190">
                  <c:v>3719.3</c:v>
                </c:pt>
                <c:pt idx="191">
                  <c:v>3553.2</c:v>
                </c:pt>
                <c:pt idx="192">
                  <c:v>4251.1000000000004</c:v>
                </c:pt>
                <c:pt idx="193">
                  <c:v>4241.8</c:v>
                </c:pt>
                <c:pt idx="194">
                  <c:v>4512.1000000000004</c:v>
                </c:pt>
                <c:pt idx="195">
                  <c:v>4033.8</c:v>
                </c:pt>
                <c:pt idx="196">
                  <c:v>3571.7</c:v>
                </c:pt>
                <c:pt idx="197">
                  <c:v>3372</c:v>
                </c:pt>
                <c:pt idx="198">
                  <c:v>3601.3</c:v>
                </c:pt>
                <c:pt idx="199">
                  <c:v>4110.8</c:v>
                </c:pt>
                <c:pt idx="200">
                  <c:v>4184.3999999999996</c:v>
                </c:pt>
                <c:pt idx="201">
                  <c:v>3880.9</c:v>
                </c:pt>
                <c:pt idx="202">
                  <c:v>2974.1</c:v>
                </c:pt>
                <c:pt idx="203">
                  <c:v>2769.6</c:v>
                </c:pt>
                <c:pt idx="204">
                  <c:v>2923.8</c:v>
                </c:pt>
                <c:pt idx="205">
                  <c:v>2362.6999999999998</c:v>
                </c:pt>
                <c:pt idx="206">
                  <c:v>2527.5</c:v>
                </c:pt>
                <c:pt idx="207">
                  <c:v>2809.5</c:v>
                </c:pt>
                <c:pt idx="208">
                  <c:v>2857.9</c:v>
                </c:pt>
                <c:pt idx="209">
                  <c:v>3101.7</c:v>
                </c:pt>
                <c:pt idx="210">
                  <c:v>2648</c:v>
                </c:pt>
                <c:pt idx="211">
                  <c:v>2619.6999999999998</c:v>
                </c:pt>
                <c:pt idx="212">
                  <c:v>2764.6</c:v>
                </c:pt>
                <c:pt idx="213">
                  <c:v>2742.2</c:v>
                </c:pt>
                <c:pt idx="214">
                  <c:v>2414.9</c:v>
                </c:pt>
                <c:pt idx="215">
                  <c:v>2220.1</c:v>
                </c:pt>
                <c:pt idx="216">
                  <c:v>2091.4</c:v>
                </c:pt>
                <c:pt idx="217">
                  <c:v>2065.3000000000002</c:v>
                </c:pt>
                <c:pt idx="218">
                  <c:v>2010.6</c:v>
                </c:pt>
                <c:pt idx="219">
                  <c:v>2194.4</c:v>
                </c:pt>
                <c:pt idx="220">
                  <c:v>2350.6999999999998</c:v>
                </c:pt>
                <c:pt idx="221">
                  <c:v>2620.8000000000002</c:v>
                </c:pt>
                <c:pt idx="222">
                  <c:v>2563.6</c:v>
                </c:pt>
                <c:pt idx="223">
                  <c:v>2539.4</c:v>
                </c:pt>
                <c:pt idx="224">
                  <c:v>2155.5</c:v>
                </c:pt>
                <c:pt idx="225">
                  <c:v>2325.3000000000002</c:v>
                </c:pt>
                <c:pt idx="226">
                  <c:v>1953.2</c:v>
                </c:pt>
                <c:pt idx="227">
                  <c:v>2190.4</c:v>
                </c:pt>
                <c:pt idx="228">
                  <c:v>2371.1</c:v>
                </c:pt>
                <c:pt idx="229">
                  <c:v>2129.6999999999998</c:v>
                </c:pt>
                <c:pt idx="230">
                  <c:v>2528.6999999999998</c:v>
                </c:pt>
                <c:pt idx="231">
                  <c:v>2344.3000000000002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622336"/>
        <c:axId val="417041792"/>
      </c:lineChart>
      <c:dateAx>
        <c:axId val="414689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14696960"/>
        <c:crosses val="autoZero"/>
        <c:auto val="1"/>
        <c:lblOffset val="100"/>
        <c:baseTimeUnit val="days"/>
        <c:majorUnit val="6"/>
        <c:majorTimeUnit val="months"/>
      </c:dateAx>
      <c:valAx>
        <c:axId val="414696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14689536"/>
        <c:crosses val="autoZero"/>
        <c:crossBetween val="between"/>
      </c:valAx>
      <c:valAx>
        <c:axId val="41704179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424622336"/>
        <c:crosses val="max"/>
        <c:crossBetween val="between"/>
      </c:valAx>
      <c:dateAx>
        <c:axId val="4246223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17041792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0.74492812302243472</c:v>
                </c:pt>
                <c:pt idx="1">
                  <c:v>0.64603565087211712</c:v>
                </c:pt>
                <c:pt idx="2">
                  <c:v>0.59773420684065992</c:v>
                </c:pt>
                <c:pt idx="3">
                  <c:v>0.56001013617974804</c:v>
                </c:pt>
                <c:pt idx="4">
                  <c:v>0.51913962145422732</c:v>
                </c:pt>
                <c:pt idx="5">
                  <c:v>0.45634727397891434</c:v>
                </c:pt>
                <c:pt idx="6">
                  <c:v>0.38236936388652831</c:v>
                </c:pt>
                <c:pt idx="7">
                  <c:v>0.33090326656578811</c:v>
                </c:pt>
                <c:pt idx="8">
                  <c:v>0.29098744878566229</c:v>
                </c:pt>
                <c:pt idx="9">
                  <c:v>0.27208831634225966</c:v>
                </c:pt>
                <c:pt idx="10">
                  <c:v>0.20485185088280758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0.66132281927372705</c:v>
                </c:pt>
                <c:pt idx="1">
                  <c:v>0.61742443167358063</c:v>
                </c:pt>
                <c:pt idx="2">
                  <c:v>0.55482890552564113</c:v>
                </c:pt>
                <c:pt idx="3">
                  <c:v>0.52193552323103543</c:v>
                </c:pt>
                <c:pt idx="4">
                  <c:v>0.45915371064370136</c:v>
                </c:pt>
                <c:pt idx="5">
                  <c:v>0.39779633268543002</c:v>
                </c:pt>
                <c:pt idx="6">
                  <c:v>0.36431880223413576</c:v>
                </c:pt>
                <c:pt idx="7">
                  <c:v>0.32134943910537084</c:v>
                </c:pt>
                <c:pt idx="8">
                  <c:v>0.29464449046498603</c:v>
                </c:pt>
                <c:pt idx="9">
                  <c:v>0.24410272227756832</c:v>
                </c:pt>
                <c:pt idx="10">
                  <c:v>0.20106252470542499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0.20405539978490747</c:v>
                </c:pt>
                <c:pt idx="1">
                  <c:v>8.8363009906858286E-3</c:v>
                </c:pt>
                <c:pt idx="2">
                  <c:v>1.7846726369342121E-3</c:v>
                </c:pt>
                <c:pt idx="3">
                  <c:v>2.8983733075451279E-4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227648"/>
        <c:axId val="219291648"/>
      </c:lineChart>
      <c:catAx>
        <c:axId val="19922764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19291648"/>
        <c:crosses val="autoZero"/>
        <c:auto val="1"/>
        <c:lblAlgn val="ctr"/>
        <c:lblOffset val="100"/>
        <c:noMultiLvlLbl val="0"/>
      </c:catAx>
      <c:valAx>
        <c:axId val="219291648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99227648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76201</xdr:rowOff>
    </xdr:from>
    <xdr:to>
      <xdr:col>26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295276</xdr:colOff>
      <xdr:row>5</xdr:row>
      <xdr:rowOff>85726</xdr:rowOff>
    </xdr:from>
    <xdr:to>
      <xdr:col>29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24</xdr:col>
      <xdr:colOff>514350</xdr:colOff>
      <xdr:row>17</xdr:row>
      <xdr:rowOff>104775</xdr:rowOff>
    </xdr:from>
    <xdr:to>
      <xdr:col>26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13</xdr:col>
      <xdr:colOff>600076</xdr:colOff>
      <xdr:row>10</xdr:row>
      <xdr:rowOff>146049</xdr:rowOff>
    </xdr:from>
    <xdr:to>
      <xdr:col>20</xdr:col>
      <xdr:colOff>31750</xdr:colOff>
      <xdr:row>36</xdr:row>
      <xdr:rowOff>57150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10</xdr:row>
      <xdr:rowOff>133350</xdr:rowOff>
    </xdr:from>
    <xdr:to>
      <xdr:col>13</xdr:col>
      <xdr:colOff>381000</xdr:colOff>
      <xdr:row>35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685800</xdr:colOff>
      <xdr:row>34</xdr:row>
      <xdr:rowOff>19049</xdr:rowOff>
    </xdr:from>
    <xdr:to>
      <xdr:col>13</xdr:col>
      <xdr:colOff>333375</xdr:colOff>
      <xdr:row>36</xdr:row>
      <xdr:rowOff>133350</xdr:rowOff>
    </xdr:to>
    <xdr:sp macro="" textlink="">
      <xdr:nvSpPr>
        <xdr:cNvPr id="4" name="TextBox 3"/>
        <xdr:cNvSpPr txBox="1"/>
      </xdr:nvSpPr>
      <xdr:spPr>
        <a:xfrm>
          <a:off x="7696200" y="5524499"/>
          <a:ext cx="2019300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Fannie</a:t>
          </a:r>
          <a:r>
            <a:rPr lang="en-US" sz="900" baseline="0"/>
            <a:t> Mae; Freddie Mac; </a:t>
          </a:r>
        </a:p>
        <a:p>
          <a:r>
            <a:rPr lang="en-US" sz="900" baseline="0"/>
            <a:t>                 Bloomberg; Cello Database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47624</xdr:colOff>
      <xdr:row>14</xdr:row>
      <xdr:rowOff>14287</xdr:rowOff>
    </xdr:from>
    <xdr:to>
      <xdr:col>27</xdr:col>
      <xdr:colOff>266699</xdr:colOff>
      <xdr:row>30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3" autoFormatId="16" applyNumberFormats="0" applyBorderFormats="0" applyFontFormats="0" applyPatternFormats="0" applyAlignmentFormats="0" applyWidthHeightFormats="0">
  <queryTableRefresh nextId="79" unboundColumnsRight="3">
    <queryTableFields count="5">
      <queryTableField id="62" name="AsOfDate" tableColumnId="1"/>
      <queryTableField id="64" name="refinancible" tableColumnId="3"/>
      <queryTableField id="76" dataBound="0" tableColumnId="5"/>
      <queryTableField id="78" dataBound="0" tableColumnId="2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5" autoFormatId="16" applyNumberFormats="0" applyBorderFormats="0" applyFontFormats="0" applyPatternFormats="0" applyAlignmentFormats="0" applyWidthHeightFormats="0">
  <queryTableRefresh nextId="77">
    <queryTableFields count="2">
      <queryTableField id="62" name="AsOfDate" tableColumnId="1"/>
      <queryTableField id="76" name="refinanceible" tableColumnId="5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2" backgroundRefresh="0" adjustColumnWidth="0" connectionId="4" autoFormatId="16" applyNumberFormats="0" applyBorderFormats="0" applyFontFormats="0" applyPatternFormats="0" applyAlignmentFormats="0" applyWidthHeightFormats="0">
  <queryTableRefresh nextId="77">
    <queryTableFields count="2">
      <queryTableField id="62" name="AsOfDate" tableColumnId="1"/>
      <queryTableField id="76" name="refinanceible" tableColumnId="5"/>
    </queryTableFields>
    <queryTableDeletedFields count="1">
      <deletedField name="refinancible_satoAdj"/>
    </queryTableDeletedFields>
  </queryTableRefresh>
</queryTable>
</file>

<file path=xl/queryTables/queryTable4.xml><?xml version="1.0" encoding="utf-8"?>
<queryTable xmlns="http://schemas.openxmlformats.org/spreadsheetml/2006/main" name="temp_2" connectionId="2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" connectionId="2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11" backgroundRefresh="0" adjustColumnWidth="0" connectionId="12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2" backgroundRefresh="0" adjustColumnWidth="0" connectionId="3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8.xml><?xml version="1.0" encoding="utf-8"?>
<queryTable xmlns="http://schemas.openxmlformats.org/spreadsheetml/2006/main" name="Query from Agency_13" backgroundRefresh="0" adjustColumnWidth="0" connectionId="1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9.xml><?xml version="1.0" encoding="utf-8"?>
<queryTable xmlns="http://schemas.openxmlformats.org/spreadsheetml/2006/main" name="Query from Agency_14" backgroundRefresh="0" adjustColumnWidth="0" connectionId="2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4" name="CurrentMtgRatesDataTable825" displayName="CurrentMtgRatesDataTable825" ref="B2:F234" tableType="queryTable" totalsRowShown="0" headerRowDxfId="79" dataDxfId="78">
  <tableColumns count="5">
    <tableColumn id="1" uniqueName="1" name="asOfDate" queryTableFieldId="62" dataDxfId="43"/>
    <tableColumn id="3" uniqueName="3" name="refinancible" queryTableFieldId="64" dataDxfId="42"/>
    <tableColumn id="5" uniqueName="5" name="Loan Level" queryTableFieldId="76" dataDxfId="41">
      <calculatedColumnFormula>VLOOKUP(CurrentMtgRatesDataTable825[[#This Row],[asOfDate]],H:I,2,0)</calculatedColumnFormula>
    </tableColumn>
    <tableColumn id="2" uniqueName="2" name="With Lowest Rate" queryTableFieldId="78" dataDxfId="40">
      <calculatedColumnFormula>VLOOKUP(CurrentMtgRatesDataTable825[[#This Row],[asOfDate]],O:P,2,0)</calculatedColumnFormula>
    </tableColumn>
    <tableColumn id="6" uniqueName="6" name="Refi Index" queryTableFieldId="77" dataDxfId="39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52" displayName="CurrentMtgRatesDataTable8252" ref="K2:L3" tableType="queryTable" insertRow="1" totalsRowShown="0" headerRowDxfId="77" dataDxfId="76">
  <tableColumns count="2">
    <tableColumn id="1" uniqueName="1" name="asOfDate" queryTableFieldId="62" dataDxfId="38"/>
    <tableColumn id="5" uniqueName="5" name="refinanceible" queryTableFieldId="76" dataDxfId="3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6" name="CurrentMtgRatesDataTable82527" displayName="CurrentMtgRatesDataTable82527" ref="S2:T3" tableType="queryTable" insertRow="1" totalsRowShown="0" headerRowDxfId="75" dataDxfId="74">
  <tableColumns count="2">
    <tableColumn id="1" uniqueName="1" name="asOfDate" queryTableFieldId="62" dataDxfId="36"/>
    <tableColumn id="5" uniqueName="5" name="refinanceible" queryTableFieldId="76" dataDxfId="35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" name="CurrentMtgRatesDataTable82523" displayName="CurrentMtgRatesDataTable82523" ref="B2:C3" tableType="queryTable" totalsRowShown="0" headerRowDxfId="73" dataDxfId="72">
  <tableColumns count="2">
    <tableColumn id="1" uniqueName="1" name="AsOfDate" queryTableFieldId="62" dataDxfId="34"/>
    <tableColumn id="6" uniqueName="6" name="SeriesNumValue" queryTableFieldId="77" dataDxfId="3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3" name="CurrentMtgRatesDataTable825234" displayName="CurrentMtgRatesDataTable825234" ref="F2:P3" tableType="queryTable" totalsRowShown="0" headerRowDxfId="71" dataDxfId="70">
  <tableColumns count="11">
    <tableColumn id="7" uniqueName="7" name="refinancible1" queryTableFieldId="78" dataDxfId="32"/>
    <tableColumn id="8" uniqueName="8" name="refinancible2" queryTableFieldId="79" dataDxfId="31"/>
    <tableColumn id="9" uniqueName="9" name="refinancible3" queryTableFieldId="80" dataDxfId="30"/>
    <tableColumn id="10" uniqueName="10" name="refinancible4" queryTableFieldId="81" dataDxfId="29"/>
    <tableColumn id="11" uniqueName="11" name="refinancible5" queryTableFieldId="82" dataDxfId="28"/>
    <tableColumn id="12" uniqueName="12" name="refinancible6" queryTableFieldId="83" dataDxfId="27"/>
    <tableColumn id="13" uniqueName="13" name="refinancible7" queryTableFieldId="84" dataDxfId="26"/>
    <tableColumn id="14" uniqueName="14" name="refinancible8" queryTableFieldId="85" dataDxfId="25"/>
    <tableColumn id="15" uniqueName="15" name="refinancible9" queryTableFieldId="86" dataDxfId="24"/>
    <tableColumn id="16" uniqueName="16" name="refinancible10" queryTableFieldId="87" dataDxfId="23"/>
    <tableColumn id="17" uniqueName="17" name="refinancible11" queryTableFieldId="88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5" name="CurrentMtgRatesDataTable8252346" displayName="CurrentMtgRatesDataTable8252346" ref="F7:P8" tableType="queryTable" totalsRowShown="0" headerRowDxfId="69">
  <tableColumns count="11">
    <tableColumn id="19" uniqueName="19" name="refinanceible1" queryTableFieldId="90" dataDxfId="21"/>
    <tableColumn id="20" uniqueName="20" name="refinanceible2" queryTableFieldId="91" dataDxfId="20"/>
    <tableColumn id="21" uniqueName="21" name="refinanceible3" queryTableFieldId="92" dataDxfId="19"/>
    <tableColumn id="22" uniqueName="22" name="refinanceible4" queryTableFieldId="93" dataDxfId="18"/>
    <tableColumn id="23" uniqueName="23" name="refinanceible5" queryTableFieldId="94" dataDxfId="17"/>
    <tableColumn id="24" uniqueName="24" name="refinanceible6" queryTableFieldId="95" dataDxfId="16"/>
    <tableColumn id="25" uniqueName="25" name="refinanceible7" queryTableFieldId="96" dataDxfId="15"/>
    <tableColumn id="26" uniqueName="26" name="refinanceible8" queryTableFieldId="97" dataDxfId="14"/>
    <tableColumn id="27" uniqueName="27" name="refinanceible9" queryTableFieldId="98" dataDxfId="13"/>
    <tableColumn id="28" uniqueName="28" name="refinanceible10" queryTableFieldId="99" dataDxfId="12"/>
    <tableColumn id="29" uniqueName="29" name="refinanceible11" queryTableFieldId="100" dataDxfId="1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CurrentMtgRatesDataTable82523468" displayName="CurrentMtgRatesDataTable82523468" ref="F11:P12" tableType="queryTable" totalsRowShown="0" headerRowDxfId="68">
  <tableColumns count="11">
    <tableColumn id="19" uniqueName="19" name="refinanceible1" queryTableFieldId="90" dataDxfId="10"/>
    <tableColumn id="20" uniqueName="20" name="refinanceible2" queryTableFieldId="91" dataDxfId="9"/>
    <tableColumn id="21" uniqueName="21" name="refinanceible3" queryTableFieldId="92" dataDxfId="8"/>
    <tableColumn id="22" uniqueName="22" name="refinanceible4" queryTableFieldId="93" dataDxfId="7"/>
    <tableColumn id="23" uniqueName="23" name="refinanceible5" queryTableFieldId="94" dataDxfId="6"/>
    <tableColumn id="24" uniqueName="24" name="refinanceible6" queryTableFieldId="95" dataDxfId="5"/>
    <tableColumn id="25" uniqueName="25" name="refinanceible7" queryTableFieldId="96" dataDxfId="4"/>
    <tableColumn id="26" uniqueName="26" name="refinanceible8" queryTableFieldId="97" dataDxfId="3"/>
    <tableColumn id="27" uniqueName="27" name="refinanceible9" queryTableFieldId="98" dataDxfId="2"/>
    <tableColumn id="28" uniqueName="28" name="refinanceible10" queryTableFieldId="99" dataDxfId="1"/>
    <tableColumn id="29" uniqueName="29" name="refinanceible11" queryTableFieldId="100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C92"/>
  <sheetViews>
    <sheetView showGridLines="0" tabSelected="1" topLeftCell="B1" zoomScaleNormal="100" workbookViewId="0">
      <selection activeCell="Z50" sqref="Z50"/>
    </sheetView>
  </sheetViews>
  <sheetFormatPr defaultRowHeight="12.75"/>
  <cols>
    <col min="1" max="1" width="9.140625" style="6" customWidth="1"/>
    <col min="2" max="2" width="9.140625" style="6"/>
    <col min="3" max="13" width="10.140625" style="6" customWidth="1"/>
    <col min="14" max="14" width="10.28515625" style="6" customWidth="1"/>
    <col min="15" max="18" width="7.85546875" style="6" customWidth="1"/>
    <col min="19" max="19" width="8.42578125" style="6" bestFit="1" customWidth="1"/>
    <col min="20" max="20" width="7.5703125" style="6" customWidth="1"/>
    <col min="21" max="21" width="5.140625" style="6" customWidth="1"/>
    <col min="22" max="23" width="7.5703125" style="6" customWidth="1"/>
    <col min="24" max="24" width="10.28515625" style="6" customWidth="1"/>
    <col min="25" max="25" width="9.140625" style="6"/>
    <col min="26" max="26" width="14.140625" style="6" customWidth="1"/>
    <col min="27" max="27" width="40.85546875" style="6" bestFit="1" customWidth="1"/>
    <col min="28" max="28" width="14.85546875" style="6" bestFit="1" customWidth="1"/>
    <col min="29" max="16384" width="9.140625" style="6"/>
  </cols>
  <sheetData>
    <row r="1" spans="3:29">
      <c r="Z1" s="2" t="s">
        <v>1</v>
      </c>
      <c r="AA1" s="3" t="s">
        <v>2</v>
      </c>
      <c r="AB1" s="6" t="s">
        <v>3</v>
      </c>
      <c r="AC1" s="3" t="s">
        <v>4</v>
      </c>
    </row>
    <row r="2" spans="3:29">
      <c r="Z2" s="2" t="s">
        <v>5</v>
      </c>
      <c r="AA2" s="4">
        <v>42167</v>
      </c>
    </row>
    <row r="3" spans="3:29">
      <c r="Z3" s="2" t="s">
        <v>19</v>
      </c>
      <c r="AA3" s="19" t="s">
        <v>79</v>
      </c>
    </row>
    <row r="4" spans="3:29">
      <c r="Z4" s="2" t="s">
        <v>6</v>
      </c>
      <c r="AA4" s="3" t="str">
        <f>PDFReportDir&amp;"Refinancible Universe " &amp; TEXT(CurrentCloseDate, "yyyy-mm-dd") &amp; ".pdf"</f>
        <v>S:\IT\Production\Daily Reports\Primary Market\2015-06\Refinancible Universe 2015-06-12.pdf</v>
      </c>
    </row>
    <row r="5" spans="3:29">
      <c r="Z5" s="7"/>
    </row>
    <row r="6" spans="3:29">
      <c r="Z6" s="7"/>
    </row>
    <row r="9" spans="3:29" s="8" customFormat="1"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R9" s="6"/>
      <c r="S9" s="6"/>
      <c r="T9" s="6"/>
      <c r="U9" s="6"/>
      <c r="V9" s="6"/>
      <c r="W9" s="6"/>
      <c r="X9" s="6"/>
      <c r="Z9" s="8" t="s">
        <v>15</v>
      </c>
      <c r="AA9" s="13">
        <f>IF(DAY(CurrentCloseDate)&lt;5,(CurrentCloseDate-DAY(CurrentCloseDate))-DAY((CurrentCloseDate-DAY(CurrentCloseDate)))+1,CurrentCloseDate-DAY(CurrentCloseDate)+1)</f>
        <v>42156</v>
      </c>
    </row>
    <row r="10" spans="3:29" s="9" customFormat="1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R10" s="6"/>
      <c r="S10" s="6"/>
      <c r="T10" s="6"/>
      <c r="U10" s="6"/>
      <c r="V10" s="6"/>
      <c r="W10" s="6"/>
      <c r="X10" s="6"/>
      <c r="Z10" s="9" t="s">
        <v>16</v>
      </c>
      <c r="AA10" s="14">
        <f>(AA9-1)-DAY((AA9-1))+1</f>
        <v>42125</v>
      </c>
    </row>
    <row r="11" spans="3:29" s="9" customFormat="1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R11" s="6"/>
      <c r="S11" s="6"/>
      <c r="T11" s="6"/>
      <c r="U11" s="6"/>
      <c r="V11" s="6"/>
      <c r="W11" s="6"/>
      <c r="X11" s="6"/>
    </row>
    <row r="12" spans="3:29" s="9" customFormat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R12" s="6"/>
      <c r="S12" s="6"/>
      <c r="T12" s="6"/>
      <c r="U12" s="6"/>
      <c r="V12" s="6"/>
      <c r="W12" s="6"/>
      <c r="X12" s="6"/>
      <c r="AA12" s="14"/>
    </row>
    <row r="13" spans="3:29" s="9" customFormat="1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R13" s="6"/>
      <c r="S13" s="6"/>
      <c r="T13" s="6"/>
      <c r="U13" s="6"/>
      <c r="V13" s="6"/>
      <c r="W13" s="6"/>
      <c r="X13" s="6"/>
      <c r="Z13" s="9" t="s">
        <v>34</v>
      </c>
      <c r="AA13" s="14">
        <f>IF(WEEKDAY(CurrentCloseDate,2)&lt;4,CurrentCloseDate-WEEKDAY(CurrentCloseDate,2)-3,CurrentCloseDate-WEEKDAY(CurrentCloseDate,2)+4)</f>
        <v>42166</v>
      </c>
    </row>
    <row r="14" spans="3:29" s="9" customFormat="1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R14" s="6"/>
      <c r="S14" s="6"/>
      <c r="T14" s="6"/>
      <c r="U14" s="6"/>
      <c r="V14" s="6"/>
      <c r="W14" s="6"/>
      <c r="X14" s="6"/>
    </row>
    <row r="15" spans="3:29" s="9" customFormat="1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R15" s="6"/>
      <c r="S15" s="6"/>
      <c r="T15" s="6"/>
      <c r="U15" s="6"/>
      <c r="V15" s="6"/>
      <c r="W15" s="6"/>
      <c r="X15" s="6"/>
    </row>
    <row r="16" spans="3:29" s="9" customFormat="1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R16" s="6"/>
      <c r="S16" s="6"/>
      <c r="T16" s="6"/>
      <c r="U16" s="6"/>
      <c r="V16" s="6"/>
      <c r="W16" s="6"/>
      <c r="X16" s="6"/>
    </row>
    <row r="17" spans="3:24" s="9" customFormat="1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R17" s="6"/>
      <c r="S17" s="6"/>
      <c r="T17" s="6"/>
      <c r="U17" s="6"/>
      <c r="V17" s="6"/>
      <c r="W17" s="6"/>
      <c r="X17" s="6"/>
    </row>
    <row r="18" spans="3:24" s="9" customFormat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R18" s="6"/>
      <c r="S18" s="6"/>
      <c r="T18" s="6"/>
      <c r="U18" s="6"/>
      <c r="V18" s="6"/>
      <c r="W18" s="6"/>
      <c r="X18" s="6"/>
    </row>
    <row r="19" spans="3:24" s="9" customFormat="1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R19" s="6"/>
      <c r="S19" s="6"/>
      <c r="T19" s="6"/>
      <c r="U19" s="6"/>
      <c r="V19" s="6"/>
      <c r="W19" s="6"/>
      <c r="X19" s="6"/>
    </row>
    <row r="20" spans="3:24" s="9" customFormat="1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R20" s="6"/>
      <c r="S20" s="6"/>
      <c r="T20" s="6"/>
      <c r="U20" s="6"/>
      <c r="V20" s="6"/>
      <c r="W20" s="6"/>
      <c r="X20" s="6"/>
    </row>
    <row r="21" spans="3:24" s="9" customFormat="1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R21" s="6"/>
      <c r="S21" s="6"/>
      <c r="T21" s="6"/>
      <c r="U21" s="6"/>
      <c r="V21" s="6"/>
      <c r="W21" s="6"/>
      <c r="X21" s="6"/>
    </row>
    <row r="39" spans="3:20" ht="15.75" thickBot="1">
      <c r="C39" s="5" t="s">
        <v>33</v>
      </c>
      <c r="E39" s="26"/>
      <c r="F39" s="27"/>
      <c r="H39"/>
      <c r="I39"/>
      <c r="J39"/>
      <c r="K39"/>
      <c r="L39"/>
      <c r="O39" s="43" t="s">
        <v>74</v>
      </c>
      <c r="P39" s="43"/>
      <c r="Q39" s="44">
        <f>CurrentMtgRatesDataTable82523[SeriesNumValue]</f>
        <v>3.94</v>
      </c>
      <c r="R39" s="45" t="s">
        <v>75</v>
      </c>
      <c r="S39" s="74">
        <f>CurrentMtgRatesDataTable82523[AsOfDate]</f>
        <v>42166</v>
      </c>
    </row>
    <row r="40" spans="3:20" s="36" customFormat="1" ht="13.5" customHeight="1">
      <c r="C40" s="54"/>
      <c r="D40" s="75" t="s">
        <v>28</v>
      </c>
      <c r="E40" s="76"/>
      <c r="F40" s="77"/>
      <c r="G40" s="75" t="s">
        <v>25</v>
      </c>
      <c r="H40" s="76"/>
      <c r="I40" s="77"/>
      <c r="J40" s="78" t="s">
        <v>86</v>
      </c>
      <c r="K40" s="75" t="s">
        <v>31</v>
      </c>
      <c r="L40" s="76"/>
      <c r="M40" s="77"/>
      <c r="O40" s="65"/>
      <c r="P40" s="76" t="s">
        <v>28</v>
      </c>
      <c r="Q40" s="77"/>
      <c r="R40" s="75" t="s">
        <v>25</v>
      </c>
      <c r="S40" s="77"/>
      <c r="T40" s="82" t="s">
        <v>86</v>
      </c>
    </row>
    <row r="41" spans="3:20" s="36" customFormat="1" ht="13.5" customHeight="1">
      <c r="C41" s="55" t="s">
        <v>32</v>
      </c>
      <c r="D41" s="46" t="s">
        <v>30</v>
      </c>
      <c r="E41" s="29" t="s">
        <v>12</v>
      </c>
      <c r="F41" s="47" t="s">
        <v>13</v>
      </c>
      <c r="G41" s="46" t="s">
        <v>30</v>
      </c>
      <c r="H41" s="29" t="s">
        <v>12</v>
      </c>
      <c r="I41" s="47" t="s">
        <v>13</v>
      </c>
      <c r="J41" s="79" t="s">
        <v>30</v>
      </c>
      <c r="K41" s="46" t="s">
        <v>30</v>
      </c>
      <c r="L41" s="29" t="s">
        <v>12</v>
      </c>
      <c r="M41" s="47" t="s">
        <v>13</v>
      </c>
      <c r="O41" s="46" t="s">
        <v>70</v>
      </c>
      <c r="P41" s="29" t="s">
        <v>71</v>
      </c>
      <c r="Q41" s="47" t="s">
        <v>72</v>
      </c>
      <c r="R41" s="46" t="s">
        <v>71</v>
      </c>
      <c r="S41" s="47" t="s">
        <v>72</v>
      </c>
      <c r="T41" s="83"/>
    </row>
    <row r="42" spans="3:20" s="36" customFormat="1" ht="13.5" customHeight="1">
      <c r="C42" s="56">
        <f>Query!B3</f>
        <v>42166</v>
      </c>
      <c r="D42" s="58">
        <f>Query!C3</f>
        <v>0.45634727397891434</v>
      </c>
      <c r="E42" s="37">
        <f>Query!C3-Query!C7</f>
        <v>-0.10485505012210422</v>
      </c>
      <c r="F42" s="59">
        <f>Query!C3-Query!C16</f>
        <v>-0.11924718040622934</v>
      </c>
      <c r="G42" s="58">
        <f>Query!D3</f>
        <v>0.39779633268543002</v>
      </c>
      <c r="H42" s="37">
        <f>Query!D3-Query!D7</f>
        <v>-0.12846408656211494</v>
      </c>
      <c r="I42" s="59">
        <f>Query!D3-Query!D16</f>
        <v>-0.11923738187470501</v>
      </c>
      <c r="J42" s="80">
        <f>Query!E3</f>
        <v>0</v>
      </c>
      <c r="K42" s="62" t="e">
        <f ca="1">Query!F3</f>
        <v>#N/A</v>
      </c>
      <c r="L42" s="38" t="e">
        <f ca="1">Query!F3-Query!F4</f>
        <v>#N/A</v>
      </c>
      <c r="M42" s="49" t="e">
        <f ca="1">Query!F3-Query!F16</f>
        <v>#N/A</v>
      </c>
      <c r="O42" s="48" t="s">
        <v>53</v>
      </c>
      <c r="P42" s="37">
        <f>'Function Of Rate'!F$16</f>
        <v>0.74492812302243472</v>
      </c>
      <c r="Q42" s="59">
        <f t="shared" ref="Q42:Q45" si="0">P42-$P$47</f>
        <v>0.28858084904352038</v>
      </c>
      <c r="R42" s="68">
        <f>'Function Of Rate'!F$17</f>
        <v>0.66132281927372705</v>
      </c>
      <c r="S42" s="59">
        <f t="shared" ref="S42:T45" si="1">R42-$R$47</f>
        <v>0.26352648658829703</v>
      </c>
      <c r="T42" s="59">
        <f>'Function Of Rate'!F18</f>
        <v>0.20405539978490747</v>
      </c>
    </row>
    <row r="43" spans="3:20" s="36" customFormat="1" ht="13.5" customHeight="1">
      <c r="C43" s="56">
        <f>Query!B4</f>
        <v>42159</v>
      </c>
      <c r="D43" s="58">
        <f>Query!C4</f>
        <v>0.5434918954980853</v>
      </c>
      <c r="E43" s="37">
        <f>Query!C4-Query!C8</f>
        <v>-3.748724701009154E-2</v>
      </c>
      <c r="F43" s="59">
        <f>Query!C4-Query!C17</f>
        <v>-7.6177370663781163E-2</v>
      </c>
      <c r="G43" s="58">
        <f>Query!D4</f>
        <v>0.49151040605794738</v>
      </c>
      <c r="H43" s="37">
        <f>Query!D4-Query!D8</f>
        <v>-4.0874181752411642E-2</v>
      </c>
      <c r="I43" s="59">
        <f>Query!D4-Query!D17</f>
        <v>-9.2337133426542595E-2</v>
      </c>
      <c r="J43" s="80">
        <f>Query!E4</f>
        <v>0</v>
      </c>
      <c r="K43" s="62">
        <f ca="1">Query!F4</f>
        <v>1342.4</v>
      </c>
      <c r="L43" s="38">
        <f ca="1">Query!F4-Query!F5</f>
        <v>108.5</v>
      </c>
      <c r="M43" s="49">
        <f ca="1">Query!F4-Query!F17</f>
        <v>-343.29999999999995</v>
      </c>
      <c r="O43" s="48" t="s">
        <v>52</v>
      </c>
      <c r="P43" s="37">
        <f>'Function Of Rate'!G$16</f>
        <v>0.64603565087211712</v>
      </c>
      <c r="Q43" s="59">
        <f t="shared" si="0"/>
        <v>0.18968837689320278</v>
      </c>
      <c r="R43" s="68">
        <f>'Function Of Rate'!G$17</f>
        <v>0.61742443167358063</v>
      </c>
      <c r="S43" s="59">
        <f t="shared" si="1"/>
        <v>0.21962809898815061</v>
      </c>
      <c r="T43" s="59">
        <f>'Function Of Rate'!G18</f>
        <v>8.8363009906858286E-3</v>
      </c>
    </row>
    <row r="44" spans="3:20" s="36" customFormat="1" ht="13.5" customHeight="1">
      <c r="C44" s="56">
        <f>Query!B5</f>
        <v>42152</v>
      </c>
      <c r="D44" s="58">
        <f>Query!C5</f>
        <v>0.54951676769042945</v>
      </c>
      <c r="E44" s="37">
        <f>Query!C5-Query!C9</f>
        <v>-8.6877259028806608E-2</v>
      </c>
      <c r="F44" s="59">
        <f>Query!C5-Query!C18</f>
        <v>-6.1468983433647928E-2</v>
      </c>
      <c r="G44" s="58">
        <f>Query!D5</f>
        <v>0.49518214427458052</v>
      </c>
      <c r="H44" s="37">
        <f>Query!D5-Query!D9</f>
        <v>-0.11369416383463848</v>
      </c>
      <c r="I44" s="59">
        <f>Query!D5-Query!D18</f>
        <v>-6.62640870212865E-2</v>
      </c>
      <c r="J44" s="80">
        <f>Query!E5</f>
        <v>0</v>
      </c>
      <c r="K44" s="62">
        <f ca="1">Query!F5</f>
        <v>1233.9000000000001</v>
      </c>
      <c r="L44" s="38">
        <f ca="1">Query!F5-Query!F6</f>
        <v>-174.19999999999982</v>
      </c>
      <c r="M44" s="49">
        <f ca="1">Query!F5-Query!F18</f>
        <v>-506.39999999999986</v>
      </c>
      <c r="O44" s="48" t="s">
        <v>51</v>
      </c>
      <c r="P44" s="37">
        <f>'Function Of Rate'!H$16</f>
        <v>0.59773420684065992</v>
      </c>
      <c r="Q44" s="59">
        <f t="shared" si="0"/>
        <v>0.14138693286174558</v>
      </c>
      <c r="R44" s="68">
        <f>'Function Of Rate'!H$17</f>
        <v>0.55482890552564113</v>
      </c>
      <c r="S44" s="59">
        <f t="shared" si="1"/>
        <v>0.1570325728402111</v>
      </c>
      <c r="T44" s="59">
        <f>'Function Of Rate'!H18</f>
        <v>1.7846726369342121E-3</v>
      </c>
    </row>
    <row r="45" spans="3:20" s="36" customFormat="1" ht="13.5" customHeight="1">
      <c r="C45" s="56">
        <f>Query!B6</f>
        <v>42145</v>
      </c>
      <c r="D45" s="58">
        <f>Query!C6</f>
        <v>0.55264936292906153</v>
      </c>
      <c r="E45" s="37">
        <f>Query!C6-Query!C10</f>
        <v>-9.686434229599139E-2</v>
      </c>
      <c r="F45" s="59">
        <f>Query!C6-Query!C19</f>
        <v>-7.3866918267672999E-2</v>
      </c>
      <c r="G45" s="58">
        <f>Query!D6</f>
        <v>0.49530657385961702</v>
      </c>
      <c r="H45" s="37">
        <f>Query!D6-Query!D10</f>
        <v>-0.13820263821935502</v>
      </c>
      <c r="I45" s="59">
        <f>Query!D6-Query!D19</f>
        <v>-9.4728115193803031E-2</v>
      </c>
      <c r="J45" s="80">
        <f>Query!E6</f>
        <v>0</v>
      </c>
      <c r="K45" s="62">
        <f ca="1">Query!F6</f>
        <v>1408.1</v>
      </c>
      <c r="L45" s="38">
        <f ca="1">Query!F6-Query!F7</f>
        <v>-40.700000000000045</v>
      </c>
      <c r="M45" s="49">
        <f ca="1">Query!F6-Query!F19</f>
        <v>-295</v>
      </c>
      <c r="O45" s="48" t="s">
        <v>50</v>
      </c>
      <c r="P45" s="37">
        <f>'Function Of Rate'!I$16</f>
        <v>0.56001013617974804</v>
      </c>
      <c r="Q45" s="59">
        <f t="shared" si="0"/>
        <v>0.10366286220083371</v>
      </c>
      <c r="R45" s="68">
        <f>'Function Of Rate'!I$17</f>
        <v>0.52193552323103543</v>
      </c>
      <c r="S45" s="59">
        <f t="shared" si="1"/>
        <v>0.1241391905456054</v>
      </c>
      <c r="T45" s="59">
        <f>'Function Of Rate'!I18</f>
        <v>2.8983733075451279E-4</v>
      </c>
    </row>
    <row r="46" spans="3:20" s="36" customFormat="1" ht="13.5" customHeight="1">
      <c r="C46" s="56">
        <f>Query!B7</f>
        <v>42138</v>
      </c>
      <c r="D46" s="58">
        <f>Query!C7</f>
        <v>0.56120232410101856</v>
      </c>
      <c r="E46" s="37">
        <f>Query!C7-Query!C11</f>
        <v>-6.9352714940806526E-2</v>
      </c>
      <c r="F46" s="59">
        <f>Query!C7-Query!C20</f>
        <v>-8.7706088553189399E-2</v>
      </c>
      <c r="G46" s="58">
        <f>Query!D7</f>
        <v>0.52626041924754496</v>
      </c>
      <c r="H46" s="37">
        <f>Query!D7-Query!D11</f>
        <v>-8.1198694606511079E-2</v>
      </c>
      <c r="I46" s="59">
        <f>Query!D7-Query!D20</f>
        <v>-0.10093033925876704</v>
      </c>
      <c r="J46" s="80">
        <f>Query!E7</f>
        <v>0</v>
      </c>
      <c r="K46" s="62">
        <f ca="1">Query!F7</f>
        <v>1448.8</v>
      </c>
      <c r="L46" s="38">
        <f ca="1">Query!F7-Query!F8</f>
        <v>-29</v>
      </c>
      <c r="M46" s="49">
        <f ca="1">Query!F7-Query!F20</f>
        <v>-455.40000000000009</v>
      </c>
      <c r="O46" s="48" t="s">
        <v>49</v>
      </c>
      <c r="P46" s="37">
        <f>'Function Of Rate'!J$16</f>
        <v>0.51913962145422732</v>
      </c>
      <c r="Q46" s="59">
        <f>P46-$P$47</f>
        <v>6.2792347475312982E-2</v>
      </c>
      <c r="R46" s="68">
        <f>'Function Of Rate'!J$17</f>
        <v>0.45915371064370136</v>
      </c>
      <c r="S46" s="59">
        <f>R46-$R$47</f>
        <v>6.1357377958271342E-2</v>
      </c>
      <c r="T46" s="59">
        <f>'Function Of Rate'!J18</f>
        <v>0</v>
      </c>
    </row>
    <row r="47" spans="3:20" s="36" customFormat="1" ht="13.5" customHeight="1">
      <c r="C47" s="56">
        <f>Query!B8</f>
        <v>42131</v>
      </c>
      <c r="D47" s="58">
        <f>Query!C8</f>
        <v>0.58097914250817684</v>
      </c>
      <c r="E47" s="37">
        <f>Query!C8-Query!C12</f>
        <v>-6.3613783913475608E-2</v>
      </c>
      <c r="F47" s="59">
        <f>Query!C8-Query!C21</f>
        <v>-0.10340253343898498</v>
      </c>
      <c r="G47" s="58">
        <f>Query!D8</f>
        <v>0.53238458781035902</v>
      </c>
      <c r="H47" s="37">
        <f>Query!D8-Query!D12</f>
        <v>-9.9414162043559018E-2</v>
      </c>
      <c r="I47" s="59">
        <f>Query!D8-Query!D21</f>
        <v>-0.12217446530835396</v>
      </c>
      <c r="J47" s="80">
        <f>Query!E8</f>
        <v>0</v>
      </c>
      <c r="K47" s="62">
        <f ca="1">Query!F8</f>
        <v>1477.8</v>
      </c>
      <c r="L47" s="38">
        <f ca="1">Query!F8-Query!F9</f>
        <v>-81.600000000000136</v>
      </c>
      <c r="M47" s="49">
        <f ca="1">Query!F8-Query!F21</f>
        <v>-813.50000000000023</v>
      </c>
      <c r="O47" s="66">
        <f>'Function Of Rate'!$K$15</f>
        <v>3.94</v>
      </c>
      <c r="P47" s="64">
        <f>'Function Of Rate'!K$16</f>
        <v>0.45634727397891434</v>
      </c>
      <c r="Q47" s="67" t="s">
        <v>73</v>
      </c>
      <c r="R47" s="69">
        <f>'Function Of Rate'!K$17</f>
        <v>0.39779633268543002</v>
      </c>
      <c r="S47" s="67" t="s">
        <v>73</v>
      </c>
      <c r="T47" s="67">
        <f>'Function Of Rate'!K18</f>
        <v>0</v>
      </c>
    </row>
    <row r="48" spans="3:20" s="36" customFormat="1" ht="13.5" customHeight="1">
      <c r="C48" s="56">
        <f>Query!B9</f>
        <v>42124</v>
      </c>
      <c r="D48" s="58">
        <f>Query!C9</f>
        <v>0.63639402671923606</v>
      </c>
      <c r="E48" s="37">
        <f>Query!C9-Query!C13</f>
        <v>8.6096301192285507E-3</v>
      </c>
      <c r="F48" s="59">
        <f>Query!C9-Query!C22</f>
        <v>-2.6254830083254022E-2</v>
      </c>
      <c r="G48" s="58">
        <f>Query!D9</f>
        <v>0.608876308109219</v>
      </c>
      <c r="H48" s="37">
        <f>Query!D9-Query!D13</f>
        <v>2.6895597754279521E-3</v>
      </c>
      <c r="I48" s="59">
        <f>Query!D9-Query!D22</f>
        <v>-4.6946994226618965E-2</v>
      </c>
      <c r="J48" s="80">
        <f>Query!E9</f>
        <v>0</v>
      </c>
      <c r="K48" s="62">
        <f ca="1">Query!F9</f>
        <v>1559.4</v>
      </c>
      <c r="L48" s="38">
        <f ca="1">Query!F9-Query!F10</f>
        <v>-163.59999999999991</v>
      </c>
      <c r="M48" s="49">
        <f ca="1">Query!F9-Query!F22</f>
        <v>-1025.4000000000001</v>
      </c>
      <c r="O48" s="48" t="s">
        <v>54</v>
      </c>
      <c r="P48" s="37">
        <f>'Function Of Rate'!L$16</f>
        <v>0.38236936388652831</v>
      </c>
      <c r="Q48" s="59">
        <f t="shared" ref="Q48:Q52" si="2">P48-$P$47</f>
        <v>-7.3977910092386023E-2</v>
      </c>
      <c r="R48" s="68">
        <f>'Function Of Rate'!L$17</f>
        <v>0.36431880223413576</v>
      </c>
      <c r="S48" s="59">
        <f>R48-$R$47</f>
        <v>-3.3477530451294257E-2</v>
      </c>
      <c r="T48" s="59">
        <f>'Function Of Rate'!L18</f>
        <v>0</v>
      </c>
    </row>
    <row r="49" spans="3:20" s="36" customFormat="1" ht="13.5" customHeight="1">
      <c r="C49" s="56">
        <f>Query!B10</f>
        <v>42117</v>
      </c>
      <c r="D49" s="58">
        <f>Query!C10</f>
        <v>0.64951370522505292</v>
      </c>
      <c r="E49" s="37">
        <f>Query!C10-Query!C14</f>
        <v>7.5605419671138652E-3</v>
      </c>
      <c r="F49" s="59">
        <f>Query!C10-Query!C23</f>
        <v>-1.5227562261968308E-2</v>
      </c>
      <c r="G49" s="58">
        <f>Query!D10</f>
        <v>0.63350921207897204</v>
      </c>
      <c r="H49" s="37">
        <f>Query!D10-Query!D14</f>
        <v>1.3653802707841001E-2</v>
      </c>
      <c r="I49" s="59">
        <f>Query!D10-Query!D23</f>
        <v>-2.3695506591696947E-2</v>
      </c>
      <c r="J49" s="80">
        <f>Query!E10</f>
        <v>3.9431628666260904E-3</v>
      </c>
      <c r="K49" s="62">
        <f ca="1">Query!F10</f>
        <v>1723</v>
      </c>
      <c r="L49" s="38">
        <f ca="1">Query!F10-Query!F11</f>
        <v>-94</v>
      </c>
      <c r="M49" s="49">
        <f ca="1">Query!F10-Query!F23</f>
        <v>-849.30000000000018</v>
      </c>
      <c r="O49" s="48" t="s">
        <v>55</v>
      </c>
      <c r="P49" s="37">
        <f>'Function Of Rate'!M$16</f>
        <v>0.33090326656578811</v>
      </c>
      <c r="Q49" s="59">
        <f t="shared" si="2"/>
        <v>-0.12544400741312622</v>
      </c>
      <c r="R49" s="68">
        <f>'Function Of Rate'!M$17</f>
        <v>0.32134943910537084</v>
      </c>
      <c r="S49" s="59">
        <f t="shared" ref="S49:T52" si="3">R49-$R$47</f>
        <v>-7.6446893580059183E-2</v>
      </c>
      <c r="T49" s="59">
        <f>'Function Of Rate'!M18</f>
        <v>0</v>
      </c>
    </row>
    <row r="50" spans="3:20" s="36" customFormat="1" ht="13.5" customHeight="1">
      <c r="C50" s="56">
        <f>Query!B11</f>
        <v>42110</v>
      </c>
      <c r="D50" s="58">
        <f>Query!C11</f>
        <v>0.63055503904182508</v>
      </c>
      <c r="E50" s="37">
        <f>Query!C11-Query!C15</f>
        <v>2.1183076755418195E-2</v>
      </c>
      <c r="F50" s="59">
        <f>Query!C11-Query!C24</f>
        <v>-3.2093817760665E-2</v>
      </c>
      <c r="G50" s="58">
        <f>Query!D11</f>
        <v>0.60745911385405604</v>
      </c>
      <c r="H50" s="37">
        <f>Query!D11-Query!D15</f>
        <v>2.5993468227455074E-2</v>
      </c>
      <c r="I50" s="59">
        <f>Query!D11-Query!D24</f>
        <v>-4.8364188481781922E-2</v>
      </c>
      <c r="J50" s="80">
        <f>Query!E11</f>
        <v>0</v>
      </c>
      <c r="K50" s="62">
        <f ca="1">Query!F11</f>
        <v>1817</v>
      </c>
      <c r="L50" s="38">
        <f ca="1">Query!F11-Query!F12</f>
        <v>12.400000000000091</v>
      </c>
      <c r="M50" s="49">
        <f ca="1">Query!F11-Query!F24</f>
        <v>-982.30000000000018</v>
      </c>
      <c r="O50" s="48" t="s">
        <v>56</v>
      </c>
      <c r="P50" s="37">
        <f>'Function Of Rate'!N$16</f>
        <v>0.29098744878566229</v>
      </c>
      <c r="Q50" s="59">
        <f t="shared" si="2"/>
        <v>-0.16535982519325204</v>
      </c>
      <c r="R50" s="68">
        <f>'Function Of Rate'!N$17</f>
        <v>0.29464449046498603</v>
      </c>
      <c r="S50" s="59">
        <f t="shared" si="3"/>
        <v>-0.10315184222044399</v>
      </c>
      <c r="T50" s="59">
        <f>'Function Of Rate'!N18</f>
        <v>0</v>
      </c>
    </row>
    <row r="51" spans="3:20" s="36" customFormat="1" ht="13.5" customHeight="1" thickBot="1">
      <c r="C51" s="57">
        <f>Query!B12</f>
        <v>42103</v>
      </c>
      <c r="D51" s="60">
        <f>Query!C12</f>
        <v>0.64459292642165245</v>
      </c>
      <c r="E51" s="51">
        <f>Query!C12-Query!C16</f>
        <v>6.8998472036508773E-2</v>
      </c>
      <c r="F51" s="61">
        <f>Query!C12-Query!C25</f>
        <v>8.7915113602688999E-3</v>
      </c>
      <c r="G51" s="60">
        <f>Query!D12</f>
        <v>0.63179874985391804</v>
      </c>
      <c r="H51" s="51">
        <f>Query!D12-Query!D16</f>
        <v>0.11476503529378301</v>
      </c>
      <c r="I51" s="61">
        <f>Query!D12-Query!D25</f>
        <v>3.2481684269838995E-2</v>
      </c>
      <c r="J51" s="81">
        <f>Query!E12</f>
        <v>3.87908393633439E-3</v>
      </c>
      <c r="K51" s="63">
        <f ca="1">Query!F12</f>
        <v>1804.6</v>
      </c>
      <c r="L51" s="52">
        <f ca="1">Query!F12-Query!F13</f>
        <v>-50.100000000000136</v>
      </c>
      <c r="M51" s="53">
        <f ca="1">Query!F12-Query!F25</f>
        <v>-466.90000000000009</v>
      </c>
      <c r="O51" s="48" t="s">
        <v>57</v>
      </c>
      <c r="P51" s="37">
        <f>'Function Of Rate'!O$16</f>
        <v>0.27208831634225966</v>
      </c>
      <c r="Q51" s="59">
        <f t="shared" si="2"/>
        <v>-0.18425895763665467</v>
      </c>
      <c r="R51" s="68">
        <f>'Function Of Rate'!O$17</f>
        <v>0.24410272227756832</v>
      </c>
      <c r="S51" s="59">
        <f t="shared" si="3"/>
        <v>-0.1536936104078617</v>
      </c>
      <c r="T51" s="59">
        <f>'Function Of Rate'!O18</f>
        <v>0</v>
      </c>
    </row>
    <row r="52" spans="3:20" ht="13.5" customHeight="1" thickBot="1">
      <c r="C52" s="42" t="s">
        <v>77</v>
      </c>
      <c r="H52"/>
      <c r="I52"/>
      <c r="J52"/>
      <c r="K52" s="42" t="s">
        <v>80</v>
      </c>
      <c r="L52"/>
      <c r="O52" s="50" t="s">
        <v>58</v>
      </c>
      <c r="P52" s="51">
        <f>'Function Of Rate'!P$16</f>
        <v>0.20485185088280758</v>
      </c>
      <c r="Q52" s="61">
        <f t="shared" si="2"/>
        <v>-0.25149542309610673</v>
      </c>
      <c r="R52" s="70">
        <f>'Function Of Rate'!P$17</f>
        <v>0.20106252470542499</v>
      </c>
      <c r="S52" s="61">
        <f t="shared" si="3"/>
        <v>-0.19673380798000503</v>
      </c>
      <c r="T52" s="61">
        <f>'Function Of Rate'!P18</f>
        <v>0</v>
      </c>
    </row>
    <row r="53" spans="3:20" ht="12" customHeight="1">
      <c r="C53" s="42" t="s">
        <v>76</v>
      </c>
    </row>
    <row r="55" spans="3:20" ht="15">
      <c r="D55"/>
      <c r="E55"/>
      <c r="F55"/>
      <c r="G55"/>
      <c r="H55"/>
      <c r="I55"/>
      <c r="J55"/>
    </row>
    <row r="56" spans="3:20" ht="15">
      <c r="D56"/>
      <c r="E56"/>
      <c r="F56"/>
      <c r="G56"/>
      <c r="H56"/>
      <c r="I56"/>
      <c r="J56"/>
    </row>
    <row r="57" spans="3:20" ht="15">
      <c r="D57"/>
      <c r="E57"/>
      <c r="F57"/>
      <c r="G57"/>
      <c r="H57"/>
      <c r="I57"/>
      <c r="J57"/>
    </row>
    <row r="58" spans="3:20" ht="15">
      <c r="D58"/>
      <c r="E58"/>
      <c r="F58"/>
      <c r="G58"/>
      <c r="H58"/>
      <c r="I58"/>
      <c r="J58"/>
      <c r="K58" s="17"/>
    </row>
    <row r="59" spans="3:20" ht="15">
      <c r="D59"/>
      <c r="E59"/>
      <c r="F59"/>
      <c r="G59"/>
      <c r="H59"/>
      <c r="I59"/>
      <c r="J59"/>
    </row>
    <row r="61" spans="3:20">
      <c r="D61" s="15"/>
      <c r="E61" s="16"/>
      <c r="F61" s="16"/>
      <c r="G61" s="17"/>
      <c r="H61" s="17"/>
      <c r="I61" s="17"/>
      <c r="J61" s="17"/>
      <c r="K61" s="17"/>
    </row>
    <row r="81" spans="3:23" ht="15">
      <c r="C81" s="5" t="s">
        <v>18</v>
      </c>
      <c r="E81" s="26" t="s">
        <v>21</v>
      </c>
      <c r="F81" s="27">
        <f>AA56</f>
        <v>0</v>
      </c>
    </row>
    <row r="82" spans="3:23">
      <c r="C82" s="20" t="s">
        <v>0</v>
      </c>
      <c r="D82" s="21" t="s">
        <v>17</v>
      </c>
      <c r="E82" s="21" t="s">
        <v>14</v>
      </c>
      <c r="F82" s="22" t="s">
        <v>20</v>
      </c>
    </row>
    <row r="83" spans="3:23">
      <c r="C83" s="20">
        <v>1</v>
      </c>
      <c r="D83" s="23" t="e">
        <f t="array" ref="D83">VLOOKUP(C83&amp;$AA$9,IF({1,0},#REF!&amp;#REF!,#REF!),2,0)</f>
        <v>#N/A</v>
      </c>
      <c r="E83" s="24" t="e">
        <f t="array" ref="E83">VLOOKUP(C83&amp;$AA$9,IF({1,0},#REF!&amp;#REF!,#REF!),2,0)/VLOOKUP($AA$9,#REF!,2,0)</f>
        <v>#N/A</v>
      </c>
      <c r="F83" s="25" t="e">
        <f t="array" ref="F83">VLOOKUP(C83&amp;$AA$9,IF({1,0},#REF!&amp;#REF!,#REF!),2,0)/1000000</f>
        <v>#N/A</v>
      </c>
    </row>
    <row r="84" spans="3:23">
      <c r="C84" s="20">
        <v>2</v>
      </c>
      <c r="D84" s="23" t="e">
        <f t="array" ref="D84">VLOOKUP(C84&amp;$AA$9,IF({1,0},#REF!&amp;#REF!,#REF!),2,0)</f>
        <v>#N/A</v>
      </c>
      <c r="E84" s="24" t="e">
        <f t="array" ref="E84">VLOOKUP(C84&amp;$AA$9,IF({1,0},#REF!&amp;#REF!,#REF!),2,0)/VLOOKUP($AA$9,#REF!,2,0)</f>
        <v>#N/A</v>
      </c>
      <c r="F84" s="25" t="e">
        <f t="array" ref="F84">VLOOKUP(C84&amp;$AA$9,IF({1,0},#REF!&amp;#REF!,#REF!),2,0)/1000000</f>
        <v>#N/A</v>
      </c>
    </row>
    <row r="85" spans="3:23">
      <c r="C85" s="20">
        <v>3</v>
      </c>
      <c r="D85" s="23" t="e">
        <f t="array" ref="D85">VLOOKUP(C85&amp;$AA$9,IF({1,0},#REF!&amp;#REF!,#REF!),2,0)</f>
        <v>#N/A</v>
      </c>
      <c r="E85" s="24" t="e">
        <f t="array" ref="E85">VLOOKUP(C85&amp;$AA$9,IF({1,0},#REF!&amp;#REF!,#REF!),2,0)/VLOOKUP($AA$9,#REF!,2,0)</f>
        <v>#N/A</v>
      </c>
      <c r="F85" s="25" t="e">
        <f t="array" ref="F85">VLOOKUP(C85&amp;$AA$9,IF({1,0},#REF!&amp;#REF!,#REF!),2,0)/1000000</f>
        <v>#N/A</v>
      </c>
    </row>
    <row r="86" spans="3:23">
      <c r="C86" s="20">
        <v>4</v>
      </c>
      <c r="D86" s="23" t="e">
        <f t="array" ref="D86">VLOOKUP(C86&amp;$AA$9,IF({1,0},#REF!&amp;#REF!,#REF!),2,0)</f>
        <v>#N/A</v>
      </c>
      <c r="E86" s="24" t="e">
        <f t="array" ref="E86">VLOOKUP(C86&amp;$AA$9,IF({1,0},#REF!&amp;#REF!,#REF!),2,0)/VLOOKUP($AA$9,#REF!,2,0)</f>
        <v>#N/A</v>
      </c>
      <c r="F86" s="25" t="e">
        <f t="array" ref="F86">VLOOKUP(C86&amp;$AA$9,IF({1,0},#REF!&amp;#REF!,#REF!),2,0)/1000000</f>
        <v>#N/A</v>
      </c>
      <c r="Q86" s="10" t="s">
        <v>11</v>
      </c>
      <c r="R86" s="11" t="s">
        <v>7</v>
      </c>
      <c r="S86" s="11"/>
      <c r="T86" s="11"/>
      <c r="V86" s="11"/>
      <c r="W86" s="11"/>
    </row>
    <row r="87" spans="3:23">
      <c r="C87" s="20">
        <v>5</v>
      </c>
      <c r="D87" s="23" t="e">
        <f t="array" ref="D87">VLOOKUP(C87&amp;$AA$9,IF({1,0},#REF!&amp;#REF!,#REF!),2,0)</f>
        <v>#N/A</v>
      </c>
      <c r="E87" s="24" t="e">
        <f t="array" ref="E87">VLOOKUP(C87&amp;$AA$9,IF({1,0},#REF!&amp;#REF!,#REF!),2,0)/VLOOKUP($AA$9,#REF!,2,0)</f>
        <v>#N/A</v>
      </c>
      <c r="F87" s="25" t="e">
        <f t="array" ref="F87">VLOOKUP(C87&amp;$AA$9,IF({1,0},#REF!&amp;#REF!,#REF!),2,0)/1000000</f>
        <v>#N/A</v>
      </c>
      <c r="R87" s="11" t="s">
        <v>8</v>
      </c>
      <c r="S87" s="11"/>
      <c r="T87" s="11"/>
      <c r="V87" s="11"/>
      <c r="W87" s="11"/>
    </row>
    <row r="88" spans="3:23">
      <c r="C88" s="20">
        <v>6</v>
      </c>
      <c r="D88" s="23" t="e">
        <f t="array" ref="D88">VLOOKUP(C88&amp;$AA$9,IF({1,0},#REF!&amp;#REF!,#REF!),2,0)</f>
        <v>#N/A</v>
      </c>
      <c r="E88" s="24" t="e">
        <f t="array" ref="E88">VLOOKUP(C88&amp;$AA$9,IF({1,0},#REF!&amp;#REF!,#REF!),2,0)/VLOOKUP($AA$9,#REF!,2,0)</f>
        <v>#N/A</v>
      </c>
      <c r="F88" s="25" t="e">
        <f t="array" ref="F88">VLOOKUP(C88&amp;$AA$9,IF({1,0},#REF!&amp;#REF!,#REF!),2,0)/1000000</f>
        <v>#N/A</v>
      </c>
      <c r="R88" s="11" t="s">
        <v>9</v>
      </c>
      <c r="S88" s="11"/>
      <c r="T88" s="11"/>
      <c r="V88" s="11"/>
      <c r="W88" s="11"/>
    </row>
    <row r="89" spans="3:23">
      <c r="C89" s="20">
        <v>7</v>
      </c>
      <c r="D89" s="23" t="e">
        <f t="array" ref="D89">VLOOKUP(C89&amp;$AA$9,IF({1,0},#REF!&amp;#REF!,#REF!),2,0)</f>
        <v>#N/A</v>
      </c>
      <c r="E89" s="24" t="e">
        <f t="array" ref="E89">VLOOKUP(C89&amp;$AA$9,IF({1,0},#REF!&amp;#REF!,#REF!),2,0)/VLOOKUP($AA$9,#REF!,2,0)</f>
        <v>#N/A</v>
      </c>
      <c r="F89" s="25" t="e">
        <f t="array" ref="F89">VLOOKUP(C89&amp;$AA$9,IF({1,0},#REF!&amp;#REF!,#REF!),2,0)/1000000</f>
        <v>#N/A</v>
      </c>
      <c r="R89" s="12" t="s">
        <v>10</v>
      </c>
      <c r="S89" s="12"/>
      <c r="T89" s="12"/>
      <c r="V89" s="12"/>
      <c r="W89" s="12"/>
    </row>
    <row r="90" spans="3:23">
      <c r="C90" s="20">
        <v>8</v>
      </c>
      <c r="D90" s="23" t="e">
        <f t="array" ref="D90">VLOOKUP(C90&amp;$AA$9,IF({1,0},#REF!&amp;#REF!,#REF!),2,0)</f>
        <v>#N/A</v>
      </c>
      <c r="E90" s="24" t="e">
        <f t="array" ref="E90">VLOOKUP(C90&amp;$AA$9,IF({1,0},#REF!&amp;#REF!,#REF!),2,0)/VLOOKUP($AA$9,#REF!,2,0)</f>
        <v>#N/A</v>
      </c>
      <c r="F90" s="25" t="e">
        <f t="array" ref="F90">VLOOKUP(C90&amp;$AA$9,IF({1,0},#REF!&amp;#REF!,#REF!),2,0)/1000000</f>
        <v>#N/A</v>
      </c>
    </row>
    <row r="91" spans="3:23">
      <c r="C91" s="20">
        <v>9</v>
      </c>
      <c r="D91" s="23" t="e">
        <f t="array" ref="D91">VLOOKUP(C91&amp;$AA$9,IF({1,0},#REF!&amp;#REF!,#REF!),2,0)</f>
        <v>#N/A</v>
      </c>
      <c r="E91" s="24" t="e">
        <f t="array" ref="E91">VLOOKUP(C91&amp;$AA$9,IF({1,0},#REF!&amp;#REF!,#REF!),2,0)/VLOOKUP($AA$9,#REF!,2,0)</f>
        <v>#N/A</v>
      </c>
      <c r="F91" s="25" t="e">
        <f t="array" ref="F91">VLOOKUP(C91&amp;$AA$9,IF({1,0},#REF!&amp;#REF!,#REF!),2,0)/1000000</f>
        <v>#N/A</v>
      </c>
    </row>
    <row r="92" spans="3:23">
      <c r="C92" s="20">
        <v>10</v>
      </c>
      <c r="D92" s="23" t="e">
        <f t="array" ref="D92">VLOOKUP(C92&amp;$AA$9,IF({1,0},#REF!&amp;#REF!,#REF!),2,0)</f>
        <v>#N/A</v>
      </c>
      <c r="E92" s="24" t="e">
        <f t="array" ref="E92">VLOOKUP(C92&amp;$AA$9,IF({1,0},#REF!&amp;#REF!,#REF!),2,0)/VLOOKUP($AA$9,#REF!,2,0)</f>
        <v>#N/A</v>
      </c>
      <c r="F92" s="25" t="e">
        <f t="array" ref="F92">VLOOKUP(C92&amp;$AA$9,IF({1,0},#REF!&amp;#REF!,#REF!),2,0)/1000000</f>
        <v>#N/A</v>
      </c>
    </row>
  </sheetData>
  <mergeCells count="6">
    <mergeCell ref="T40:T41"/>
    <mergeCell ref="D40:F40"/>
    <mergeCell ref="G40:I40"/>
    <mergeCell ref="K40:M40"/>
    <mergeCell ref="P40:Q40"/>
    <mergeCell ref="R40:S40"/>
  </mergeCells>
  <conditionalFormatting sqref="E42:F51">
    <cfRule type="cellIs" dxfId="67" priority="26" operator="lessThan">
      <formula>0</formula>
    </cfRule>
  </conditionalFormatting>
  <conditionalFormatting sqref="H42:H51">
    <cfRule type="cellIs" dxfId="66" priority="25" operator="lessThan">
      <formula>0</formula>
    </cfRule>
  </conditionalFormatting>
  <conditionalFormatting sqref="L42:L51">
    <cfRule type="cellIs" dxfId="65" priority="24" operator="lessThan">
      <formula>0</formula>
    </cfRule>
  </conditionalFormatting>
  <conditionalFormatting sqref="I42:J51">
    <cfRule type="cellIs" dxfId="55" priority="23" operator="lessThan">
      <formula>0</formula>
    </cfRule>
  </conditionalFormatting>
  <conditionalFormatting sqref="M42:M51">
    <cfRule type="cellIs" dxfId="64" priority="22" operator="lessThan">
      <formula>0</formula>
    </cfRule>
  </conditionalFormatting>
  <conditionalFormatting sqref="D42:M51">
    <cfRule type="containsErrors" dxfId="54" priority="20">
      <formula>ISERROR(D42)</formula>
    </cfRule>
    <cfRule type="containsErrors" priority="21">
      <formula>ISERROR(D42)</formula>
    </cfRule>
  </conditionalFormatting>
  <conditionalFormatting sqref="Q42:Q52">
    <cfRule type="cellIs" dxfId="63" priority="19" operator="lessThan">
      <formula>0</formula>
    </cfRule>
  </conditionalFormatting>
  <conditionalFormatting sqref="Q42:Q52">
    <cfRule type="containsErrors" dxfId="62" priority="17">
      <formula>ISERROR(Q42)</formula>
    </cfRule>
    <cfRule type="containsErrors" priority="18">
      <formula>ISERROR(Q42)</formula>
    </cfRule>
  </conditionalFormatting>
  <conditionalFormatting sqref="P42:Q42 P42:P52">
    <cfRule type="cellIs" dxfId="61" priority="16" operator="lessThan">
      <formula>0</formula>
    </cfRule>
  </conditionalFormatting>
  <conditionalFormatting sqref="P42:Q42 P42:P52">
    <cfRule type="containsErrors" dxfId="60" priority="14">
      <formula>ISERROR(P42)</formula>
    </cfRule>
    <cfRule type="containsErrors" priority="15">
      <formula>ISERROR(P42)</formula>
    </cfRule>
  </conditionalFormatting>
  <conditionalFormatting sqref="R42:S42 R43:R52">
    <cfRule type="containsErrors" dxfId="59" priority="8">
      <formula>ISERROR(R42)</formula>
    </cfRule>
    <cfRule type="containsErrors" priority="9">
      <formula>ISERROR(R42)</formula>
    </cfRule>
  </conditionalFormatting>
  <conditionalFormatting sqref="S42:S52">
    <cfRule type="cellIs" dxfId="58" priority="13" operator="lessThan">
      <formula>0</formula>
    </cfRule>
  </conditionalFormatting>
  <conditionalFormatting sqref="S42:S52">
    <cfRule type="containsErrors" dxfId="57" priority="11">
      <formula>ISERROR(S42)</formula>
    </cfRule>
    <cfRule type="containsErrors" priority="12">
      <formula>ISERROR(S42)</formula>
    </cfRule>
  </conditionalFormatting>
  <conditionalFormatting sqref="R42:S42 R43:R52">
    <cfRule type="cellIs" dxfId="56" priority="10" operator="lessThan">
      <formula>0</formula>
    </cfRule>
  </conditionalFormatting>
  <conditionalFormatting sqref="J42:J51">
    <cfRule type="cellIs" dxfId="53" priority="7" operator="notEqual">
      <formula>0</formula>
    </cfRule>
  </conditionalFormatting>
  <conditionalFormatting sqref="T42">
    <cfRule type="containsErrors" dxfId="49" priority="1">
      <formula>ISERROR(T42)</formula>
    </cfRule>
    <cfRule type="containsErrors" priority="2">
      <formula>ISERROR(T42)</formula>
    </cfRule>
  </conditionalFormatting>
  <conditionalFormatting sqref="T42:T52">
    <cfRule type="cellIs" dxfId="48" priority="6" operator="lessThan">
      <formula>0</formula>
    </cfRule>
  </conditionalFormatting>
  <conditionalFormatting sqref="T42:T52">
    <cfRule type="containsErrors" dxfId="47" priority="4">
      <formula>ISERROR(T42)</formula>
    </cfRule>
    <cfRule type="containsErrors" priority="5">
      <formula>ISERROR(T42)</formula>
    </cfRule>
  </conditionalFormatting>
  <conditionalFormatting sqref="T42">
    <cfRule type="cellIs" dxfId="46" priority="3" operator="lessThan">
      <formula>0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hyperlinks>
    <hyperlink ref="R86" r:id="rId1" location="closeModal"/>
    <hyperlink ref="R87" r:id="rId2"/>
    <hyperlink ref="R89" r:id="rId3"/>
    <hyperlink ref="R88" r:id="rId4" location="key-benefits"/>
  </hyperlinks>
  <pageMargins left="0.25" right="0.25" top="0.255" bottom="0.25" header="0.1" footer="0.1"/>
  <pageSetup scale="73" orientation="landscape" horizontalDpi="1200" verticalDpi="1200" r:id="rId5"/>
  <headerFooter scaleWithDoc="0">
    <oddHeader>&amp;L&amp;G&amp;C&amp;"-,Bold"&amp;10&amp;K2E398A
&amp;15Refinancible Universe&amp;R&amp;"-,Bold"&amp;10&amp;K2E398A
As of 06/12/2015</oddHeader>
    <oddFooter>&amp;L&amp;10&amp;K2E398AReport created on &amp;D &amp;T&amp;C&amp;G
&amp;8&amp;K2E398APage &amp;P of &amp;N</oddFooter>
  </headerFooter>
  <colBreaks count="1" manualBreakCount="1">
    <brk id="24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T235"/>
  <sheetViews>
    <sheetView topLeftCell="A207" zoomScaleNormal="100" workbookViewId="0">
      <selection activeCell="B239" sqref="B239"/>
    </sheetView>
  </sheetViews>
  <sheetFormatPr defaultRowHeight="15"/>
  <cols>
    <col min="2" max="2" width="10.42578125" bestFit="1" customWidth="1"/>
    <col min="6" max="6" width="10.7109375" bestFit="1" customWidth="1"/>
    <col min="7" max="7" width="17.5703125" bestFit="1" customWidth="1"/>
    <col min="8" max="8" width="10.7109375" bestFit="1" customWidth="1"/>
    <col min="9" max="9" width="12.85546875" bestFit="1" customWidth="1"/>
    <col min="15" max="15" width="10.7109375" bestFit="1" customWidth="1"/>
    <col min="16" max="16" width="12.85546875" bestFit="1" customWidth="1"/>
    <col min="17" max="17" width="11.7109375" bestFit="1" customWidth="1"/>
  </cols>
  <sheetData>
    <row r="1" spans="2:20">
      <c r="B1" t="s">
        <v>28</v>
      </c>
      <c r="H1" t="s">
        <v>25</v>
      </c>
      <c r="K1" t="s">
        <v>35</v>
      </c>
      <c r="O1" t="s">
        <v>81</v>
      </c>
      <c r="S1" t="s">
        <v>82</v>
      </c>
    </row>
    <row r="2" spans="2:20">
      <c r="B2" s="6" t="s">
        <v>22</v>
      </c>
      <c r="C2" s="6" t="s">
        <v>23</v>
      </c>
      <c r="D2" s="6" t="s">
        <v>25</v>
      </c>
      <c r="E2" s="6" t="s">
        <v>84</v>
      </c>
      <c r="F2" s="6" t="s">
        <v>78</v>
      </c>
      <c r="H2" t="s">
        <v>22</v>
      </c>
      <c r="I2" t="s">
        <v>24</v>
      </c>
      <c r="K2" s="6" t="s">
        <v>22</v>
      </c>
      <c r="L2" s="6" t="s">
        <v>24</v>
      </c>
      <c r="O2" t="s">
        <v>22</v>
      </c>
      <c r="P2" t="s">
        <v>83</v>
      </c>
      <c r="S2" s="6" t="s">
        <v>22</v>
      </c>
      <c r="T2" s="6" t="s">
        <v>24</v>
      </c>
    </row>
    <row r="3" spans="2:20">
      <c r="B3" s="18">
        <v>42166</v>
      </c>
      <c r="C3" s="30">
        <v>0.45634727397891434</v>
      </c>
      <c r="D3" s="30">
        <f>VLOOKUP(CurrentMtgRatesDataTable825[[#This Row],[asOfDate]],H:I,2,0)</f>
        <v>0.39779633268543002</v>
      </c>
      <c r="E3" s="30">
        <f>VLOOKUP(CurrentMtgRatesDataTable825[[#This Row],[asOfDate]],O:P,2,0)</f>
        <v>0</v>
      </c>
      <c r="F3" s="34" t="e">
        <f ca="1">VLOOKUP(CurrentMtgRatesDataTable825[[#This Row],[asOfDate]]+1,Bloomberg!B:C,2,0)</f>
        <v>#N/A</v>
      </c>
      <c r="H3" s="1">
        <v>40549</v>
      </c>
      <c r="I3" s="33">
        <v>0.477996028899563</v>
      </c>
      <c r="K3" s="18"/>
      <c r="L3" s="31"/>
      <c r="O3" s="1">
        <v>40549</v>
      </c>
      <c r="P3" s="33">
        <v>0</v>
      </c>
      <c r="S3" s="18"/>
      <c r="T3" s="31"/>
    </row>
    <row r="4" spans="2:20">
      <c r="B4" s="18">
        <v>42159</v>
      </c>
      <c r="C4" s="30">
        <v>0.5434918954980853</v>
      </c>
      <c r="D4" s="30">
        <f>VLOOKUP(CurrentMtgRatesDataTable825[[#This Row],[asOfDate]],H:I,2,0)</f>
        <v>0.49151040605794738</v>
      </c>
      <c r="E4" s="30">
        <f>VLOOKUP(CurrentMtgRatesDataTable825[[#This Row],[asOfDate]],O:P,2,0)</f>
        <v>0</v>
      </c>
      <c r="F4" s="34">
        <f ca="1">VLOOKUP(CurrentMtgRatesDataTable825[[#This Row],[asOfDate]]+1,Bloomberg!B:C,2,0)</f>
        <v>1342.4</v>
      </c>
      <c r="H4" s="1">
        <v>40556</v>
      </c>
      <c r="I4" s="33">
        <v>0.49650185657562101</v>
      </c>
      <c r="O4" s="1">
        <v>40556</v>
      </c>
      <c r="P4" s="33">
        <v>5.80030998251819E-5</v>
      </c>
    </row>
    <row r="5" spans="2:20">
      <c r="B5" s="18">
        <v>42152</v>
      </c>
      <c r="C5" s="30">
        <v>0.54951676769042945</v>
      </c>
      <c r="D5" s="30">
        <f>VLOOKUP(CurrentMtgRatesDataTable825[[#This Row],[asOfDate]],H:I,2,0)</f>
        <v>0.49518214427458052</v>
      </c>
      <c r="E5" s="30">
        <f>VLOOKUP(CurrentMtgRatesDataTable825[[#This Row],[asOfDate]],O:P,2,0)</f>
        <v>0</v>
      </c>
      <c r="F5" s="34">
        <f ca="1">VLOOKUP(CurrentMtgRatesDataTable825[[#This Row],[asOfDate]]+1,Bloomberg!B:C,2,0)</f>
        <v>1233.9000000000001</v>
      </c>
      <c r="H5" s="1">
        <v>40563</v>
      </c>
      <c r="I5" s="33">
        <v>0.48029569588235599</v>
      </c>
      <c r="O5" s="1">
        <v>40563</v>
      </c>
      <c r="P5" s="33">
        <v>0</v>
      </c>
    </row>
    <row r="6" spans="2:20">
      <c r="B6" s="18">
        <v>42145</v>
      </c>
      <c r="C6" s="30">
        <v>0.55264936292906153</v>
      </c>
      <c r="D6" s="30">
        <f>VLOOKUP(CurrentMtgRatesDataTable825[[#This Row],[asOfDate]],H:I,2,0)</f>
        <v>0.49530657385961702</v>
      </c>
      <c r="E6" s="30">
        <f>VLOOKUP(CurrentMtgRatesDataTable825[[#This Row],[asOfDate]],O:P,2,0)</f>
        <v>0</v>
      </c>
      <c r="F6" s="34">
        <f ca="1">VLOOKUP(CurrentMtgRatesDataTable825[[#This Row],[asOfDate]]+1,Bloomberg!B:C,2,0)</f>
        <v>1408.1</v>
      </c>
      <c r="H6" s="1">
        <v>40570</v>
      </c>
      <c r="I6" s="33">
        <v>0.47679593730615699</v>
      </c>
      <c r="O6" s="1">
        <v>40570</v>
      </c>
      <c r="P6" s="33">
        <v>0</v>
      </c>
    </row>
    <row r="7" spans="2:20">
      <c r="B7" s="18">
        <v>42138</v>
      </c>
      <c r="C7" s="30">
        <v>0.56120232410101856</v>
      </c>
      <c r="D7" s="30">
        <f>VLOOKUP(CurrentMtgRatesDataTable825[[#This Row],[asOfDate]],H:I,2,0)</f>
        <v>0.52626041924754496</v>
      </c>
      <c r="E7" s="30">
        <f>VLOOKUP(CurrentMtgRatesDataTable825[[#This Row],[asOfDate]],O:P,2,0)</f>
        <v>0</v>
      </c>
      <c r="F7" s="34">
        <f ca="1">VLOOKUP(CurrentMtgRatesDataTable825[[#This Row],[asOfDate]]+1,Bloomberg!B:C,2,0)</f>
        <v>1448.8</v>
      </c>
      <c r="H7" s="1">
        <v>40577</v>
      </c>
      <c r="I7" s="33">
        <v>0.43462013043084002</v>
      </c>
      <c r="O7" s="1">
        <v>40577</v>
      </c>
      <c r="P7" s="33">
        <v>0</v>
      </c>
    </row>
    <row r="8" spans="2:20">
      <c r="B8" s="18">
        <v>42131</v>
      </c>
      <c r="C8" s="30">
        <v>0.58097914250817684</v>
      </c>
      <c r="D8" s="30">
        <f>VLOOKUP(CurrentMtgRatesDataTable825[[#This Row],[asOfDate]],H:I,2,0)</f>
        <v>0.53238458781035902</v>
      </c>
      <c r="E8" s="30">
        <f>VLOOKUP(CurrentMtgRatesDataTable825[[#This Row],[asOfDate]],O:P,2,0)</f>
        <v>0</v>
      </c>
      <c r="F8" s="34">
        <f ca="1">VLOOKUP(CurrentMtgRatesDataTable825[[#This Row],[asOfDate]]+1,Bloomberg!B:C,2,0)</f>
        <v>1477.8</v>
      </c>
      <c r="H8" s="1">
        <v>40584</v>
      </c>
      <c r="I8" s="33">
        <v>0.35529176669040102</v>
      </c>
      <c r="O8" s="1">
        <v>40584</v>
      </c>
      <c r="P8" s="33">
        <v>0</v>
      </c>
    </row>
    <row r="9" spans="2:20">
      <c r="B9" s="18">
        <v>42124</v>
      </c>
      <c r="C9" s="30">
        <v>0.63639402671923606</v>
      </c>
      <c r="D9" s="30">
        <f>VLOOKUP(CurrentMtgRatesDataTable825[[#This Row],[asOfDate]],H:I,2,0)</f>
        <v>0.608876308109219</v>
      </c>
      <c r="E9" s="30">
        <f>VLOOKUP(CurrentMtgRatesDataTable825[[#This Row],[asOfDate]],O:P,2,0)</f>
        <v>0</v>
      </c>
      <c r="F9" s="34">
        <f ca="1">VLOOKUP(CurrentMtgRatesDataTable825[[#This Row],[asOfDate]]+1,Bloomberg!B:C,2,0)</f>
        <v>1559.4</v>
      </c>
      <c r="H9" s="1">
        <v>40591</v>
      </c>
      <c r="I9" s="33">
        <v>0.37678804128174298</v>
      </c>
      <c r="O9" s="1">
        <v>40591</v>
      </c>
      <c r="P9" s="33">
        <v>0</v>
      </c>
    </row>
    <row r="10" spans="2:20">
      <c r="B10" s="18">
        <v>42117</v>
      </c>
      <c r="C10" s="30">
        <v>0.64951370522505292</v>
      </c>
      <c r="D10" s="30">
        <f>VLOOKUP(CurrentMtgRatesDataTable825[[#This Row],[asOfDate]],H:I,2,0)</f>
        <v>0.63350921207897204</v>
      </c>
      <c r="E10" s="30">
        <f>VLOOKUP(CurrentMtgRatesDataTable825[[#This Row],[asOfDate]],O:P,2,0)</f>
        <v>3.9431628666260904E-3</v>
      </c>
      <c r="F10" s="34">
        <f ca="1">VLOOKUP(CurrentMtgRatesDataTable825[[#This Row],[asOfDate]]+1,Bloomberg!B:C,2,0)</f>
        <v>1723</v>
      </c>
      <c r="H10" s="1">
        <v>40598</v>
      </c>
      <c r="I10" s="33">
        <v>0.41551493659156002</v>
      </c>
      <c r="O10" s="1">
        <v>40598</v>
      </c>
      <c r="P10" s="33">
        <v>0</v>
      </c>
    </row>
    <row r="11" spans="2:20">
      <c r="B11" s="18">
        <v>42110</v>
      </c>
      <c r="C11" s="30">
        <v>0.63055503904182508</v>
      </c>
      <c r="D11" s="30">
        <f>VLOOKUP(CurrentMtgRatesDataTable825[[#This Row],[asOfDate]],H:I,2,0)</f>
        <v>0.60745911385405604</v>
      </c>
      <c r="E11" s="30">
        <f>VLOOKUP(CurrentMtgRatesDataTable825[[#This Row],[asOfDate]],O:P,2,0)</f>
        <v>0</v>
      </c>
      <c r="F11" s="34">
        <f ca="1">VLOOKUP(CurrentMtgRatesDataTable825[[#This Row],[asOfDate]]+1,Bloomberg!B:C,2,0)</f>
        <v>1817</v>
      </c>
      <c r="H11" s="1">
        <v>40605</v>
      </c>
      <c r="I11" s="33">
        <v>0.42215163100202302</v>
      </c>
      <c r="O11" s="1">
        <v>40605</v>
      </c>
      <c r="P11" s="33">
        <v>0</v>
      </c>
    </row>
    <row r="12" spans="2:20">
      <c r="B12" s="18">
        <v>42103</v>
      </c>
      <c r="C12" s="30">
        <v>0.64459292642165245</v>
      </c>
      <c r="D12" s="30">
        <f>VLOOKUP(CurrentMtgRatesDataTable825[[#This Row],[asOfDate]],H:I,2,0)</f>
        <v>0.63179874985391804</v>
      </c>
      <c r="E12" s="30">
        <f>VLOOKUP(CurrentMtgRatesDataTable825[[#This Row],[asOfDate]],O:P,2,0)</f>
        <v>3.87908393633439E-3</v>
      </c>
      <c r="F12" s="34">
        <f ca="1">VLOOKUP(CurrentMtgRatesDataTable825[[#This Row],[asOfDate]]+1,Bloomberg!B:C,2,0)</f>
        <v>1804.6</v>
      </c>
      <c r="H12" s="1">
        <v>40612</v>
      </c>
      <c r="I12" s="33">
        <v>0.42124985629360401</v>
      </c>
      <c r="O12" s="1">
        <v>40612</v>
      </c>
      <c r="P12" s="33">
        <v>0</v>
      </c>
    </row>
    <row r="13" spans="2:20">
      <c r="B13" s="18">
        <v>42096</v>
      </c>
      <c r="C13" s="30">
        <v>0.62778439660000751</v>
      </c>
      <c r="D13" s="30">
        <f>VLOOKUP(CurrentMtgRatesDataTable825[[#This Row],[asOfDate]],H:I,2,0)</f>
        <v>0.60618674833379105</v>
      </c>
      <c r="E13" s="30">
        <f>VLOOKUP(CurrentMtgRatesDataTable825[[#This Row],[asOfDate]],O:P,2,0)</f>
        <v>0</v>
      </c>
      <c r="F13" s="34">
        <f ca="1">VLOOKUP(CurrentMtgRatesDataTable825[[#This Row],[asOfDate]]+1,Bloomberg!B:C,2,0)</f>
        <v>1854.7</v>
      </c>
      <c r="H13" s="1">
        <v>40619</v>
      </c>
      <c r="I13" s="33">
        <v>0.46784663358763601</v>
      </c>
      <c r="O13" s="1">
        <v>40619</v>
      </c>
      <c r="P13" s="33">
        <v>4.9225242343752603E-4</v>
      </c>
    </row>
    <row r="14" spans="2:20">
      <c r="B14" s="18">
        <v>42089</v>
      </c>
      <c r="C14" s="30">
        <v>0.64195316325793905</v>
      </c>
      <c r="D14" s="30">
        <f>VLOOKUP(CurrentMtgRatesDataTable825[[#This Row],[asOfDate]],H:I,2,0)</f>
        <v>0.61985540937113104</v>
      </c>
      <c r="E14" s="30">
        <f>VLOOKUP(CurrentMtgRatesDataTable825[[#This Row],[asOfDate]],O:P,2,0)</f>
        <v>9.60298428502188E-4</v>
      </c>
      <c r="F14" s="34">
        <f ca="1">VLOOKUP(CurrentMtgRatesDataTable825[[#This Row],[asOfDate]]+1,Bloomberg!B:C,2,0)</f>
        <v>1941.6</v>
      </c>
      <c r="H14" s="1">
        <v>40626</v>
      </c>
      <c r="I14" s="33">
        <v>0.450158099668103</v>
      </c>
      <c r="O14" s="1">
        <v>40626</v>
      </c>
      <c r="P14" s="33">
        <v>0</v>
      </c>
    </row>
    <row r="15" spans="2:20">
      <c r="B15" s="18">
        <v>42082</v>
      </c>
      <c r="C15" s="30">
        <v>0.60937196228640689</v>
      </c>
      <c r="D15" s="30">
        <f>VLOOKUP(CurrentMtgRatesDataTable825[[#This Row],[asOfDate]],H:I,2,0)</f>
        <v>0.58146564562660097</v>
      </c>
      <c r="E15" s="30">
        <f>VLOOKUP(CurrentMtgRatesDataTable825[[#This Row],[asOfDate]],O:P,2,0)</f>
        <v>0</v>
      </c>
      <c r="F15" s="34">
        <f ca="1">VLOOKUP(CurrentMtgRatesDataTable825[[#This Row],[asOfDate]]+1,Bloomberg!B:C,2,0)</f>
        <v>1860.8</v>
      </c>
      <c r="H15" s="1">
        <v>40633</v>
      </c>
      <c r="I15" s="33">
        <v>0.42282958858632702</v>
      </c>
      <c r="O15" s="1">
        <v>40633</v>
      </c>
      <c r="P15" s="33">
        <v>0</v>
      </c>
    </row>
    <row r="16" spans="2:20">
      <c r="B16" s="18">
        <v>42075</v>
      </c>
      <c r="C16" s="30">
        <v>0.57559445438514367</v>
      </c>
      <c r="D16" s="30">
        <f>VLOOKUP(CurrentMtgRatesDataTable825[[#This Row],[asOfDate]],H:I,2,0)</f>
        <v>0.51703371456013503</v>
      </c>
      <c r="E16" s="30">
        <f>VLOOKUP(CurrentMtgRatesDataTable825[[#This Row],[asOfDate]],O:P,2,0)</f>
        <v>0</v>
      </c>
      <c r="F16" s="34">
        <f ca="1">VLOOKUP(CurrentMtgRatesDataTable825[[#This Row],[asOfDate]]+1,Bloomberg!B:C,2,0)</f>
        <v>1623.6</v>
      </c>
      <c r="H16" s="1">
        <v>40640</v>
      </c>
      <c r="I16" s="33">
        <v>0.414778538159287</v>
      </c>
      <c r="O16" s="1">
        <v>40640</v>
      </c>
      <c r="P16" s="33">
        <v>0</v>
      </c>
    </row>
    <row r="17" spans="2:16">
      <c r="B17" s="18">
        <v>42068</v>
      </c>
      <c r="C17" s="30">
        <v>0.61966926616186646</v>
      </c>
      <c r="D17" s="30">
        <f>VLOOKUP(CurrentMtgRatesDataTable825[[#This Row],[asOfDate]],H:I,2,0)</f>
        <v>0.58384753948448997</v>
      </c>
      <c r="E17" s="30">
        <f>VLOOKUP(CurrentMtgRatesDataTable825[[#This Row],[asOfDate]],O:P,2,0)</f>
        <v>0</v>
      </c>
      <c r="F17" s="34">
        <f ca="1">VLOOKUP(CurrentMtgRatesDataTable825[[#This Row],[asOfDate]]+1,Bloomberg!B:C,2,0)</f>
        <v>1685.7</v>
      </c>
      <c r="H17" s="1">
        <v>40647</v>
      </c>
      <c r="I17" s="33">
        <v>0.41340612440810998</v>
      </c>
      <c r="O17" s="1">
        <v>40647</v>
      </c>
      <c r="P17" s="33">
        <v>0</v>
      </c>
    </row>
    <row r="18" spans="2:16">
      <c r="B18" s="18">
        <v>42061</v>
      </c>
      <c r="C18" s="30">
        <v>0.61098575112407738</v>
      </c>
      <c r="D18" s="30">
        <f>VLOOKUP(CurrentMtgRatesDataTable825[[#This Row],[asOfDate]],H:I,2,0)</f>
        <v>0.56144623129586702</v>
      </c>
      <c r="E18" s="30">
        <f>VLOOKUP(CurrentMtgRatesDataTable825[[#This Row],[asOfDate]],O:P,2,0)</f>
        <v>0</v>
      </c>
      <c r="F18" s="34">
        <f ca="1">VLOOKUP(CurrentMtgRatesDataTable825[[#This Row],[asOfDate]]+1,Bloomberg!B:C,2,0)</f>
        <v>1740.3</v>
      </c>
      <c r="H18" s="1">
        <v>40654</v>
      </c>
      <c r="I18" s="33">
        <v>0.44381782258269298</v>
      </c>
      <c r="O18" s="1">
        <v>40654</v>
      </c>
      <c r="P18" s="33">
        <v>3.6012387911354998E-4</v>
      </c>
    </row>
    <row r="19" spans="2:16">
      <c r="B19" s="18">
        <v>42054</v>
      </c>
      <c r="C19" s="30">
        <v>0.62651628119673453</v>
      </c>
      <c r="D19" s="30">
        <f>VLOOKUP(CurrentMtgRatesDataTable825[[#This Row],[asOfDate]],H:I,2,0)</f>
        <v>0.59003468905342005</v>
      </c>
      <c r="E19" s="30">
        <f>VLOOKUP(CurrentMtgRatesDataTable825[[#This Row],[asOfDate]],O:P,2,0)</f>
        <v>0</v>
      </c>
      <c r="F19" s="34">
        <f ca="1">VLOOKUP(CurrentMtgRatesDataTable825[[#This Row],[asOfDate]]+1,Bloomberg!B:C,2,0)</f>
        <v>1703.1</v>
      </c>
      <c r="H19" s="1">
        <v>40661</v>
      </c>
      <c r="I19" s="33">
        <v>0.44565511936132601</v>
      </c>
      <c r="O19" s="1">
        <v>40661</v>
      </c>
      <c r="P19" s="33">
        <v>3.6290053539469699E-4</v>
      </c>
    </row>
    <row r="20" spans="2:16">
      <c r="B20" s="18">
        <v>42047</v>
      </c>
      <c r="C20" s="30">
        <v>0.64890841265420796</v>
      </c>
      <c r="D20" s="30">
        <f>VLOOKUP(CurrentMtgRatesDataTable825[[#This Row],[asOfDate]],H:I,2,0)</f>
        <v>0.62719075850631201</v>
      </c>
      <c r="E20" s="30">
        <f>VLOOKUP(CurrentMtgRatesDataTable825[[#This Row],[asOfDate]],O:P,2,0)</f>
        <v>0</v>
      </c>
      <c r="F20" s="34">
        <f ca="1">VLOOKUP(CurrentMtgRatesDataTable825[[#This Row],[asOfDate]]+1,Bloomberg!B:C,2,0)</f>
        <v>1904.2</v>
      </c>
      <c r="H20" s="1">
        <v>40668</v>
      </c>
      <c r="I20" s="33">
        <v>0.45891120103405703</v>
      </c>
      <c r="O20" s="1">
        <v>40668</v>
      </c>
      <c r="P20" s="33">
        <v>1.82362980081562E-3</v>
      </c>
    </row>
    <row r="21" spans="2:16">
      <c r="B21" s="18">
        <v>42040</v>
      </c>
      <c r="C21" s="30">
        <v>0.68438167594716182</v>
      </c>
      <c r="D21" s="30">
        <f>VLOOKUP(CurrentMtgRatesDataTable825[[#This Row],[asOfDate]],H:I,2,0)</f>
        <v>0.65455905311871299</v>
      </c>
      <c r="E21" s="30">
        <f>VLOOKUP(CurrentMtgRatesDataTable825[[#This Row],[asOfDate]],O:P,2,0)</f>
        <v>0.17933240004933601</v>
      </c>
      <c r="F21" s="34">
        <f ca="1">VLOOKUP(CurrentMtgRatesDataTable825[[#This Row],[asOfDate]]+1,Bloomberg!B:C,2,0)</f>
        <v>2291.3000000000002</v>
      </c>
      <c r="H21" s="1">
        <v>40675</v>
      </c>
      <c r="I21" s="33">
        <v>0.50042582297659</v>
      </c>
      <c r="O21" s="1">
        <v>40675</v>
      </c>
      <c r="P21" s="33">
        <v>4.5959167751793003E-3</v>
      </c>
    </row>
    <row r="22" spans="2:16">
      <c r="B22" s="18">
        <v>42033</v>
      </c>
      <c r="C22" s="30">
        <v>0.66264885680249008</v>
      </c>
      <c r="D22" s="30">
        <f>VLOOKUP(CurrentMtgRatesDataTable825[[#This Row],[asOfDate]],H:I,2,0)</f>
        <v>0.65582330233583797</v>
      </c>
      <c r="E22" s="30">
        <f>VLOOKUP(CurrentMtgRatesDataTable825[[#This Row],[asOfDate]],O:P,2,0)</f>
        <v>0</v>
      </c>
      <c r="F22" s="34">
        <f ca="1">VLOOKUP(CurrentMtgRatesDataTable825[[#This Row],[asOfDate]]+1,Bloomberg!B:C,2,0)</f>
        <v>2584.8000000000002</v>
      </c>
      <c r="H22" s="1">
        <v>40682</v>
      </c>
      <c r="I22" s="33">
        <v>0.50447592982476996</v>
      </c>
      <c r="O22" s="1">
        <v>40682</v>
      </c>
      <c r="P22" s="33">
        <v>4.6431452038205798E-3</v>
      </c>
    </row>
    <row r="23" spans="2:16">
      <c r="B23" s="18">
        <v>42026</v>
      </c>
      <c r="C23" s="30">
        <v>0.66474126748702123</v>
      </c>
      <c r="D23" s="30">
        <f>VLOOKUP(CurrentMtgRatesDataTable825[[#This Row],[asOfDate]],H:I,2,0)</f>
        <v>0.65720471867066899</v>
      </c>
      <c r="E23" s="30">
        <f>VLOOKUP(CurrentMtgRatesDataTable825[[#This Row],[asOfDate]],O:P,2,0)</f>
        <v>0.17811212012226099</v>
      </c>
      <c r="F23" s="34">
        <f ca="1">VLOOKUP(CurrentMtgRatesDataTable825[[#This Row],[asOfDate]]+1,Bloomberg!B:C,2,0)</f>
        <v>2572.3000000000002</v>
      </c>
      <c r="H23" s="1">
        <v>40689</v>
      </c>
      <c r="I23" s="33">
        <v>0.50568534347274297</v>
      </c>
      <c r="O23" s="1">
        <v>40689</v>
      </c>
      <c r="P23" s="33">
        <v>4.6547514757033599E-3</v>
      </c>
    </row>
    <row r="24" spans="2:16">
      <c r="B24" s="18">
        <v>42019</v>
      </c>
      <c r="C24" s="30">
        <v>0.66264885680249008</v>
      </c>
      <c r="D24" s="30">
        <f>VLOOKUP(CurrentMtgRatesDataTable825[[#This Row],[asOfDate]],H:I,2,0)</f>
        <v>0.65582330233583797</v>
      </c>
      <c r="E24" s="30">
        <f>VLOOKUP(CurrentMtgRatesDataTable825[[#This Row],[asOfDate]],O:P,2,0)</f>
        <v>0.177765501913389</v>
      </c>
      <c r="F24" s="34">
        <f ca="1">VLOOKUP(CurrentMtgRatesDataTable825[[#This Row],[asOfDate]]+1,Bloomberg!B:C,2,0)</f>
        <v>2799.3</v>
      </c>
      <c r="H24" s="1">
        <v>40696</v>
      </c>
      <c r="I24" s="33">
        <v>0.53450860338875705</v>
      </c>
      <c r="O24" s="1">
        <v>40696</v>
      </c>
      <c r="P24" s="33">
        <v>7.3340957383171597E-3</v>
      </c>
    </row>
    <row r="25" spans="2:16">
      <c r="B25" s="18">
        <v>42012</v>
      </c>
      <c r="C25" s="30">
        <v>0.63580141506138355</v>
      </c>
      <c r="D25" s="30">
        <f>VLOOKUP(CurrentMtgRatesDataTable825[[#This Row],[asOfDate]],H:I,2,0)</f>
        <v>0.59931706558407905</v>
      </c>
      <c r="E25" s="30">
        <f>VLOOKUP(CurrentMtgRatesDataTable825[[#This Row],[asOfDate]],O:P,2,0)</f>
        <v>0.14268475210645201</v>
      </c>
      <c r="F25" s="34">
        <f ca="1">VLOOKUP(CurrentMtgRatesDataTable825[[#This Row],[asOfDate]]+1,Bloomberg!B:C,2,0)</f>
        <v>2271.5</v>
      </c>
      <c r="H25" s="1">
        <v>40703</v>
      </c>
      <c r="I25" s="33">
        <v>0.55556126357331004</v>
      </c>
      <c r="O25" s="1">
        <v>40703</v>
      </c>
      <c r="P25" s="33">
        <v>1.05889699277147E-2</v>
      </c>
    </row>
    <row r="26" spans="2:16">
      <c r="B26" s="18">
        <v>42004</v>
      </c>
      <c r="C26" s="30">
        <v>0.59072795930158906</v>
      </c>
      <c r="D26" s="30">
        <f>VLOOKUP(CurrentMtgRatesDataTable825[[#This Row],[asOfDate]],H:I,2,0)</f>
        <v>0.53680415412734395</v>
      </c>
      <c r="E26" s="30">
        <f>VLOOKUP(CurrentMtgRatesDataTable825[[#This Row],[asOfDate]],O:P,2,0)</f>
        <v>0</v>
      </c>
      <c r="F26" s="34">
        <f ca="1">VLOOKUP(CurrentMtgRatesDataTable825[[#This Row],[asOfDate]]+1,Bloomberg!B:C,2,0)</f>
        <v>1347.6</v>
      </c>
      <c r="H26" s="1">
        <v>40710</v>
      </c>
      <c r="I26" s="33">
        <v>0.55544034698333999</v>
      </c>
      <c r="O26" s="1">
        <v>40710</v>
      </c>
      <c r="P26" s="33">
        <v>0</v>
      </c>
    </row>
    <row r="27" spans="2:16">
      <c r="B27" s="18">
        <v>41997</v>
      </c>
      <c r="C27" s="30">
        <v>0.60574636223541978</v>
      </c>
      <c r="D27" s="30">
        <f>VLOOKUP(CurrentMtgRatesDataTable825[[#This Row],[asOfDate]],H:I,2,0)</f>
        <v>0.57166642614489205</v>
      </c>
      <c r="E27" s="30">
        <f>VLOOKUP(CurrentMtgRatesDataTable825[[#This Row],[asOfDate]],O:P,2,0)</f>
        <v>0</v>
      </c>
      <c r="F27" s="34">
        <f ca="1">VLOOKUP(CurrentMtgRatesDataTable825[[#This Row],[asOfDate]]+1,Bloomberg!B:C,2,0)</f>
        <v>1164.2</v>
      </c>
      <c r="H27" s="1">
        <v>40717</v>
      </c>
      <c r="I27" s="33">
        <v>0.53450860338875705</v>
      </c>
      <c r="O27" s="1">
        <v>40717</v>
      </c>
      <c r="P27" s="33">
        <v>0</v>
      </c>
    </row>
    <row r="28" spans="2:16">
      <c r="B28" s="18">
        <v>41991</v>
      </c>
      <c r="C28" s="30">
        <v>0.6155496963810797</v>
      </c>
      <c r="D28" s="30">
        <f>VLOOKUP(CurrentMtgRatesDataTable825[[#This Row],[asOfDate]],H:I,2,0)</f>
        <v>0.57447022909045797</v>
      </c>
      <c r="E28" s="30">
        <f>VLOOKUP(CurrentMtgRatesDataTable825[[#This Row],[asOfDate]],O:P,2,0)</f>
        <v>0.127103043508559</v>
      </c>
      <c r="F28" s="34">
        <f ca="1">VLOOKUP(CurrentMtgRatesDataTable825[[#This Row],[asOfDate]]+1,Bloomberg!B:C,2,0)</f>
        <v>1538.7</v>
      </c>
      <c r="H28" s="1">
        <v>40724</v>
      </c>
      <c r="I28" s="33">
        <v>0.55445082777023702</v>
      </c>
      <c r="O28" s="1">
        <v>40724</v>
      </c>
      <c r="P28" s="33">
        <v>0</v>
      </c>
    </row>
    <row r="29" spans="2:16">
      <c r="B29" s="18">
        <v>41984</v>
      </c>
      <c r="C29" s="30">
        <v>0.5786710507683992</v>
      </c>
      <c r="D29" s="30">
        <f>VLOOKUP(CurrentMtgRatesDataTable825[[#This Row],[asOfDate]],H:I,2,0)</f>
        <v>0.53353274326337596</v>
      </c>
      <c r="E29" s="30">
        <f>VLOOKUP(CurrentMtgRatesDataTable825[[#This Row],[asOfDate]],O:P,2,0)</f>
        <v>0</v>
      </c>
      <c r="F29" s="34">
        <f ca="1">VLOOKUP(CurrentMtgRatesDataTable825[[#This Row],[asOfDate]]+1,Bloomberg!B:C,2,0)</f>
        <v>1518.8</v>
      </c>
      <c r="H29" s="1">
        <v>40731</v>
      </c>
      <c r="I29" s="33">
        <v>0.49771283747510803</v>
      </c>
      <c r="O29" s="1">
        <v>40731</v>
      </c>
      <c r="P29" s="33">
        <v>0</v>
      </c>
    </row>
    <row r="30" spans="2:16">
      <c r="B30" s="18">
        <v>41977</v>
      </c>
      <c r="C30" s="30">
        <v>0.59279776197128353</v>
      </c>
      <c r="D30" s="30">
        <f>VLOOKUP(CurrentMtgRatesDataTable825[[#This Row],[asOfDate]],H:I,2,0)</f>
        <v>0.53685925114667898</v>
      </c>
      <c r="E30" s="30">
        <f>VLOOKUP(CurrentMtgRatesDataTable825[[#This Row],[asOfDate]],O:P,2,0)</f>
        <v>0.106230521131833</v>
      </c>
      <c r="F30" s="34">
        <f ca="1">VLOOKUP(CurrentMtgRatesDataTable825[[#This Row],[asOfDate]]+1,Bloomberg!B:C,2,0)</f>
        <v>1548.6</v>
      </c>
      <c r="H30" s="1">
        <v>40738</v>
      </c>
      <c r="I30" s="33">
        <v>0.55014388201104203</v>
      </c>
      <c r="O30" s="1">
        <v>40738</v>
      </c>
      <c r="P30" s="33">
        <v>6.2583851957797503E-4</v>
      </c>
    </row>
    <row r="31" spans="2:16">
      <c r="B31" s="18">
        <v>41969</v>
      </c>
      <c r="C31" s="30">
        <v>0.57290983086857539</v>
      </c>
      <c r="D31" s="30">
        <f>VLOOKUP(CurrentMtgRatesDataTable825[[#This Row],[asOfDate]],H:I,2,0)</f>
        <v>0.51222876537846296</v>
      </c>
      <c r="E31" s="30">
        <f>VLOOKUP(CurrentMtgRatesDataTable825[[#This Row],[asOfDate]],O:P,2,0)</f>
        <v>1.9601498700341099E-3</v>
      </c>
      <c r="F31" s="34" t="e">
        <f ca="1">VLOOKUP(CurrentMtgRatesDataTable825[[#This Row],[asOfDate]]+1,Bloomberg!B:C,2,0)</f>
        <v>#N/A</v>
      </c>
      <c r="H31" s="1">
        <v>40745</v>
      </c>
      <c r="I31" s="33">
        <v>0.53018048409344898</v>
      </c>
      <c r="O31" s="1">
        <v>40745</v>
      </c>
      <c r="P31" s="33">
        <v>0</v>
      </c>
    </row>
    <row r="32" spans="2:16">
      <c r="B32" s="18">
        <v>41963</v>
      </c>
      <c r="C32" s="30">
        <v>0.56606721089043732</v>
      </c>
      <c r="D32" s="30">
        <f>VLOOKUP(CurrentMtgRatesDataTable825[[#This Row],[asOfDate]],H:I,2,0)</f>
        <v>0.51126312077979097</v>
      </c>
      <c r="E32" s="30">
        <f>VLOOKUP(CurrentMtgRatesDataTable825[[#This Row],[asOfDate]],O:P,2,0)</f>
        <v>1.9465534524820899E-3</v>
      </c>
      <c r="F32" s="34">
        <f ca="1">VLOOKUP(CurrentMtgRatesDataTable825[[#This Row],[asOfDate]]+1,Bloomberg!B:C,2,0)</f>
        <v>1547.9</v>
      </c>
      <c r="H32" s="1">
        <v>40752</v>
      </c>
      <c r="I32" s="33">
        <v>0.52333294764067595</v>
      </c>
      <c r="O32" s="1">
        <v>40752</v>
      </c>
      <c r="P32" s="33">
        <v>0</v>
      </c>
    </row>
    <row r="33" spans="2:16">
      <c r="B33" s="18">
        <v>41956</v>
      </c>
      <c r="C33" s="30">
        <v>0.55497671209744126</v>
      </c>
      <c r="D33" s="30">
        <f>VLOOKUP(CurrentMtgRatesDataTable825[[#This Row],[asOfDate]],H:I,2,0)</f>
        <v>0.47696082053878203</v>
      </c>
      <c r="E33" s="30">
        <f>VLOOKUP(CurrentMtgRatesDataTable825[[#This Row],[asOfDate]],O:P,2,0)</f>
        <v>1.4902494177175701E-3</v>
      </c>
      <c r="F33" s="34">
        <f ca="1">VLOOKUP(CurrentMtgRatesDataTable825[[#This Row],[asOfDate]]+1,Bloomberg!B:C,2,0)</f>
        <v>1563.2</v>
      </c>
      <c r="H33" s="1">
        <v>40759</v>
      </c>
      <c r="I33" s="33">
        <v>0.59636201439054404</v>
      </c>
      <c r="O33" s="1">
        <v>40759</v>
      </c>
      <c r="P33" s="33">
        <v>1.93393301571353E-2</v>
      </c>
    </row>
    <row r="34" spans="2:16">
      <c r="B34" s="18">
        <v>41949</v>
      </c>
      <c r="C34" s="30">
        <v>0.54857982917990311</v>
      </c>
      <c r="D34" s="30">
        <f>VLOOKUP(CurrentMtgRatesDataTable825[[#This Row],[asOfDate]],H:I,2,0)</f>
        <v>0.47679161148246502</v>
      </c>
      <c r="E34" s="30">
        <f>VLOOKUP(CurrentMtgRatesDataTable825[[#This Row],[asOfDate]],O:P,2,0)</f>
        <v>0</v>
      </c>
      <c r="F34" s="34">
        <f ca="1">VLOOKUP(CurrentMtgRatesDataTable825[[#This Row],[asOfDate]]+1,Bloomberg!B:C,2,0)</f>
        <v>1565.3</v>
      </c>
      <c r="H34" s="1">
        <v>40766</v>
      </c>
      <c r="I34" s="33">
        <v>0.68796050816059295</v>
      </c>
      <c r="O34" s="1">
        <v>40766</v>
      </c>
      <c r="P34" s="33">
        <v>3.6312412114141997E-2</v>
      </c>
    </row>
    <row r="35" spans="2:16">
      <c r="B35" s="18">
        <v>41942</v>
      </c>
      <c r="C35" s="30">
        <v>0.57181297396619646</v>
      </c>
      <c r="D35" s="30">
        <f>VLOOKUP(CurrentMtgRatesDataTable825[[#This Row],[asOfDate]],H:I,2,0)</f>
        <v>0.519221652370358</v>
      </c>
      <c r="E35" s="30">
        <f>VLOOKUP(CurrentMtgRatesDataTable825[[#This Row],[asOfDate]],O:P,2,0)</f>
        <v>0</v>
      </c>
      <c r="F35" s="34">
        <f ca="1">VLOOKUP(CurrentMtgRatesDataTable825[[#This Row],[asOfDate]]+1,Bloomberg!B:C,2,0)</f>
        <v>1604.8</v>
      </c>
      <c r="H35" s="1">
        <v>40773</v>
      </c>
      <c r="I35" s="33">
        <v>0.76968967049094095</v>
      </c>
      <c r="O35" s="1">
        <v>40773</v>
      </c>
      <c r="P35" s="33">
        <v>0.76977670194978398</v>
      </c>
    </row>
    <row r="36" spans="2:16">
      <c r="B36" s="18">
        <v>41935</v>
      </c>
      <c r="C36" s="30">
        <v>0.58745733896979668</v>
      </c>
      <c r="D36" s="30">
        <f>VLOOKUP(CurrentMtgRatesDataTable825[[#This Row],[asOfDate]],H:I,2,0)</f>
        <v>0.54838604953283498</v>
      </c>
      <c r="E36" s="30">
        <f>VLOOKUP(CurrentMtgRatesDataTable825[[#This Row],[asOfDate]],O:P,2,0)</f>
        <v>0.103644934949105</v>
      </c>
      <c r="F36" s="34">
        <f ca="1">VLOOKUP(CurrentMtgRatesDataTable825[[#This Row],[asOfDate]]+1,Bloomberg!B:C,2,0)</f>
        <v>1713.6</v>
      </c>
      <c r="H36" s="1">
        <v>40780</v>
      </c>
      <c r="I36" s="33">
        <v>0.73013076231760698</v>
      </c>
      <c r="O36" s="1">
        <v>40780</v>
      </c>
      <c r="P36" s="33">
        <v>0</v>
      </c>
    </row>
    <row r="37" spans="2:16">
      <c r="B37" s="18">
        <v>41928</v>
      </c>
      <c r="C37" s="30">
        <v>0.57517284737260799</v>
      </c>
      <c r="D37" s="30">
        <f>VLOOKUP(CurrentMtgRatesDataTable825[[#This Row],[asOfDate]],H:I,2,0)</f>
        <v>0.51982909302980596</v>
      </c>
      <c r="E37" s="30">
        <f>VLOOKUP(CurrentMtgRatesDataTable825[[#This Row],[asOfDate]],O:P,2,0)</f>
        <v>9.0356790924596503E-2</v>
      </c>
      <c r="F37" s="34">
        <f ca="1">VLOOKUP(CurrentMtgRatesDataTable825[[#This Row],[asOfDate]]+1,Bloomberg!B:C,2,0)</f>
        <v>1898.2</v>
      </c>
      <c r="H37" s="1">
        <v>40787</v>
      </c>
      <c r="I37" s="33">
        <v>0.72518805605942505</v>
      </c>
      <c r="O37" s="1">
        <v>40787</v>
      </c>
      <c r="P37" s="33">
        <v>0</v>
      </c>
    </row>
    <row r="38" spans="2:16">
      <c r="B38" s="18">
        <v>41921</v>
      </c>
      <c r="C38" s="30">
        <v>0.47165449273347226</v>
      </c>
      <c r="D38" s="30">
        <f>VLOOKUP(CurrentMtgRatesDataTable825[[#This Row],[asOfDate]],H:I,2,0)</f>
        <v>0.45168042618119703</v>
      </c>
      <c r="E38" s="30">
        <f>VLOOKUP(CurrentMtgRatesDataTable825[[#This Row],[asOfDate]],O:P,2,0)</f>
        <v>1.00775509847578E-3</v>
      </c>
      <c r="F38" s="34">
        <f ca="1">VLOOKUP(CurrentMtgRatesDataTable825[[#This Row],[asOfDate]]+1,Bloomberg!B:C,2,0)</f>
        <v>1560.6</v>
      </c>
      <c r="H38" s="1">
        <v>40794</v>
      </c>
      <c r="I38" s="33">
        <v>0.78586619764471199</v>
      </c>
      <c r="O38" s="1">
        <v>40794</v>
      </c>
      <c r="P38" s="33">
        <v>0.786160649616369</v>
      </c>
    </row>
    <row r="39" spans="2:16">
      <c r="B39" s="18">
        <v>41914</v>
      </c>
      <c r="C39" s="30">
        <v>0.43232059685066798</v>
      </c>
      <c r="D39" s="30">
        <f>VLOOKUP(CurrentMtgRatesDataTable825[[#This Row],[asOfDate]],H:I,2,0)</f>
        <v>0.419925946793896</v>
      </c>
      <c r="E39" s="30">
        <f>VLOOKUP(CurrentMtgRatesDataTable825[[#This Row],[asOfDate]],O:P,2,0)</f>
        <v>0</v>
      </c>
      <c r="F39" s="34">
        <f ca="1">VLOOKUP(CurrentMtgRatesDataTable825[[#This Row],[asOfDate]]+1,Bloomberg!B:C,2,0)</f>
        <v>1387.1</v>
      </c>
      <c r="H39" s="1">
        <v>40801</v>
      </c>
      <c r="I39" s="33">
        <v>0.78804143101353397</v>
      </c>
      <c r="O39" s="1">
        <v>40801</v>
      </c>
      <c r="P39" s="33">
        <v>0.78833832359916201</v>
      </c>
    </row>
    <row r="40" spans="2:16">
      <c r="B40" s="18">
        <v>41907</v>
      </c>
      <c r="C40" s="30">
        <v>0.41373230170663788</v>
      </c>
      <c r="D40" s="30">
        <f>VLOOKUP(CurrentMtgRatesDataTable825[[#This Row],[asOfDate]],H:I,2,0)</f>
        <v>0.40569534905697002</v>
      </c>
      <c r="E40" s="30">
        <f>VLOOKUP(CurrentMtgRatesDataTable825[[#This Row],[asOfDate]],O:P,2,0)</f>
        <v>0</v>
      </c>
      <c r="F40" s="34">
        <f ca="1">VLOOKUP(CurrentMtgRatesDataTable825[[#This Row],[asOfDate]]+1,Bloomberg!B:C,2,0)</f>
        <v>1326.2</v>
      </c>
      <c r="H40" s="1">
        <v>40808</v>
      </c>
      <c r="I40" s="33">
        <v>0.78804143101353397</v>
      </c>
      <c r="O40" s="1">
        <v>40808</v>
      </c>
      <c r="P40" s="33">
        <v>0</v>
      </c>
    </row>
    <row r="41" spans="2:16">
      <c r="B41" s="18">
        <v>41900</v>
      </c>
      <c r="C41" s="30">
        <v>0.3981672862675662</v>
      </c>
      <c r="D41" s="30">
        <f>VLOOKUP(CurrentMtgRatesDataTable825[[#This Row],[asOfDate]],H:I,2,0)</f>
        <v>0.403775681059653</v>
      </c>
      <c r="E41" s="30">
        <f>VLOOKUP(CurrentMtgRatesDataTable825[[#This Row],[asOfDate]],O:P,2,0)</f>
        <v>0</v>
      </c>
      <c r="F41" s="34">
        <f ca="1">VLOOKUP(CurrentMtgRatesDataTable825[[#This Row],[asOfDate]]+1,Bloomberg!B:C,2,0)</f>
        <v>1335.1</v>
      </c>
      <c r="H41" s="1">
        <v>40815</v>
      </c>
      <c r="I41" s="33">
        <v>0.83535228019697605</v>
      </c>
      <c r="O41" s="1">
        <v>40815</v>
      </c>
      <c r="P41" s="33">
        <v>0.83561176946303795</v>
      </c>
    </row>
    <row r="42" spans="2:16">
      <c r="B42" s="18">
        <v>41893</v>
      </c>
      <c r="C42" s="30">
        <v>0.4741591952243816</v>
      </c>
      <c r="D42" s="30">
        <f>VLOOKUP(CurrentMtgRatesDataTable825[[#This Row],[asOfDate]],H:I,2,0)</f>
        <v>0.45995272695767497</v>
      </c>
      <c r="E42" s="30">
        <f>VLOOKUP(CurrentMtgRatesDataTable825[[#This Row],[asOfDate]],O:P,2,0)</f>
        <v>0</v>
      </c>
      <c r="F42" s="34">
        <f ca="1">VLOOKUP(CurrentMtgRatesDataTable825[[#This Row],[asOfDate]]+1,Bloomberg!B:C,2,0)</f>
        <v>1398.4</v>
      </c>
      <c r="H42" s="1">
        <v>40822</v>
      </c>
      <c r="I42" s="33">
        <v>0.82324225699227804</v>
      </c>
      <c r="O42" s="1">
        <v>40822</v>
      </c>
      <c r="P42" s="33">
        <v>0.82194247765297301</v>
      </c>
    </row>
    <row r="43" spans="2:16">
      <c r="B43" s="18">
        <v>41886</v>
      </c>
      <c r="C43" s="30">
        <v>0.4873264191007175</v>
      </c>
      <c r="D43" s="30">
        <f>VLOOKUP(CurrentMtgRatesDataTable825[[#This Row],[asOfDate]],H:I,2,0)</f>
        <v>0.46145357757128402</v>
      </c>
      <c r="E43" s="30">
        <f>VLOOKUP(CurrentMtgRatesDataTable825[[#This Row],[asOfDate]],O:P,2,0)</f>
        <v>0</v>
      </c>
      <c r="F43" s="34">
        <f ca="1">VLOOKUP(CurrentMtgRatesDataTable825[[#This Row],[asOfDate]]+1,Bloomberg!B:C,2,0)</f>
        <v>1275.8</v>
      </c>
      <c r="H43" s="1">
        <v>40829</v>
      </c>
      <c r="I43" s="33">
        <v>0.75043074974252599</v>
      </c>
      <c r="O43" s="1">
        <v>40829</v>
      </c>
      <c r="P43" s="33">
        <v>0</v>
      </c>
    </row>
    <row r="44" spans="2:16">
      <c r="B44" s="18">
        <v>41879</v>
      </c>
      <c r="C44" s="30">
        <v>0.49084413664233395</v>
      </c>
      <c r="D44" s="30">
        <f>VLOOKUP(CurrentMtgRatesDataTable825[[#This Row],[asOfDate]],H:I,2,0)</f>
        <v>0.46725416935729103</v>
      </c>
      <c r="E44" s="30">
        <f>VLOOKUP(CurrentMtgRatesDataTable825[[#This Row],[asOfDate]],O:P,2,0)</f>
        <v>0</v>
      </c>
      <c r="F44" s="34">
        <f ca="1">VLOOKUP(CurrentMtgRatesDataTable825[[#This Row],[asOfDate]]+1,Bloomberg!B:C,2,0)</f>
        <v>1436</v>
      </c>
      <c r="H44" s="1">
        <v>40836</v>
      </c>
      <c r="I44" s="33">
        <v>0.76889855223368597</v>
      </c>
      <c r="O44" s="1">
        <v>40836</v>
      </c>
      <c r="P44" s="33">
        <v>0</v>
      </c>
    </row>
    <row r="45" spans="2:16">
      <c r="B45" s="18">
        <v>41872</v>
      </c>
      <c r="C45" s="30">
        <v>0.49084413664233395</v>
      </c>
      <c r="D45" s="30">
        <f>VLOOKUP(CurrentMtgRatesDataTable825[[#This Row],[asOfDate]],H:I,2,0)</f>
        <v>0.46725416935729103</v>
      </c>
      <c r="E45" s="30">
        <f>VLOOKUP(CurrentMtgRatesDataTable825[[#This Row],[asOfDate]],O:P,2,0)</f>
        <v>5.44200843584444E-2</v>
      </c>
      <c r="F45" s="34">
        <f ca="1">VLOOKUP(CurrentMtgRatesDataTable825[[#This Row],[asOfDate]]+1,Bloomberg!B:C,2,0)</f>
        <v>1439.4</v>
      </c>
      <c r="H45" s="1">
        <v>40843</v>
      </c>
      <c r="I45" s="33">
        <v>0.77033919514702098</v>
      </c>
      <c r="O45" s="1">
        <v>40843</v>
      </c>
      <c r="P45" s="33">
        <v>0</v>
      </c>
    </row>
    <row r="46" spans="2:16">
      <c r="B46" s="18">
        <v>41865</v>
      </c>
      <c r="C46" s="30">
        <v>0.45575254137027688</v>
      </c>
      <c r="D46" s="30">
        <f>VLOOKUP(CurrentMtgRatesDataTable825[[#This Row],[asOfDate]],H:I,2,0)</f>
        <v>0.437009219217877</v>
      </c>
      <c r="E46" s="30">
        <f>VLOOKUP(CurrentMtgRatesDataTable825[[#This Row],[asOfDate]],O:P,2,0)</f>
        <v>5.9130346511517896E-4</v>
      </c>
      <c r="F46" s="34">
        <f ca="1">VLOOKUP(CurrentMtgRatesDataTable825[[#This Row],[asOfDate]]+1,Bloomberg!B:C,2,0)</f>
        <v>1404.9</v>
      </c>
      <c r="H46" s="1">
        <v>40850</v>
      </c>
      <c r="I46" s="33">
        <v>0.80719780316763601</v>
      </c>
      <c r="O46" s="1">
        <v>40850</v>
      </c>
      <c r="P46" s="33">
        <v>0</v>
      </c>
    </row>
    <row r="47" spans="2:16">
      <c r="B47" s="18">
        <v>41858</v>
      </c>
      <c r="C47" s="30">
        <v>0.42413376349642812</v>
      </c>
      <c r="D47" s="30">
        <f>VLOOKUP(CurrentMtgRatesDataTable825[[#This Row],[asOfDate]],H:I,2,0)</f>
        <v>0.41284557270170602</v>
      </c>
      <c r="E47" s="30">
        <f>VLOOKUP(CurrentMtgRatesDataTable825[[#This Row],[asOfDate]],O:P,2,0)</f>
        <v>0</v>
      </c>
      <c r="F47" s="34">
        <f ca="1">VLOOKUP(CurrentMtgRatesDataTable825[[#This Row],[asOfDate]]+1,Bloomberg!B:C,2,0)</f>
        <v>1342.6</v>
      </c>
      <c r="H47" s="1">
        <v>40857</v>
      </c>
      <c r="I47" s="33">
        <v>0.80724570771905702</v>
      </c>
      <c r="O47" s="1">
        <v>40857</v>
      </c>
      <c r="P47" s="33">
        <v>8.7950076846855297E-4</v>
      </c>
    </row>
    <row r="48" spans="2:16">
      <c r="B48" s="18">
        <v>41851</v>
      </c>
      <c r="C48" s="30">
        <v>0.45923072088835232</v>
      </c>
      <c r="D48" s="30">
        <f>VLOOKUP(CurrentMtgRatesDataTable825[[#This Row],[asOfDate]],H:I,2,0)</f>
        <v>0.44366576481104603</v>
      </c>
      <c r="E48" s="30">
        <f>VLOOKUP(CurrentMtgRatesDataTable825[[#This Row],[asOfDate]],O:P,2,0)</f>
        <v>0</v>
      </c>
      <c r="F48" s="34">
        <f ca="1">VLOOKUP(CurrentMtgRatesDataTable825[[#This Row],[asOfDate]]+1,Bloomberg!B:C,2,0)</f>
        <v>1373.9</v>
      </c>
      <c r="H48" s="1">
        <v>40864</v>
      </c>
      <c r="I48" s="33">
        <v>0.80719780316763601</v>
      </c>
      <c r="O48" s="1">
        <v>40864</v>
      </c>
      <c r="P48" s="33">
        <v>0</v>
      </c>
    </row>
    <row r="49" spans="2:16">
      <c r="B49" s="18">
        <v>41844</v>
      </c>
      <c r="C49" s="30">
        <v>0.45155296827836544</v>
      </c>
      <c r="D49" s="30">
        <f>VLOOKUP(CurrentMtgRatesDataTable825[[#This Row],[asOfDate]],H:I,2,0)</f>
        <v>0.44241787954298001</v>
      </c>
      <c r="E49" s="30">
        <f>VLOOKUP(CurrentMtgRatesDataTable825[[#This Row],[asOfDate]],O:P,2,0)</f>
        <v>0</v>
      </c>
      <c r="F49" s="34">
        <f ca="1">VLOOKUP(CurrentMtgRatesDataTable825[[#This Row],[asOfDate]]+1,Bloomberg!B:C,2,0)</f>
        <v>1327.5</v>
      </c>
      <c r="H49" s="1">
        <v>40870</v>
      </c>
      <c r="I49" s="33">
        <v>0.80850149462655696</v>
      </c>
      <c r="O49" s="1">
        <v>40870</v>
      </c>
      <c r="P49" s="33">
        <v>8.8101230968728496E-4</v>
      </c>
    </row>
    <row r="50" spans="2:16">
      <c r="B50" s="18">
        <v>41837</v>
      </c>
      <c r="C50" s="30">
        <v>0.45155296827836544</v>
      </c>
      <c r="D50" s="30">
        <f>VLOOKUP(CurrentMtgRatesDataTable825[[#This Row],[asOfDate]],H:I,2,0)</f>
        <v>0.44241787954298001</v>
      </c>
      <c r="E50" s="30">
        <f>VLOOKUP(CurrentMtgRatesDataTable825[[#This Row],[asOfDate]],O:P,2,0)</f>
        <v>0</v>
      </c>
      <c r="F50" s="34">
        <f ca="1">VLOOKUP(CurrentMtgRatesDataTable825[[#This Row],[asOfDate]]+1,Bloomberg!B:C,2,0)</f>
        <v>1400.7</v>
      </c>
      <c r="H50" s="1">
        <v>40878</v>
      </c>
      <c r="I50" s="33">
        <v>0.79441104681633201</v>
      </c>
      <c r="O50" s="1">
        <v>40878</v>
      </c>
      <c r="P50" s="33">
        <v>0</v>
      </c>
    </row>
    <row r="51" spans="2:16">
      <c r="B51" s="18">
        <v>41830</v>
      </c>
      <c r="C51" s="30">
        <v>0.42147742037560049</v>
      </c>
      <c r="D51" s="30">
        <f>VLOOKUP(CurrentMtgRatesDataTable825[[#This Row],[asOfDate]],H:I,2,0)</f>
        <v>0.41926854513922601</v>
      </c>
      <c r="E51" s="30">
        <f>VLOOKUP(CurrentMtgRatesDataTable825[[#This Row],[asOfDate]],O:P,2,0)</f>
        <v>0</v>
      </c>
      <c r="F51" s="34">
        <f ca="1">VLOOKUP(CurrentMtgRatesDataTable825[[#This Row],[asOfDate]]+1,Bloomberg!B:C,2,0)</f>
        <v>1329.7</v>
      </c>
      <c r="H51" s="1">
        <v>40885</v>
      </c>
      <c r="I51" s="33">
        <v>0.79445840936885304</v>
      </c>
      <c r="O51" s="1">
        <v>40885</v>
      </c>
      <c r="P51" s="33">
        <v>6.7786594921879302E-4</v>
      </c>
    </row>
    <row r="52" spans="2:16">
      <c r="B52" s="18">
        <v>41823</v>
      </c>
      <c r="C52" s="30">
        <v>0.48178321750260522</v>
      </c>
      <c r="D52" s="30">
        <f>VLOOKUP(CurrentMtgRatesDataTable825[[#This Row],[asOfDate]],H:I,2,0)</f>
        <v>0.47241973099249801</v>
      </c>
      <c r="E52" s="30">
        <f>VLOOKUP(CurrentMtgRatesDataTable825[[#This Row],[asOfDate]],O:P,2,0)</f>
        <v>4.9242422986382497E-2</v>
      </c>
      <c r="F52" s="34">
        <f ca="1">VLOOKUP(CurrentMtgRatesDataTable825[[#This Row],[asOfDate]]+1,Bloomberg!B:C,2,0)</f>
        <v>1346.8</v>
      </c>
      <c r="H52" s="1">
        <v>40892</v>
      </c>
      <c r="I52" s="33">
        <v>0.79646175435893696</v>
      </c>
      <c r="O52" s="1">
        <v>40892</v>
      </c>
      <c r="P52" s="33">
        <v>0.79669049657242397</v>
      </c>
    </row>
    <row r="53" spans="2:16">
      <c r="B53" s="18">
        <v>41816</v>
      </c>
      <c r="C53" s="30">
        <v>0.46847875373528863</v>
      </c>
      <c r="D53" s="30">
        <f>VLOOKUP(CurrentMtgRatesDataTable825[[#This Row],[asOfDate]],H:I,2,0)</f>
        <v>0.447997908024105</v>
      </c>
      <c r="E53" s="30">
        <f>VLOOKUP(CurrentMtgRatesDataTable825[[#This Row],[asOfDate]],O:P,2,0)</f>
        <v>0</v>
      </c>
      <c r="F53" s="34">
        <f ca="1">VLOOKUP(CurrentMtgRatesDataTable825[[#This Row],[asOfDate]]+1,Bloomberg!B:C,2,0)</f>
        <v>1341.8</v>
      </c>
      <c r="H53" s="1">
        <v>40899</v>
      </c>
      <c r="I53" s="33">
        <v>0.82537040355923197</v>
      </c>
      <c r="O53" s="1">
        <v>40899</v>
      </c>
      <c r="P53" s="33">
        <v>0.82559057548597004</v>
      </c>
    </row>
    <row r="54" spans="2:16">
      <c r="B54" s="18">
        <v>41809</v>
      </c>
      <c r="C54" s="30">
        <v>0.42635938692148717</v>
      </c>
      <c r="D54" s="30">
        <f>VLOOKUP(CurrentMtgRatesDataTable825[[#This Row],[asOfDate]],H:I,2,0)</f>
        <v>0.42434402519227898</v>
      </c>
      <c r="E54" s="30">
        <f>VLOOKUP(CurrentMtgRatesDataTable825[[#This Row],[asOfDate]],O:P,2,0)</f>
        <v>0</v>
      </c>
      <c r="F54" s="34">
        <f ca="1">VLOOKUP(CurrentMtgRatesDataTable825[[#This Row],[asOfDate]]+1,Bloomberg!B:C,2,0)</f>
        <v>1333.5</v>
      </c>
      <c r="H54" s="1">
        <v>40906</v>
      </c>
      <c r="I54" s="33">
        <v>0.81734633197465201</v>
      </c>
      <c r="O54" s="1">
        <v>40906</v>
      </c>
      <c r="P54" s="33">
        <v>0</v>
      </c>
    </row>
    <row r="55" spans="2:16">
      <c r="B55" s="18">
        <v>41802</v>
      </c>
      <c r="C55" s="30">
        <v>0.41096738430920449</v>
      </c>
      <c r="D55" s="30">
        <f>VLOOKUP(CurrentMtgRatesDataTable825[[#This Row],[asOfDate]],H:I,2,0)</f>
        <v>0.42258598579352902</v>
      </c>
      <c r="E55" s="30">
        <f>VLOOKUP(CurrentMtgRatesDataTable825[[#This Row],[asOfDate]],O:P,2,0)</f>
        <v>0</v>
      </c>
      <c r="F55" s="34">
        <f ca="1">VLOOKUP(CurrentMtgRatesDataTable825[[#This Row],[asOfDate]]+1,Bloomberg!B:C,2,0)</f>
        <v>1321.3</v>
      </c>
      <c r="H55" s="1">
        <v>40913</v>
      </c>
      <c r="I55" s="33">
        <v>0.80629912189469399</v>
      </c>
      <c r="O55" s="1">
        <v>40913</v>
      </c>
      <c r="P55" s="33">
        <v>0</v>
      </c>
    </row>
    <row r="56" spans="2:16">
      <c r="B56" s="18">
        <v>41795</v>
      </c>
      <c r="C56" s="30">
        <v>0.46847875373528863</v>
      </c>
      <c r="D56" s="30">
        <f>VLOOKUP(CurrentMtgRatesDataTable825[[#This Row],[asOfDate]],H:I,2,0)</f>
        <v>0.447997908024105</v>
      </c>
      <c r="E56" s="30">
        <f>VLOOKUP(CurrentMtgRatesDataTable825[[#This Row],[asOfDate]],O:P,2,0)</f>
        <v>3.2896088379140397E-2</v>
      </c>
      <c r="F56" s="34">
        <f ca="1">VLOOKUP(CurrentMtgRatesDataTable825[[#This Row],[asOfDate]]+1,Bloomberg!B:C,2,0)</f>
        <v>1516.9</v>
      </c>
      <c r="H56" s="1">
        <v>40920</v>
      </c>
      <c r="I56" s="33">
        <v>0.81626218699844599</v>
      </c>
      <c r="O56" s="1">
        <v>40920</v>
      </c>
      <c r="P56" s="33">
        <v>0.81663205917875104</v>
      </c>
    </row>
    <row r="57" spans="2:16">
      <c r="B57" s="18">
        <v>41788</v>
      </c>
      <c r="C57" s="30">
        <v>0.46362020494951672</v>
      </c>
      <c r="D57" s="30">
        <f>VLOOKUP(CurrentMtgRatesDataTable825[[#This Row],[asOfDate]],H:I,2,0)</f>
        <v>0.44740081291084099</v>
      </c>
      <c r="E57" s="30">
        <f>VLOOKUP(CurrentMtgRatesDataTable825[[#This Row],[asOfDate]],O:P,2,0)</f>
        <v>2.8641136811507002E-2</v>
      </c>
      <c r="F57" s="34">
        <f ca="1">VLOOKUP(CurrentMtgRatesDataTable825[[#This Row],[asOfDate]]+1,Bloomberg!B:C,2,0)</f>
        <v>1382.6</v>
      </c>
      <c r="H57" s="1">
        <v>40927</v>
      </c>
      <c r="I57" s="33">
        <v>0.81461584859780101</v>
      </c>
      <c r="O57" s="1">
        <v>40927</v>
      </c>
      <c r="P57" s="33">
        <v>0</v>
      </c>
    </row>
    <row r="58" spans="2:16">
      <c r="B58" s="18">
        <v>41781</v>
      </c>
      <c r="C58" s="30">
        <v>0.44799454346559853</v>
      </c>
      <c r="D58" s="30">
        <f>VLOOKUP(CurrentMtgRatesDataTable825[[#This Row],[asOfDate]],H:I,2,0)</f>
        <v>0.44562837110466802</v>
      </c>
      <c r="E58" s="30">
        <f>VLOOKUP(CurrentMtgRatesDataTable825[[#This Row],[asOfDate]],O:P,2,0)</f>
        <v>1.7600292816905099E-2</v>
      </c>
      <c r="F58" s="34">
        <f ca="1">VLOOKUP(CurrentMtgRatesDataTable825[[#This Row],[asOfDate]]+1,Bloomberg!B:C,2,0)</f>
        <v>1453.4</v>
      </c>
      <c r="H58" s="1">
        <v>40934</v>
      </c>
      <c r="I58" s="33">
        <v>0.78339393568549298</v>
      </c>
      <c r="O58" s="1">
        <v>40934</v>
      </c>
      <c r="P58" s="33">
        <v>0</v>
      </c>
    </row>
    <row r="59" spans="2:16">
      <c r="B59" s="18">
        <v>41774</v>
      </c>
      <c r="C59" s="30">
        <v>0.4132153406951769</v>
      </c>
      <c r="D59" s="30">
        <f>VLOOKUP(CurrentMtgRatesDataTable825[[#This Row],[asOfDate]],H:I,2,0)</f>
        <v>0.42349289634896597</v>
      </c>
      <c r="E59" s="30">
        <f>VLOOKUP(CurrentMtgRatesDataTable825[[#This Row],[asOfDate]],O:P,2,0)</f>
        <v>1.3390108612719401E-2</v>
      </c>
      <c r="F59" s="34">
        <f ca="1">VLOOKUP(CurrentMtgRatesDataTable825[[#This Row],[asOfDate]]+1,Bloomberg!B:C,2,0)</f>
        <v>1460.6</v>
      </c>
      <c r="H59" s="1">
        <v>40941</v>
      </c>
      <c r="I59" s="33">
        <v>0.79842547980239797</v>
      </c>
      <c r="O59" s="1">
        <v>40941</v>
      </c>
      <c r="P59" s="33">
        <v>0</v>
      </c>
    </row>
    <row r="60" spans="2:16">
      <c r="B60" s="18">
        <v>41767</v>
      </c>
      <c r="C60" s="30">
        <v>0.40975674753773905</v>
      </c>
      <c r="D60" s="30">
        <f>VLOOKUP(CurrentMtgRatesDataTable825[[#This Row],[asOfDate]],H:I,2,0)</f>
        <v>0.42315654967107302</v>
      </c>
      <c r="E60" s="30">
        <f>VLOOKUP(CurrentMtgRatesDataTable825[[#This Row],[asOfDate]],O:P,2,0)</f>
        <v>1.33698656511534E-2</v>
      </c>
      <c r="F60" s="34">
        <f ca="1">VLOOKUP(CurrentMtgRatesDataTable825[[#This Row],[asOfDate]]+1,Bloomberg!B:C,2,0)</f>
        <v>1400.9</v>
      </c>
      <c r="H60" s="1">
        <v>40948</v>
      </c>
      <c r="I60" s="33">
        <v>0.79842547980239797</v>
      </c>
      <c r="O60" s="1">
        <v>40948</v>
      </c>
      <c r="P60" s="33">
        <v>0</v>
      </c>
    </row>
    <row r="61" spans="2:16">
      <c r="B61" s="18">
        <v>41760</v>
      </c>
      <c r="C61" s="30">
        <v>0.37360583835556432</v>
      </c>
      <c r="D61" s="30">
        <f>VLOOKUP(CurrentMtgRatesDataTable825[[#This Row],[asOfDate]],H:I,2,0)</f>
        <v>0.37348002875422498</v>
      </c>
      <c r="E61" s="30">
        <f>VLOOKUP(CurrentMtgRatesDataTable825[[#This Row],[asOfDate]],O:P,2,0)</f>
        <v>0</v>
      </c>
      <c r="F61" s="34">
        <f ca="1">VLOOKUP(CurrentMtgRatesDataTable825[[#This Row],[asOfDate]]+1,Bloomberg!B:C,2,0)</f>
        <v>1323.9</v>
      </c>
      <c r="H61" s="1">
        <v>40955</v>
      </c>
      <c r="I61" s="33">
        <v>0.79842547980239797</v>
      </c>
      <c r="O61" s="1">
        <v>40955</v>
      </c>
      <c r="P61" s="33">
        <v>0</v>
      </c>
    </row>
    <row r="62" spans="2:16">
      <c r="B62" s="18">
        <v>41753</v>
      </c>
      <c r="C62" s="30">
        <v>0.37393962817107157</v>
      </c>
      <c r="D62" s="30">
        <f>VLOOKUP(CurrentMtgRatesDataTable825[[#This Row],[asOfDate]],H:I,2,0)</f>
        <v>0.37394334466633</v>
      </c>
      <c r="E62" s="30">
        <f>VLOOKUP(CurrentMtgRatesDataTable825[[#This Row],[asOfDate]],O:P,2,0)</f>
        <v>0</v>
      </c>
      <c r="F62" s="34">
        <f ca="1">VLOOKUP(CurrentMtgRatesDataTable825[[#This Row],[asOfDate]]+1,Bloomberg!B:C,2,0)</f>
        <v>1298.0999999999999</v>
      </c>
      <c r="H62" s="1">
        <v>40962</v>
      </c>
      <c r="I62" s="33">
        <v>0.76669716579457303</v>
      </c>
      <c r="O62" s="1">
        <v>40962</v>
      </c>
      <c r="P62" s="33">
        <v>0</v>
      </c>
    </row>
    <row r="63" spans="2:16">
      <c r="B63" s="18">
        <v>41746</v>
      </c>
      <c r="C63" s="30">
        <v>0.38166972699665563</v>
      </c>
      <c r="D63" s="30">
        <f>VLOOKUP(CurrentMtgRatesDataTable825[[#This Row],[asOfDate]],H:I,2,0)</f>
        <v>0.37550642358643799</v>
      </c>
      <c r="E63" s="30">
        <f>VLOOKUP(CurrentMtgRatesDataTable825[[#This Row],[asOfDate]],O:P,2,0)</f>
        <v>1.3569924293908599E-3</v>
      </c>
      <c r="F63" s="34">
        <f ca="1">VLOOKUP(CurrentMtgRatesDataTable825[[#This Row],[asOfDate]]+1,Bloomberg!B:C,2,0)</f>
        <v>1370.9</v>
      </c>
      <c r="H63" s="1">
        <v>40969</v>
      </c>
      <c r="I63" s="33">
        <v>0.77480777056815697</v>
      </c>
      <c r="O63" s="1">
        <v>40969</v>
      </c>
      <c r="P63" s="33">
        <v>0</v>
      </c>
    </row>
    <row r="64" spans="2:16">
      <c r="B64" s="18">
        <v>41739</v>
      </c>
      <c r="C64" s="30">
        <v>0.36683376695248865</v>
      </c>
      <c r="D64" s="30">
        <f>VLOOKUP(CurrentMtgRatesDataTable825[[#This Row],[asOfDate]],H:I,2,0)</f>
        <v>0.34451093908200903</v>
      </c>
      <c r="E64" s="30">
        <f>VLOOKUP(CurrentMtgRatesDataTable825[[#This Row],[asOfDate]],O:P,2,0)</f>
        <v>3.2608018628066501E-4</v>
      </c>
      <c r="F64" s="34">
        <f ca="1">VLOOKUP(CurrentMtgRatesDataTable825[[#This Row],[asOfDate]]+1,Bloomberg!B:C,2,0)</f>
        <v>1429.9</v>
      </c>
      <c r="H64" s="1">
        <v>40976</v>
      </c>
      <c r="I64" s="33">
        <v>0.78283886771012201</v>
      </c>
      <c r="O64" s="1">
        <v>40976</v>
      </c>
      <c r="P64" s="33">
        <v>7.6028475141971797E-4</v>
      </c>
    </row>
    <row r="65" spans="2:16">
      <c r="B65" s="18">
        <v>41732</v>
      </c>
      <c r="C65" s="30">
        <v>0.35521926568999218</v>
      </c>
      <c r="D65" s="30">
        <f>VLOOKUP(CurrentMtgRatesDataTable825[[#This Row],[asOfDate]],H:I,2,0)</f>
        <v>0.31383635422742501</v>
      </c>
      <c r="E65" s="30">
        <f>VLOOKUP(CurrentMtgRatesDataTable825[[#This Row],[asOfDate]],O:P,2,0)</f>
        <v>0</v>
      </c>
      <c r="F65" s="34">
        <f ca="1">VLOOKUP(CurrentMtgRatesDataTable825[[#This Row],[asOfDate]]+1,Bloomberg!B:C,2,0)</f>
        <v>1324.7</v>
      </c>
      <c r="H65" s="1">
        <v>40983</v>
      </c>
      <c r="I65" s="33">
        <v>0.77421402081353796</v>
      </c>
      <c r="O65" s="1">
        <v>40983</v>
      </c>
      <c r="P65" s="33">
        <v>0</v>
      </c>
    </row>
    <row r="66" spans="2:16">
      <c r="B66" s="18">
        <v>41725</v>
      </c>
      <c r="C66" s="30">
        <v>0.36565400061256043</v>
      </c>
      <c r="D66" s="30">
        <f>VLOOKUP(CurrentMtgRatesDataTable825[[#This Row],[asOfDate]],H:I,2,0)</f>
        <v>0.34373332978073601</v>
      </c>
      <c r="E66" s="30">
        <f>VLOOKUP(CurrentMtgRatesDataTable825[[#This Row],[asOfDate]],O:P,2,0)</f>
        <v>0</v>
      </c>
      <c r="F66" s="34">
        <f ca="1">VLOOKUP(CurrentMtgRatesDataTable825[[#This Row],[asOfDate]]+1,Bloomberg!B:C,2,0)</f>
        <v>1383.5</v>
      </c>
      <c r="H66" s="1">
        <v>40990</v>
      </c>
      <c r="I66" s="33">
        <v>0.69937061468571404</v>
      </c>
      <c r="O66" s="1">
        <v>40990</v>
      </c>
      <c r="P66" s="33">
        <v>0</v>
      </c>
    </row>
    <row r="67" spans="2:16">
      <c r="B67" s="18">
        <v>41718</v>
      </c>
      <c r="C67" s="30">
        <v>0.38030249532079374</v>
      </c>
      <c r="D67" s="30">
        <f>VLOOKUP(CurrentMtgRatesDataTable825[[#This Row],[asOfDate]],H:I,2,0)</f>
        <v>0.37475184713589199</v>
      </c>
      <c r="E67" s="30">
        <f>VLOOKUP(CurrentMtgRatesDataTable825[[#This Row],[asOfDate]],O:P,2,0)</f>
        <v>0</v>
      </c>
      <c r="F67" s="34">
        <f ca="1">VLOOKUP(CurrentMtgRatesDataTable825[[#This Row],[asOfDate]]+1,Bloomberg!B:C,2,0)</f>
        <v>1426.3</v>
      </c>
      <c r="H67" s="1">
        <v>40997</v>
      </c>
      <c r="I67" s="33">
        <v>0.749723434167341</v>
      </c>
      <c r="O67" s="1">
        <v>40997</v>
      </c>
      <c r="P67" s="33">
        <v>0</v>
      </c>
    </row>
    <row r="68" spans="2:16">
      <c r="B68" s="18">
        <v>41711</v>
      </c>
      <c r="C68" s="30">
        <v>0.36933430427665681</v>
      </c>
      <c r="D68" s="30">
        <f>VLOOKUP(CurrentMtgRatesDataTable825[[#This Row],[asOfDate]],H:I,2,0)</f>
        <v>0.34537825411835699</v>
      </c>
      <c r="E68" s="30">
        <f>VLOOKUP(CurrentMtgRatesDataTable825[[#This Row],[asOfDate]],O:P,2,0)</f>
        <v>0</v>
      </c>
      <c r="F68" s="34">
        <f ca="1">VLOOKUP(CurrentMtgRatesDataTable825[[#This Row],[asOfDate]]+1,Bloomberg!B:C,2,0)</f>
        <v>1552.1</v>
      </c>
      <c r="H68" s="1">
        <v>41004</v>
      </c>
      <c r="I68" s="33">
        <v>0.75253147533014197</v>
      </c>
      <c r="O68" s="1">
        <v>41004</v>
      </c>
      <c r="P68" s="33">
        <v>0</v>
      </c>
    </row>
    <row r="69" spans="2:16">
      <c r="B69" s="18">
        <v>41704</v>
      </c>
      <c r="C69" s="30">
        <v>0.38316963725836589</v>
      </c>
      <c r="D69" s="30">
        <f>VLOOKUP(CurrentMtgRatesDataTable825[[#This Row],[asOfDate]],H:I,2,0)</f>
        <v>0.37584545219724702</v>
      </c>
      <c r="E69" s="30">
        <f>VLOOKUP(CurrentMtgRatesDataTable825[[#This Row],[asOfDate]],O:P,2,0)</f>
        <v>0</v>
      </c>
      <c r="F69" s="34">
        <f ca="1">VLOOKUP(CurrentMtgRatesDataTable825[[#This Row],[asOfDate]]+1,Bloomberg!B:C,2,0)</f>
        <v>1528</v>
      </c>
      <c r="H69" s="1">
        <v>41011</v>
      </c>
      <c r="I69" s="33">
        <v>0.80193881910043296</v>
      </c>
      <c r="O69" s="1">
        <v>41011</v>
      </c>
      <c r="P69" s="33">
        <v>0.80265108338267499</v>
      </c>
    </row>
    <row r="70" spans="2:16">
      <c r="B70" s="18">
        <v>41697</v>
      </c>
      <c r="C70" s="30">
        <v>0.36967404481869215</v>
      </c>
      <c r="D70" s="30">
        <f>VLOOKUP(CurrentMtgRatesDataTable825[[#This Row],[asOfDate]],H:I,2,0)</f>
        <v>0.34853875137296803</v>
      </c>
      <c r="E70" s="30">
        <f>VLOOKUP(CurrentMtgRatesDataTable825[[#This Row],[asOfDate]],O:P,2,0)</f>
        <v>0</v>
      </c>
      <c r="F70" s="34">
        <f ca="1">VLOOKUP(CurrentMtgRatesDataTable825[[#This Row],[asOfDate]]+1,Bloomberg!B:C,2,0)</f>
        <v>1600.6</v>
      </c>
      <c r="H70" s="1">
        <v>41018</v>
      </c>
      <c r="I70" s="33">
        <v>0.77781138796328697</v>
      </c>
      <c r="O70" s="1">
        <v>41018</v>
      </c>
      <c r="P70" s="33">
        <v>0</v>
      </c>
    </row>
    <row r="71" spans="2:16">
      <c r="B71" s="18">
        <v>41690</v>
      </c>
      <c r="C71" s="30">
        <v>0.3755719775185945</v>
      </c>
      <c r="D71" s="30">
        <f>VLOOKUP(CurrentMtgRatesDataTable825[[#This Row],[asOfDate]],H:I,2,0)</f>
        <v>0.35043602810261099</v>
      </c>
      <c r="E71" s="30">
        <f>VLOOKUP(CurrentMtgRatesDataTable825[[#This Row],[asOfDate]],O:P,2,0)</f>
        <v>0</v>
      </c>
      <c r="F71" s="34">
        <f ca="1">VLOOKUP(CurrentMtgRatesDataTable825[[#This Row],[asOfDate]]+1,Bloomberg!B:C,2,0)</f>
        <v>1442.3</v>
      </c>
      <c r="H71" s="1">
        <v>41025</v>
      </c>
      <c r="I71" s="33">
        <v>0.80193881910043296</v>
      </c>
      <c r="O71" s="1">
        <v>41025</v>
      </c>
      <c r="P71" s="33">
        <v>0.80265108338267499</v>
      </c>
    </row>
    <row r="72" spans="2:16">
      <c r="B72" s="18">
        <v>41683</v>
      </c>
      <c r="C72" s="30">
        <v>0.38532630107916044</v>
      </c>
      <c r="D72" s="30">
        <f>VLOOKUP(CurrentMtgRatesDataTable825[[#This Row],[asOfDate]],H:I,2,0)</f>
        <v>0.380280894786581</v>
      </c>
      <c r="E72" s="30">
        <f>VLOOKUP(CurrentMtgRatesDataTable825[[#This Row],[asOfDate]],O:P,2,0)</f>
        <v>0</v>
      </c>
      <c r="F72" s="34">
        <f ca="1">VLOOKUP(CurrentMtgRatesDataTable825[[#This Row],[asOfDate]]+1,Bloomberg!B:C,2,0)</f>
        <v>1650.6</v>
      </c>
      <c r="H72" s="1">
        <v>41032</v>
      </c>
      <c r="I72" s="33">
        <v>0.80437080516661097</v>
      </c>
      <c r="O72" s="1">
        <v>41032</v>
      </c>
      <c r="P72" s="33">
        <v>0.80415566862182497</v>
      </c>
    </row>
    <row r="73" spans="2:16">
      <c r="B73" s="18">
        <v>41676</v>
      </c>
      <c r="C73" s="30">
        <v>0.40068103493110224</v>
      </c>
      <c r="D73" s="30">
        <f>VLOOKUP(CurrentMtgRatesDataTable825[[#This Row],[asOfDate]],H:I,2,0)</f>
        <v>0.407383000493176</v>
      </c>
      <c r="E73" s="30">
        <f>VLOOKUP(CurrentMtgRatesDataTable825[[#This Row],[asOfDate]],O:P,2,0)</f>
        <v>1.56502134325395E-3</v>
      </c>
      <c r="F73" s="34">
        <f ca="1">VLOOKUP(CurrentMtgRatesDataTable825[[#This Row],[asOfDate]]+1,Bloomberg!B:C,2,0)</f>
        <v>1674.2</v>
      </c>
      <c r="H73" s="1">
        <v>41039</v>
      </c>
      <c r="I73" s="33">
        <v>0.807152941952609</v>
      </c>
      <c r="O73" s="1">
        <v>41039</v>
      </c>
      <c r="P73" s="33">
        <v>0.80754152596055995</v>
      </c>
    </row>
    <row r="74" spans="2:16">
      <c r="B74" s="18">
        <v>41669</v>
      </c>
      <c r="C74" s="30">
        <v>0.38160196936392621</v>
      </c>
      <c r="D74" s="30">
        <f>VLOOKUP(CurrentMtgRatesDataTable825[[#This Row],[asOfDate]],H:I,2,0)</f>
        <v>0.38449844249950499</v>
      </c>
      <c r="E74" s="30">
        <f>VLOOKUP(CurrentMtgRatesDataTable825[[#This Row],[asOfDate]],O:P,2,0)</f>
        <v>9.04155248858617E-4</v>
      </c>
      <c r="F74" s="34">
        <f ca="1">VLOOKUP(CurrentMtgRatesDataTable825[[#This Row],[asOfDate]]+1,Bloomberg!B:C,2,0)</f>
        <v>1667.5</v>
      </c>
      <c r="H74" s="1">
        <v>41046</v>
      </c>
      <c r="I74" s="33">
        <v>0.83152220645888697</v>
      </c>
      <c r="O74" s="1">
        <v>41046</v>
      </c>
      <c r="P74" s="33">
        <v>0.831927164274886</v>
      </c>
    </row>
    <row r="75" spans="2:16">
      <c r="B75" s="18">
        <v>41662</v>
      </c>
      <c r="C75" s="30">
        <v>0.37084428304329614</v>
      </c>
      <c r="D75" s="30">
        <f>VLOOKUP(CurrentMtgRatesDataTable825[[#This Row],[asOfDate]],H:I,2,0)</f>
        <v>0.32547727058860199</v>
      </c>
      <c r="E75" s="30">
        <f>VLOOKUP(CurrentMtgRatesDataTable825[[#This Row],[asOfDate]],O:P,2,0)</f>
        <v>4.3538471617421198E-4</v>
      </c>
      <c r="F75" s="34">
        <f ca="1">VLOOKUP(CurrentMtgRatesDataTable825[[#This Row],[asOfDate]]+1,Bloomberg!B:C,2,0)</f>
        <v>1601.2</v>
      </c>
      <c r="H75" s="1">
        <v>41053</v>
      </c>
      <c r="I75" s="33">
        <v>0.82948257912141399</v>
      </c>
      <c r="O75" s="1">
        <v>41053</v>
      </c>
      <c r="P75" s="33">
        <v>0</v>
      </c>
    </row>
    <row r="76" spans="2:16">
      <c r="B76" s="18">
        <v>41655</v>
      </c>
      <c r="C76" s="30">
        <v>0.36774882579493112</v>
      </c>
      <c r="D76" s="30">
        <f>VLOOKUP(CurrentMtgRatesDataTable825[[#This Row],[asOfDate]],H:I,2,0)</f>
        <v>0.32467403778332998</v>
      </c>
      <c r="E76" s="30">
        <f>VLOOKUP(CurrentMtgRatesDataTable825[[#This Row],[asOfDate]],O:P,2,0)</f>
        <v>4.3244857845843099E-4</v>
      </c>
      <c r="F76" s="34">
        <f ca="1">VLOOKUP(CurrentMtgRatesDataTable825[[#This Row],[asOfDate]]+1,Bloomberg!B:C,2,0)</f>
        <v>1675.8</v>
      </c>
      <c r="H76" s="1">
        <v>41060</v>
      </c>
      <c r="I76" s="33">
        <v>0.83268888035603505</v>
      </c>
      <c r="O76" s="1">
        <v>41060</v>
      </c>
      <c r="P76" s="33">
        <v>0.83309495413351498</v>
      </c>
    </row>
    <row r="77" spans="2:16">
      <c r="B77" s="18">
        <v>41648</v>
      </c>
      <c r="C77" s="30">
        <v>0.2902260049252946</v>
      </c>
      <c r="D77" s="30">
        <f>VLOOKUP(CurrentMtgRatesDataTable825[[#This Row],[asOfDate]],H:I,2,0)</f>
        <v>0.29015447722721099</v>
      </c>
      <c r="E77" s="30">
        <f>VLOOKUP(CurrentMtgRatesDataTable825[[#This Row],[asOfDate]],O:P,2,0)</f>
        <v>1.04165660314928E-4</v>
      </c>
      <c r="F77" s="34">
        <f ca="1">VLOOKUP(CurrentMtgRatesDataTable825[[#This Row],[asOfDate]]+1,Bloomberg!B:C,2,0)</f>
        <v>1507</v>
      </c>
      <c r="H77" s="1">
        <v>41067</v>
      </c>
      <c r="I77" s="33">
        <v>0.86243439572202496</v>
      </c>
      <c r="O77" s="1">
        <v>41067</v>
      </c>
      <c r="P77" s="33">
        <v>0.86123151402869003</v>
      </c>
    </row>
    <row r="78" spans="2:16">
      <c r="B78" s="18">
        <v>41641</v>
      </c>
      <c r="C78" s="30">
        <v>0.26212623729092371</v>
      </c>
      <c r="D78" s="30">
        <f>VLOOKUP(CurrentMtgRatesDataTable825[[#This Row],[asOfDate]],H:I,2,0)</f>
        <v>0.265306805945277</v>
      </c>
      <c r="E78" s="30">
        <f>VLOOKUP(CurrentMtgRatesDataTable825[[#This Row],[asOfDate]],O:P,2,0)</f>
        <v>0</v>
      </c>
      <c r="F78" s="34">
        <f ca="1">VLOOKUP(CurrentMtgRatesDataTable825[[#This Row],[asOfDate]]+1,Bloomberg!B:C,2,0)</f>
        <v>1352.7</v>
      </c>
      <c r="H78" s="1">
        <v>41074</v>
      </c>
      <c r="I78" s="33">
        <v>0.84549296973434196</v>
      </c>
      <c r="O78" s="1">
        <v>41074</v>
      </c>
      <c r="P78" s="33">
        <v>0</v>
      </c>
    </row>
    <row r="79" spans="2:16">
      <c r="B79" s="18">
        <v>41634</v>
      </c>
      <c r="C79" s="30">
        <v>0.33029809597210952</v>
      </c>
      <c r="D79" s="30">
        <f>VLOOKUP(CurrentMtgRatesDataTable825[[#This Row],[asOfDate]],H:I,2,0)</f>
        <v>0.29162362501885603</v>
      </c>
      <c r="E79" s="30">
        <f>VLOOKUP(CurrentMtgRatesDataTable825[[#This Row],[asOfDate]],O:P,2,0)</f>
        <v>0</v>
      </c>
      <c r="F79" s="34">
        <f ca="1">VLOOKUP(CurrentMtgRatesDataTable825[[#This Row],[asOfDate]]+1,Bloomberg!B:C,2,0)</f>
        <v>1277.8</v>
      </c>
      <c r="H79" s="1">
        <v>41081</v>
      </c>
      <c r="I79" s="33">
        <v>0.86306170802286497</v>
      </c>
      <c r="O79" s="1">
        <v>41081</v>
      </c>
      <c r="P79" s="33">
        <v>0.86355719580735102</v>
      </c>
    </row>
    <row r="80" spans="2:16">
      <c r="B80" s="18">
        <v>41627</v>
      </c>
      <c r="C80" s="30">
        <v>0.33974567777608206</v>
      </c>
      <c r="D80" s="30">
        <f>VLOOKUP(CurrentMtgRatesDataTable825[[#This Row],[asOfDate]],H:I,2,0)</f>
        <v>0.29198850689481598</v>
      </c>
      <c r="E80" s="30">
        <f>VLOOKUP(CurrentMtgRatesDataTable825[[#This Row],[asOfDate]],O:P,2,0)</f>
        <v>0</v>
      </c>
      <c r="F80" s="34">
        <f ca="1">VLOOKUP(CurrentMtgRatesDataTable825[[#This Row],[asOfDate]]+1,Bloomberg!B:C,2,0)</f>
        <v>1426.7</v>
      </c>
      <c r="H80" s="1">
        <v>41088</v>
      </c>
      <c r="I80" s="33">
        <v>0.86306170802286497</v>
      </c>
      <c r="O80" s="1">
        <v>41088</v>
      </c>
      <c r="P80" s="33">
        <v>0.86355719580735102</v>
      </c>
    </row>
    <row r="81" spans="2:16">
      <c r="B81" s="18">
        <v>41620</v>
      </c>
      <c r="C81" s="30">
        <v>0.3707206267478419</v>
      </c>
      <c r="D81" s="30">
        <f>VLOOKUP(CurrentMtgRatesDataTable825[[#This Row],[asOfDate]],H:I,2,0)</f>
        <v>0.33082970500556302</v>
      </c>
      <c r="E81" s="30">
        <f>VLOOKUP(CurrentMtgRatesDataTable825[[#This Row],[asOfDate]],O:P,2,0)</f>
        <v>0</v>
      </c>
      <c r="F81" s="34">
        <f ca="1">VLOOKUP(CurrentMtgRatesDataTable825[[#This Row],[asOfDate]]+1,Bloomberg!B:C,2,0)</f>
        <v>1529.8</v>
      </c>
      <c r="H81" s="1">
        <v>41095</v>
      </c>
      <c r="I81" s="33">
        <v>0.85531584833132801</v>
      </c>
      <c r="O81" s="1">
        <v>41095</v>
      </c>
      <c r="P81" s="33">
        <v>0.85480310148891403</v>
      </c>
    </row>
    <row r="82" spans="2:16">
      <c r="B82" s="18">
        <v>41613</v>
      </c>
      <c r="C82" s="30">
        <v>0.37338021104571051</v>
      </c>
      <c r="D82" s="30">
        <f>VLOOKUP(CurrentMtgRatesDataTable825[[#This Row],[asOfDate]],H:I,2,0)</f>
        <v>0.331227934580689</v>
      </c>
      <c r="E82" s="30">
        <f>VLOOKUP(CurrentMtgRatesDataTable825[[#This Row],[asOfDate]],O:P,2,0)</f>
        <v>0</v>
      </c>
      <c r="F82" s="34">
        <f ca="1">VLOOKUP(CurrentMtgRatesDataTable825[[#This Row],[asOfDate]]+1,Bloomberg!B:C,2,0)</f>
        <v>1599.4</v>
      </c>
      <c r="H82" s="1">
        <v>41102</v>
      </c>
      <c r="I82" s="33">
        <v>0.88265848165302496</v>
      </c>
      <c r="O82" s="1">
        <v>41102</v>
      </c>
      <c r="P82" s="33">
        <v>0.88306588959651799</v>
      </c>
    </row>
    <row r="83" spans="2:16">
      <c r="B83" s="18">
        <v>41605</v>
      </c>
      <c r="C83" s="30">
        <v>0.3969981593322805</v>
      </c>
      <c r="D83" s="30">
        <f>VLOOKUP(CurrentMtgRatesDataTable825[[#This Row],[asOfDate]],H:I,2,0)</f>
        <v>0.401262959025458</v>
      </c>
      <c r="E83" s="30">
        <f>VLOOKUP(CurrentMtgRatesDataTable825[[#This Row],[asOfDate]],O:P,2,0)</f>
        <v>0</v>
      </c>
      <c r="F83" s="34" t="e">
        <f ca="1">VLOOKUP(CurrentMtgRatesDataTable825[[#This Row],[asOfDate]]+1,Bloomberg!B:C,2,0)</f>
        <v>#N/A</v>
      </c>
      <c r="H83" s="1">
        <v>41109</v>
      </c>
      <c r="I83" s="33">
        <v>0.88516739973977598</v>
      </c>
      <c r="O83" s="1">
        <v>41109</v>
      </c>
      <c r="P83" s="33">
        <v>0.88557582733423201</v>
      </c>
    </row>
    <row r="84" spans="2:16">
      <c r="B84" s="18">
        <v>41599</v>
      </c>
      <c r="C84" s="30">
        <v>0.41410653536495057</v>
      </c>
      <c r="D84" s="30">
        <f>VLOOKUP(CurrentMtgRatesDataTable825[[#This Row],[asOfDate]],H:I,2,0)</f>
        <v>0.42989701258795199</v>
      </c>
      <c r="E84" s="30">
        <f>VLOOKUP(CurrentMtgRatesDataTable825[[#This Row],[asOfDate]],O:P,2,0)</f>
        <v>0</v>
      </c>
      <c r="F84" s="34">
        <f ca="1">VLOOKUP(CurrentMtgRatesDataTable825[[#This Row],[asOfDate]]+1,Bloomberg!B:C,2,0)</f>
        <v>1917.2</v>
      </c>
      <c r="H84" s="1">
        <v>41116</v>
      </c>
      <c r="I84" s="33">
        <v>0.89814744996460805</v>
      </c>
      <c r="O84" s="1">
        <v>41116</v>
      </c>
      <c r="P84" s="33">
        <v>0.89854811201564799</v>
      </c>
    </row>
    <row r="85" spans="2:16">
      <c r="B85" s="18">
        <v>41592</v>
      </c>
      <c r="C85" s="30">
        <v>0.38756459325455095</v>
      </c>
      <c r="D85" s="30">
        <f>VLOOKUP(CurrentMtgRatesDataTable825[[#This Row],[asOfDate]],H:I,2,0)</f>
        <v>0.37120289750535601</v>
      </c>
      <c r="E85" s="30">
        <f>VLOOKUP(CurrentMtgRatesDataTable825[[#This Row],[asOfDate]],O:P,2,0)</f>
        <v>0</v>
      </c>
      <c r="F85" s="34">
        <f ca="1">VLOOKUP(CurrentMtgRatesDataTable825[[#This Row],[asOfDate]]+1,Bloomberg!B:C,2,0)</f>
        <v>1903.5</v>
      </c>
      <c r="H85" s="1">
        <v>41123</v>
      </c>
      <c r="I85" s="33">
        <v>0.86768818253450297</v>
      </c>
      <c r="O85" s="1">
        <v>41123</v>
      </c>
      <c r="P85" s="33">
        <v>0</v>
      </c>
    </row>
    <row r="86" spans="2:16">
      <c r="B86" s="18">
        <v>41585</v>
      </c>
      <c r="C86" s="30">
        <v>0.42159370418067171</v>
      </c>
      <c r="D86" s="30">
        <f>VLOOKUP(CurrentMtgRatesDataTable825[[#This Row],[asOfDate]],H:I,2,0)</f>
        <v>0.44788779304034998</v>
      </c>
      <c r="E86" s="30">
        <f>VLOOKUP(CurrentMtgRatesDataTable825[[#This Row],[asOfDate]],O:P,2,0)</f>
        <v>0</v>
      </c>
      <c r="F86" s="34">
        <f ca="1">VLOOKUP(CurrentMtgRatesDataTable825[[#This Row],[asOfDate]]+1,Bloomberg!B:C,2,0)</f>
        <v>2056.9</v>
      </c>
      <c r="H86" s="1">
        <v>41130</v>
      </c>
      <c r="I86" s="33">
        <v>0.86745968477328095</v>
      </c>
      <c r="O86" s="1">
        <v>41130</v>
      </c>
      <c r="P86" s="33">
        <v>0</v>
      </c>
    </row>
    <row r="87" spans="2:16">
      <c r="B87" s="18">
        <v>41578</v>
      </c>
      <c r="C87" s="30">
        <v>0.4605405147219428</v>
      </c>
      <c r="D87" s="30">
        <f>VLOOKUP(CurrentMtgRatesDataTable825[[#This Row],[asOfDate]],H:I,2,0)</f>
        <v>0.47501022290439499</v>
      </c>
      <c r="E87" s="30">
        <f>VLOOKUP(CurrentMtgRatesDataTable825[[#This Row],[asOfDate]],O:P,2,0)</f>
        <v>6.1587902327108696E-3</v>
      </c>
      <c r="F87" s="34">
        <f ca="1">VLOOKUP(CurrentMtgRatesDataTable825[[#This Row],[asOfDate]]+1,Bloomberg!B:C,2,0)</f>
        <v>2105.6</v>
      </c>
      <c r="H87" s="1">
        <v>41137</v>
      </c>
      <c r="I87" s="33">
        <v>0.85198632502448901</v>
      </c>
      <c r="O87" s="1">
        <v>41137</v>
      </c>
      <c r="P87" s="33">
        <v>0</v>
      </c>
    </row>
    <row r="88" spans="2:16">
      <c r="B88" s="18">
        <v>41571</v>
      </c>
      <c r="C88" s="30">
        <v>0.43156912924668556</v>
      </c>
      <c r="D88" s="30">
        <f>VLOOKUP(CurrentMtgRatesDataTable825[[#This Row],[asOfDate]],H:I,2,0)</f>
        <v>0.45648777309490202</v>
      </c>
      <c r="E88" s="30">
        <f>VLOOKUP(CurrentMtgRatesDataTable825[[#This Row],[asOfDate]],O:P,2,0)</f>
        <v>4.7022607373106203E-3</v>
      </c>
      <c r="F88" s="34">
        <f ca="1">VLOOKUP(CurrentMtgRatesDataTable825[[#This Row],[asOfDate]]+1,Bloomberg!B:C,2,0)</f>
        <v>2211.8000000000002</v>
      </c>
      <c r="H88" s="1">
        <v>41144</v>
      </c>
      <c r="I88" s="33">
        <v>0.83819941388679298</v>
      </c>
      <c r="O88" s="1">
        <v>41144</v>
      </c>
      <c r="P88" s="33">
        <v>0</v>
      </c>
    </row>
    <row r="89" spans="2:16">
      <c r="B89" s="18">
        <v>41564</v>
      </c>
      <c r="C89" s="30">
        <v>0.40232481590336117</v>
      </c>
      <c r="D89" s="30">
        <f>VLOOKUP(CurrentMtgRatesDataTable825[[#This Row],[asOfDate]],H:I,2,0)</f>
        <v>0.40902347477168999</v>
      </c>
      <c r="E89" s="30">
        <f>VLOOKUP(CurrentMtgRatesDataTable825[[#This Row],[asOfDate]],O:P,2,0)</f>
        <v>0</v>
      </c>
      <c r="F89" s="34">
        <f ca="1">VLOOKUP(CurrentMtgRatesDataTable825[[#This Row],[asOfDate]]+1,Bloomberg!B:C,2,0)</f>
        <v>2033.7</v>
      </c>
      <c r="H89" s="1">
        <v>41151</v>
      </c>
      <c r="I89" s="33">
        <v>0.86745968477328095</v>
      </c>
      <c r="O89" s="1">
        <v>41151</v>
      </c>
      <c r="P89" s="33">
        <v>0</v>
      </c>
    </row>
    <row r="90" spans="2:16">
      <c r="B90" s="18">
        <v>41557</v>
      </c>
      <c r="C90" s="30">
        <v>0.41314719259777027</v>
      </c>
      <c r="D90" s="30">
        <f>VLOOKUP(CurrentMtgRatesDataTable825[[#This Row],[asOfDate]],H:I,2,0)</f>
        <v>0.43701315967767701</v>
      </c>
      <c r="E90" s="30">
        <f>VLOOKUP(CurrentMtgRatesDataTable825[[#This Row],[asOfDate]],O:P,2,0)</f>
        <v>0</v>
      </c>
      <c r="F90" s="34">
        <f ca="1">VLOOKUP(CurrentMtgRatesDataTable825[[#This Row],[asOfDate]]+1,Bloomberg!B:C,2,0)</f>
        <v>2102.6999999999998</v>
      </c>
      <c r="H90" s="1">
        <v>41158</v>
      </c>
      <c r="I90" s="33">
        <v>0.854493626143913</v>
      </c>
      <c r="O90" s="1">
        <v>41158</v>
      </c>
      <c r="P90" s="33">
        <v>0</v>
      </c>
    </row>
    <row r="91" spans="2:16">
      <c r="B91" s="18">
        <v>41550</v>
      </c>
      <c r="C91" s="30">
        <v>0.41528178559290679</v>
      </c>
      <c r="D91" s="30">
        <f>VLOOKUP(CurrentMtgRatesDataTable825[[#This Row],[asOfDate]],H:I,2,0)</f>
        <v>0.43751781158176101</v>
      </c>
      <c r="E91" s="30">
        <f>VLOOKUP(CurrentMtgRatesDataTable825[[#This Row],[asOfDate]],O:P,2,0)</f>
        <v>1.7927762872913E-3</v>
      </c>
      <c r="F91" s="34">
        <f ca="1">VLOOKUP(CurrentMtgRatesDataTable825[[#This Row],[asOfDate]]+1,Bloomberg!B:C,2,0)</f>
        <v>2025.3</v>
      </c>
      <c r="H91" s="1">
        <v>41165</v>
      </c>
      <c r="I91" s="33">
        <v>0.85731125996939705</v>
      </c>
      <c r="O91" s="1">
        <v>41165</v>
      </c>
      <c r="P91" s="33">
        <v>3.4287960012666001E-3</v>
      </c>
    </row>
    <row r="92" spans="2:16">
      <c r="B92" s="18">
        <v>41543</v>
      </c>
      <c r="C92" s="30">
        <v>0.40445747526612724</v>
      </c>
      <c r="D92" s="30">
        <f>VLOOKUP(CurrentMtgRatesDataTable825[[#This Row],[asOfDate]],H:I,2,0)</f>
        <v>0.41607421536967498</v>
      </c>
      <c r="E92" s="30">
        <f>VLOOKUP(CurrentMtgRatesDataTable825[[#This Row],[asOfDate]],O:P,2,0)</f>
        <v>8.9334697556313401E-4</v>
      </c>
      <c r="F92" s="34">
        <f ca="1">VLOOKUP(CurrentMtgRatesDataTable825[[#This Row],[asOfDate]]+1,Bloomberg!B:C,2,0)</f>
        <v>1956.6</v>
      </c>
      <c r="H92" s="1">
        <v>41172</v>
      </c>
      <c r="I92" s="33">
        <v>0.87344930653794395</v>
      </c>
      <c r="O92" s="1">
        <v>41172</v>
      </c>
      <c r="P92" s="33">
        <v>0.87391634150534703</v>
      </c>
    </row>
    <row r="93" spans="2:16">
      <c r="B93" s="18">
        <v>41536</v>
      </c>
      <c r="C93" s="30">
        <v>0.33277831045649614</v>
      </c>
      <c r="D93" s="30">
        <f>VLOOKUP(CurrentMtgRatesDataTable825[[#This Row],[asOfDate]],H:I,2,0)</f>
        <v>0.32091811677951898</v>
      </c>
      <c r="E93" s="30">
        <f>VLOOKUP(CurrentMtgRatesDataTable825[[#This Row],[asOfDate]],O:P,2,0)</f>
        <v>1.2070812662829E-4</v>
      </c>
      <c r="F93" s="34">
        <f ca="1">VLOOKUP(CurrentMtgRatesDataTable825[[#This Row],[asOfDate]]+1,Bloomberg!B:C,2,0)</f>
        <v>1922.9</v>
      </c>
      <c r="H93" s="1">
        <v>41179</v>
      </c>
      <c r="I93" s="33">
        <v>0.91259028169208301</v>
      </c>
      <c r="O93" s="1">
        <v>41179</v>
      </c>
      <c r="P93" s="33">
        <v>0.91307424668051995</v>
      </c>
    </row>
    <row r="94" spans="2:16">
      <c r="B94" s="18">
        <v>41529</v>
      </c>
      <c r="C94" s="30">
        <v>0.27463010199382165</v>
      </c>
      <c r="D94" s="30">
        <f>VLOOKUP(CurrentMtgRatesDataTable825[[#This Row],[asOfDate]],H:I,2,0)</f>
        <v>0.28251411119681702</v>
      </c>
      <c r="E94" s="30">
        <f>VLOOKUP(CurrentMtgRatesDataTable825[[#This Row],[asOfDate]],O:P,2,0)</f>
        <v>0</v>
      </c>
      <c r="F94" s="34">
        <f ca="1">VLOOKUP(CurrentMtgRatesDataTable825[[#This Row],[asOfDate]]+1,Bloomberg!B:C,2,0)</f>
        <v>1814</v>
      </c>
      <c r="H94" s="1">
        <v>41186</v>
      </c>
      <c r="I94" s="33">
        <v>0.89522709255279198</v>
      </c>
      <c r="O94" s="1">
        <v>41186</v>
      </c>
      <c r="P94" s="33">
        <v>0.89337068210282</v>
      </c>
    </row>
    <row r="95" spans="2:16">
      <c r="B95" s="18">
        <v>41522</v>
      </c>
      <c r="C95" s="30">
        <v>0.2818649256036454</v>
      </c>
      <c r="D95" s="30">
        <f>VLOOKUP(CurrentMtgRatesDataTable825[[#This Row],[asOfDate]],H:I,2,0)</f>
        <v>0.29894428975906101</v>
      </c>
      <c r="E95" s="30">
        <f>VLOOKUP(CurrentMtgRatesDataTable825[[#This Row],[asOfDate]],O:P,2,0)</f>
        <v>0</v>
      </c>
      <c r="F95" s="34">
        <f ca="1">VLOOKUP(CurrentMtgRatesDataTable825[[#This Row],[asOfDate]]+1,Bloomberg!B:C,2,0)</f>
        <v>1512.9</v>
      </c>
      <c r="H95" s="1">
        <v>41193</v>
      </c>
      <c r="I95" s="33">
        <v>0.87811016351224602</v>
      </c>
      <c r="O95" s="1">
        <v>41193</v>
      </c>
      <c r="P95" s="33">
        <v>0</v>
      </c>
    </row>
    <row r="96" spans="2:16">
      <c r="B96" s="18">
        <v>41515</v>
      </c>
      <c r="C96" s="30">
        <v>0.32707732602530493</v>
      </c>
      <c r="D96" s="30">
        <f>VLOOKUP(CurrentMtgRatesDataTable825[[#This Row],[asOfDate]],H:I,2,0)</f>
        <v>0.32738957382411199</v>
      </c>
      <c r="E96" s="30">
        <f>VLOOKUP(CurrentMtgRatesDataTable825[[#This Row],[asOfDate]],O:P,2,0)</f>
        <v>0</v>
      </c>
      <c r="F96" s="34">
        <f ca="1">VLOOKUP(CurrentMtgRatesDataTable825[[#This Row],[asOfDate]]+1,Bloomberg!B:C,2,0)</f>
        <v>1909</v>
      </c>
      <c r="H96" s="1">
        <v>41200</v>
      </c>
      <c r="I96" s="33">
        <v>0.89368551357821302</v>
      </c>
      <c r="O96" s="1">
        <v>41200</v>
      </c>
      <c r="P96" s="33">
        <v>0</v>
      </c>
    </row>
    <row r="97" spans="2:16">
      <c r="B97" s="18">
        <v>41508</v>
      </c>
      <c r="C97" s="30">
        <v>0.28211495793674252</v>
      </c>
      <c r="D97" s="30">
        <f>VLOOKUP(CurrentMtgRatesDataTable825[[#This Row],[asOfDate]],H:I,2,0)</f>
        <v>0.28848466841060699</v>
      </c>
      <c r="E97" s="30">
        <f>VLOOKUP(CurrentMtgRatesDataTable825[[#This Row],[asOfDate]],O:P,2,0)</f>
        <v>0</v>
      </c>
      <c r="F97" s="34">
        <f ca="1">VLOOKUP(CurrentMtgRatesDataTable825[[#This Row],[asOfDate]]+1,Bloomberg!B:C,2,0)</f>
        <v>1842.6</v>
      </c>
      <c r="H97" s="1">
        <v>41207</v>
      </c>
      <c r="I97" s="33">
        <v>0.87683234085301398</v>
      </c>
      <c r="O97" s="1">
        <v>41207</v>
      </c>
      <c r="P97" s="33">
        <v>0</v>
      </c>
    </row>
    <row r="98" spans="2:16">
      <c r="B98" s="18">
        <v>41501</v>
      </c>
      <c r="C98" s="30">
        <v>0.40797811985401045</v>
      </c>
      <c r="D98" s="30">
        <f>VLOOKUP(CurrentMtgRatesDataTable825[[#This Row],[asOfDate]],H:I,2,0)</f>
        <v>0.36292296585782302</v>
      </c>
      <c r="E98" s="30">
        <f>VLOOKUP(CurrentMtgRatesDataTable825[[#This Row],[asOfDate]],O:P,2,0)</f>
        <v>0</v>
      </c>
      <c r="F98" s="34">
        <f ca="1">VLOOKUP(CurrentMtgRatesDataTable825[[#This Row],[asOfDate]]+1,Bloomberg!B:C,2,0)</f>
        <v>1935.1</v>
      </c>
      <c r="H98" s="1">
        <v>41214</v>
      </c>
      <c r="I98" s="33">
        <v>0.85225052894835196</v>
      </c>
      <c r="O98" s="1">
        <v>41214</v>
      </c>
      <c r="P98" s="33">
        <v>0</v>
      </c>
    </row>
    <row r="99" spans="2:16">
      <c r="B99" s="18">
        <v>41494</v>
      </c>
      <c r="C99" s="30">
        <v>0.40797811985401045</v>
      </c>
      <c r="D99" s="30">
        <f>VLOOKUP(CurrentMtgRatesDataTable825[[#This Row],[asOfDate]],H:I,2,0)</f>
        <v>0.36292296585782302</v>
      </c>
      <c r="E99" s="30">
        <f>VLOOKUP(CurrentMtgRatesDataTable825[[#This Row],[asOfDate]],O:P,2,0)</f>
        <v>0</v>
      </c>
      <c r="F99" s="34">
        <f ca="1">VLOOKUP(CurrentMtgRatesDataTable825[[#This Row],[asOfDate]]+1,Bloomberg!B:C,2,0)</f>
        <v>2110.6</v>
      </c>
      <c r="H99" s="1">
        <v>41221</v>
      </c>
      <c r="I99" s="33">
        <v>0.85194480836680198</v>
      </c>
      <c r="O99" s="1">
        <v>41221</v>
      </c>
      <c r="P99" s="33">
        <v>0</v>
      </c>
    </row>
    <row r="100" spans="2:16">
      <c r="B100" s="18">
        <v>41487</v>
      </c>
      <c r="C100" s="30">
        <v>0.40917398895537016</v>
      </c>
      <c r="D100" s="30">
        <f>VLOOKUP(CurrentMtgRatesDataTable825[[#This Row],[asOfDate]],H:I,2,0)</f>
        <v>0.36357930006355599</v>
      </c>
      <c r="E100" s="30">
        <f>VLOOKUP(CurrentMtgRatesDataTable825[[#This Row],[asOfDate]],O:P,2,0)</f>
        <v>0</v>
      </c>
      <c r="F100" s="34">
        <f ca="1">VLOOKUP(CurrentMtgRatesDataTable825[[#This Row],[asOfDate]]+1,Bloomberg!B:C,2,0)</f>
        <v>2228.9</v>
      </c>
      <c r="H100" s="1">
        <v>41228</v>
      </c>
      <c r="I100" s="33">
        <v>0.86999483052125803</v>
      </c>
      <c r="O100" s="1">
        <v>41228</v>
      </c>
      <c r="P100" s="33">
        <v>3.6805392889150699E-3</v>
      </c>
    </row>
    <row r="101" spans="2:16">
      <c r="B101" s="18">
        <v>41480</v>
      </c>
      <c r="C101" s="30">
        <v>0.42922629610906576</v>
      </c>
      <c r="D101" s="30">
        <f>VLOOKUP(CurrentMtgRatesDataTable825[[#This Row],[asOfDate]],H:I,2,0)</f>
        <v>0.40895553727695599</v>
      </c>
      <c r="E101" s="30">
        <f>VLOOKUP(CurrentMtgRatesDataTable825[[#This Row],[asOfDate]],O:P,2,0)</f>
        <v>0</v>
      </c>
      <c r="F101" s="34">
        <f ca="1">VLOOKUP(CurrentMtgRatesDataTable825[[#This Row],[asOfDate]]+1,Bloomberg!B:C,2,0)</f>
        <v>2218.3000000000002</v>
      </c>
      <c r="H101" s="1">
        <v>41234</v>
      </c>
      <c r="I101" s="33">
        <v>0.88773399472374204</v>
      </c>
      <c r="O101" s="1">
        <v>41234</v>
      </c>
      <c r="P101" s="33">
        <v>0.88870182147749199</v>
      </c>
    </row>
    <row r="102" spans="2:16">
      <c r="B102" s="18">
        <v>41473</v>
      </c>
      <c r="C102" s="30">
        <v>0.42624975952077765</v>
      </c>
      <c r="D102" s="30">
        <f>VLOOKUP(CurrentMtgRatesDataTable825[[#This Row],[asOfDate]],H:I,2,0)</f>
        <v>0.407195502334876</v>
      </c>
      <c r="E102" s="30">
        <f>VLOOKUP(CurrentMtgRatesDataTable825[[#This Row],[asOfDate]],O:P,2,0)</f>
        <v>0</v>
      </c>
      <c r="F102" s="34">
        <f ca="1">VLOOKUP(CurrentMtgRatesDataTable825[[#This Row],[asOfDate]]+1,Bloomberg!B:C,2,0)</f>
        <v>2288</v>
      </c>
      <c r="H102" s="1">
        <v>41242</v>
      </c>
      <c r="I102" s="33">
        <v>0.86996445945149903</v>
      </c>
      <c r="O102" s="1">
        <v>41242</v>
      </c>
      <c r="P102" s="33">
        <v>0</v>
      </c>
    </row>
    <row r="103" spans="2:16">
      <c r="B103" s="18">
        <v>41466</v>
      </c>
      <c r="C103" s="30">
        <v>0.31856955774356621</v>
      </c>
      <c r="D103" s="30">
        <f>VLOOKUP(CurrentMtgRatesDataTable825[[#This Row],[asOfDate]],H:I,2,0)</f>
        <v>0.32003461094412999</v>
      </c>
      <c r="E103" s="30">
        <f>VLOOKUP(CurrentMtgRatesDataTable825[[#This Row],[asOfDate]],O:P,2,0)</f>
        <v>0</v>
      </c>
      <c r="F103" s="34">
        <f ca="1">VLOOKUP(CurrentMtgRatesDataTable825[[#This Row],[asOfDate]]+1,Bloomberg!B:C,2,0)</f>
        <v>2242.1999999999998</v>
      </c>
      <c r="H103" s="1">
        <v>41249</v>
      </c>
      <c r="I103" s="33">
        <v>0.85662578219432695</v>
      </c>
      <c r="O103" s="1">
        <v>41249</v>
      </c>
      <c r="P103" s="33">
        <v>0</v>
      </c>
    </row>
    <row r="104" spans="2:16">
      <c r="B104" s="18">
        <v>41458</v>
      </c>
      <c r="C104" s="30">
        <v>0.4330864642120939</v>
      </c>
      <c r="D104" s="30">
        <f>VLOOKUP(CurrentMtgRatesDataTable825[[#This Row],[asOfDate]],H:I,2,0)</f>
        <v>0.439218479739446</v>
      </c>
      <c r="E104" s="30">
        <f>VLOOKUP(CurrentMtgRatesDataTable825[[#This Row],[asOfDate]],O:P,2,0)</f>
        <v>0</v>
      </c>
      <c r="F104" s="34" t="e">
        <f ca="1">VLOOKUP(CurrentMtgRatesDataTable825[[#This Row],[asOfDate]]+1,Bloomberg!B:C,2,0)</f>
        <v>#N/A</v>
      </c>
      <c r="H104" s="1">
        <v>41256</v>
      </c>
      <c r="I104" s="33">
        <v>0.87412257034895602</v>
      </c>
      <c r="O104" s="1">
        <v>41256</v>
      </c>
      <c r="P104" s="33">
        <v>1.92397129365898E-3</v>
      </c>
    </row>
    <row r="105" spans="2:16">
      <c r="B105" s="18">
        <v>41452</v>
      </c>
      <c r="C105" s="30">
        <v>0.39082116641682313</v>
      </c>
      <c r="D105" s="30">
        <f>VLOOKUP(CurrentMtgRatesDataTable825[[#This Row],[asOfDate]],H:I,2,0)</f>
        <v>0.35042164075900101</v>
      </c>
      <c r="E105" s="30">
        <f>VLOOKUP(CurrentMtgRatesDataTable825[[#This Row],[asOfDate]],O:P,2,0)</f>
        <v>0</v>
      </c>
      <c r="F105" s="34">
        <f ca="1">VLOOKUP(CurrentMtgRatesDataTable825[[#This Row],[asOfDate]]+1,Bloomberg!B:C,2,0)</f>
        <v>2573.4</v>
      </c>
      <c r="H105" s="1">
        <v>41263</v>
      </c>
      <c r="I105" s="33">
        <v>0.85522983991809798</v>
      </c>
      <c r="O105" s="1">
        <v>41263</v>
      </c>
      <c r="P105" s="33">
        <v>0</v>
      </c>
    </row>
    <row r="106" spans="2:16">
      <c r="B106" s="18">
        <v>41445</v>
      </c>
      <c r="C106" s="30">
        <v>0.58795254732817659</v>
      </c>
      <c r="D106" s="30">
        <f>VLOOKUP(CurrentMtgRatesDataTable825[[#This Row],[asOfDate]],H:I,2,0)</f>
        <v>0.55919632116239604</v>
      </c>
      <c r="E106" s="30">
        <f>VLOOKUP(CurrentMtgRatesDataTable825[[#This Row],[asOfDate]],O:P,2,0)</f>
        <v>0</v>
      </c>
      <c r="F106" s="34">
        <f ca="1">VLOOKUP(CurrentMtgRatesDataTable825[[#This Row],[asOfDate]]+1,Bloomberg!B:C,2,0)</f>
        <v>3040.1</v>
      </c>
      <c r="H106" s="1">
        <v>41270</v>
      </c>
      <c r="I106" s="33">
        <v>0.85626060279274896</v>
      </c>
      <c r="O106" s="1">
        <v>41270</v>
      </c>
      <c r="P106" s="33">
        <v>0</v>
      </c>
    </row>
    <row r="107" spans="2:16">
      <c r="B107" s="18">
        <v>41438</v>
      </c>
      <c r="C107" s="30">
        <v>0.57343184072471942</v>
      </c>
      <c r="D107" s="30">
        <f>VLOOKUP(CurrentMtgRatesDataTable825[[#This Row],[asOfDate]],H:I,2,0)</f>
        <v>0.55842108987699401</v>
      </c>
      <c r="E107" s="30">
        <f>VLOOKUP(CurrentMtgRatesDataTable825[[#This Row],[asOfDate]],O:P,2,0)</f>
        <v>0</v>
      </c>
      <c r="F107" s="34">
        <f ca="1">VLOOKUP(CurrentMtgRatesDataTable825[[#This Row],[asOfDate]]+1,Bloomberg!B:C,2,0)</f>
        <v>3214.4</v>
      </c>
      <c r="H107" s="1">
        <v>41277</v>
      </c>
      <c r="I107" s="33">
        <v>0.83696581575361895</v>
      </c>
      <c r="O107" s="1">
        <v>41277</v>
      </c>
      <c r="P107" s="33">
        <v>0</v>
      </c>
    </row>
    <row r="108" spans="2:16">
      <c r="B108" s="18">
        <v>41431</v>
      </c>
      <c r="C108" s="30">
        <v>0.60569175356282723</v>
      </c>
      <c r="D108" s="30">
        <f>VLOOKUP(CurrentMtgRatesDataTable825[[#This Row],[asOfDate]],H:I,2,0)</f>
        <v>0.57861777554698002</v>
      </c>
      <c r="E108" s="30">
        <f>VLOOKUP(CurrentMtgRatesDataTable825[[#This Row],[asOfDate]],O:P,2,0)</f>
        <v>0</v>
      </c>
      <c r="F108" s="34">
        <f ca="1">VLOOKUP(CurrentMtgRatesDataTable825[[#This Row],[asOfDate]]+1,Bloomberg!B:C,2,0)</f>
        <v>3339.8</v>
      </c>
      <c r="H108" s="1">
        <v>41284</v>
      </c>
      <c r="I108" s="33">
        <v>0.81798384699460103</v>
      </c>
      <c r="O108" s="1">
        <v>41284</v>
      </c>
      <c r="P108" s="33">
        <v>0</v>
      </c>
    </row>
    <row r="109" spans="2:16">
      <c r="B109" s="18">
        <v>41424</v>
      </c>
      <c r="C109" s="30">
        <v>0.63267241864898449</v>
      </c>
      <c r="D109" s="30">
        <f>VLOOKUP(CurrentMtgRatesDataTable825[[#This Row],[asOfDate]],H:I,2,0)</f>
        <v>0.61546645850988302</v>
      </c>
      <c r="E109" s="30">
        <f>VLOOKUP(CurrentMtgRatesDataTable825[[#This Row],[asOfDate]],O:P,2,0)</f>
        <v>0</v>
      </c>
      <c r="F109" s="34">
        <f ca="1">VLOOKUP(CurrentMtgRatesDataTable825[[#This Row],[asOfDate]]+1,Bloomberg!B:C,2,0)</f>
        <v>3163.6</v>
      </c>
      <c r="H109" s="1">
        <v>41291</v>
      </c>
      <c r="I109" s="33">
        <v>0.83503612629874802</v>
      </c>
      <c r="O109" s="1">
        <v>41291</v>
      </c>
      <c r="P109" s="33">
        <v>0</v>
      </c>
    </row>
    <row r="110" spans="2:16">
      <c r="B110" s="18">
        <v>41417</v>
      </c>
      <c r="C110" s="30">
        <v>0.69528028144531095</v>
      </c>
      <c r="D110" s="30">
        <f>VLOOKUP(CurrentMtgRatesDataTable825[[#This Row],[asOfDate]],H:I,2,0)</f>
        <v>0.68530860108825797</v>
      </c>
      <c r="E110" s="30">
        <f>VLOOKUP(CurrentMtgRatesDataTable825[[#This Row],[asOfDate]],O:P,2,0)</f>
        <v>0</v>
      </c>
      <c r="F110" s="34">
        <f ca="1">VLOOKUP(CurrentMtgRatesDataTable825[[#This Row],[asOfDate]]+1,Bloomberg!B:C,2,0)</f>
        <v>3709.4</v>
      </c>
      <c r="H110" s="1">
        <v>41298</v>
      </c>
      <c r="I110" s="33">
        <v>0.81634992305868503</v>
      </c>
      <c r="O110" s="1">
        <v>41298</v>
      </c>
      <c r="P110" s="33">
        <v>0</v>
      </c>
    </row>
    <row r="111" spans="2:16">
      <c r="B111" s="18">
        <v>41410</v>
      </c>
      <c r="C111" s="30">
        <v>0.77783403735744605</v>
      </c>
      <c r="D111" s="30">
        <f>VLOOKUP(CurrentMtgRatesDataTable825[[#This Row],[asOfDate]],H:I,2,0)</f>
        <v>0.72159050384319001</v>
      </c>
      <c r="E111" s="30">
        <f>VLOOKUP(CurrentMtgRatesDataTable825[[#This Row],[asOfDate]],O:P,2,0)</f>
        <v>0</v>
      </c>
      <c r="F111" s="34">
        <f ca="1">VLOOKUP(CurrentMtgRatesDataTable825[[#This Row],[asOfDate]]+1,Bloomberg!B:C,2,0)</f>
        <v>4241.5</v>
      </c>
      <c r="H111" s="1">
        <v>41305</v>
      </c>
      <c r="I111" s="33">
        <v>0.77322369572310801</v>
      </c>
      <c r="O111" s="1">
        <v>41305</v>
      </c>
      <c r="P111" s="33">
        <v>0</v>
      </c>
    </row>
    <row r="112" spans="2:16">
      <c r="B112" s="18">
        <v>41403</v>
      </c>
      <c r="C112" s="30">
        <v>0.80807149473903783</v>
      </c>
      <c r="D112" s="30">
        <f>VLOOKUP(CurrentMtgRatesDataTable825[[#This Row],[asOfDate]],H:I,2,0)</f>
        <v>0.75094523370436095</v>
      </c>
      <c r="E112" s="30">
        <f>VLOOKUP(CurrentMtgRatesDataTable825[[#This Row],[asOfDate]],O:P,2,0)</f>
        <v>0</v>
      </c>
      <c r="F112" s="34">
        <f ca="1">VLOOKUP(CurrentMtgRatesDataTable825[[#This Row],[asOfDate]]+1,Bloomberg!B:C,2,0)</f>
        <v>4797.2</v>
      </c>
      <c r="H112" s="1">
        <v>41312</v>
      </c>
      <c r="I112" s="33">
        <v>0.75155379277106704</v>
      </c>
      <c r="O112" s="1">
        <v>41312</v>
      </c>
      <c r="P112" s="33">
        <v>0</v>
      </c>
    </row>
    <row r="113" spans="2:16">
      <c r="B113" s="18">
        <v>41396</v>
      </c>
      <c r="C113" s="30">
        <v>0.81686282095814366</v>
      </c>
      <c r="D113" s="30">
        <f>VLOOKUP(CurrentMtgRatesDataTable825[[#This Row],[asOfDate]],H:I,2,0)</f>
        <v>0.77520531199879605</v>
      </c>
      <c r="E113" s="30">
        <f>VLOOKUP(CurrentMtgRatesDataTable825[[#This Row],[asOfDate]],O:P,2,0)</f>
        <v>9.3714860500272602E-3</v>
      </c>
      <c r="F113" s="34">
        <f ca="1">VLOOKUP(CurrentMtgRatesDataTable825[[#This Row],[asOfDate]]+1,Bloomberg!B:C,2,0)</f>
        <v>5279.9</v>
      </c>
      <c r="H113" s="1">
        <v>41319</v>
      </c>
      <c r="I113" s="33">
        <v>0.75155379277106704</v>
      </c>
      <c r="O113" s="1">
        <v>41319</v>
      </c>
      <c r="P113" s="33">
        <v>5.4993651942507197E-4</v>
      </c>
    </row>
    <row r="114" spans="2:16">
      <c r="B114" s="18">
        <v>41389</v>
      </c>
      <c r="C114" s="30">
        <v>0.82478602429419701</v>
      </c>
      <c r="D114" s="30">
        <f>VLOOKUP(CurrentMtgRatesDataTable825[[#This Row],[asOfDate]],H:I,2,0)</f>
        <v>0.759939269856726</v>
      </c>
      <c r="E114" s="30">
        <f>VLOOKUP(CurrentMtgRatesDataTable825[[#This Row],[asOfDate]],O:P,2,0)</f>
        <v>0</v>
      </c>
      <c r="F114" s="34">
        <f ca="1">VLOOKUP(CurrentMtgRatesDataTable825[[#This Row],[asOfDate]]+1,Bloomberg!B:C,2,0)</f>
        <v>4854.1000000000004</v>
      </c>
      <c r="H114" s="1">
        <v>41326</v>
      </c>
      <c r="I114" s="33">
        <v>0.73462902469773095</v>
      </c>
      <c r="O114" s="1">
        <v>41326</v>
      </c>
      <c r="P114" s="33">
        <v>0</v>
      </c>
    </row>
    <row r="115" spans="2:16">
      <c r="B115" s="18">
        <v>41382</v>
      </c>
      <c r="C115" s="30">
        <v>0.8263799320049966</v>
      </c>
      <c r="D115" s="30">
        <f>VLOOKUP(CurrentMtgRatesDataTable825[[#This Row],[asOfDate]],H:I,2,0)</f>
        <v>0.76108985756873504</v>
      </c>
      <c r="E115" s="30">
        <f>VLOOKUP(CurrentMtgRatesDataTable825[[#This Row],[asOfDate]],O:P,2,0)</f>
        <v>5.4959854023419203E-3</v>
      </c>
      <c r="F115" s="34">
        <f ca="1">VLOOKUP(CurrentMtgRatesDataTable825[[#This Row],[asOfDate]]+1,Bloomberg!B:C,2,0)</f>
        <v>4672.1000000000004</v>
      </c>
      <c r="H115" s="1">
        <v>41333</v>
      </c>
      <c r="I115" s="33">
        <v>0.75332777657917305</v>
      </c>
      <c r="O115" s="1">
        <v>41333</v>
      </c>
      <c r="P115" s="33">
        <v>5.5309707563809801E-4</v>
      </c>
    </row>
    <row r="116" spans="2:16">
      <c r="B116" s="18">
        <v>41375</v>
      </c>
      <c r="C116" s="30">
        <v>0.81951890925716175</v>
      </c>
      <c r="D116" s="30">
        <f>VLOOKUP(CurrentMtgRatesDataTable825[[#This Row],[asOfDate]],H:I,2,0)</f>
        <v>0.73719138808657003</v>
      </c>
      <c r="E116" s="30">
        <f>VLOOKUP(CurrentMtgRatesDataTable825[[#This Row],[asOfDate]],O:P,2,0)</f>
        <v>3.9681299102296798E-3</v>
      </c>
      <c r="F116" s="34">
        <f ca="1">VLOOKUP(CurrentMtgRatesDataTable825[[#This Row],[asOfDate]]+1,Bloomberg!B:C,2,0)</f>
        <v>4726.8999999999996</v>
      </c>
      <c r="H116" s="1">
        <v>41340</v>
      </c>
      <c r="I116" s="33">
        <v>0.731898053840778</v>
      </c>
      <c r="O116" s="1">
        <v>41340</v>
      </c>
      <c r="P116" s="33">
        <v>7.62863846133132E-4</v>
      </c>
    </row>
    <row r="117" spans="2:16">
      <c r="B117" s="18">
        <v>41368</v>
      </c>
      <c r="C117" s="30">
        <v>0.74812714109915845</v>
      </c>
      <c r="D117" s="30">
        <f>VLOOKUP(CurrentMtgRatesDataTable825[[#This Row],[asOfDate]],H:I,2,0)</f>
        <v>0.71361316522728502</v>
      </c>
      <c r="E117" s="30">
        <f>VLOOKUP(CurrentMtgRatesDataTable825[[#This Row],[asOfDate]],O:P,2,0)</f>
        <v>0</v>
      </c>
      <c r="F117" s="34">
        <f ca="1">VLOOKUP(CurrentMtgRatesDataTable825[[#This Row],[asOfDate]]+1,Bloomberg!B:C,2,0)</f>
        <v>4528.8999999999996</v>
      </c>
      <c r="H117" s="1">
        <v>41347</v>
      </c>
      <c r="I117" s="33">
        <v>0.69793386100167498</v>
      </c>
      <c r="O117" s="1">
        <v>41347</v>
      </c>
      <c r="P117" s="33">
        <v>0</v>
      </c>
    </row>
    <row r="118" spans="2:16">
      <c r="B118" s="18">
        <v>41361</v>
      </c>
      <c r="C118" s="30">
        <v>0.73085022058809757</v>
      </c>
      <c r="D118" s="30">
        <f>VLOOKUP(CurrentMtgRatesDataTable825[[#This Row],[asOfDate]],H:I,2,0)</f>
        <v>0.712062870316722</v>
      </c>
      <c r="E118" s="30">
        <f>VLOOKUP(CurrentMtgRatesDataTable825[[#This Row],[asOfDate]],O:P,2,0)</f>
        <v>0</v>
      </c>
      <c r="F118" s="34">
        <f ca="1">VLOOKUP(CurrentMtgRatesDataTable825[[#This Row],[asOfDate]]+1,Bloomberg!B:C,2,0)</f>
        <v>4119.2</v>
      </c>
      <c r="H118" s="1">
        <v>41354</v>
      </c>
      <c r="I118" s="33">
        <v>0.72870485724391698</v>
      </c>
      <c r="O118" s="1">
        <v>41354</v>
      </c>
      <c r="P118" s="33">
        <v>0</v>
      </c>
    </row>
    <row r="119" spans="2:16">
      <c r="B119" s="18">
        <v>41354</v>
      </c>
      <c r="C119" s="30">
        <v>0.76832708554350626</v>
      </c>
      <c r="D119" s="30">
        <f>VLOOKUP(CurrentMtgRatesDataTable825[[#This Row],[asOfDate]],H:I,2,0)</f>
        <v>0.72870485724391698</v>
      </c>
      <c r="E119" s="30">
        <f>VLOOKUP(CurrentMtgRatesDataTable825[[#This Row],[asOfDate]],O:P,2,0)</f>
        <v>0</v>
      </c>
      <c r="F119" s="34">
        <f ca="1">VLOOKUP(CurrentMtgRatesDataTable825[[#This Row],[asOfDate]]+1,Bloomberg!B:C,2,0)</f>
        <v>4412.8999999999996</v>
      </c>
      <c r="H119" s="1">
        <v>41361</v>
      </c>
      <c r="I119" s="33">
        <v>0.712062870316722</v>
      </c>
      <c r="O119" s="1">
        <v>41361</v>
      </c>
      <c r="P119" s="33">
        <v>0</v>
      </c>
    </row>
    <row r="120" spans="2:16">
      <c r="B120" s="18">
        <v>41347</v>
      </c>
      <c r="C120" s="30">
        <v>0.70260073761186825</v>
      </c>
      <c r="D120" s="30">
        <f>VLOOKUP(CurrentMtgRatesDataTable825[[#This Row],[asOfDate]],H:I,2,0)</f>
        <v>0.69793386100167498</v>
      </c>
      <c r="E120" s="30">
        <f>VLOOKUP(CurrentMtgRatesDataTable825[[#This Row],[asOfDate]],O:P,2,0)</f>
        <v>0</v>
      </c>
      <c r="F120" s="34">
        <f ca="1">VLOOKUP(CurrentMtgRatesDataTable825[[#This Row],[asOfDate]]+1,Bloomberg!B:C,2,0)</f>
        <v>4111.3</v>
      </c>
      <c r="H120" s="1">
        <v>41368</v>
      </c>
      <c r="I120" s="33">
        <v>0.71361316522728502</v>
      </c>
      <c r="O120" s="1">
        <v>41368</v>
      </c>
      <c r="P120" s="33">
        <v>0</v>
      </c>
    </row>
    <row r="121" spans="2:16">
      <c r="B121" s="18">
        <v>41340</v>
      </c>
      <c r="C121" s="30">
        <v>0.81254588826988361</v>
      </c>
      <c r="D121" s="30">
        <f>VLOOKUP(CurrentMtgRatesDataTable825[[#This Row],[asOfDate]],H:I,2,0)</f>
        <v>0.731898053840778</v>
      </c>
      <c r="E121" s="30">
        <f>VLOOKUP(CurrentMtgRatesDataTable825[[#This Row],[asOfDate]],O:P,2,0)</f>
        <v>7.62863846133132E-4</v>
      </c>
      <c r="F121" s="34">
        <f ca="1">VLOOKUP(CurrentMtgRatesDataTable825[[#This Row],[asOfDate]]+1,Bloomberg!B:C,2,0)</f>
        <v>4485.2</v>
      </c>
      <c r="H121" s="1">
        <v>41375</v>
      </c>
      <c r="I121" s="33">
        <v>0.73719138808657003</v>
      </c>
      <c r="O121" s="1">
        <v>41375</v>
      </c>
      <c r="P121" s="33">
        <v>3.9681299102296798E-3</v>
      </c>
    </row>
    <row r="122" spans="2:16">
      <c r="B122" s="18">
        <v>41333</v>
      </c>
      <c r="C122" s="30">
        <v>0.81599621049204552</v>
      </c>
      <c r="D122" s="30">
        <f>VLOOKUP(CurrentMtgRatesDataTable825[[#This Row],[asOfDate]],H:I,2,0)</f>
        <v>0.75332777657917305</v>
      </c>
      <c r="E122" s="30">
        <f>VLOOKUP(CurrentMtgRatesDataTable825[[#This Row],[asOfDate]],O:P,2,0)</f>
        <v>5.5309707563809801E-4</v>
      </c>
      <c r="F122" s="34">
        <f ca="1">VLOOKUP(CurrentMtgRatesDataTable825[[#This Row],[asOfDate]]+1,Bloomberg!B:C,2,0)</f>
        <v>4724.8999999999996</v>
      </c>
      <c r="H122" s="1">
        <v>41382</v>
      </c>
      <c r="I122" s="33">
        <v>0.76108985756873504</v>
      </c>
      <c r="O122" s="1">
        <v>41382</v>
      </c>
      <c r="P122" s="33">
        <v>5.4959854023419203E-3</v>
      </c>
    </row>
    <row r="123" spans="2:16">
      <c r="B123" s="18">
        <v>41326</v>
      </c>
      <c r="C123" s="30">
        <v>0.75767121274967097</v>
      </c>
      <c r="D123" s="30">
        <f>VLOOKUP(CurrentMtgRatesDataTable825[[#This Row],[asOfDate]],H:I,2,0)</f>
        <v>0.73462902469773095</v>
      </c>
      <c r="E123" s="30">
        <f>VLOOKUP(CurrentMtgRatesDataTable825[[#This Row],[asOfDate]],O:P,2,0)</f>
        <v>0</v>
      </c>
      <c r="F123" s="34">
        <f ca="1">VLOOKUP(CurrentMtgRatesDataTable825[[#This Row],[asOfDate]]+1,Bloomberg!B:C,2,0)</f>
        <v>4136.3</v>
      </c>
      <c r="H123" s="1">
        <v>41389</v>
      </c>
      <c r="I123" s="33">
        <v>0.759939269856726</v>
      </c>
      <c r="O123" s="1">
        <v>41389</v>
      </c>
      <c r="P123" s="33">
        <v>0</v>
      </c>
    </row>
    <row r="124" spans="2:16">
      <c r="B124" s="18">
        <v>41319</v>
      </c>
      <c r="C124" s="30">
        <v>0.79744674672768578</v>
      </c>
      <c r="D124" s="30">
        <f>VLOOKUP(CurrentMtgRatesDataTable825[[#This Row],[asOfDate]],H:I,2,0)</f>
        <v>0.75155379277106704</v>
      </c>
      <c r="E124" s="30">
        <f>VLOOKUP(CurrentMtgRatesDataTable825[[#This Row],[asOfDate]],O:P,2,0)</f>
        <v>5.4993651942507197E-4</v>
      </c>
      <c r="F124" s="34">
        <f ca="1">VLOOKUP(CurrentMtgRatesDataTable825[[#This Row],[asOfDate]]+1,Bloomberg!B:C,2,0)</f>
        <v>4261.8</v>
      </c>
      <c r="H124" s="1">
        <v>41396</v>
      </c>
      <c r="I124" s="33">
        <v>0.77520531199879605</v>
      </c>
      <c r="O124" s="1">
        <v>41396</v>
      </c>
      <c r="P124" s="33">
        <v>9.3714860500272602E-3</v>
      </c>
    </row>
    <row r="125" spans="2:16">
      <c r="B125" s="18">
        <v>41312</v>
      </c>
      <c r="C125" s="30">
        <v>0.79744674672768578</v>
      </c>
      <c r="D125" s="30">
        <f>VLOOKUP(CurrentMtgRatesDataTable825[[#This Row],[asOfDate]],H:I,2,0)</f>
        <v>0.75155379277106704</v>
      </c>
      <c r="E125" s="30">
        <f>VLOOKUP(CurrentMtgRatesDataTable825[[#This Row],[asOfDate]],O:P,2,0)</f>
        <v>0</v>
      </c>
      <c r="F125" s="34">
        <f ca="1">VLOOKUP(CurrentMtgRatesDataTable825[[#This Row],[asOfDate]]+1,Bloomberg!B:C,2,0)</f>
        <v>4284.3</v>
      </c>
      <c r="H125" s="1">
        <v>41403</v>
      </c>
      <c r="I125" s="33">
        <v>0.75094523370436095</v>
      </c>
      <c r="O125" s="1">
        <v>41403</v>
      </c>
      <c r="P125" s="33">
        <v>0</v>
      </c>
    </row>
    <row r="126" spans="2:16">
      <c r="B126" s="18">
        <v>41305</v>
      </c>
      <c r="C126" s="30">
        <v>0.84748759806752005</v>
      </c>
      <c r="D126" s="30">
        <f>VLOOKUP(CurrentMtgRatesDataTable825[[#This Row],[asOfDate]],H:I,2,0)</f>
        <v>0.77322369572310801</v>
      </c>
      <c r="E126" s="30">
        <f>VLOOKUP(CurrentMtgRatesDataTable825[[#This Row],[asOfDate]],O:P,2,0)</f>
        <v>0</v>
      </c>
      <c r="F126" s="34">
        <f ca="1">VLOOKUP(CurrentMtgRatesDataTable825[[#This Row],[asOfDate]]+1,Bloomberg!B:C,2,0)</f>
        <v>4579</v>
      </c>
      <c r="H126" s="1">
        <v>41410</v>
      </c>
      <c r="I126" s="33">
        <v>0.72159050384319001</v>
      </c>
      <c r="O126" s="1">
        <v>41410</v>
      </c>
      <c r="P126" s="33">
        <v>0</v>
      </c>
    </row>
    <row r="127" spans="2:16">
      <c r="B127" s="18">
        <v>41298</v>
      </c>
      <c r="C127" s="30">
        <v>0.88379536104531342</v>
      </c>
      <c r="D127" s="30">
        <f>VLOOKUP(CurrentMtgRatesDataTable825[[#This Row],[asOfDate]],H:I,2,0)</f>
        <v>0.81634992305868503</v>
      </c>
      <c r="E127" s="30">
        <f>VLOOKUP(CurrentMtgRatesDataTable825[[#This Row],[asOfDate]],O:P,2,0)</f>
        <v>0</v>
      </c>
      <c r="F127" s="34">
        <f ca="1">VLOOKUP(CurrentMtgRatesDataTable825[[#This Row],[asOfDate]]+1,Bloomberg!B:C,2,0)</f>
        <v>4433.6000000000004</v>
      </c>
      <c r="H127" s="1">
        <v>41417</v>
      </c>
      <c r="I127" s="33">
        <v>0.68530860108825797</v>
      </c>
      <c r="O127" s="1">
        <v>41417</v>
      </c>
      <c r="P127" s="33">
        <v>0</v>
      </c>
    </row>
    <row r="128" spans="2:16">
      <c r="B128" s="18">
        <v>41291</v>
      </c>
      <c r="C128" s="30">
        <v>0.88631407683414742</v>
      </c>
      <c r="D128" s="30">
        <f>VLOOKUP(CurrentMtgRatesDataTable825[[#This Row],[asOfDate]],H:I,2,0)</f>
        <v>0.83503612629874802</v>
      </c>
      <c r="E128" s="30">
        <f>VLOOKUP(CurrentMtgRatesDataTable825[[#This Row],[asOfDate]],O:P,2,0)</f>
        <v>0</v>
      </c>
      <c r="F128" s="34">
        <f ca="1">VLOOKUP(CurrentMtgRatesDataTable825[[#This Row],[asOfDate]]+1,Bloomberg!B:C,2,0)</f>
        <v>4937.3999999999996</v>
      </c>
      <c r="H128" s="1">
        <v>41424</v>
      </c>
      <c r="I128" s="33">
        <v>0.61546645850988302</v>
      </c>
      <c r="O128" s="1">
        <v>41424</v>
      </c>
      <c r="P128" s="33">
        <v>0</v>
      </c>
    </row>
    <row r="129" spans="2:16">
      <c r="B129" s="18">
        <v>41284</v>
      </c>
      <c r="C129" s="30">
        <v>0.88507237465236011</v>
      </c>
      <c r="D129" s="30">
        <f>VLOOKUP(CurrentMtgRatesDataTable825[[#This Row],[asOfDate]],H:I,2,0)</f>
        <v>0.81798384699460103</v>
      </c>
      <c r="E129" s="30">
        <f>VLOOKUP(CurrentMtgRatesDataTable825[[#This Row],[asOfDate]],O:P,2,0)</f>
        <v>0</v>
      </c>
      <c r="F129" s="34">
        <f ca="1">VLOOKUP(CurrentMtgRatesDataTable825[[#This Row],[asOfDate]]+1,Bloomberg!B:C,2,0)</f>
        <v>4554.3999999999996</v>
      </c>
      <c r="H129" s="1">
        <v>41431</v>
      </c>
      <c r="I129" s="33">
        <v>0.57861777554698002</v>
      </c>
      <c r="O129" s="1">
        <v>41431</v>
      </c>
      <c r="P129" s="33">
        <v>0</v>
      </c>
    </row>
    <row r="130" spans="2:16">
      <c r="B130" s="18">
        <v>41277</v>
      </c>
      <c r="C130" s="30">
        <v>0.88829814088555981</v>
      </c>
      <c r="D130" s="30">
        <f>VLOOKUP(CurrentMtgRatesDataTable825[[#This Row],[asOfDate]],H:I,2,0)</f>
        <v>0.83696581575361895</v>
      </c>
      <c r="E130" s="30">
        <f>VLOOKUP(CurrentMtgRatesDataTable825[[#This Row],[asOfDate]],O:P,2,0)</f>
        <v>0</v>
      </c>
      <c r="F130" s="34">
        <f ca="1">VLOOKUP(CurrentMtgRatesDataTable825[[#This Row],[asOfDate]]+1,Bloomberg!B:C,2,0)</f>
        <v>3896.4</v>
      </c>
      <c r="H130" s="1">
        <v>41438</v>
      </c>
      <c r="I130" s="33">
        <v>0.55842108987699401</v>
      </c>
      <c r="O130" s="1">
        <v>41438</v>
      </c>
      <c r="P130" s="33">
        <v>0</v>
      </c>
    </row>
    <row r="131" spans="2:16">
      <c r="B131" s="18">
        <v>41270</v>
      </c>
      <c r="C131" s="30">
        <v>0.91018597538933266</v>
      </c>
      <c r="D131" s="30">
        <f>VLOOKUP(CurrentMtgRatesDataTable825[[#This Row],[asOfDate]],H:I,2,0)</f>
        <v>0.85626060279274896</v>
      </c>
      <c r="E131" s="30">
        <f>VLOOKUP(CurrentMtgRatesDataTable825[[#This Row],[asOfDate]],O:P,2,0)</f>
        <v>0</v>
      </c>
      <c r="F131" s="34">
        <f ca="1">VLOOKUP(CurrentMtgRatesDataTable825[[#This Row],[asOfDate]]+1,Bloomberg!B:C,2,0)</f>
        <v>3488.9</v>
      </c>
      <c r="H131" s="1">
        <v>41445</v>
      </c>
      <c r="I131" s="33">
        <v>0.55919632116239604</v>
      </c>
      <c r="O131" s="1">
        <v>41445</v>
      </c>
      <c r="P131" s="33">
        <v>0</v>
      </c>
    </row>
    <row r="132" spans="2:16">
      <c r="B132" s="18">
        <v>41263</v>
      </c>
      <c r="C132" s="30">
        <v>0.90965157918840345</v>
      </c>
      <c r="D132" s="30">
        <f>VLOOKUP(CurrentMtgRatesDataTable825[[#This Row],[asOfDate]],H:I,2,0)</f>
        <v>0.85522983991809798</v>
      </c>
      <c r="E132" s="30">
        <f>VLOOKUP(CurrentMtgRatesDataTable825[[#This Row],[asOfDate]],O:P,2,0)</f>
        <v>0</v>
      </c>
      <c r="F132" s="34">
        <f ca="1">VLOOKUP(CurrentMtgRatesDataTable825[[#This Row],[asOfDate]]+1,Bloomberg!B:C,2,0)</f>
        <v>3983.2</v>
      </c>
      <c r="H132" s="1">
        <v>41452</v>
      </c>
      <c r="I132" s="33">
        <v>0.35042164075900101</v>
      </c>
      <c r="O132" s="1">
        <v>41452</v>
      </c>
      <c r="P132" s="33">
        <v>0</v>
      </c>
    </row>
    <row r="133" spans="2:16">
      <c r="B133" s="18">
        <v>41256</v>
      </c>
      <c r="C133" s="30">
        <v>0.9126136851792267</v>
      </c>
      <c r="D133" s="30">
        <f>VLOOKUP(CurrentMtgRatesDataTable825[[#This Row],[asOfDate]],H:I,2,0)</f>
        <v>0.87412257034895602</v>
      </c>
      <c r="E133" s="30">
        <f>VLOOKUP(CurrentMtgRatesDataTable825[[#This Row],[asOfDate]],O:P,2,0)</f>
        <v>1.92397129365898E-3</v>
      </c>
      <c r="F133" s="34">
        <f ca="1">VLOOKUP(CurrentMtgRatesDataTable825[[#This Row],[asOfDate]]+1,Bloomberg!B:C,2,0)</f>
        <v>4564.3999999999996</v>
      </c>
      <c r="H133" s="1">
        <v>41458</v>
      </c>
      <c r="I133" s="33">
        <v>0.439218479739446</v>
      </c>
      <c r="O133" s="1">
        <v>41458</v>
      </c>
      <c r="P133" s="33">
        <v>0</v>
      </c>
    </row>
    <row r="134" spans="2:16">
      <c r="B134" s="18">
        <v>41249</v>
      </c>
      <c r="C134" s="30">
        <v>0.9105479087849232</v>
      </c>
      <c r="D134" s="30">
        <f>VLOOKUP(CurrentMtgRatesDataTable825[[#This Row],[asOfDate]],H:I,2,0)</f>
        <v>0.85662578219432695</v>
      </c>
      <c r="E134" s="30">
        <f>VLOOKUP(CurrentMtgRatesDataTable825[[#This Row],[asOfDate]],O:P,2,0)</f>
        <v>0</v>
      </c>
      <c r="F134" s="34">
        <f ca="1">VLOOKUP(CurrentMtgRatesDataTable825[[#This Row],[asOfDate]]+1,Bloomberg!B:C,2,0)</f>
        <v>5368.1</v>
      </c>
      <c r="H134" s="1">
        <v>41466</v>
      </c>
      <c r="I134" s="33">
        <v>0.32003461094412999</v>
      </c>
      <c r="O134" s="1">
        <v>41466</v>
      </c>
      <c r="P134" s="33">
        <v>0</v>
      </c>
    </row>
    <row r="135" spans="2:16">
      <c r="B135" s="18">
        <v>41242</v>
      </c>
      <c r="C135" s="30">
        <v>0.92756020040727527</v>
      </c>
      <c r="D135" s="30">
        <f>VLOOKUP(CurrentMtgRatesDataTable825[[#This Row],[asOfDate]],H:I,2,0)</f>
        <v>0.86996445945149903</v>
      </c>
      <c r="E135" s="30">
        <f>VLOOKUP(CurrentMtgRatesDataTable825[[#This Row],[asOfDate]],O:P,2,0)</f>
        <v>0</v>
      </c>
      <c r="F135" s="34">
        <f ca="1">VLOOKUP(CurrentMtgRatesDataTable825[[#This Row],[asOfDate]]+1,Bloomberg!B:C,2,0)</f>
        <v>4943</v>
      </c>
      <c r="H135" s="1">
        <v>41473</v>
      </c>
      <c r="I135" s="33">
        <v>0.407195502334876</v>
      </c>
      <c r="O135" s="1">
        <v>41473</v>
      </c>
      <c r="P135" s="33">
        <v>0</v>
      </c>
    </row>
    <row r="136" spans="2:16">
      <c r="B136" s="18">
        <v>41234</v>
      </c>
      <c r="C136" s="30">
        <v>0.9299301195282087</v>
      </c>
      <c r="D136" s="30">
        <f>VLOOKUP(CurrentMtgRatesDataTable825[[#This Row],[asOfDate]],H:I,2,0)</f>
        <v>0.88773399472374204</v>
      </c>
      <c r="E136" s="30">
        <f>VLOOKUP(CurrentMtgRatesDataTable825[[#This Row],[asOfDate]],O:P,2,0)</f>
        <v>0.88870182147749199</v>
      </c>
      <c r="F136" s="34" t="e">
        <f ca="1">VLOOKUP(CurrentMtgRatesDataTable825[[#This Row],[asOfDate]]+1,Bloomberg!B:C,2,0)</f>
        <v>#N/A</v>
      </c>
      <c r="H136" s="1">
        <v>41480</v>
      </c>
      <c r="I136" s="33">
        <v>0.40895553727695599</v>
      </c>
      <c r="O136" s="1">
        <v>41480</v>
      </c>
      <c r="P136" s="33">
        <v>0</v>
      </c>
    </row>
    <row r="137" spans="2:16">
      <c r="B137" s="18">
        <v>41228</v>
      </c>
      <c r="C137" s="30">
        <v>0.92772026190850965</v>
      </c>
      <c r="D137" s="30">
        <f>VLOOKUP(CurrentMtgRatesDataTable825[[#This Row],[asOfDate]],H:I,2,0)</f>
        <v>0.86999483052125803</v>
      </c>
      <c r="E137" s="30">
        <f>VLOOKUP(CurrentMtgRatesDataTable825[[#This Row],[asOfDate]],O:P,2,0)</f>
        <v>3.6805392889150699E-3</v>
      </c>
      <c r="F137" s="34">
        <f ca="1">VLOOKUP(CurrentMtgRatesDataTable825[[#This Row],[asOfDate]]+1,Bloomberg!B:C,2,0)</f>
        <v>4702.3999999999996</v>
      </c>
      <c r="H137" s="1">
        <v>41487</v>
      </c>
      <c r="I137" s="33">
        <v>0.36357930006355599</v>
      </c>
      <c r="O137" s="1">
        <v>41487</v>
      </c>
      <c r="P137" s="33">
        <v>0</v>
      </c>
    </row>
    <row r="138" spans="2:16">
      <c r="B138" s="18">
        <v>41221</v>
      </c>
      <c r="C138" s="30">
        <v>0.9252942527060104</v>
      </c>
      <c r="D138" s="30">
        <f>VLOOKUP(CurrentMtgRatesDataTable825[[#This Row],[asOfDate]],H:I,2,0)</f>
        <v>0.85194480836680198</v>
      </c>
      <c r="E138" s="30">
        <f>VLOOKUP(CurrentMtgRatesDataTable825[[#This Row],[asOfDate]],O:P,2,0)</f>
        <v>0</v>
      </c>
      <c r="F138" s="34">
        <f ca="1">VLOOKUP(CurrentMtgRatesDataTable825[[#This Row],[asOfDate]]+1,Bloomberg!B:C,2,0)</f>
        <v>4856.1000000000004</v>
      </c>
      <c r="H138" s="1">
        <v>41494</v>
      </c>
      <c r="I138" s="33">
        <v>0.36292296585782302</v>
      </c>
      <c r="O138" s="1">
        <v>41494</v>
      </c>
      <c r="P138" s="33">
        <v>0</v>
      </c>
    </row>
    <row r="139" spans="2:16">
      <c r="B139" s="18">
        <v>41214</v>
      </c>
      <c r="C139" s="30">
        <v>0.92571311512973709</v>
      </c>
      <c r="D139" s="30">
        <f>VLOOKUP(CurrentMtgRatesDataTable825[[#This Row],[asOfDate]],H:I,2,0)</f>
        <v>0.85225052894835196</v>
      </c>
      <c r="E139" s="30">
        <f>VLOOKUP(CurrentMtgRatesDataTable825[[#This Row],[asOfDate]],O:P,2,0)</f>
        <v>0</v>
      </c>
      <c r="F139" s="34">
        <f ca="1">VLOOKUP(CurrentMtgRatesDataTable825[[#This Row],[asOfDate]]+1,Bloomberg!B:C,2,0)</f>
        <v>4297.7</v>
      </c>
      <c r="H139" s="1">
        <v>41501</v>
      </c>
      <c r="I139" s="33">
        <v>0.36292296585782302</v>
      </c>
      <c r="O139" s="1">
        <v>41501</v>
      </c>
      <c r="P139" s="33">
        <v>0</v>
      </c>
    </row>
    <row r="140" spans="2:16">
      <c r="B140" s="18">
        <v>41207</v>
      </c>
      <c r="C140" s="30">
        <v>0.95079229345734595</v>
      </c>
      <c r="D140" s="30">
        <f>VLOOKUP(CurrentMtgRatesDataTable825[[#This Row],[asOfDate]],H:I,2,0)</f>
        <v>0.87683234085301398</v>
      </c>
      <c r="E140" s="30">
        <f>VLOOKUP(CurrentMtgRatesDataTable825[[#This Row],[asOfDate]],O:P,2,0)</f>
        <v>0</v>
      </c>
      <c r="F140" s="34">
        <f ca="1">VLOOKUP(CurrentMtgRatesDataTable825[[#This Row],[asOfDate]]+1,Bloomberg!B:C,2,0)</f>
        <v>4550.7</v>
      </c>
      <c r="H140" s="1">
        <v>41508</v>
      </c>
      <c r="I140" s="33">
        <v>0.28848466841060699</v>
      </c>
      <c r="O140" s="1">
        <v>41508</v>
      </c>
      <c r="P140" s="33">
        <v>0</v>
      </c>
    </row>
    <row r="141" spans="2:16">
      <c r="B141" s="18">
        <v>41200</v>
      </c>
      <c r="C141" s="30">
        <v>0.95277295236812309</v>
      </c>
      <c r="D141" s="30">
        <f>VLOOKUP(CurrentMtgRatesDataTable825[[#This Row],[asOfDate]],H:I,2,0)</f>
        <v>0.89368551357821302</v>
      </c>
      <c r="E141" s="30">
        <f>VLOOKUP(CurrentMtgRatesDataTable825[[#This Row],[asOfDate]],O:P,2,0)</f>
        <v>0</v>
      </c>
      <c r="F141" s="34">
        <f ca="1">VLOOKUP(CurrentMtgRatesDataTable825[[#This Row],[asOfDate]]+1,Bloomberg!B:C,2,0)</f>
        <v>4847.2</v>
      </c>
      <c r="H141" s="1">
        <v>41515</v>
      </c>
      <c r="I141" s="33">
        <v>0.32738957382411199</v>
      </c>
      <c r="O141" s="1">
        <v>41515</v>
      </c>
      <c r="P141" s="33">
        <v>0</v>
      </c>
    </row>
    <row r="142" spans="2:16">
      <c r="B142" s="18">
        <v>41193</v>
      </c>
      <c r="C142" s="30">
        <v>0.95159604304738465</v>
      </c>
      <c r="D142" s="30">
        <f>VLOOKUP(CurrentMtgRatesDataTable825[[#This Row],[asOfDate]],H:I,2,0)</f>
        <v>0.87811016351224602</v>
      </c>
      <c r="E142" s="30">
        <f>VLOOKUP(CurrentMtgRatesDataTable825[[#This Row],[asOfDate]],O:P,2,0)</f>
        <v>0</v>
      </c>
      <c r="F142" s="34">
        <f ca="1">VLOOKUP(CurrentMtgRatesDataTable825[[#This Row],[asOfDate]]+1,Bloomberg!B:C,2,0)</f>
        <v>5572.2</v>
      </c>
      <c r="H142" s="1">
        <v>41522</v>
      </c>
      <c r="I142" s="33">
        <v>0.29894428975906101</v>
      </c>
      <c r="O142" s="1">
        <v>41522</v>
      </c>
      <c r="P142" s="33">
        <v>0</v>
      </c>
    </row>
    <row r="143" spans="2:16">
      <c r="B143" s="18">
        <v>41186</v>
      </c>
      <c r="C143" s="30">
        <v>0.95362908529618629</v>
      </c>
      <c r="D143" s="30">
        <f>VLOOKUP(CurrentMtgRatesDataTable825[[#This Row],[asOfDate]],H:I,2,0)</f>
        <v>0.89522709255279198</v>
      </c>
      <c r="E143" s="30">
        <f>VLOOKUP(CurrentMtgRatesDataTable825[[#This Row],[asOfDate]],O:P,2,0)</f>
        <v>0.89337068210282</v>
      </c>
      <c r="F143" s="34">
        <f ca="1">VLOOKUP(CurrentMtgRatesDataTable825[[#This Row],[asOfDate]]+1,Bloomberg!B:C,2,0)</f>
        <v>5892.5</v>
      </c>
      <c r="H143" s="1">
        <v>41529</v>
      </c>
      <c r="I143" s="33">
        <v>0.28251411119681702</v>
      </c>
      <c r="O143" s="1">
        <v>41529</v>
      </c>
      <c r="P143" s="33">
        <v>0</v>
      </c>
    </row>
    <row r="144" spans="2:16">
      <c r="B144" s="18">
        <v>41179</v>
      </c>
      <c r="C144" s="30">
        <v>0.96459917415866681</v>
      </c>
      <c r="D144" s="30">
        <f>VLOOKUP(CurrentMtgRatesDataTable825[[#This Row],[asOfDate]],H:I,2,0)</f>
        <v>0.91259028169208301</v>
      </c>
      <c r="E144" s="30">
        <f>VLOOKUP(CurrentMtgRatesDataTable825[[#This Row],[asOfDate]],O:P,2,0)</f>
        <v>0.91307424668051995</v>
      </c>
      <c r="F144" s="34">
        <f ca="1">VLOOKUP(CurrentMtgRatesDataTable825[[#This Row],[asOfDate]]+1,Bloomberg!B:C,2,0)</f>
        <v>5965.5</v>
      </c>
      <c r="H144" s="1">
        <v>41536</v>
      </c>
      <c r="I144" s="33">
        <v>0.32091811677951898</v>
      </c>
      <c r="O144" s="1">
        <v>41536</v>
      </c>
      <c r="P144" s="33">
        <v>1.2070812662829E-4</v>
      </c>
    </row>
    <row r="145" spans="2:16">
      <c r="B145" s="18">
        <v>41172</v>
      </c>
      <c r="C145" s="30">
        <v>0.95891425076544745</v>
      </c>
      <c r="D145" s="30">
        <f>VLOOKUP(CurrentMtgRatesDataTable825[[#This Row],[asOfDate]],H:I,2,0)</f>
        <v>0.87344930653794395</v>
      </c>
      <c r="E145" s="30">
        <f>VLOOKUP(CurrentMtgRatesDataTable825[[#This Row],[asOfDate]],O:P,2,0)</f>
        <v>0.87391634150534703</v>
      </c>
      <c r="F145" s="34">
        <f ca="1">VLOOKUP(CurrentMtgRatesDataTable825[[#This Row],[asOfDate]]+1,Bloomberg!B:C,2,0)</f>
        <v>4979</v>
      </c>
      <c r="H145" s="1">
        <v>41543</v>
      </c>
      <c r="I145" s="33">
        <v>0.41607421536967498</v>
      </c>
      <c r="O145" s="1">
        <v>41543</v>
      </c>
      <c r="P145" s="33">
        <v>8.9334697556313401E-4</v>
      </c>
    </row>
    <row r="146" spans="2:16">
      <c r="B146" s="18">
        <v>41165</v>
      </c>
      <c r="C146" s="30">
        <v>0.94047646256577366</v>
      </c>
      <c r="D146" s="30">
        <f>VLOOKUP(CurrentMtgRatesDataTable825[[#This Row],[asOfDate]],H:I,2,0)</f>
        <v>0.85731125996939705</v>
      </c>
      <c r="E146" s="30">
        <f>VLOOKUP(CurrentMtgRatesDataTable825[[#This Row],[asOfDate]],O:P,2,0)</f>
        <v>3.4287960012666001E-3</v>
      </c>
      <c r="F146" s="34">
        <f ca="1">VLOOKUP(CurrentMtgRatesDataTable825[[#This Row],[asOfDate]]+1,Bloomberg!B:C,2,0)</f>
        <v>4823.3</v>
      </c>
      <c r="H146" s="1">
        <v>41550</v>
      </c>
      <c r="I146" s="33">
        <v>0.43751781158176101</v>
      </c>
      <c r="O146" s="1">
        <v>41550</v>
      </c>
      <c r="P146" s="33">
        <v>1.7927762872913E-3</v>
      </c>
    </row>
    <row r="147" spans="2:16">
      <c r="B147" s="18">
        <v>41158</v>
      </c>
      <c r="C147" s="30">
        <v>0.91761037893987563</v>
      </c>
      <c r="D147" s="30">
        <f>VLOOKUP(CurrentMtgRatesDataTable825[[#This Row],[asOfDate]],H:I,2,0)</f>
        <v>0.854493626143913</v>
      </c>
      <c r="E147" s="30">
        <f>VLOOKUP(CurrentMtgRatesDataTable825[[#This Row],[asOfDate]],O:P,2,0)</f>
        <v>0</v>
      </c>
      <c r="F147" s="34">
        <f ca="1">VLOOKUP(CurrentMtgRatesDataTable825[[#This Row],[asOfDate]]+1,Bloomberg!B:C,2,0)</f>
        <v>4779.1000000000004</v>
      </c>
      <c r="H147" s="1">
        <v>41557</v>
      </c>
      <c r="I147" s="33">
        <v>0.43701315967767701</v>
      </c>
      <c r="O147" s="1">
        <v>41557</v>
      </c>
      <c r="P147" s="33">
        <v>0</v>
      </c>
    </row>
    <row r="148" spans="2:16">
      <c r="B148" s="18">
        <v>41151</v>
      </c>
      <c r="C148" s="30">
        <v>0.92408794393225557</v>
      </c>
      <c r="D148" s="30">
        <f>VLOOKUP(CurrentMtgRatesDataTable825[[#This Row],[asOfDate]],H:I,2,0)</f>
        <v>0.86745968477328095</v>
      </c>
      <c r="E148" s="30">
        <f>VLOOKUP(CurrentMtgRatesDataTable825[[#This Row],[asOfDate]],O:P,2,0)</f>
        <v>0</v>
      </c>
      <c r="F148" s="34">
        <f ca="1">VLOOKUP(CurrentMtgRatesDataTable825[[#This Row],[asOfDate]]+1,Bloomberg!B:C,2,0)</f>
        <v>4274.8</v>
      </c>
      <c r="H148" s="1">
        <v>41564</v>
      </c>
      <c r="I148" s="33">
        <v>0.40902347477168999</v>
      </c>
      <c r="O148" s="1">
        <v>41564</v>
      </c>
      <c r="P148" s="33">
        <v>0</v>
      </c>
    </row>
    <row r="149" spans="2:16">
      <c r="B149" s="18">
        <v>41144</v>
      </c>
      <c r="C149" s="30">
        <v>0.85694996797233836</v>
      </c>
      <c r="D149" s="30">
        <f>VLOOKUP(CurrentMtgRatesDataTable825[[#This Row],[asOfDate]],H:I,2,0)</f>
        <v>0.83819941388679298</v>
      </c>
      <c r="E149" s="30">
        <f>VLOOKUP(CurrentMtgRatesDataTable825[[#This Row],[asOfDate]],O:P,2,0)</f>
        <v>0</v>
      </c>
      <c r="F149" s="34">
        <f ca="1">VLOOKUP(CurrentMtgRatesDataTable825[[#This Row],[asOfDate]]+1,Bloomberg!B:C,2,0)</f>
        <v>4414.6000000000004</v>
      </c>
      <c r="H149" s="1">
        <v>41571</v>
      </c>
      <c r="I149" s="33">
        <v>0.45648777309490202</v>
      </c>
      <c r="O149" s="1">
        <v>41571</v>
      </c>
      <c r="P149" s="33">
        <v>4.7022607373106203E-3</v>
      </c>
    </row>
    <row r="150" spans="2:16">
      <c r="B150" s="18">
        <v>41137</v>
      </c>
      <c r="C150" s="30">
        <v>0.88445471641937157</v>
      </c>
      <c r="D150" s="30">
        <f>VLOOKUP(CurrentMtgRatesDataTable825[[#This Row],[asOfDate]],H:I,2,0)</f>
        <v>0.85198632502448901</v>
      </c>
      <c r="E150" s="30">
        <f>VLOOKUP(CurrentMtgRatesDataTable825[[#This Row],[asOfDate]],O:P,2,0)</f>
        <v>0</v>
      </c>
      <c r="F150" s="34">
        <f ca="1">VLOOKUP(CurrentMtgRatesDataTable825[[#This Row],[asOfDate]]+1,Bloomberg!B:C,2,0)</f>
        <v>4671.1000000000004</v>
      </c>
      <c r="H150" s="1">
        <v>41578</v>
      </c>
      <c r="I150" s="33">
        <v>0.47501022290439499</v>
      </c>
      <c r="O150" s="1">
        <v>41578</v>
      </c>
      <c r="P150" s="33">
        <v>6.1587902327108696E-3</v>
      </c>
    </row>
    <row r="151" spans="2:16">
      <c r="B151" s="18">
        <v>41130</v>
      </c>
      <c r="C151" s="30">
        <v>0.92408794393225557</v>
      </c>
      <c r="D151" s="30">
        <f>VLOOKUP(CurrentMtgRatesDataTable825[[#This Row],[asOfDate]],H:I,2,0)</f>
        <v>0.86745968477328095</v>
      </c>
      <c r="E151" s="30">
        <f>VLOOKUP(CurrentMtgRatesDataTable825[[#This Row],[asOfDate]],O:P,2,0)</f>
        <v>0</v>
      </c>
      <c r="F151" s="34">
        <f ca="1">VLOOKUP(CurrentMtgRatesDataTable825[[#This Row],[asOfDate]]+1,Bloomberg!B:C,2,0)</f>
        <v>5172.2</v>
      </c>
      <c r="H151" s="1">
        <v>41585</v>
      </c>
      <c r="I151" s="33">
        <v>0.44788779304034998</v>
      </c>
      <c r="O151" s="1">
        <v>41585</v>
      </c>
      <c r="P151" s="33">
        <v>0</v>
      </c>
    </row>
    <row r="152" spans="2:16">
      <c r="B152" s="18">
        <v>41123</v>
      </c>
      <c r="C152" s="30">
        <v>0.9385222539497815</v>
      </c>
      <c r="D152" s="30">
        <f>VLOOKUP(CurrentMtgRatesDataTable825[[#This Row],[asOfDate]],H:I,2,0)</f>
        <v>0.86768818253450297</v>
      </c>
      <c r="E152" s="30">
        <f>VLOOKUP(CurrentMtgRatesDataTable825[[#This Row],[asOfDate]],O:P,2,0)</f>
        <v>0</v>
      </c>
      <c r="F152" s="34">
        <f ca="1">VLOOKUP(CurrentMtgRatesDataTable825[[#This Row],[asOfDate]]+1,Bloomberg!B:C,2,0)</f>
        <v>5444.3</v>
      </c>
      <c r="H152" s="1">
        <v>41592</v>
      </c>
      <c r="I152" s="33">
        <v>0.37120289750535601</v>
      </c>
      <c r="O152" s="1">
        <v>41592</v>
      </c>
      <c r="P152" s="33">
        <v>0</v>
      </c>
    </row>
    <row r="153" spans="2:16">
      <c r="B153" s="18">
        <v>41116</v>
      </c>
      <c r="C153" s="30">
        <v>0.98451993370244106</v>
      </c>
      <c r="D153" s="30">
        <f>VLOOKUP(CurrentMtgRatesDataTable825[[#This Row],[asOfDate]],H:I,2,0)</f>
        <v>0.89814744996460805</v>
      </c>
      <c r="E153" s="30">
        <f>VLOOKUP(CurrentMtgRatesDataTable825[[#This Row],[asOfDate]],O:P,2,0)</f>
        <v>0.89854811201564799</v>
      </c>
      <c r="F153" s="34">
        <f ca="1">VLOOKUP(CurrentMtgRatesDataTable825[[#This Row],[asOfDate]]+1,Bloomberg!B:C,2,0)</f>
        <v>5492.1</v>
      </c>
      <c r="H153" s="1">
        <v>41599</v>
      </c>
      <c r="I153" s="33">
        <v>0.42989701258795199</v>
      </c>
      <c r="O153" s="1">
        <v>41599</v>
      </c>
      <c r="P153" s="33">
        <v>0</v>
      </c>
    </row>
    <row r="154" spans="2:16">
      <c r="B154" s="18">
        <v>41109</v>
      </c>
      <c r="C154" s="30">
        <v>0.97186924857158052</v>
      </c>
      <c r="D154" s="30">
        <f>VLOOKUP(CurrentMtgRatesDataTable825[[#This Row],[asOfDate]],H:I,2,0)</f>
        <v>0.88516739973977598</v>
      </c>
      <c r="E154" s="30">
        <f>VLOOKUP(CurrentMtgRatesDataTable825[[#This Row],[asOfDate]],O:P,2,0)</f>
        <v>0.88557582733423201</v>
      </c>
      <c r="F154" s="34">
        <f ca="1">VLOOKUP(CurrentMtgRatesDataTable825[[#This Row],[asOfDate]]+1,Bloomberg!B:C,2,0)</f>
        <v>5383.1</v>
      </c>
      <c r="H154" s="1">
        <v>41605</v>
      </c>
      <c r="I154" s="33">
        <v>0.401262959025458</v>
      </c>
      <c r="O154" s="1">
        <v>41605</v>
      </c>
      <c r="P154" s="33">
        <v>0</v>
      </c>
    </row>
    <row r="155" spans="2:16">
      <c r="B155" s="18">
        <v>41102</v>
      </c>
      <c r="C155" s="30">
        <v>0.94551237246929465</v>
      </c>
      <c r="D155" s="30">
        <f>VLOOKUP(CurrentMtgRatesDataTable825[[#This Row],[asOfDate]],H:I,2,0)</f>
        <v>0.88265848165302496</v>
      </c>
      <c r="E155" s="30">
        <f>VLOOKUP(CurrentMtgRatesDataTable825[[#This Row],[asOfDate]],O:P,2,0)</f>
        <v>0.88306588959651799</v>
      </c>
      <c r="F155" s="34">
        <f ca="1">VLOOKUP(CurrentMtgRatesDataTable825[[#This Row],[asOfDate]]+1,Bloomberg!B:C,2,0)</f>
        <v>5246.8</v>
      </c>
      <c r="H155" s="1">
        <v>41613</v>
      </c>
      <c r="I155" s="33">
        <v>0.331227934580689</v>
      </c>
      <c r="O155" s="1">
        <v>41613</v>
      </c>
      <c r="P155" s="33">
        <v>0</v>
      </c>
    </row>
    <row r="156" spans="2:16">
      <c r="B156" s="18">
        <v>41095</v>
      </c>
      <c r="C156" s="30">
        <v>0.8819114104860859</v>
      </c>
      <c r="D156" s="30">
        <f>VLOOKUP(CurrentMtgRatesDataTable825[[#This Row],[asOfDate]],H:I,2,0)</f>
        <v>0.85531584833132801</v>
      </c>
      <c r="E156" s="30">
        <f>VLOOKUP(CurrentMtgRatesDataTable825[[#This Row],[asOfDate]],O:P,2,0)</f>
        <v>0.85480310148891403</v>
      </c>
      <c r="F156" s="34">
        <f ca="1">VLOOKUP(CurrentMtgRatesDataTable825[[#This Row],[asOfDate]]+1,Bloomberg!B:C,2,0)</f>
        <v>4267.8999999999996</v>
      </c>
      <c r="H156" s="1">
        <v>41620</v>
      </c>
      <c r="I156" s="33">
        <v>0.33082970500556302</v>
      </c>
      <c r="O156" s="1">
        <v>41620</v>
      </c>
      <c r="P156" s="33">
        <v>0</v>
      </c>
    </row>
    <row r="157" spans="2:16">
      <c r="B157" s="18">
        <v>41088</v>
      </c>
      <c r="C157" s="30">
        <v>0.89407594990163874</v>
      </c>
      <c r="D157" s="30">
        <f>VLOOKUP(CurrentMtgRatesDataTable825[[#This Row],[asOfDate]],H:I,2,0)</f>
        <v>0.86306170802286497</v>
      </c>
      <c r="E157" s="30">
        <f>VLOOKUP(CurrentMtgRatesDataTable825[[#This Row],[asOfDate]],O:P,2,0)</f>
        <v>0.86355719580735102</v>
      </c>
      <c r="F157" s="34">
        <f ca="1">VLOOKUP(CurrentMtgRatesDataTable825[[#This Row],[asOfDate]]+1,Bloomberg!B:C,2,0)</f>
        <v>4372.2</v>
      </c>
      <c r="H157" s="1">
        <v>41627</v>
      </c>
      <c r="I157" s="33">
        <v>0.29198850689481598</v>
      </c>
      <c r="O157" s="1">
        <v>41627</v>
      </c>
      <c r="P157" s="33">
        <v>0</v>
      </c>
    </row>
    <row r="158" spans="2:16">
      <c r="B158" s="18">
        <v>41081</v>
      </c>
      <c r="C158" s="30">
        <v>0.89407594990163874</v>
      </c>
      <c r="D158" s="30">
        <f>VLOOKUP(CurrentMtgRatesDataTable825[[#This Row],[asOfDate]],H:I,2,0)</f>
        <v>0.86306170802286497</v>
      </c>
      <c r="E158" s="30">
        <f>VLOOKUP(CurrentMtgRatesDataTable825[[#This Row],[asOfDate]],O:P,2,0)</f>
        <v>0.86355719580735102</v>
      </c>
      <c r="F158" s="34">
        <f ca="1">VLOOKUP(CurrentMtgRatesDataTable825[[#This Row],[asOfDate]]+1,Bloomberg!B:C,2,0)</f>
        <v>4585.8</v>
      </c>
      <c r="H158" s="1">
        <v>41634</v>
      </c>
      <c r="I158" s="33">
        <v>0.29162362501885603</v>
      </c>
      <c r="O158" s="1">
        <v>41634</v>
      </c>
      <c r="P158" s="33">
        <v>0</v>
      </c>
    </row>
    <row r="159" spans="2:16">
      <c r="B159" s="18">
        <v>41074</v>
      </c>
      <c r="C159" s="30">
        <v>0.88667449797815956</v>
      </c>
      <c r="D159" s="30">
        <f>VLOOKUP(CurrentMtgRatesDataTable825[[#This Row],[asOfDate]],H:I,2,0)</f>
        <v>0.84549296973434196</v>
      </c>
      <c r="E159" s="30">
        <f>VLOOKUP(CurrentMtgRatesDataTable825[[#This Row],[asOfDate]],O:P,2,0)</f>
        <v>0</v>
      </c>
      <c r="F159" s="34">
        <f ca="1">VLOOKUP(CurrentMtgRatesDataTable825[[#This Row],[asOfDate]]+1,Bloomberg!B:C,2,0)</f>
        <v>4719.6000000000004</v>
      </c>
      <c r="H159" s="1">
        <v>41641</v>
      </c>
      <c r="I159" s="33">
        <v>0.265306805945277</v>
      </c>
      <c r="O159" s="1">
        <v>41641</v>
      </c>
      <c r="P159" s="33">
        <v>0</v>
      </c>
    </row>
    <row r="160" spans="2:16">
      <c r="B160" s="18">
        <v>41067</v>
      </c>
      <c r="C160" s="30">
        <v>0.8920195449585564</v>
      </c>
      <c r="D160" s="30">
        <f>VLOOKUP(CurrentMtgRatesDataTable825[[#This Row],[asOfDate]],H:I,2,0)</f>
        <v>0.86243439572202496</v>
      </c>
      <c r="E160" s="30">
        <f>VLOOKUP(CurrentMtgRatesDataTable825[[#This Row],[asOfDate]],O:P,2,0)</f>
        <v>0.86123151402869003</v>
      </c>
      <c r="F160" s="34">
        <f ca="1">VLOOKUP(CurrentMtgRatesDataTable825[[#This Row],[asOfDate]]+1,Bloomberg!B:C,2,0)</f>
        <v>5590</v>
      </c>
      <c r="H160" s="1">
        <v>41648</v>
      </c>
      <c r="I160" s="33">
        <v>0.29015447722721099</v>
      </c>
      <c r="O160" s="1">
        <v>41648</v>
      </c>
      <c r="P160" s="33">
        <v>1.04165660314928E-4</v>
      </c>
    </row>
    <row r="161" spans="2:16">
      <c r="B161" s="18">
        <v>41060</v>
      </c>
      <c r="C161" s="30">
        <v>0.89512122084695944</v>
      </c>
      <c r="D161" s="30">
        <f>VLOOKUP(CurrentMtgRatesDataTable825[[#This Row],[asOfDate]],H:I,2,0)</f>
        <v>0.83268888035603505</v>
      </c>
      <c r="E161" s="30">
        <f>VLOOKUP(CurrentMtgRatesDataTable825[[#This Row],[asOfDate]],O:P,2,0)</f>
        <v>0.83309495413351498</v>
      </c>
      <c r="F161" s="34">
        <f ca="1">VLOOKUP(CurrentMtgRatesDataTable825[[#This Row],[asOfDate]]+1,Bloomberg!B:C,2,0)</f>
        <v>4736</v>
      </c>
      <c r="H161" s="1">
        <v>41655</v>
      </c>
      <c r="I161" s="33">
        <v>0.32467403778332998</v>
      </c>
      <c r="O161" s="1">
        <v>41655</v>
      </c>
      <c r="P161" s="33">
        <v>4.3244857845843099E-4</v>
      </c>
    </row>
    <row r="162" spans="2:16">
      <c r="B162" s="18">
        <v>41053</v>
      </c>
      <c r="C162" s="30">
        <v>0.89443957907281746</v>
      </c>
      <c r="D162" s="30">
        <f>VLOOKUP(CurrentMtgRatesDataTable825[[#This Row],[asOfDate]],H:I,2,0)</f>
        <v>0.82948257912141399</v>
      </c>
      <c r="E162" s="30">
        <f>VLOOKUP(CurrentMtgRatesDataTable825[[#This Row],[asOfDate]],O:P,2,0)</f>
        <v>0</v>
      </c>
      <c r="F162" s="34">
        <f ca="1">VLOOKUP(CurrentMtgRatesDataTable825[[#This Row],[asOfDate]]+1,Bloomberg!B:C,2,0)</f>
        <v>4675.8999999999996</v>
      </c>
      <c r="H162" s="1">
        <v>41662</v>
      </c>
      <c r="I162" s="33">
        <v>0.32547727058860199</v>
      </c>
      <c r="O162" s="1">
        <v>41662</v>
      </c>
      <c r="P162" s="33">
        <v>4.3538471617421198E-4</v>
      </c>
    </row>
    <row r="163" spans="2:16">
      <c r="B163" s="18">
        <v>41046</v>
      </c>
      <c r="C163" s="30">
        <v>0.8948997967143093</v>
      </c>
      <c r="D163" s="30">
        <f>VLOOKUP(CurrentMtgRatesDataTable825[[#This Row],[asOfDate]],H:I,2,0)</f>
        <v>0.83152220645888697</v>
      </c>
      <c r="E163" s="30">
        <f>VLOOKUP(CurrentMtgRatesDataTable825[[#This Row],[asOfDate]],O:P,2,0)</f>
        <v>0.831927164274886</v>
      </c>
      <c r="F163" s="34">
        <f ca="1">VLOOKUP(CurrentMtgRatesDataTable825[[#This Row],[asOfDate]]+1,Bloomberg!B:C,2,0)</f>
        <v>4732</v>
      </c>
      <c r="H163" s="1">
        <v>41669</v>
      </c>
      <c r="I163" s="33">
        <v>0.38449844249950499</v>
      </c>
      <c r="O163" s="1">
        <v>41669</v>
      </c>
      <c r="P163" s="33">
        <v>9.04155248858617E-4</v>
      </c>
    </row>
    <row r="164" spans="2:16">
      <c r="B164" s="18">
        <v>41039</v>
      </c>
      <c r="C164" s="30">
        <v>0.89337268606647302</v>
      </c>
      <c r="D164" s="30">
        <f>VLOOKUP(CurrentMtgRatesDataTable825[[#This Row],[asOfDate]],H:I,2,0)</f>
        <v>0.807152941952609</v>
      </c>
      <c r="E164" s="30">
        <f>VLOOKUP(CurrentMtgRatesDataTable825[[#This Row],[asOfDate]],O:P,2,0)</f>
        <v>0.80754152596055995</v>
      </c>
      <c r="F164" s="34">
        <f ca="1">VLOOKUP(CurrentMtgRatesDataTable825[[#This Row],[asOfDate]]+1,Bloomberg!B:C,2,0)</f>
        <v>4482</v>
      </c>
      <c r="H164" s="1">
        <v>41676</v>
      </c>
      <c r="I164" s="33">
        <v>0.407383000493176</v>
      </c>
      <c r="O164" s="1">
        <v>41676</v>
      </c>
      <c r="P164" s="33">
        <v>1.56502134325395E-3</v>
      </c>
    </row>
    <row r="165" spans="2:16">
      <c r="B165" s="18">
        <v>41032</v>
      </c>
      <c r="C165" s="30">
        <v>0.89225108632442729</v>
      </c>
      <c r="D165" s="30">
        <f>VLOOKUP(CurrentMtgRatesDataTable825[[#This Row],[asOfDate]],H:I,2,0)</f>
        <v>0.80437080516661097</v>
      </c>
      <c r="E165" s="30">
        <f>VLOOKUP(CurrentMtgRatesDataTable825[[#This Row],[asOfDate]],O:P,2,0)</f>
        <v>0.80415566862182497</v>
      </c>
      <c r="F165" s="34">
        <f ca="1">VLOOKUP(CurrentMtgRatesDataTable825[[#This Row],[asOfDate]]+1,Bloomberg!B:C,2,0)</f>
        <v>3924.4</v>
      </c>
      <c r="H165" s="1">
        <v>41683</v>
      </c>
      <c r="I165" s="33">
        <v>0.380280894786581</v>
      </c>
      <c r="O165" s="1">
        <v>41683</v>
      </c>
      <c r="P165" s="33">
        <v>0</v>
      </c>
    </row>
    <row r="166" spans="2:16">
      <c r="B166" s="18">
        <v>41025</v>
      </c>
      <c r="C166" s="30">
        <v>0.90849340717481886</v>
      </c>
      <c r="D166" s="30">
        <f>VLOOKUP(CurrentMtgRatesDataTable825[[#This Row],[asOfDate]],H:I,2,0)</f>
        <v>0.80193881910043296</v>
      </c>
      <c r="E166" s="30">
        <f>VLOOKUP(CurrentMtgRatesDataTable825[[#This Row],[asOfDate]],O:P,2,0)</f>
        <v>0.80265108338267499</v>
      </c>
      <c r="F166" s="34">
        <f ca="1">VLOOKUP(CurrentMtgRatesDataTable825[[#This Row],[asOfDate]]+1,Bloomberg!B:C,2,0)</f>
        <v>3856</v>
      </c>
      <c r="H166" s="1">
        <v>41690</v>
      </c>
      <c r="I166" s="33">
        <v>0.35043602810261099</v>
      </c>
      <c r="O166" s="1">
        <v>41690</v>
      </c>
      <c r="P166" s="33">
        <v>0</v>
      </c>
    </row>
    <row r="167" spans="2:16">
      <c r="B167" s="18">
        <v>41018</v>
      </c>
      <c r="C167" s="30">
        <v>0.9034983903169389</v>
      </c>
      <c r="D167" s="30">
        <f>VLOOKUP(CurrentMtgRatesDataTable825[[#This Row],[asOfDate]],H:I,2,0)</f>
        <v>0.77781138796328697</v>
      </c>
      <c r="E167" s="30">
        <f>VLOOKUP(CurrentMtgRatesDataTable825[[#This Row],[asOfDate]],O:P,2,0)</f>
        <v>0</v>
      </c>
      <c r="F167" s="34">
        <f ca="1">VLOOKUP(CurrentMtgRatesDataTable825[[#This Row],[asOfDate]]+1,Bloomberg!B:C,2,0)</f>
        <v>3892.2</v>
      </c>
      <c r="H167" s="1">
        <v>41697</v>
      </c>
      <c r="I167" s="33">
        <v>0.34853875137296803</v>
      </c>
      <c r="O167" s="1">
        <v>41697</v>
      </c>
      <c r="P167" s="33">
        <v>0</v>
      </c>
    </row>
    <row r="168" spans="2:16">
      <c r="B168" s="18">
        <v>41011</v>
      </c>
      <c r="C168" s="30">
        <v>0.90849340717481886</v>
      </c>
      <c r="D168" s="30">
        <f>VLOOKUP(CurrentMtgRatesDataTable825[[#This Row],[asOfDate]],H:I,2,0)</f>
        <v>0.80193881910043296</v>
      </c>
      <c r="E168" s="30">
        <f>VLOOKUP(CurrentMtgRatesDataTable825[[#This Row],[asOfDate]],O:P,2,0)</f>
        <v>0.80265108338267499</v>
      </c>
      <c r="F168" s="34">
        <f ca="1">VLOOKUP(CurrentMtgRatesDataTable825[[#This Row],[asOfDate]]+1,Bloomberg!B:C,2,0)</f>
        <v>4144.3</v>
      </c>
      <c r="H168" s="1">
        <v>41704</v>
      </c>
      <c r="I168" s="33">
        <v>0.37584545219724702</v>
      </c>
      <c r="O168" s="1">
        <v>41704</v>
      </c>
      <c r="P168" s="33">
        <v>0</v>
      </c>
    </row>
    <row r="169" spans="2:16">
      <c r="B169" s="18">
        <v>41004</v>
      </c>
      <c r="C169" s="30">
        <v>0.86928745494692716</v>
      </c>
      <c r="D169" s="30">
        <f>VLOOKUP(CurrentMtgRatesDataTable825[[#This Row],[asOfDate]],H:I,2,0)</f>
        <v>0.75253147533014197</v>
      </c>
      <c r="E169" s="30">
        <f>VLOOKUP(CurrentMtgRatesDataTable825[[#This Row],[asOfDate]],O:P,2,0)</f>
        <v>0</v>
      </c>
      <c r="F169" s="34">
        <f ca="1">VLOOKUP(CurrentMtgRatesDataTable825[[#This Row],[asOfDate]]+1,Bloomberg!B:C,2,0)</f>
        <v>3549.3</v>
      </c>
      <c r="H169" s="1">
        <v>41711</v>
      </c>
      <c r="I169" s="33">
        <v>0.34537825411835699</v>
      </c>
      <c r="O169" s="1">
        <v>41711</v>
      </c>
      <c r="P169" s="33">
        <v>0</v>
      </c>
    </row>
    <row r="170" spans="2:16">
      <c r="B170" s="18">
        <v>40997</v>
      </c>
      <c r="C170" s="30">
        <v>0.87490910290764468</v>
      </c>
      <c r="D170" s="30">
        <f>VLOOKUP(CurrentMtgRatesDataTable825[[#This Row],[asOfDate]],H:I,2,0)</f>
        <v>0.749723434167341</v>
      </c>
      <c r="E170" s="30">
        <f>VLOOKUP(CurrentMtgRatesDataTable825[[#This Row],[asOfDate]],O:P,2,0)</f>
        <v>0</v>
      </c>
      <c r="F170" s="34">
        <f ca="1">VLOOKUP(CurrentMtgRatesDataTable825[[#This Row],[asOfDate]]+1,Bloomberg!B:C,2,0)</f>
        <v>3699.5</v>
      </c>
      <c r="H170" s="1">
        <v>41718</v>
      </c>
      <c r="I170" s="33">
        <v>0.37475184713589199</v>
      </c>
      <c r="O170" s="1">
        <v>41718</v>
      </c>
      <c r="P170" s="33">
        <v>0</v>
      </c>
    </row>
    <row r="171" spans="2:16">
      <c r="B171" s="18">
        <v>40990</v>
      </c>
      <c r="C171" s="30">
        <v>0.78959380464288376</v>
      </c>
      <c r="D171" s="30">
        <f>VLOOKUP(CurrentMtgRatesDataTable825[[#This Row],[asOfDate]],H:I,2,0)</f>
        <v>0.69937061468571404</v>
      </c>
      <c r="E171" s="30">
        <f>VLOOKUP(CurrentMtgRatesDataTable825[[#This Row],[asOfDate]],O:P,2,0)</f>
        <v>0</v>
      </c>
      <c r="F171" s="34">
        <f ca="1">VLOOKUP(CurrentMtgRatesDataTable825[[#This Row],[asOfDate]]+1,Bloomberg!B:C,2,0)</f>
        <v>3588.4</v>
      </c>
      <c r="H171" s="1">
        <v>41725</v>
      </c>
      <c r="I171" s="33">
        <v>0.34373332978073601</v>
      </c>
      <c r="O171" s="1">
        <v>41725</v>
      </c>
      <c r="P171" s="33">
        <v>0</v>
      </c>
    </row>
    <row r="172" spans="2:16">
      <c r="B172" s="18">
        <v>40983</v>
      </c>
      <c r="C172" s="30">
        <v>0.90514599034862198</v>
      </c>
      <c r="D172" s="30">
        <f>VLOOKUP(CurrentMtgRatesDataTable825[[#This Row],[asOfDate]],H:I,2,0)</f>
        <v>0.77421402081353796</v>
      </c>
      <c r="E172" s="30">
        <f>VLOOKUP(CurrentMtgRatesDataTable825[[#This Row],[asOfDate]],O:P,2,0)</f>
        <v>0</v>
      </c>
      <c r="F172" s="34">
        <f ca="1">VLOOKUP(CurrentMtgRatesDataTable825[[#This Row],[asOfDate]]+1,Bloomberg!B:C,2,0)</f>
        <v>3715.2</v>
      </c>
      <c r="H172" s="1">
        <v>41732</v>
      </c>
      <c r="I172" s="33">
        <v>0.31383635422742501</v>
      </c>
      <c r="O172" s="1">
        <v>41732</v>
      </c>
      <c r="P172" s="33">
        <v>0</v>
      </c>
    </row>
    <row r="173" spans="2:16">
      <c r="B173" s="18">
        <v>40976</v>
      </c>
      <c r="C173" s="30">
        <v>0.91902765125865959</v>
      </c>
      <c r="D173" s="30">
        <f>VLOOKUP(CurrentMtgRatesDataTable825[[#This Row],[asOfDate]],H:I,2,0)</f>
        <v>0.78283886771012201</v>
      </c>
      <c r="E173" s="30">
        <f>VLOOKUP(CurrentMtgRatesDataTable825[[#This Row],[asOfDate]],O:P,2,0)</f>
        <v>7.6028475141971797E-4</v>
      </c>
      <c r="F173" s="34">
        <f ca="1">VLOOKUP(CurrentMtgRatesDataTable825[[#This Row],[asOfDate]]+1,Bloomberg!B:C,2,0)</f>
        <v>4063.4</v>
      </c>
      <c r="H173" s="1">
        <v>41739</v>
      </c>
      <c r="I173" s="33">
        <v>0.34451093908200903</v>
      </c>
      <c r="O173" s="1">
        <v>41739</v>
      </c>
      <c r="P173" s="33">
        <v>3.2608018628066501E-4</v>
      </c>
    </row>
    <row r="174" spans="2:16">
      <c r="B174" s="18">
        <v>40969</v>
      </c>
      <c r="C174" s="30">
        <v>0.91584710240533518</v>
      </c>
      <c r="D174" s="30">
        <f>VLOOKUP(CurrentMtgRatesDataTable825[[#This Row],[asOfDate]],H:I,2,0)</f>
        <v>0.77480777056815697</v>
      </c>
      <c r="E174" s="30">
        <f>VLOOKUP(CurrentMtgRatesDataTable825[[#This Row],[asOfDate]],O:P,2,0)</f>
        <v>0</v>
      </c>
      <c r="F174" s="34">
        <f ca="1">VLOOKUP(CurrentMtgRatesDataTable825[[#This Row],[asOfDate]]+1,Bloomberg!B:C,2,0)</f>
        <v>4277.6000000000004</v>
      </c>
      <c r="H174" s="1">
        <v>41746</v>
      </c>
      <c r="I174" s="33">
        <v>0.37550642358643799</v>
      </c>
      <c r="O174" s="1">
        <v>41746</v>
      </c>
      <c r="P174" s="33">
        <v>1.3569924293908599E-3</v>
      </c>
    </row>
    <row r="175" spans="2:16">
      <c r="B175" s="18">
        <v>40962</v>
      </c>
      <c r="C175" s="30">
        <v>0.90921329115869776</v>
      </c>
      <c r="D175" s="30">
        <f>VLOOKUP(CurrentMtgRatesDataTable825[[#This Row],[asOfDate]],H:I,2,0)</f>
        <v>0.76669716579457303</v>
      </c>
      <c r="E175" s="30">
        <f>VLOOKUP(CurrentMtgRatesDataTable825[[#This Row],[asOfDate]],O:P,2,0)</f>
        <v>0</v>
      </c>
      <c r="F175" s="34">
        <f ca="1">VLOOKUP(CurrentMtgRatesDataTable825[[#This Row],[asOfDate]]+1,Bloomberg!B:C,2,0)</f>
        <v>4379.1000000000004</v>
      </c>
      <c r="H175" s="1">
        <v>41753</v>
      </c>
      <c r="I175" s="33">
        <v>0.37394334466633</v>
      </c>
      <c r="O175" s="1">
        <v>41753</v>
      </c>
      <c r="P175" s="33">
        <v>0</v>
      </c>
    </row>
    <row r="176" spans="2:16">
      <c r="B176" s="18">
        <v>40955</v>
      </c>
      <c r="C176" s="30">
        <v>0.94107838104995334</v>
      </c>
      <c r="D176" s="30">
        <f>VLOOKUP(CurrentMtgRatesDataTable825[[#This Row],[asOfDate]],H:I,2,0)</f>
        <v>0.79842547980239797</v>
      </c>
      <c r="E176" s="30">
        <f>VLOOKUP(CurrentMtgRatesDataTable825[[#This Row],[asOfDate]],O:P,2,0)</f>
        <v>0</v>
      </c>
      <c r="F176" s="34">
        <f ca="1">VLOOKUP(CurrentMtgRatesDataTable825[[#This Row],[asOfDate]]+1,Bloomberg!B:C,2,0)</f>
        <v>4466.8999999999996</v>
      </c>
      <c r="H176" s="1">
        <v>41760</v>
      </c>
      <c r="I176" s="33">
        <v>0.37348002875422498</v>
      </c>
      <c r="O176" s="1">
        <v>41760</v>
      </c>
      <c r="P176" s="33">
        <v>0</v>
      </c>
    </row>
    <row r="177" spans="2:16">
      <c r="B177" s="18">
        <v>40948</v>
      </c>
      <c r="C177" s="30">
        <v>0.94107838104995334</v>
      </c>
      <c r="D177" s="30">
        <f>VLOOKUP(CurrentMtgRatesDataTable825[[#This Row],[asOfDate]],H:I,2,0)</f>
        <v>0.79842547980239797</v>
      </c>
      <c r="E177" s="30">
        <f>VLOOKUP(CurrentMtgRatesDataTable825[[#This Row],[asOfDate]],O:P,2,0)</f>
        <v>0</v>
      </c>
      <c r="F177" s="34">
        <f ca="1">VLOOKUP(CurrentMtgRatesDataTable825[[#This Row],[asOfDate]]+1,Bloomberg!B:C,2,0)</f>
        <v>4716.1000000000004</v>
      </c>
      <c r="H177" s="1">
        <v>41767</v>
      </c>
      <c r="I177" s="33">
        <v>0.42315654967107302</v>
      </c>
      <c r="O177" s="1">
        <v>41767</v>
      </c>
      <c r="P177" s="33">
        <v>1.33698656511534E-2</v>
      </c>
    </row>
    <row r="178" spans="2:16">
      <c r="B178" s="18">
        <v>40941</v>
      </c>
      <c r="C178" s="30">
        <v>0.94107838104995334</v>
      </c>
      <c r="D178" s="30">
        <f>VLOOKUP(CurrentMtgRatesDataTable825[[#This Row],[asOfDate]],H:I,2,0)</f>
        <v>0.79842547980239797</v>
      </c>
      <c r="E178" s="30">
        <f>VLOOKUP(CurrentMtgRatesDataTable825[[#This Row],[asOfDate]],O:P,2,0)</f>
        <v>0</v>
      </c>
      <c r="F178" s="34">
        <f ca="1">VLOOKUP(CurrentMtgRatesDataTable825[[#This Row],[asOfDate]]+1,Bloomberg!B:C,2,0)</f>
        <v>4617.1000000000004</v>
      </c>
      <c r="H178" s="1">
        <v>41774</v>
      </c>
      <c r="I178" s="33">
        <v>0.42349289634896597</v>
      </c>
      <c r="O178" s="1">
        <v>41774</v>
      </c>
      <c r="P178" s="33">
        <v>1.3390108612719401E-2</v>
      </c>
    </row>
    <row r="179" spans="2:16">
      <c r="B179" s="18">
        <v>40934</v>
      </c>
      <c r="C179" s="30">
        <v>0.91861521434498927</v>
      </c>
      <c r="D179" s="30">
        <f>VLOOKUP(CurrentMtgRatesDataTable825[[#This Row],[asOfDate]],H:I,2,0)</f>
        <v>0.78339393568549298</v>
      </c>
      <c r="E179" s="30">
        <f>VLOOKUP(CurrentMtgRatesDataTable825[[#This Row],[asOfDate]],O:P,2,0)</f>
        <v>0</v>
      </c>
      <c r="F179" s="34">
        <f ca="1">VLOOKUP(CurrentMtgRatesDataTable825[[#This Row],[asOfDate]]+1,Bloomberg!B:C,2,0)</f>
        <v>4184.3</v>
      </c>
      <c r="H179" s="1">
        <v>41781</v>
      </c>
      <c r="I179" s="33">
        <v>0.44562837110466802</v>
      </c>
      <c r="O179" s="1">
        <v>41781</v>
      </c>
      <c r="P179" s="33">
        <v>1.7600292816905099E-2</v>
      </c>
    </row>
    <row r="180" spans="2:16">
      <c r="B180" s="18">
        <v>40927</v>
      </c>
      <c r="C180" s="30">
        <v>0.95182771809710431</v>
      </c>
      <c r="D180" s="30">
        <f>VLOOKUP(CurrentMtgRatesDataTable825[[#This Row],[asOfDate]],H:I,2,0)</f>
        <v>0.81461584859780101</v>
      </c>
      <c r="E180" s="30">
        <f>VLOOKUP(CurrentMtgRatesDataTable825[[#This Row],[asOfDate]],O:P,2,0)</f>
        <v>0</v>
      </c>
      <c r="F180" s="34">
        <f ca="1">VLOOKUP(CurrentMtgRatesDataTable825[[#This Row],[asOfDate]]+1,Bloomberg!B:C,2,0)</f>
        <v>4326.3999999999996</v>
      </c>
      <c r="H180" s="1">
        <v>41788</v>
      </c>
      <c r="I180" s="33">
        <v>0.44740081291084099</v>
      </c>
      <c r="O180" s="1">
        <v>41788</v>
      </c>
      <c r="P180" s="33">
        <v>2.8641136811507002E-2</v>
      </c>
    </row>
    <row r="181" spans="2:16">
      <c r="B181" s="18">
        <v>40920</v>
      </c>
      <c r="C181" s="30">
        <v>0.95320351892281485</v>
      </c>
      <c r="D181" s="30">
        <f>VLOOKUP(CurrentMtgRatesDataTable825[[#This Row],[asOfDate]],H:I,2,0)</f>
        <v>0.81626218699844599</v>
      </c>
      <c r="E181" s="30">
        <f>VLOOKUP(CurrentMtgRatesDataTable825[[#This Row],[asOfDate]],O:P,2,0)</f>
        <v>0.81663205917875104</v>
      </c>
      <c r="F181" s="34">
        <f ca="1">VLOOKUP(CurrentMtgRatesDataTable825[[#This Row],[asOfDate]]+1,Bloomberg!B:C,2,0)</f>
        <v>4626.5</v>
      </c>
      <c r="H181" s="1">
        <v>41795</v>
      </c>
      <c r="I181" s="33">
        <v>0.447997908024105</v>
      </c>
      <c r="O181" s="1">
        <v>41795</v>
      </c>
      <c r="P181" s="33">
        <v>3.2896088379140397E-2</v>
      </c>
    </row>
    <row r="182" spans="2:16">
      <c r="B182" s="18">
        <v>40913</v>
      </c>
      <c r="C182" s="30">
        <v>0.94481773750585774</v>
      </c>
      <c r="D182" s="30">
        <f>VLOOKUP(CurrentMtgRatesDataTable825[[#This Row],[asOfDate]],H:I,2,0)</f>
        <v>0.80629912189469399</v>
      </c>
      <c r="E182" s="30">
        <f>VLOOKUP(CurrentMtgRatesDataTable825[[#This Row],[asOfDate]],O:P,2,0)</f>
        <v>0</v>
      </c>
      <c r="F182" s="34">
        <f ca="1">VLOOKUP(CurrentMtgRatesDataTable825[[#This Row],[asOfDate]]+1,Bloomberg!B:C,2,0)</f>
        <v>3668.3</v>
      </c>
      <c r="H182" s="1">
        <v>41802</v>
      </c>
      <c r="I182" s="33">
        <v>0.42258598579352902</v>
      </c>
      <c r="O182" s="1">
        <v>41802</v>
      </c>
      <c r="P182" s="33">
        <v>0</v>
      </c>
    </row>
    <row r="183" spans="2:16">
      <c r="B183" s="18">
        <v>40906</v>
      </c>
      <c r="C183" s="30">
        <v>0.94762260030460288</v>
      </c>
      <c r="D183" s="30">
        <f>VLOOKUP(CurrentMtgRatesDataTable825[[#This Row],[asOfDate]],H:I,2,0)</f>
        <v>0.81734633197465201</v>
      </c>
      <c r="E183" s="30">
        <f>VLOOKUP(CurrentMtgRatesDataTable825[[#This Row],[asOfDate]],O:P,2,0)</f>
        <v>0</v>
      </c>
      <c r="F183" s="34">
        <f ca="1">VLOOKUP(CurrentMtgRatesDataTable825[[#This Row],[asOfDate]]+1,Bloomberg!B:C,2,0)</f>
        <v>3608.1</v>
      </c>
      <c r="H183" s="1">
        <v>41809</v>
      </c>
      <c r="I183" s="33">
        <v>0.42434402519227898</v>
      </c>
      <c r="O183" s="1">
        <v>41809</v>
      </c>
      <c r="P183" s="33">
        <v>0</v>
      </c>
    </row>
    <row r="184" spans="2:16">
      <c r="B184" s="18">
        <v>40899</v>
      </c>
      <c r="C184" s="30">
        <v>0.9601958662364245</v>
      </c>
      <c r="D184" s="30">
        <f>VLOOKUP(CurrentMtgRatesDataTable825[[#This Row],[asOfDate]],H:I,2,0)</f>
        <v>0.82537040355923197</v>
      </c>
      <c r="E184" s="30">
        <f>VLOOKUP(CurrentMtgRatesDataTable825[[#This Row],[asOfDate]],O:P,2,0)</f>
        <v>0.82559057548597004</v>
      </c>
      <c r="F184" s="34">
        <f ca="1">VLOOKUP(CurrentMtgRatesDataTable825[[#This Row],[asOfDate]]+1,Bloomberg!B:C,2,0)</f>
        <v>3684.5</v>
      </c>
      <c r="H184" s="1">
        <v>41816</v>
      </c>
      <c r="I184" s="33">
        <v>0.447997908024105</v>
      </c>
      <c r="O184" s="1">
        <v>41816</v>
      </c>
      <c r="P184" s="33">
        <v>0</v>
      </c>
    </row>
    <row r="185" spans="2:16">
      <c r="B185" s="18">
        <v>40892</v>
      </c>
      <c r="C185" s="30">
        <v>0.93969161247928745</v>
      </c>
      <c r="D185" s="30">
        <f>VLOOKUP(CurrentMtgRatesDataTable825[[#This Row],[asOfDate]],H:I,2,0)</f>
        <v>0.79646175435893696</v>
      </c>
      <c r="E185" s="30">
        <f>VLOOKUP(CurrentMtgRatesDataTable825[[#This Row],[asOfDate]],O:P,2,0)</f>
        <v>0.79669049657242397</v>
      </c>
      <c r="F185" s="34">
        <f ca="1">VLOOKUP(CurrentMtgRatesDataTable825[[#This Row],[asOfDate]]+1,Bloomberg!B:C,2,0)</f>
        <v>3676.1</v>
      </c>
      <c r="H185" s="1">
        <v>41823</v>
      </c>
      <c r="I185" s="33">
        <v>0.47241973099249801</v>
      </c>
      <c r="O185" s="1">
        <v>41823</v>
      </c>
      <c r="P185" s="33">
        <v>4.9242422986382497E-2</v>
      </c>
    </row>
    <row r="186" spans="2:16">
      <c r="B186" s="18">
        <v>40885</v>
      </c>
      <c r="C186" s="30">
        <v>0.9248746068169833</v>
      </c>
      <c r="D186" s="30">
        <f>VLOOKUP(CurrentMtgRatesDataTable825[[#This Row],[asOfDate]],H:I,2,0)</f>
        <v>0.79445840936885304</v>
      </c>
      <c r="E186" s="30">
        <f>VLOOKUP(CurrentMtgRatesDataTable825[[#This Row],[asOfDate]],O:P,2,0)</f>
        <v>6.7786594921879302E-4</v>
      </c>
      <c r="F186" s="34">
        <f ca="1">VLOOKUP(CurrentMtgRatesDataTable825[[#This Row],[asOfDate]]+1,Bloomberg!B:C,2,0)</f>
        <v>3708.6</v>
      </c>
      <c r="H186" s="1">
        <v>41830</v>
      </c>
      <c r="I186" s="33">
        <v>0.41926854513922601</v>
      </c>
      <c r="O186" s="1">
        <v>41830</v>
      </c>
      <c r="P186" s="33">
        <v>0</v>
      </c>
    </row>
    <row r="187" spans="2:16">
      <c r="B187" s="18">
        <v>40878</v>
      </c>
      <c r="C187" s="30">
        <v>0.91542628506626045</v>
      </c>
      <c r="D187" s="30">
        <f>VLOOKUP(CurrentMtgRatesDataTable825[[#This Row],[asOfDate]],H:I,2,0)</f>
        <v>0.79441104681633201</v>
      </c>
      <c r="E187" s="30">
        <f>VLOOKUP(CurrentMtgRatesDataTable825[[#This Row],[asOfDate]],O:P,2,0)</f>
        <v>0</v>
      </c>
      <c r="F187" s="34">
        <f ca="1">VLOOKUP(CurrentMtgRatesDataTable825[[#This Row],[asOfDate]]+1,Bloomberg!B:C,2,0)</f>
        <v>3394.7</v>
      </c>
      <c r="H187" s="1">
        <v>41837</v>
      </c>
      <c r="I187" s="33">
        <v>0.44241787954298001</v>
      </c>
      <c r="O187" s="1">
        <v>41837</v>
      </c>
      <c r="P187" s="33">
        <v>0</v>
      </c>
    </row>
    <row r="188" spans="2:16">
      <c r="B188" s="18">
        <v>40870</v>
      </c>
      <c r="C188" s="30">
        <v>0.94997170807452469</v>
      </c>
      <c r="D188" s="30">
        <f>VLOOKUP(CurrentMtgRatesDataTable825[[#This Row],[asOfDate]],H:I,2,0)</f>
        <v>0.80850149462655696</v>
      </c>
      <c r="E188" s="30">
        <f>VLOOKUP(CurrentMtgRatesDataTable825[[#This Row],[asOfDate]],O:P,2,0)</f>
        <v>8.8101230968728496E-4</v>
      </c>
      <c r="F188" s="34" t="e">
        <f ca="1">VLOOKUP(CurrentMtgRatesDataTable825[[#This Row],[asOfDate]]+1,Bloomberg!B:C,2,0)</f>
        <v>#N/A</v>
      </c>
      <c r="H188" s="1">
        <v>41844</v>
      </c>
      <c r="I188" s="33">
        <v>0.44241787954298001</v>
      </c>
      <c r="O188" s="1">
        <v>41844</v>
      </c>
      <c r="P188" s="33">
        <v>0</v>
      </c>
    </row>
    <row r="189" spans="2:16">
      <c r="B189" s="18">
        <v>40864</v>
      </c>
      <c r="C189" s="30">
        <v>0.93485323798856346</v>
      </c>
      <c r="D189" s="30">
        <f>VLOOKUP(CurrentMtgRatesDataTable825[[#This Row],[asOfDate]],H:I,2,0)</f>
        <v>0.80719780316763601</v>
      </c>
      <c r="E189" s="30">
        <f>VLOOKUP(CurrentMtgRatesDataTable825[[#This Row],[asOfDate]],O:P,2,0)</f>
        <v>0</v>
      </c>
      <c r="F189" s="34">
        <f ca="1">VLOOKUP(CurrentMtgRatesDataTable825[[#This Row],[asOfDate]]+1,Bloomberg!B:C,2,0)</f>
        <v>3466.8</v>
      </c>
      <c r="H189" s="1">
        <v>41851</v>
      </c>
      <c r="I189" s="33">
        <v>0.44366576481104603</v>
      </c>
      <c r="O189" s="1">
        <v>41851</v>
      </c>
      <c r="P189" s="33">
        <v>0</v>
      </c>
    </row>
    <row r="190" spans="2:16">
      <c r="B190" s="18">
        <v>40857</v>
      </c>
      <c r="C190" s="30">
        <v>0.94404770550683115</v>
      </c>
      <c r="D190" s="30">
        <f>VLOOKUP(CurrentMtgRatesDataTable825[[#This Row],[asOfDate]],H:I,2,0)</f>
        <v>0.80724570771905702</v>
      </c>
      <c r="E190" s="30">
        <f>VLOOKUP(CurrentMtgRatesDataTable825[[#This Row],[asOfDate]],O:P,2,0)</f>
        <v>8.7950076846855297E-4</v>
      </c>
      <c r="F190" s="34">
        <f ca="1">VLOOKUP(CurrentMtgRatesDataTable825[[#This Row],[asOfDate]]+1,Bloomberg!B:C,2,0)</f>
        <v>3664.5</v>
      </c>
      <c r="H190" s="1">
        <v>41858</v>
      </c>
      <c r="I190" s="33">
        <v>0.41284557270170602</v>
      </c>
      <c r="O190" s="1">
        <v>41858</v>
      </c>
      <c r="P190" s="33">
        <v>0</v>
      </c>
    </row>
    <row r="191" spans="2:16">
      <c r="B191" s="18">
        <v>40850</v>
      </c>
      <c r="C191" s="30">
        <v>0.93485323798856346</v>
      </c>
      <c r="D191" s="30">
        <f>VLOOKUP(CurrentMtgRatesDataTable825[[#This Row],[asOfDate]],H:I,2,0)</f>
        <v>0.80719780316763601</v>
      </c>
      <c r="E191" s="30">
        <f>VLOOKUP(CurrentMtgRatesDataTable825[[#This Row],[asOfDate]],O:P,2,0)</f>
        <v>0</v>
      </c>
      <c r="F191" s="34">
        <f ca="1">VLOOKUP(CurrentMtgRatesDataTable825[[#This Row],[asOfDate]]+1,Bloomberg!B:C,2,0)</f>
        <v>4137.6000000000004</v>
      </c>
      <c r="H191" s="1">
        <v>41865</v>
      </c>
      <c r="I191" s="33">
        <v>0.437009219217877</v>
      </c>
      <c r="O191" s="1">
        <v>41865</v>
      </c>
      <c r="P191" s="33">
        <v>5.9130346511517896E-4</v>
      </c>
    </row>
    <row r="192" spans="2:16">
      <c r="B192" s="18">
        <v>40843</v>
      </c>
      <c r="C192" s="30">
        <v>0.86512672485653175</v>
      </c>
      <c r="D192" s="30">
        <f>VLOOKUP(CurrentMtgRatesDataTable825[[#This Row],[asOfDate]],H:I,2,0)</f>
        <v>0.77033919514702098</v>
      </c>
      <c r="E192" s="30">
        <f>VLOOKUP(CurrentMtgRatesDataTable825[[#This Row],[asOfDate]],O:P,2,0)</f>
        <v>0</v>
      </c>
      <c r="F192" s="34">
        <f ca="1">VLOOKUP(CurrentMtgRatesDataTable825[[#This Row],[asOfDate]]+1,Bloomberg!B:C,2,0)</f>
        <v>3695</v>
      </c>
      <c r="H192" s="1">
        <v>41872</v>
      </c>
      <c r="I192" s="33">
        <v>0.46725416935729103</v>
      </c>
      <c r="O192" s="1">
        <v>41872</v>
      </c>
      <c r="P192" s="33">
        <v>5.44200843584444E-2</v>
      </c>
    </row>
    <row r="193" spans="2:16">
      <c r="B193" s="18">
        <v>40836</v>
      </c>
      <c r="C193" s="30">
        <v>0.85635864773186432</v>
      </c>
      <c r="D193" s="30">
        <f>VLOOKUP(CurrentMtgRatesDataTable825[[#This Row],[asOfDate]],H:I,2,0)</f>
        <v>0.76889855223368597</v>
      </c>
      <c r="E193" s="30">
        <f>VLOOKUP(CurrentMtgRatesDataTable825[[#This Row],[asOfDate]],O:P,2,0)</f>
        <v>0</v>
      </c>
      <c r="F193" s="34">
        <f ca="1">VLOOKUP(CurrentMtgRatesDataTable825[[#This Row],[asOfDate]]+1,Bloomberg!B:C,2,0)</f>
        <v>3719.3</v>
      </c>
      <c r="H193" s="1">
        <v>41879</v>
      </c>
      <c r="I193" s="33">
        <v>0.46725416935729103</v>
      </c>
      <c r="O193" s="1">
        <v>41879</v>
      </c>
      <c r="P193" s="33">
        <v>0</v>
      </c>
    </row>
    <row r="194" spans="2:16">
      <c r="B194" s="18">
        <v>40829</v>
      </c>
      <c r="C194" s="30">
        <v>0.84917694017596268</v>
      </c>
      <c r="D194" s="30">
        <f>VLOOKUP(CurrentMtgRatesDataTable825[[#This Row],[asOfDate]],H:I,2,0)</f>
        <v>0.75043074974252599</v>
      </c>
      <c r="E194" s="30">
        <f>VLOOKUP(CurrentMtgRatesDataTable825[[#This Row],[asOfDate]],O:P,2,0)</f>
        <v>0</v>
      </c>
      <c r="F194" s="34">
        <f ca="1">VLOOKUP(CurrentMtgRatesDataTable825[[#This Row],[asOfDate]]+1,Bloomberg!B:C,2,0)</f>
        <v>3553.2</v>
      </c>
      <c r="H194" s="1">
        <v>41886</v>
      </c>
      <c r="I194" s="33">
        <v>0.46145357757128402</v>
      </c>
      <c r="O194" s="1">
        <v>41886</v>
      </c>
      <c r="P194" s="33">
        <v>0</v>
      </c>
    </row>
    <row r="195" spans="2:16">
      <c r="B195" s="18">
        <v>40822</v>
      </c>
      <c r="C195" s="30">
        <v>0.96725200604215567</v>
      </c>
      <c r="D195" s="30">
        <f>VLOOKUP(CurrentMtgRatesDataTable825[[#This Row],[asOfDate]],H:I,2,0)</f>
        <v>0.82324225699227804</v>
      </c>
      <c r="E195" s="30">
        <f>VLOOKUP(CurrentMtgRatesDataTable825[[#This Row],[asOfDate]],O:P,2,0)</f>
        <v>0.82194247765297301</v>
      </c>
      <c r="F195" s="34">
        <f ca="1">VLOOKUP(CurrentMtgRatesDataTable825[[#This Row],[asOfDate]]+1,Bloomberg!B:C,2,0)</f>
        <v>4251.1000000000004</v>
      </c>
      <c r="H195" s="1">
        <v>41893</v>
      </c>
      <c r="I195" s="33">
        <v>0.45995272695767497</v>
      </c>
      <c r="O195" s="1">
        <v>41893</v>
      </c>
      <c r="P195" s="33">
        <v>0</v>
      </c>
    </row>
    <row r="196" spans="2:16">
      <c r="B196" s="18">
        <v>40815</v>
      </c>
      <c r="C196" s="30">
        <v>0.94644262124543443</v>
      </c>
      <c r="D196" s="30">
        <f>VLOOKUP(CurrentMtgRatesDataTable825[[#This Row],[asOfDate]],H:I,2,0)</f>
        <v>0.83535228019697605</v>
      </c>
      <c r="E196" s="30">
        <f>VLOOKUP(CurrentMtgRatesDataTable825[[#This Row],[asOfDate]],O:P,2,0)</f>
        <v>0.83561176946303795</v>
      </c>
      <c r="F196" s="34">
        <f ca="1">VLOOKUP(CurrentMtgRatesDataTable825[[#This Row],[asOfDate]]+1,Bloomberg!B:C,2,0)</f>
        <v>4241.8</v>
      </c>
      <c r="H196" s="1">
        <v>41900</v>
      </c>
      <c r="I196" s="33">
        <v>0.403775681059653</v>
      </c>
      <c r="O196" s="1">
        <v>41900</v>
      </c>
      <c r="P196" s="33">
        <v>0</v>
      </c>
    </row>
    <row r="197" spans="2:16">
      <c r="B197" s="18">
        <v>40808</v>
      </c>
      <c r="C197" s="30">
        <v>0.90242289630359074</v>
      </c>
      <c r="D197" s="30">
        <f>VLOOKUP(CurrentMtgRatesDataTable825[[#This Row],[asOfDate]],H:I,2,0)</f>
        <v>0.78804143101353397</v>
      </c>
      <c r="E197" s="30">
        <f>VLOOKUP(CurrentMtgRatesDataTable825[[#This Row],[asOfDate]],O:P,2,0)</f>
        <v>0</v>
      </c>
      <c r="F197" s="34">
        <f ca="1">VLOOKUP(CurrentMtgRatesDataTable825[[#This Row],[asOfDate]]+1,Bloomberg!B:C,2,0)</f>
        <v>4512.1000000000004</v>
      </c>
      <c r="H197" s="1">
        <v>41907</v>
      </c>
      <c r="I197" s="33">
        <v>0.40569534905697002</v>
      </c>
      <c r="O197" s="1">
        <v>41907</v>
      </c>
      <c r="P197" s="33">
        <v>0</v>
      </c>
    </row>
    <row r="198" spans="2:16">
      <c r="B198" s="18">
        <v>40801</v>
      </c>
      <c r="C198" s="30">
        <v>0.90242289630359074</v>
      </c>
      <c r="D198" s="30">
        <f>VLOOKUP(CurrentMtgRatesDataTable825[[#This Row],[asOfDate]],H:I,2,0)</f>
        <v>0.78804143101353397</v>
      </c>
      <c r="E198" s="30">
        <f>VLOOKUP(CurrentMtgRatesDataTable825[[#This Row],[asOfDate]],O:P,2,0)</f>
        <v>0.78833832359916201</v>
      </c>
      <c r="F198" s="34">
        <f ca="1">VLOOKUP(CurrentMtgRatesDataTable825[[#This Row],[asOfDate]]+1,Bloomberg!B:C,2,0)</f>
        <v>4033.8</v>
      </c>
      <c r="H198" s="1">
        <v>41914</v>
      </c>
      <c r="I198" s="33">
        <v>0.419925946793896</v>
      </c>
      <c r="O198" s="1">
        <v>41914</v>
      </c>
      <c r="P198" s="33">
        <v>0</v>
      </c>
    </row>
    <row r="199" spans="2:16">
      <c r="B199" s="18">
        <v>40794</v>
      </c>
      <c r="C199" s="30">
        <v>0.87859103936280614</v>
      </c>
      <c r="D199" s="30">
        <f>VLOOKUP(CurrentMtgRatesDataTable825[[#This Row],[asOfDate]],H:I,2,0)</f>
        <v>0.78586619764471199</v>
      </c>
      <c r="E199" s="30">
        <f>VLOOKUP(CurrentMtgRatesDataTable825[[#This Row],[asOfDate]],O:P,2,0)</f>
        <v>0.786160649616369</v>
      </c>
      <c r="F199" s="34">
        <f ca="1">VLOOKUP(CurrentMtgRatesDataTable825[[#This Row],[asOfDate]]+1,Bloomberg!B:C,2,0)</f>
        <v>3571.7</v>
      </c>
      <c r="H199" s="1">
        <v>41921</v>
      </c>
      <c r="I199" s="33">
        <v>0.45168042618119703</v>
      </c>
      <c r="O199" s="1">
        <v>41921</v>
      </c>
      <c r="P199" s="33">
        <v>1.00775509847578E-3</v>
      </c>
    </row>
    <row r="200" spans="2:16">
      <c r="B200" s="18">
        <v>40787</v>
      </c>
      <c r="C200" s="30">
        <v>0.84129278814437181</v>
      </c>
      <c r="D200" s="30">
        <f>VLOOKUP(CurrentMtgRatesDataTable825[[#This Row],[asOfDate]],H:I,2,0)</f>
        <v>0.72518805605942505</v>
      </c>
      <c r="E200" s="30">
        <f>VLOOKUP(CurrentMtgRatesDataTable825[[#This Row],[asOfDate]],O:P,2,0)</f>
        <v>0</v>
      </c>
      <c r="F200" s="34">
        <f ca="1">VLOOKUP(CurrentMtgRatesDataTable825[[#This Row],[asOfDate]]+1,Bloomberg!B:C,2,0)</f>
        <v>3372</v>
      </c>
      <c r="H200" s="1">
        <v>41928</v>
      </c>
      <c r="I200" s="33">
        <v>0.51982909302980596</v>
      </c>
      <c r="O200" s="1">
        <v>41928</v>
      </c>
      <c r="P200" s="33">
        <v>9.0356790924596503E-2</v>
      </c>
    </row>
    <row r="201" spans="2:16">
      <c r="B201" s="18">
        <v>40780</v>
      </c>
      <c r="C201" s="30">
        <v>0.84714025108084823</v>
      </c>
      <c r="D201" s="30">
        <f>VLOOKUP(CurrentMtgRatesDataTable825[[#This Row],[asOfDate]],H:I,2,0)</f>
        <v>0.73013076231760698</v>
      </c>
      <c r="E201" s="30">
        <f>VLOOKUP(CurrentMtgRatesDataTable825[[#This Row],[asOfDate]],O:P,2,0)</f>
        <v>0</v>
      </c>
      <c r="F201" s="34">
        <f ca="1">VLOOKUP(CurrentMtgRatesDataTable825[[#This Row],[asOfDate]]+1,Bloomberg!B:C,2,0)</f>
        <v>3601.3</v>
      </c>
      <c r="H201" s="1">
        <v>41935</v>
      </c>
      <c r="I201" s="33">
        <v>0.54838604953283498</v>
      </c>
      <c r="O201" s="1">
        <v>41935</v>
      </c>
      <c r="P201" s="33">
        <v>0.103644934949105</v>
      </c>
    </row>
    <row r="202" spans="2:16">
      <c r="B202" s="18">
        <v>40773</v>
      </c>
      <c r="C202" s="30">
        <v>0.86117434904403212</v>
      </c>
      <c r="D202" s="30">
        <f>VLOOKUP(CurrentMtgRatesDataTable825[[#This Row],[asOfDate]],H:I,2,0)</f>
        <v>0.76968967049094095</v>
      </c>
      <c r="E202" s="30">
        <f>VLOOKUP(CurrentMtgRatesDataTable825[[#This Row],[asOfDate]],O:P,2,0)</f>
        <v>0.76977670194978398</v>
      </c>
      <c r="F202" s="34">
        <f ca="1">VLOOKUP(CurrentMtgRatesDataTable825[[#This Row],[asOfDate]]+1,Bloomberg!B:C,2,0)</f>
        <v>4110.8</v>
      </c>
      <c r="H202" s="1">
        <v>41942</v>
      </c>
      <c r="I202" s="33">
        <v>0.519221652370358</v>
      </c>
      <c r="O202" s="1">
        <v>41942</v>
      </c>
      <c r="P202" s="33">
        <v>0</v>
      </c>
    </row>
    <row r="203" spans="2:16">
      <c r="B203" s="18">
        <v>40766</v>
      </c>
      <c r="C203" s="30">
        <v>0.83404184296119399</v>
      </c>
      <c r="D203" s="30">
        <f>VLOOKUP(CurrentMtgRatesDataTable825[[#This Row],[asOfDate]],H:I,2,0)</f>
        <v>0.68796050816059295</v>
      </c>
      <c r="E203" s="30">
        <f>VLOOKUP(CurrentMtgRatesDataTable825[[#This Row],[asOfDate]],O:P,2,0)</f>
        <v>3.6312412114141997E-2</v>
      </c>
      <c r="F203" s="34">
        <f ca="1">VLOOKUP(CurrentMtgRatesDataTable825[[#This Row],[asOfDate]]+1,Bloomberg!B:C,2,0)</f>
        <v>4184.3999999999996</v>
      </c>
      <c r="H203" s="1">
        <v>41949</v>
      </c>
      <c r="I203" s="33">
        <v>0.47679161148246502</v>
      </c>
      <c r="O203" s="1">
        <v>41949</v>
      </c>
      <c r="P203" s="33">
        <v>0</v>
      </c>
    </row>
    <row r="204" spans="2:16">
      <c r="B204" s="18">
        <v>40759</v>
      </c>
      <c r="C204" s="30">
        <v>0.81803711941746404</v>
      </c>
      <c r="D204" s="30">
        <f>VLOOKUP(CurrentMtgRatesDataTable825[[#This Row],[asOfDate]],H:I,2,0)</f>
        <v>0.59636201439054404</v>
      </c>
      <c r="E204" s="30">
        <f>VLOOKUP(CurrentMtgRatesDataTable825[[#This Row],[asOfDate]],O:P,2,0)</f>
        <v>1.93393301571353E-2</v>
      </c>
      <c r="F204" s="34">
        <f ca="1">VLOOKUP(CurrentMtgRatesDataTable825[[#This Row],[asOfDate]]+1,Bloomberg!B:C,2,0)</f>
        <v>3880.9</v>
      </c>
      <c r="H204" s="1">
        <v>41956</v>
      </c>
      <c r="I204" s="33">
        <v>0.47696082053878203</v>
      </c>
      <c r="O204" s="1">
        <v>41956</v>
      </c>
      <c r="P204" s="33">
        <v>1.4902494177175701E-3</v>
      </c>
    </row>
    <row r="205" spans="2:16">
      <c r="B205" s="18">
        <v>40752</v>
      </c>
      <c r="C205" s="30">
        <v>0.61660059317974736</v>
      </c>
      <c r="D205" s="30">
        <f>VLOOKUP(CurrentMtgRatesDataTable825[[#This Row],[asOfDate]],H:I,2,0)</f>
        <v>0.52333294764067595</v>
      </c>
      <c r="E205" s="30">
        <f>VLOOKUP(CurrentMtgRatesDataTable825[[#This Row],[asOfDate]],O:P,2,0)</f>
        <v>0</v>
      </c>
      <c r="F205" s="34">
        <f ca="1">VLOOKUP(CurrentMtgRatesDataTable825[[#This Row],[asOfDate]]+1,Bloomberg!B:C,2,0)</f>
        <v>2974.1</v>
      </c>
      <c r="H205" s="1">
        <v>41963</v>
      </c>
      <c r="I205" s="33">
        <v>0.51126312077979097</v>
      </c>
      <c r="O205" s="1">
        <v>41963</v>
      </c>
      <c r="P205" s="33">
        <v>1.9465534524820899E-3</v>
      </c>
    </row>
    <row r="206" spans="2:16">
      <c r="B206" s="18">
        <v>40745</v>
      </c>
      <c r="C206" s="30">
        <v>0.66675683999516944</v>
      </c>
      <c r="D206" s="30">
        <f>VLOOKUP(CurrentMtgRatesDataTable825[[#This Row],[asOfDate]],H:I,2,0)</f>
        <v>0.53018048409344898</v>
      </c>
      <c r="E206" s="30">
        <f>VLOOKUP(CurrentMtgRatesDataTable825[[#This Row],[asOfDate]],O:P,2,0)</f>
        <v>0</v>
      </c>
      <c r="F206" s="34">
        <f ca="1">VLOOKUP(CurrentMtgRatesDataTable825[[#This Row],[asOfDate]]+1,Bloomberg!B:C,2,0)</f>
        <v>2769.6</v>
      </c>
      <c r="H206" s="1">
        <v>41969</v>
      </c>
      <c r="I206" s="33">
        <v>0.51222876537846296</v>
      </c>
      <c r="O206" s="1">
        <v>41969</v>
      </c>
      <c r="P206" s="33">
        <v>1.9601498700341099E-3</v>
      </c>
    </row>
    <row r="207" spans="2:16">
      <c r="B207" s="18">
        <v>40738</v>
      </c>
      <c r="C207" s="30">
        <v>0.684475421712615</v>
      </c>
      <c r="D207" s="30">
        <f>VLOOKUP(CurrentMtgRatesDataTable825[[#This Row],[asOfDate]],H:I,2,0)</f>
        <v>0.55014388201104203</v>
      </c>
      <c r="E207" s="30">
        <f>VLOOKUP(CurrentMtgRatesDataTable825[[#This Row],[asOfDate]],O:P,2,0)</f>
        <v>6.2583851957797503E-4</v>
      </c>
      <c r="F207" s="34">
        <f ca="1">VLOOKUP(CurrentMtgRatesDataTable825[[#This Row],[asOfDate]]+1,Bloomberg!B:C,2,0)</f>
        <v>2923.8</v>
      </c>
      <c r="H207" s="1">
        <v>41977</v>
      </c>
      <c r="I207" s="33">
        <v>0.53685925114667898</v>
      </c>
      <c r="O207" s="1">
        <v>41977</v>
      </c>
      <c r="P207" s="33">
        <v>0.106230521131833</v>
      </c>
    </row>
    <row r="208" spans="2:16">
      <c r="B208" s="18">
        <v>40731</v>
      </c>
      <c r="C208" s="30">
        <v>0.60410549631050647</v>
      </c>
      <c r="D208" s="30">
        <f>VLOOKUP(CurrentMtgRatesDataTable825[[#This Row],[asOfDate]],H:I,2,0)</f>
        <v>0.49771283747510803</v>
      </c>
      <c r="E208" s="30">
        <f>VLOOKUP(CurrentMtgRatesDataTable825[[#This Row],[asOfDate]],O:P,2,0)</f>
        <v>0</v>
      </c>
      <c r="F208" s="34">
        <f ca="1">VLOOKUP(CurrentMtgRatesDataTable825[[#This Row],[asOfDate]]+1,Bloomberg!B:C,2,0)</f>
        <v>2362.6999999999998</v>
      </c>
      <c r="H208" s="1">
        <v>41984</v>
      </c>
      <c r="I208" s="33">
        <v>0.53353274326337596</v>
      </c>
      <c r="O208" s="1">
        <v>41984</v>
      </c>
      <c r="P208" s="33">
        <v>0</v>
      </c>
    </row>
    <row r="209" spans="2:16">
      <c r="B209" s="18">
        <v>40724</v>
      </c>
      <c r="C209" s="30">
        <v>0.69050447134038251</v>
      </c>
      <c r="D209" s="30">
        <f>VLOOKUP(CurrentMtgRatesDataTable825[[#This Row],[asOfDate]],H:I,2,0)</f>
        <v>0.55445082777023702</v>
      </c>
      <c r="E209" s="30">
        <f>VLOOKUP(CurrentMtgRatesDataTable825[[#This Row],[asOfDate]],O:P,2,0)</f>
        <v>0</v>
      </c>
      <c r="F209" s="34">
        <f ca="1">VLOOKUP(CurrentMtgRatesDataTable825[[#This Row],[asOfDate]]+1,Bloomberg!B:C,2,0)</f>
        <v>2527.5</v>
      </c>
      <c r="H209" s="1">
        <v>41991</v>
      </c>
      <c r="I209" s="33">
        <v>0.57447022909045797</v>
      </c>
      <c r="O209" s="1">
        <v>41991</v>
      </c>
      <c r="P209" s="33">
        <v>0.127103043508559</v>
      </c>
    </row>
    <row r="210" spans="2:16">
      <c r="B210" s="18">
        <v>40717</v>
      </c>
      <c r="C210" s="30">
        <v>0.66311590107349083</v>
      </c>
      <c r="D210" s="30">
        <f>VLOOKUP(CurrentMtgRatesDataTable825[[#This Row],[asOfDate]],H:I,2,0)</f>
        <v>0.53450860338875705</v>
      </c>
      <c r="E210" s="30">
        <f>VLOOKUP(CurrentMtgRatesDataTable825[[#This Row],[asOfDate]],O:P,2,0)</f>
        <v>0</v>
      </c>
      <c r="F210" s="34">
        <f ca="1">VLOOKUP(CurrentMtgRatesDataTable825[[#This Row],[asOfDate]]+1,Bloomberg!B:C,2,0)</f>
        <v>2809.5</v>
      </c>
      <c r="H210" s="1">
        <v>41997</v>
      </c>
      <c r="I210" s="33">
        <v>0.57166642614489205</v>
      </c>
      <c r="O210" s="1">
        <v>41997</v>
      </c>
      <c r="P210" s="33">
        <v>0</v>
      </c>
    </row>
    <row r="211" spans="2:16">
      <c r="B211" s="18">
        <v>40710</v>
      </c>
      <c r="C211" s="30">
        <v>0.72397022872334449</v>
      </c>
      <c r="D211" s="30">
        <f>VLOOKUP(CurrentMtgRatesDataTable825[[#This Row],[asOfDate]],H:I,2,0)</f>
        <v>0.55544034698333999</v>
      </c>
      <c r="E211" s="30">
        <f>VLOOKUP(CurrentMtgRatesDataTable825[[#This Row],[asOfDate]],O:P,2,0)</f>
        <v>0</v>
      </c>
      <c r="F211" s="34">
        <f ca="1">VLOOKUP(CurrentMtgRatesDataTable825[[#This Row],[asOfDate]]+1,Bloomberg!B:C,2,0)</f>
        <v>2857.9</v>
      </c>
      <c r="H211" s="1">
        <v>42004</v>
      </c>
      <c r="I211" s="33">
        <v>0.53680415412734395</v>
      </c>
      <c r="O211" s="1">
        <v>42004</v>
      </c>
      <c r="P211" s="33">
        <v>0</v>
      </c>
    </row>
    <row r="212" spans="2:16">
      <c r="B212" s="18">
        <v>40703</v>
      </c>
      <c r="C212" s="30">
        <v>0.74517189360077984</v>
      </c>
      <c r="D212" s="30">
        <f>VLOOKUP(CurrentMtgRatesDataTable825[[#This Row],[asOfDate]],H:I,2,0)</f>
        <v>0.55556126357331004</v>
      </c>
      <c r="E212" s="30">
        <f>VLOOKUP(CurrentMtgRatesDataTable825[[#This Row],[asOfDate]],O:P,2,0)</f>
        <v>1.05889699277147E-2</v>
      </c>
      <c r="F212" s="34">
        <f ca="1">VLOOKUP(CurrentMtgRatesDataTable825[[#This Row],[asOfDate]]+1,Bloomberg!B:C,2,0)</f>
        <v>3101.7</v>
      </c>
      <c r="H212" s="1">
        <v>42012</v>
      </c>
      <c r="I212" s="33">
        <v>0.59931706558407905</v>
      </c>
      <c r="O212" s="1">
        <v>42012</v>
      </c>
      <c r="P212" s="33">
        <v>0.14268475210645201</v>
      </c>
    </row>
    <row r="213" spans="2:16">
      <c r="B213" s="18">
        <v>40696</v>
      </c>
      <c r="C213" s="30">
        <v>0.66311590107349083</v>
      </c>
      <c r="D213" s="30">
        <f>VLOOKUP(CurrentMtgRatesDataTable825[[#This Row],[asOfDate]],H:I,2,0)</f>
        <v>0.53450860338875705</v>
      </c>
      <c r="E213" s="30">
        <f>VLOOKUP(CurrentMtgRatesDataTable825[[#This Row],[asOfDate]],O:P,2,0)</f>
        <v>7.3340957383171597E-3</v>
      </c>
      <c r="F213" s="34">
        <f ca="1">VLOOKUP(CurrentMtgRatesDataTable825[[#This Row],[asOfDate]]+1,Bloomberg!B:C,2,0)</f>
        <v>2648</v>
      </c>
      <c r="H213" s="1">
        <v>42019</v>
      </c>
      <c r="I213" s="33">
        <v>0.65582330233583797</v>
      </c>
      <c r="O213" s="1">
        <v>42019</v>
      </c>
      <c r="P213" s="33">
        <v>0.177765501913389</v>
      </c>
    </row>
    <row r="214" spans="2:16">
      <c r="B214" s="18">
        <v>40689</v>
      </c>
      <c r="C214" s="30">
        <v>0.61599363608099678</v>
      </c>
      <c r="D214" s="30">
        <f>VLOOKUP(CurrentMtgRatesDataTable825[[#This Row],[asOfDate]],H:I,2,0)</f>
        <v>0.50568534347274297</v>
      </c>
      <c r="E214" s="30">
        <f>VLOOKUP(CurrentMtgRatesDataTable825[[#This Row],[asOfDate]],O:P,2,0)</f>
        <v>4.6547514757033599E-3</v>
      </c>
      <c r="F214" s="34">
        <f ca="1">VLOOKUP(CurrentMtgRatesDataTable825[[#This Row],[asOfDate]]+1,Bloomberg!B:C,2,0)</f>
        <v>2619.6999999999998</v>
      </c>
      <c r="H214" s="1">
        <v>42026</v>
      </c>
      <c r="I214" s="33">
        <v>0.65720471867066899</v>
      </c>
      <c r="O214" s="1">
        <v>42026</v>
      </c>
      <c r="P214" s="33">
        <v>0.17811212012226099</v>
      </c>
    </row>
    <row r="215" spans="2:16">
      <c r="B215" s="18">
        <v>40682</v>
      </c>
      <c r="C215" s="30">
        <v>0.61264076908113763</v>
      </c>
      <c r="D215" s="30">
        <f>VLOOKUP(CurrentMtgRatesDataTable825[[#This Row],[asOfDate]],H:I,2,0)</f>
        <v>0.50447592982476996</v>
      </c>
      <c r="E215" s="30">
        <f>VLOOKUP(CurrentMtgRatesDataTable825[[#This Row],[asOfDate]],O:P,2,0)</f>
        <v>4.6431452038205798E-3</v>
      </c>
      <c r="F215" s="34">
        <f ca="1">VLOOKUP(CurrentMtgRatesDataTable825[[#This Row],[asOfDate]]+1,Bloomberg!B:C,2,0)</f>
        <v>2764.6</v>
      </c>
      <c r="H215" s="1">
        <v>42033</v>
      </c>
      <c r="I215" s="33">
        <v>0.65582330233583797</v>
      </c>
      <c r="O215" s="1">
        <v>42033</v>
      </c>
      <c r="P215" s="33">
        <v>0</v>
      </c>
    </row>
    <row r="216" spans="2:16">
      <c r="B216" s="18">
        <v>40675</v>
      </c>
      <c r="C216" s="30">
        <v>0.60662155942020002</v>
      </c>
      <c r="D216" s="30">
        <f>VLOOKUP(CurrentMtgRatesDataTable825[[#This Row],[asOfDate]],H:I,2,0)</f>
        <v>0.50042582297659</v>
      </c>
      <c r="E216" s="30">
        <f>VLOOKUP(CurrentMtgRatesDataTable825[[#This Row],[asOfDate]],O:P,2,0)</f>
        <v>4.5959167751793003E-3</v>
      </c>
      <c r="F216" s="34">
        <f ca="1">VLOOKUP(CurrentMtgRatesDataTable825[[#This Row],[asOfDate]]+1,Bloomberg!B:C,2,0)</f>
        <v>2742.2</v>
      </c>
      <c r="H216" s="1">
        <v>42040</v>
      </c>
      <c r="I216" s="33">
        <v>0.65455905311871299</v>
      </c>
      <c r="O216" s="1">
        <v>42040</v>
      </c>
      <c r="P216" s="33">
        <v>0.17933240004933601</v>
      </c>
    </row>
    <row r="217" spans="2:16">
      <c r="B217" s="18">
        <v>40668</v>
      </c>
      <c r="C217" s="30">
        <v>0.59391131067456038</v>
      </c>
      <c r="D217" s="30">
        <f>VLOOKUP(CurrentMtgRatesDataTable825[[#This Row],[asOfDate]],H:I,2,0)</f>
        <v>0.45891120103405703</v>
      </c>
      <c r="E217" s="30">
        <f>VLOOKUP(CurrentMtgRatesDataTable825[[#This Row],[asOfDate]],O:P,2,0)</f>
        <v>1.82362980081562E-3</v>
      </c>
      <c r="F217" s="34">
        <f ca="1">VLOOKUP(CurrentMtgRatesDataTable825[[#This Row],[asOfDate]]+1,Bloomberg!B:C,2,0)</f>
        <v>2414.9</v>
      </c>
      <c r="H217" s="1">
        <v>42047</v>
      </c>
      <c r="I217" s="33">
        <v>0.62719075850631201</v>
      </c>
      <c r="O217" s="1">
        <v>42047</v>
      </c>
      <c r="P217" s="33">
        <v>0</v>
      </c>
    </row>
    <row r="218" spans="2:16">
      <c r="B218" s="18">
        <v>40661</v>
      </c>
      <c r="C218" s="30">
        <v>0.59445921362542997</v>
      </c>
      <c r="D218" s="30">
        <f>VLOOKUP(CurrentMtgRatesDataTable825[[#This Row],[asOfDate]],H:I,2,0)</f>
        <v>0.44565511936132601</v>
      </c>
      <c r="E218" s="30">
        <f>VLOOKUP(CurrentMtgRatesDataTable825[[#This Row],[asOfDate]],O:P,2,0)</f>
        <v>3.6290053539469699E-4</v>
      </c>
      <c r="F218" s="34">
        <f ca="1">VLOOKUP(CurrentMtgRatesDataTable825[[#This Row],[asOfDate]]+1,Bloomberg!B:C,2,0)</f>
        <v>2220.1</v>
      </c>
      <c r="H218" s="1">
        <v>42054</v>
      </c>
      <c r="I218" s="33">
        <v>0.59003468905342005</v>
      </c>
      <c r="O218" s="1">
        <v>42054</v>
      </c>
      <c r="P218" s="33">
        <v>0</v>
      </c>
    </row>
    <row r="219" spans="2:16">
      <c r="B219" s="18">
        <v>40654</v>
      </c>
      <c r="C219" s="30">
        <v>0.59356262313394537</v>
      </c>
      <c r="D219" s="30">
        <f>VLOOKUP(CurrentMtgRatesDataTable825[[#This Row],[asOfDate]],H:I,2,0)</f>
        <v>0.44381782258269298</v>
      </c>
      <c r="E219" s="30">
        <f>VLOOKUP(CurrentMtgRatesDataTable825[[#This Row],[asOfDate]],O:P,2,0)</f>
        <v>3.6012387911354998E-4</v>
      </c>
      <c r="F219" s="34">
        <f ca="1">VLOOKUP(CurrentMtgRatesDataTable825[[#This Row],[asOfDate]]+1,Bloomberg!B:C,2,0)</f>
        <v>2091.4</v>
      </c>
      <c r="H219" s="1">
        <v>42061</v>
      </c>
      <c r="I219" s="33">
        <v>0.56144623129586702</v>
      </c>
      <c r="O219" s="1">
        <v>42061</v>
      </c>
      <c r="P219" s="33">
        <v>0</v>
      </c>
    </row>
    <row r="220" spans="2:16">
      <c r="B220" s="18">
        <v>40647</v>
      </c>
      <c r="C220" s="30">
        <v>0.58155199492979581</v>
      </c>
      <c r="D220" s="30">
        <f>VLOOKUP(CurrentMtgRatesDataTable825[[#This Row],[asOfDate]],H:I,2,0)</f>
        <v>0.41340612440810998</v>
      </c>
      <c r="E220" s="30">
        <f>VLOOKUP(CurrentMtgRatesDataTable825[[#This Row],[asOfDate]],O:P,2,0)</f>
        <v>0</v>
      </c>
      <c r="F220" s="34">
        <f ca="1">VLOOKUP(CurrentMtgRatesDataTable825[[#This Row],[asOfDate]]+1,Bloomberg!B:C,2,0)</f>
        <v>2065.3000000000002</v>
      </c>
      <c r="H220" s="1">
        <v>42068</v>
      </c>
      <c r="I220" s="33">
        <v>0.58384753948448997</v>
      </c>
      <c r="O220" s="1">
        <v>42068</v>
      </c>
      <c r="P220" s="33">
        <v>0</v>
      </c>
    </row>
    <row r="221" spans="2:16">
      <c r="B221" s="18">
        <v>40640</v>
      </c>
      <c r="C221" s="30">
        <v>0.58542144661011908</v>
      </c>
      <c r="D221" s="30">
        <f>VLOOKUP(CurrentMtgRatesDataTable825[[#This Row],[asOfDate]],H:I,2,0)</f>
        <v>0.414778538159287</v>
      </c>
      <c r="E221" s="30">
        <f>VLOOKUP(CurrentMtgRatesDataTable825[[#This Row],[asOfDate]],O:P,2,0)</f>
        <v>0</v>
      </c>
      <c r="F221" s="34">
        <f ca="1">VLOOKUP(CurrentMtgRatesDataTable825[[#This Row],[asOfDate]]+1,Bloomberg!B:C,2,0)</f>
        <v>2010.6</v>
      </c>
      <c r="H221" s="1">
        <v>42075</v>
      </c>
      <c r="I221" s="33">
        <v>0.51703371456013503</v>
      </c>
      <c r="O221" s="1">
        <v>42075</v>
      </c>
      <c r="P221" s="33">
        <v>0</v>
      </c>
    </row>
    <row r="222" spans="2:16">
      <c r="B222" s="18">
        <v>40633</v>
      </c>
      <c r="C222" s="30">
        <v>0.593225708201635</v>
      </c>
      <c r="D222" s="30">
        <f>VLOOKUP(CurrentMtgRatesDataTable825[[#This Row],[asOfDate]],H:I,2,0)</f>
        <v>0.42282958858632702</v>
      </c>
      <c r="E222" s="30">
        <f>VLOOKUP(CurrentMtgRatesDataTable825[[#This Row],[asOfDate]],O:P,2,0)</f>
        <v>0</v>
      </c>
      <c r="F222" s="34">
        <f ca="1">VLOOKUP(CurrentMtgRatesDataTable825[[#This Row],[asOfDate]]+1,Bloomberg!B:C,2,0)</f>
        <v>2194.4</v>
      </c>
      <c r="H222" s="1">
        <v>42082</v>
      </c>
      <c r="I222" s="33">
        <v>0.58146564562660097</v>
      </c>
      <c r="O222" s="1">
        <v>42082</v>
      </c>
      <c r="P222" s="33">
        <v>0</v>
      </c>
    </row>
    <row r="223" spans="2:16">
      <c r="B223" s="18">
        <v>40626</v>
      </c>
      <c r="C223" s="30">
        <v>0.59950595681897523</v>
      </c>
      <c r="D223" s="30">
        <f>VLOOKUP(CurrentMtgRatesDataTable825[[#This Row],[asOfDate]],H:I,2,0)</f>
        <v>0.450158099668103</v>
      </c>
      <c r="E223" s="30">
        <f>VLOOKUP(CurrentMtgRatesDataTable825[[#This Row],[asOfDate]],O:P,2,0)</f>
        <v>0</v>
      </c>
      <c r="F223" s="34">
        <f ca="1">VLOOKUP(CurrentMtgRatesDataTable825[[#This Row],[asOfDate]]+1,Bloomberg!B:C,2,0)</f>
        <v>2350.6999999999998</v>
      </c>
      <c r="H223" s="1">
        <v>42089</v>
      </c>
      <c r="I223" s="33">
        <v>0.61985540937113104</v>
      </c>
      <c r="O223" s="1">
        <v>42089</v>
      </c>
      <c r="P223" s="33">
        <v>9.60298428502188E-4</v>
      </c>
    </row>
    <row r="224" spans="2:16">
      <c r="B224" s="18">
        <v>40619</v>
      </c>
      <c r="C224" s="30">
        <v>0.60261779474869925</v>
      </c>
      <c r="D224" s="30">
        <f>VLOOKUP(CurrentMtgRatesDataTable825[[#This Row],[asOfDate]],H:I,2,0)</f>
        <v>0.46784663358763601</v>
      </c>
      <c r="E224" s="30">
        <f>VLOOKUP(CurrentMtgRatesDataTable825[[#This Row],[asOfDate]],O:P,2,0)</f>
        <v>4.9225242343752603E-4</v>
      </c>
      <c r="F224" s="34">
        <f ca="1">VLOOKUP(CurrentMtgRatesDataTable825[[#This Row],[asOfDate]]+1,Bloomberg!B:C,2,0)</f>
        <v>2620.8000000000002</v>
      </c>
      <c r="H224" s="1">
        <v>42096</v>
      </c>
      <c r="I224" s="33">
        <v>0.60618674833379105</v>
      </c>
      <c r="O224" s="1">
        <v>42096</v>
      </c>
      <c r="P224" s="33">
        <v>0</v>
      </c>
    </row>
    <row r="225" spans="2:16">
      <c r="B225" s="18">
        <v>40612</v>
      </c>
      <c r="C225" s="30">
        <v>0.59090570789662444</v>
      </c>
      <c r="D225" s="30">
        <f>VLOOKUP(CurrentMtgRatesDataTable825[[#This Row],[asOfDate]],H:I,2,0)</f>
        <v>0.42124985629360401</v>
      </c>
      <c r="E225" s="30">
        <f>VLOOKUP(CurrentMtgRatesDataTable825[[#This Row],[asOfDate]],O:P,2,0)</f>
        <v>0</v>
      </c>
      <c r="F225" s="34">
        <f ca="1">VLOOKUP(CurrentMtgRatesDataTable825[[#This Row],[asOfDate]]+1,Bloomberg!B:C,2,0)</f>
        <v>2563.6</v>
      </c>
      <c r="H225" s="1">
        <v>42103</v>
      </c>
      <c r="I225" s="33">
        <v>0.63179874985391804</v>
      </c>
      <c r="O225" s="1">
        <v>42103</v>
      </c>
      <c r="P225" s="33">
        <v>3.87908393633439E-3</v>
      </c>
    </row>
    <row r="226" spans="2:16">
      <c r="B226" s="18">
        <v>40605</v>
      </c>
      <c r="C226" s="30">
        <v>0.59224775585706535</v>
      </c>
      <c r="D226" s="30">
        <f>VLOOKUP(CurrentMtgRatesDataTable825[[#This Row],[asOfDate]],H:I,2,0)</f>
        <v>0.42215163100202302</v>
      </c>
      <c r="E226" s="30">
        <f>VLOOKUP(CurrentMtgRatesDataTable825[[#This Row],[asOfDate]],O:P,2,0)</f>
        <v>0</v>
      </c>
      <c r="F226" s="34">
        <f ca="1">VLOOKUP(CurrentMtgRatesDataTable825[[#This Row],[asOfDate]]+1,Bloomberg!B:C,2,0)</f>
        <v>2539.4</v>
      </c>
      <c r="H226" s="1">
        <v>42110</v>
      </c>
      <c r="I226" s="33">
        <v>0.60745911385405604</v>
      </c>
      <c r="O226" s="1">
        <v>42110</v>
      </c>
      <c r="P226" s="33">
        <v>0</v>
      </c>
    </row>
    <row r="227" spans="2:16">
      <c r="B227" s="18">
        <v>40598</v>
      </c>
      <c r="C227" s="30">
        <v>0.57709503787578109</v>
      </c>
      <c r="D227" s="30">
        <f>VLOOKUP(CurrentMtgRatesDataTable825[[#This Row],[asOfDate]],H:I,2,0)</f>
        <v>0.41551493659156002</v>
      </c>
      <c r="E227" s="30">
        <f>VLOOKUP(CurrentMtgRatesDataTable825[[#This Row],[asOfDate]],O:P,2,0)</f>
        <v>0</v>
      </c>
      <c r="F227" s="34">
        <f ca="1">VLOOKUP(CurrentMtgRatesDataTable825[[#This Row],[asOfDate]]+1,Bloomberg!B:C,2,0)</f>
        <v>2155.5</v>
      </c>
      <c r="H227" s="1">
        <v>42117</v>
      </c>
      <c r="I227" s="33">
        <v>0.63350921207897204</v>
      </c>
      <c r="O227" s="1">
        <v>42117</v>
      </c>
      <c r="P227" s="33">
        <v>3.9431628666260904E-3</v>
      </c>
    </row>
    <row r="228" spans="2:16">
      <c r="B228" s="18">
        <v>40591</v>
      </c>
      <c r="C228" s="31">
        <v>0.52965901814335548</v>
      </c>
      <c r="D228" s="31">
        <f>VLOOKUP(CurrentMtgRatesDataTable825[[#This Row],[asOfDate]],H:I,2,0)</f>
        <v>0.37678804128174298</v>
      </c>
      <c r="E228" s="31">
        <f>VLOOKUP(CurrentMtgRatesDataTable825[[#This Row],[asOfDate]],O:P,2,0)</f>
        <v>0</v>
      </c>
      <c r="F228" s="35">
        <f ca="1">VLOOKUP(CurrentMtgRatesDataTable825[[#This Row],[asOfDate]]+1,Bloomberg!B:C,2,0)</f>
        <v>2325.3000000000002</v>
      </c>
      <c r="H228" s="1">
        <v>42124</v>
      </c>
      <c r="I228" s="33">
        <v>0.608876308109219</v>
      </c>
      <c r="O228" s="1">
        <v>42124</v>
      </c>
      <c r="P228" s="33">
        <v>0</v>
      </c>
    </row>
    <row r="229" spans="2:16">
      <c r="B229" s="18">
        <v>40584</v>
      </c>
      <c r="C229" s="31">
        <v>0.50868797673712363</v>
      </c>
      <c r="D229" s="31">
        <f>VLOOKUP(CurrentMtgRatesDataTable825[[#This Row],[asOfDate]],H:I,2,0)</f>
        <v>0.35529176669040102</v>
      </c>
      <c r="E229" s="31">
        <f>VLOOKUP(CurrentMtgRatesDataTable825[[#This Row],[asOfDate]],O:P,2,0)</f>
        <v>0</v>
      </c>
      <c r="F229" s="35">
        <f ca="1">VLOOKUP(CurrentMtgRatesDataTable825[[#This Row],[asOfDate]]+1,Bloomberg!B:C,2,0)</f>
        <v>1953.2</v>
      </c>
      <c r="H229" s="1">
        <v>42131</v>
      </c>
      <c r="I229" s="33">
        <v>0.53238458781035902</v>
      </c>
      <c r="O229" s="1">
        <v>42131</v>
      </c>
      <c r="P229" s="33">
        <v>0</v>
      </c>
    </row>
    <row r="230" spans="2:16">
      <c r="B230" s="18">
        <v>40577</v>
      </c>
      <c r="C230" s="31">
        <v>0.60653142223595213</v>
      </c>
      <c r="D230" s="31">
        <f>VLOOKUP(CurrentMtgRatesDataTable825[[#This Row],[asOfDate]],H:I,2,0)</f>
        <v>0.43462013043084002</v>
      </c>
      <c r="E230" s="31">
        <f>VLOOKUP(CurrentMtgRatesDataTable825[[#This Row],[asOfDate]],O:P,2,0)</f>
        <v>0</v>
      </c>
      <c r="F230" s="35">
        <f ca="1">VLOOKUP(CurrentMtgRatesDataTable825[[#This Row],[asOfDate]]+1,Bloomberg!B:C,2,0)</f>
        <v>2190.4</v>
      </c>
      <c r="H230" s="1">
        <v>42138</v>
      </c>
      <c r="I230" s="33">
        <v>0.52626041924754496</v>
      </c>
      <c r="O230" s="1">
        <v>42138</v>
      </c>
      <c r="P230" s="33">
        <v>0</v>
      </c>
    </row>
    <row r="231" spans="2:16">
      <c r="B231" s="18">
        <v>40570</v>
      </c>
      <c r="C231" s="31">
        <v>0.62392159162868732</v>
      </c>
      <c r="D231" s="31">
        <f>VLOOKUP(CurrentMtgRatesDataTable825[[#This Row],[asOfDate]],H:I,2,0)</f>
        <v>0.47679593730615699</v>
      </c>
      <c r="E231" s="31">
        <f>VLOOKUP(CurrentMtgRatesDataTable825[[#This Row],[asOfDate]],O:P,2,0)</f>
        <v>0</v>
      </c>
      <c r="F231" s="35">
        <f ca="1">VLOOKUP(CurrentMtgRatesDataTable825[[#This Row],[asOfDate]]+1,Bloomberg!B:C,2,0)</f>
        <v>2371.1</v>
      </c>
      <c r="H231" s="1">
        <v>42145</v>
      </c>
      <c r="I231" s="33">
        <v>0.49530657385961702</v>
      </c>
      <c r="O231" s="1">
        <v>42145</v>
      </c>
      <c r="P231" s="33">
        <v>0</v>
      </c>
    </row>
    <row r="232" spans="2:16">
      <c r="B232" s="18">
        <v>40563</v>
      </c>
      <c r="C232" s="31">
        <v>0.62597730951219899</v>
      </c>
      <c r="D232" s="31">
        <f>VLOOKUP(CurrentMtgRatesDataTable825[[#This Row],[asOfDate]],H:I,2,0)</f>
        <v>0.48029569588235599</v>
      </c>
      <c r="E232" s="31">
        <f>VLOOKUP(CurrentMtgRatesDataTable825[[#This Row],[asOfDate]],O:P,2,0)</f>
        <v>0</v>
      </c>
      <c r="F232" s="35">
        <f ca="1">VLOOKUP(CurrentMtgRatesDataTable825[[#This Row],[asOfDate]]+1,Bloomberg!B:C,2,0)</f>
        <v>2129.6999999999998</v>
      </c>
      <c r="H232" s="28">
        <v>42152</v>
      </c>
      <c r="I232" s="32">
        <v>0.49518214427458052</v>
      </c>
      <c r="O232" s="28">
        <v>42152</v>
      </c>
      <c r="P232" s="32">
        <v>0</v>
      </c>
    </row>
    <row r="233" spans="2:16">
      <c r="B233" s="18">
        <v>40556</v>
      </c>
      <c r="C233" s="31">
        <v>0.62817294477626939</v>
      </c>
      <c r="D233" s="31">
        <f>VLOOKUP(CurrentMtgRatesDataTable825[[#This Row],[asOfDate]],H:I,2,0)</f>
        <v>0.49650185657562101</v>
      </c>
      <c r="E233" s="31">
        <f>VLOOKUP(CurrentMtgRatesDataTable825[[#This Row],[asOfDate]],O:P,2,0)</f>
        <v>5.80030998251819E-5</v>
      </c>
      <c r="F233" s="35">
        <f ca="1">VLOOKUP(CurrentMtgRatesDataTable825[[#This Row],[asOfDate]]+1,Bloomberg!B:C,2,0)</f>
        <v>2528.6999999999998</v>
      </c>
      <c r="H233" s="28">
        <v>42159</v>
      </c>
      <c r="I233" s="32">
        <v>0.49151040605794738</v>
      </c>
      <c r="O233" s="28">
        <v>42159</v>
      </c>
      <c r="P233" s="32">
        <v>0</v>
      </c>
    </row>
    <row r="234" spans="2:16">
      <c r="B234" s="71">
        <v>40549</v>
      </c>
      <c r="C234" s="72">
        <v>0.62402170072443153</v>
      </c>
      <c r="D234" s="72">
        <f>VLOOKUP(CurrentMtgRatesDataTable825[[#This Row],[asOfDate]],H:I,2,0)</f>
        <v>0.477996028899563</v>
      </c>
      <c r="E234" s="72">
        <f>VLOOKUP(CurrentMtgRatesDataTable825[[#This Row],[asOfDate]],O:P,2,0)</f>
        <v>0</v>
      </c>
      <c r="F234" s="73">
        <f ca="1">VLOOKUP(CurrentMtgRatesDataTable825[[#This Row],[asOfDate]]+1,Bloomberg!B:C,2,0)</f>
        <v>2344.3000000000002</v>
      </c>
      <c r="H234" s="28">
        <v>42166</v>
      </c>
      <c r="I234" s="32">
        <v>0.39779633268543002</v>
      </c>
      <c r="O234" s="28">
        <v>42166</v>
      </c>
      <c r="P234" s="32">
        <v>0</v>
      </c>
    </row>
    <row r="235" spans="2:16">
      <c r="H235" s="28"/>
      <c r="I235" s="32"/>
      <c r="O235" s="28"/>
      <c r="P235" s="32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434"/>
  <sheetViews>
    <sheetView topLeftCell="A382" workbookViewId="0">
      <selection activeCell="E416" sqref="E416"/>
    </sheetView>
  </sheetViews>
  <sheetFormatPr defaultRowHeight="15"/>
  <cols>
    <col min="2" max="2" width="16.28515625" customWidth="1"/>
  </cols>
  <sheetData>
    <row r="1" spans="2:3">
      <c r="C1" t="s">
        <v>29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/>
    </row>
    <row r="412" spans="2:3">
      <c r="B412" s="1"/>
    </row>
    <row r="413" spans="2:3">
      <c r="B413" s="1"/>
    </row>
    <row r="414" spans="2:3">
      <c r="B414" s="1"/>
    </row>
    <row r="415" spans="2:3">
      <c r="B415" s="1"/>
    </row>
    <row r="416" spans="2:3">
      <c r="B416" s="1"/>
    </row>
    <row r="417" spans="2:2">
      <c r="B417" s="1"/>
    </row>
    <row r="418" spans="2:2">
      <c r="B418" s="1"/>
    </row>
    <row r="419" spans="2:2">
      <c r="B419" s="1"/>
    </row>
    <row r="420" spans="2:2">
      <c r="B420" s="1"/>
    </row>
    <row r="421" spans="2:2">
      <c r="B421" s="1"/>
    </row>
    <row r="422" spans="2:2">
      <c r="B422" s="1"/>
    </row>
    <row r="423" spans="2:2">
      <c r="B423" s="1"/>
    </row>
    <row r="424" spans="2:2">
      <c r="B424" s="1"/>
    </row>
    <row r="425" spans="2:2">
      <c r="B425" s="1"/>
    </row>
    <row r="426" spans="2:2">
      <c r="B426" s="1"/>
    </row>
    <row r="427" spans="2:2">
      <c r="B427" s="1"/>
    </row>
    <row r="428" spans="2:2">
      <c r="B428" s="1"/>
    </row>
    <row r="429" spans="2:2">
      <c r="B429" s="1"/>
    </row>
    <row r="430" spans="2:2">
      <c r="B430" s="1"/>
    </row>
    <row r="431" spans="2:2">
      <c r="B431" s="1"/>
    </row>
    <row r="432" spans="2:2">
      <c r="B432" s="1"/>
    </row>
    <row r="433" spans="2:2">
      <c r="B433" s="1"/>
    </row>
    <row r="434" spans="2:2">
      <c r="B43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P18"/>
  <sheetViews>
    <sheetView workbookViewId="0">
      <selection activeCell="K42" sqref="K42"/>
    </sheetView>
  </sheetViews>
  <sheetFormatPr defaultRowHeight="15"/>
  <sheetData>
    <row r="1" spans="2:16">
      <c r="F1" t="s">
        <v>26</v>
      </c>
    </row>
    <row r="2" spans="2:16">
      <c r="B2" s="6" t="s">
        <v>36</v>
      </c>
      <c r="C2" s="6" t="s">
        <v>37</v>
      </c>
      <c r="F2" s="6" t="s">
        <v>38</v>
      </c>
      <c r="G2" s="6" t="s">
        <v>39</v>
      </c>
      <c r="H2" s="6" t="s">
        <v>40</v>
      </c>
      <c r="I2" s="6" t="s">
        <v>41</v>
      </c>
      <c r="J2" s="6" t="s">
        <v>42</v>
      </c>
      <c r="K2" s="6" t="s">
        <v>43</v>
      </c>
      <c r="L2" s="6" t="s">
        <v>44</v>
      </c>
      <c r="M2" s="6" t="s">
        <v>45</v>
      </c>
      <c r="N2" s="6" t="s">
        <v>46</v>
      </c>
      <c r="O2" s="6" t="s">
        <v>47</v>
      </c>
      <c r="P2" s="6" t="s">
        <v>48</v>
      </c>
    </row>
    <row r="3" spans="2:16">
      <c r="B3" s="18">
        <v>42166</v>
      </c>
      <c r="C3" s="35">
        <v>3.94</v>
      </c>
      <c r="F3" s="33">
        <v>0.74492812302243472</v>
      </c>
      <c r="G3" s="33">
        <v>0.64603565087211712</v>
      </c>
      <c r="H3" s="33">
        <v>0.59773420684065992</v>
      </c>
      <c r="I3" s="33">
        <v>0.56001013617974804</v>
      </c>
      <c r="J3" s="33">
        <v>0.51913962145422732</v>
      </c>
      <c r="K3" s="33">
        <v>0.45634727397891434</v>
      </c>
      <c r="L3" s="33">
        <v>0.38236936388652831</v>
      </c>
      <c r="M3" s="33">
        <v>0.33090326656578811</v>
      </c>
      <c r="N3" s="33">
        <v>0.29098744878566229</v>
      </c>
      <c r="O3" s="33">
        <v>0.27208831634225966</v>
      </c>
      <c r="P3" s="33">
        <v>0.20485185088280758</v>
      </c>
    </row>
    <row r="5" spans="2:16">
      <c r="B5" s="1">
        <f>CurrentMtgRatesDataTable82523[AsOfDate]</f>
        <v>42166</v>
      </c>
      <c r="C5">
        <f>CurrentMtgRatesDataTable82523[SeriesNumValue]</f>
        <v>3.94</v>
      </c>
    </row>
    <row r="6" spans="2:16">
      <c r="F6" t="s">
        <v>27</v>
      </c>
    </row>
    <row r="7" spans="2:16">
      <c r="F7" s="6" t="s">
        <v>59</v>
      </c>
      <c r="G7" s="6" t="s">
        <v>60</v>
      </c>
      <c r="H7" s="6" t="s">
        <v>61</v>
      </c>
      <c r="I7" s="6" t="s">
        <v>62</v>
      </c>
      <c r="J7" s="6" t="s">
        <v>63</v>
      </c>
      <c r="K7" s="6" t="s">
        <v>64</v>
      </c>
      <c r="L7" s="6" t="s">
        <v>65</v>
      </c>
      <c r="M7" s="6" t="s">
        <v>66</v>
      </c>
      <c r="N7" s="6" t="s">
        <v>67</v>
      </c>
      <c r="O7" s="6" t="s">
        <v>68</v>
      </c>
      <c r="P7" s="6" t="s">
        <v>69</v>
      </c>
    </row>
    <row r="8" spans="2:16">
      <c r="F8" s="33">
        <v>0.66132281927372705</v>
      </c>
      <c r="G8" s="33">
        <v>0.61742443167358063</v>
      </c>
      <c r="H8" s="33">
        <v>0.55482890552564113</v>
      </c>
      <c r="I8" s="33">
        <v>0.52193552323103543</v>
      </c>
      <c r="J8" s="33">
        <v>0.45915371064370136</v>
      </c>
      <c r="K8" s="33">
        <v>0.39779633268543002</v>
      </c>
      <c r="L8" s="33">
        <v>0.36431880223413576</v>
      </c>
      <c r="M8" s="33">
        <v>0.32134943910537084</v>
      </c>
      <c r="N8" s="33">
        <v>0.29464449046498603</v>
      </c>
      <c r="O8" s="33">
        <v>0.24410272227756832</v>
      </c>
      <c r="P8" s="33">
        <v>0.20106252470542499</v>
      </c>
    </row>
    <row r="10" spans="2:16">
      <c r="F10" t="s">
        <v>85</v>
      </c>
    </row>
    <row r="11" spans="2:16">
      <c r="F11" s="6" t="s">
        <v>59</v>
      </c>
      <c r="G11" s="6" t="s">
        <v>60</v>
      </c>
      <c r="H11" s="6" t="s">
        <v>61</v>
      </c>
      <c r="I11" s="6" t="s">
        <v>62</v>
      </c>
      <c r="J11" s="6" t="s">
        <v>63</v>
      </c>
      <c r="K11" s="6" t="s">
        <v>64</v>
      </c>
      <c r="L11" s="6" t="s">
        <v>65</v>
      </c>
      <c r="M11" s="6" t="s">
        <v>66</v>
      </c>
      <c r="N11" s="6" t="s">
        <v>67</v>
      </c>
      <c r="O11" s="6" t="s">
        <v>68</v>
      </c>
      <c r="P11" s="6" t="s">
        <v>69</v>
      </c>
    </row>
    <row r="12" spans="2:16">
      <c r="F12" s="33">
        <v>0.20405539978490747</v>
      </c>
      <c r="G12" s="33">
        <v>8.8363009906858286E-3</v>
      </c>
      <c r="H12" s="33">
        <v>1.7846726369342121E-3</v>
      </c>
      <c r="I12" s="33">
        <v>2.8983733075451279E-4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</row>
    <row r="15" spans="2:16">
      <c r="E15" s="29"/>
      <c r="F15" s="29" t="s">
        <v>53</v>
      </c>
      <c r="G15" s="29" t="s">
        <v>52</v>
      </c>
      <c r="H15" s="29" t="s">
        <v>51</v>
      </c>
      <c r="I15" s="29" t="s">
        <v>50</v>
      </c>
      <c r="J15" s="29" t="s">
        <v>49</v>
      </c>
      <c r="K15" s="41">
        <f>CurrentRate1</f>
        <v>3.94</v>
      </c>
      <c r="L15" s="29" t="s">
        <v>54</v>
      </c>
      <c r="M15" s="29" t="s">
        <v>55</v>
      </c>
      <c r="N15" s="29" t="s">
        <v>56</v>
      </c>
      <c r="O15" s="29" t="s">
        <v>57</v>
      </c>
      <c r="P15" s="29" t="s">
        <v>58</v>
      </c>
    </row>
    <row r="16" spans="2:16">
      <c r="E16" s="39" t="s">
        <v>28</v>
      </c>
      <c r="F16" s="40">
        <f>CurrentMtgRatesDataTable825234[refinancible1]</f>
        <v>0.74492812302243472</v>
      </c>
      <c r="G16" s="40">
        <f>CurrentMtgRatesDataTable825234[refinancible2]</f>
        <v>0.64603565087211712</v>
      </c>
      <c r="H16" s="40">
        <f>CurrentMtgRatesDataTable825234[refinancible3]</f>
        <v>0.59773420684065992</v>
      </c>
      <c r="I16" s="40">
        <f>CurrentMtgRatesDataTable825234[refinancible4]</f>
        <v>0.56001013617974804</v>
      </c>
      <c r="J16" s="40">
        <f>CurrentMtgRatesDataTable825234[refinancible5]</f>
        <v>0.51913962145422732</v>
      </c>
      <c r="K16" s="40">
        <f>CurrentMtgRatesDataTable825234[refinancible6]</f>
        <v>0.45634727397891434</v>
      </c>
      <c r="L16" s="40">
        <f>CurrentMtgRatesDataTable825234[refinancible7]</f>
        <v>0.38236936388652831</v>
      </c>
      <c r="M16" s="40">
        <f>CurrentMtgRatesDataTable825234[refinancible8]</f>
        <v>0.33090326656578811</v>
      </c>
      <c r="N16" s="40">
        <f>CurrentMtgRatesDataTable825234[refinancible9]</f>
        <v>0.29098744878566229</v>
      </c>
      <c r="O16" s="40">
        <f>CurrentMtgRatesDataTable825234[refinancible10]</f>
        <v>0.27208831634225966</v>
      </c>
      <c r="P16" s="40">
        <f>CurrentMtgRatesDataTable825234[refinancible11]</f>
        <v>0.20485185088280758</v>
      </c>
    </row>
    <row r="17" spans="5:16">
      <c r="E17" s="39" t="s">
        <v>25</v>
      </c>
      <c r="F17" s="40">
        <f>CurrentMtgRatesDataTable8252346[refinanceible1]</f>
        <v>0.66132281927372705</v>
      </c>
      <c r="G17" s="40">
        <f>CurrentMtgRatesDataTable8252346[refinanceible2]</f>
        <v>0.61742443167358063</v>
      </c>
      <c r="H17" s="40">
        <f>CurrentMtgRatesDataTable8252346[refinanceible3]</f>
        <v>0.55482890552564113</v>
      </c>
      <c r="I17" s="40">
        <f>CurrentMtgRatesDataTable8252346[refinanceible4]</f>
        <v>0.52193552323103543</v>
      </c>
      <c r="J17" s="40">
        <f>CurrentMtgRatesDataTable8252346[refinanceible5]</f>
        <v>0.45915371064370136</v>
      </c>
      <c r="K17" s="40">
        <f>CurrentMtgRatesDataTable8252346[refinanceible6]</f>
        <v>0.39779633268543002</v>
      </c>
      <c r="L17" s="40">
        <f>CurrentMtgRatesDataTable8252346[refinanceible7]</f>
        <v>0.36431880223413576</v>
      </c>
      <c r="M17" s="40">
        <f>CurrentMtgRatesDataTable8252346[refinanceible8]</f>
        <v>0.32134943910537084</v>
      </c>
      <c r="N17" s="40">
        <f>CurrentMtgRatesDataTable8252346[refinanceible9]</f>
        <v>0.29464449046498603</v>
      </c>
      <c r="O17" s="40">
        <f>CurrentMtgRatesDataTable8252346[refinanceible10]</f>
        <v>0.24410272227756832</v>
      </c>
      <c r="P17" s="40">
        <f>CurrentMtgRatesDataTable8252346[refinanceible11]</f>
        <v>0.20106252470542499</v>
      </c>
    </row>
    <row r="18" spans="5:16">
      <c r="E18" s="39" t="s">
        <v>84</v>
      </c>
      <c r="F18" s="40">
        <f>CurrentMtgRatesDataTable82523468[refinanceible1]</f>
        <v>0.20405539978490747</v>
      </c>
      <c r="G18" s="40">
        <f>CurrentMtgRatesDataTable82523468[refinanceible2]</f>
        <v>8.8363009906858286E-3</v>
      </c>
      <c r="H18" s="40">
        <f>CurrentMtgRatesDataTable82523468[refinanceible3]</f>
        <v>1.7846726369342121E-3</v>
      </c>
      <c r="I18" s="40">
        <f>CurrentMtgRatesDataTable82523468[refinanceible4]</f>
        <v>2.8983733075451279E-4</v>
      </c>
      <c r="J18" s="40">
        <f>CurrentMtgRatesDataTable82523468[refinanceible5]</f>
        <v>0</v>
      </c>
      <c r="K18" s="40">
        <f>CurrentMtgRatesDataTable82523468[refinanceible6]</f>
        <v>0</v>
      </c>
      <c r="L18" s="40">
        <f>CurrentMtgRatesDataTable82523468[refinanceible7]</f>
        <v>0</v>
      </c>
      <c r="M18" s="40">
        <f>CurrentMtgRatesDataTable82523468[refinanceible8]</f>
        <v>0</v>
      </c>
      <c r="N18" s="40">
        <f>CurrentMtgRatesDataTable82523468[refinanceible9]</f>
        <v>0</v>
      </c>
      <c r="O18" s="40">
        <f>CurrentMtgRatesDataTable82523468[refinanceible10]</f>
        <v>0</v>
      </c>
      <c r="P18" s="40">
        <f>CurrentMtgRatesDataTable82523468[refinanceible11]</f>
        <v>0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Report</vt:lpstr>
      <vt:lpstr>Query</vt:lpstr>
      <vt:lpstr>Bloomberg</vt:lpstr>
      <vt:lpstr>Function Of Rate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LastMonth</vt:lpstr>
      <vt:lpstr>LastThursday</vt:lpstr>
      <vt:lpstr>PDFReportDir</vt:lpstr>
      <vt:lpstr>PDFReportName</vt:lpstr>
      <vt:lpstr>Report!Print_Area</vt:lpstr>
      <vt:lpstr>SaveRatesToDB</vt:lpstr>
      <vt:lpstr>Query!temp</vt:lpstr>
      <vt:lpstr>Query!temp_2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2015-06-15T18:20:54Z</cp:lastPrinted>
  <dcterms:created xsi:type="dcterms:W3CDTF">2006-09-16T00:00:00Z</dcterms:created>
  <dcterms:modified xsi:type="dcterms:W3CDTF">2015-06-15T18:25:57Z</dcterms:modified>
</cp:coreProperties>
</file>