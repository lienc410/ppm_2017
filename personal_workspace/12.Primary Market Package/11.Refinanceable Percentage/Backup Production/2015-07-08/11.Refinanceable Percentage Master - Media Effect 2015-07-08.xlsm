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tables/table3.xml" ContentType="application/vnd.openxmlformats-officedocument.spreadsheetml.table+xml"/>
  <Override PartName="/xl/queryTables/queryTable6.xml" ContentType="application/vnd.openxmlformats-officedocument.spreadsheetml.queryTable+xml"/>
  <Override PartName="/xl/tables/table4.xml" ContentType="application/vnd.openxmlformats-officedocument.spreadsheetml.table+xml"/>
  <Override PartName="/xl/queryTables/queryTable7.xml" ContentType="application/vnd.openxmlformats-officedocument.spreadsheetml.queryTable+xml"/>
  <Override PartName="/xl/tables/table5.xml" ContentType="application/vnd.openxmlformats-officedocument.spreadsheetml.table+xml"/>
  <Override PartName="/xl/queryTables/queryTable8.xml" ContentType="application/vnd.openxmlformats-officedocument.spreadsheetml.queryTable+xml"/>
  <Override PartName="/xl/tables/table6.xml" ContentType="application/vnd.openxmlformats-officedocument.spreadsheetml.table+xml"/>
  <Override PartName="/xl/queryTables/queryTable9.xml" ContentType="application/vnd.openxmlformats-officedocument.spreadsheetml.queryTable+xml"/>
  <Override PartName="/xl/tables/table7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Report" sheetId="16" r:id="rId1"/>
    <sheet name="Query" sheetId="18" r:id="rId2"/>
    <sheet name="Bloomberg" sheetId="19" r:id="rId3"/>
    <sheet name="Function Of Rate" sheetId="27" r:id="rId4"/>
  </sheets>
  <functionGroups builtInGroupCount="17"/>
  <externalReferences>
    <externalReference r:id="rId5"/>
    <externalReference r:id="rId6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Report!$AA$2</definedName>
    <definedName name="CurrentRate">CurrentMtgRatesDataTable82523[SeriesNumValue]</definedName>
    <definedName name="CurrentRate1">'Function Of Rate'!$C$5</definedName>
    <definedName name="CurrentRateDate">CurrentMtgRatesDataTable82523[AsOfDate]</definedName>
    <definedName name="CurrMonth">Report!$AA$9</definedName>
    <definedName name="CuurentRate1">'Function Of Rate'!$C$5</definedName>
    <definedName name="CuurRate">CurrentMtgRatesDataTable82523[SeriesNumValue]</definedName>
    <definedName name="DatabaseEnv">Report!$AA$1</definedName>
    <definedName name="DateToChangeLag">Report!$AA$12</definedName>
    <definedName name="HistoricalMtgRatesDataTable">#REF!</definedName>
    <definedName name="IR">#REF!</definedName>
    <definedName name="LastMonth">Report!$AA$10</definedName>
    <definedName name="LastThursday">Report!$AA$13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Report!$AA$3</definedName>
    <definedName name="PDFReportName">Report!$AA$4</definedName>
    <definedName name="PivotTable10">#REF!</definedName>
    <definedName name="PivotTable11">#REF!</definedName>
    <definedName name="PivotTable12">#REF!</definedName>
    <definedName name="_xlnm.Print_Area" localSheetId="0">Report!$B$1:$U$55</definedName>
    <definedName name="Query_from_Agency_10" localSheetId="1" hidden="1">Query!#REF!</definedName>
    <definedName name="Query_from_Agency_11" localSheetId="3" hidden="1">'Function Of Rate'!$B$2:$C$3</definedName>
    <definedName name="Query_from_Agency_12" localSheetId="3" hidden="1">'Function Of Rate'!$F$2:$P$3</definedName>
    <definedName name="Query_from_Agency_12" localSheetId="1" hidden="1">Query!$R$2:$S$3</definedName>
    <definedName name="Query_from_Agency_13" localSheetId="3" hidden="1">'Function Of Rate'!$F$7:$P$8</definedName>
    <definedName name="Query_from_Agency_14" localSheetId="3" hidden="1">'Function Of Rate'!$F$11:$P$12</definedName>
    <definedName name="Query_from_Agency_15" localSheetId="3" hidden="1">'Function Of Rate'!$F$15:$P$16</definedName>
    <definedName name="Query_from_Agency_6" localSheetId="1" hidden="1">Query!$B$2:$C$237</definedName>
    <definedName name="Query_from_Agency_7" localSheetId="1" hidden="1">Query!#REF!</definedName>
    <definedName name="Query_from_Agency_8" localSheetId="1" hidden="1">Query!#REF!</definedName>
    <definedName name="Query_from_Agency_9" localSheetId="1" hidden="1">Query!#REF!</definedName>
    <definedName name="SaveRatesToDB">Report!$AC$1</definedName>
    <definedName name="temp" localSheetId="3">'Function Of Rate'!$R$36:$AB$37</definedName>
    <definedName name="temp" localSheetId="1">Query!$G$2:$H$232</definedName>
    <definedName name="temp_1" localSheetId="1">Query!#REF!</definedName>
    <definedName name="temp_17">#REF!</definedName>
    <definedName name="temp_2" localSheetId="1">Query!$N$2:$O$232</definedName>
    <definedName name="temp_3" localSheetId="1">Query!$N$2:$O$234</definedName>
    <definedName name="temp_8">#REF!</definedName>
    <definedName name="temp1" localSheetId="1">Query!#REF!</definedName>
    <definedName name="temp1_1" localSheetId="1">Query!#REF!</definedName>
    <definedName name="temp1_2" localSheetId="1">Query!#REF!</definedName>
  </definedNames>
  <calcPr calcId="145621"/>
</workbook>
</file>

<file path=xl/calcChain.xml><?xml version="1.0" encoding="utf-8"?>
<calcChain xmlns="http://schemas.openxmlformats.org/spreadsheetml/2006/main">
  <c r="D3" i="18" l="1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171" i="18"/>
  <c r="D172" i="18"/>
  <c r="D173" i="18"/>
  <c r="D174" i="18"/>
  <c r="D175" i="18"/>
  <c r="D176" i="18"/>
  <c r="D177" i="18"/>
  <c r="D178" i="18"/>
  <c r="D179" i="18"/>
  <c r="D180" i="18"/>
  <c r="D181" i="18"/>
  <c r="D182" i="18"/>
  <c r="D183" i="18"/>
  <c r="D184" i="18"/>
  <c r="D185" i="18"/>
  <c r="D186" i="18"/>
  <c r="D187" i="18"/>
  <c r="D188" i="18"/>
  <c r="D189" i="18"/>
  <c r="D190" i="18"/>
  <c r="D191" i="18"/>
  <c r="D192" i="18"/>
  <c r="D193" i="18"/>
  <c r="D194" i="18"/>
  <c r="D195" i="18"/>
  <c r="D196" i="18"/>
  <c r="D197" i="18"/>
  <c r="D198" i="18"/>
  <c r="D199" i="18"/>
  <c r="D200" i="18"/>
  <c r="D201" i="18"/>
  <c r="D202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D235" i="18"/>
  <c r="D236" i="18"/>
  <c r="D237" i="18"/>
  <c r="AA9" i="16" l="1"/>
  <c r="AA4" i="16" l="1"/>
  <c r="S52" i="16" l="1"/>
  <c r="S51" i="16"/>
  <c r="G22" i="27"/>
  <c r="S43" i="16" s="1"/>
  <c r="H22" i="27"/>
  <c r="S44" i="16" s="1"/>
  <c r="I22" i="27"/>
  <c r="J22" i="27"/>
  <c r="K22" i="27"/>
  <c r="S45" i="16" s="1"/>
  <c r="L22" i="27"/>
  <c r="S46" i="16" s="1"/>
  <c r="M22" i="27"/>
  <c r="S47" i="16" s="1"/>
  <c r="N22" i="27"/>
  <c r="S48" i="16" s="1"/>
  <c r="O22" i="27"/>
  <c r="S49" i="16" s="1"/>
  <c r="P22" i="27"/>
  <c r="S50" i="16" s="1"/>
  <c r="F22" i="27"/>
  <c r="S42" i="16" s="1"/>
  <c r="H45" i="16" l="1"/>
  <c r="G45" i="16"/>
  <c r="H48" i="16"/>
  <c r="G48" i="16"/>
  <c r="H44" i="16"/>
  <c r="G44" i="16"/>
  <c r="G49" i="16"/>
  <c r="H49" i="16"/>
  <c r="H51" i="16"/>
  <c r="G51" i="16"/>
  <c r="G43" i="16"/>
  <c r="H43" i="16"/>
  <c r="G47" i="16"/>
  <c r="H47" i="16"/>
  <c r="G46" i="16"/>
  <c r="H46" i="16"/>
  <c r="G50" i="16"/>
  <c r="H50" i="16"/>
  <c r="H42" i="16"/>
  <c r="G42" i="16"/>
  <c r="F47" i="16"/>
  <c r="F48" i="16"/>
  <c r="F49" i="16"/>
  <c r="F51" i="16"/>
  <c r="F43" i="16"/>
  <c r="F44" i="16"/>
  <c r="F45" i="16"/>
  <c r="F46" i="16"/>
  <c r="F50" i="16"/>
  <c r="F42" i="16"/>
  <c r="G21" i="27"/>
  <c r="Q43" i="16" s="1"/>
  <c r="H21" i="27"/>
  <c r="I21" i="27"/>
  <c r="J21" i="27"/>
  <c r="K21" i="27"/>
  <c r="L21" i="27"/>
  <c r="M21" i="27"/>
  <c r="N21" i="27"/>
  <c r="O21" i="27"/>
  <c r="P21" i="27"/>
  <c r="F21" i="27"/>
  <c r="Q42" i="16" s="1"/>
  <c r="Q47" i="16" l="1"/>
  <c r="R42" i="16" s="1"/>
  <c r="Q46" i="16"/>
  <c r="Q52" i="16"/>
  <c r="Q44" i="16"/>
  <c r="Q51" i="16"/>
  <c r="Q50" i="16"/>
  <c r="Q48" i="16"/>
  <c r="Q45" i="16"/>
  <c r="Q49" i="16"/>
  <c r="AA13" i="16"/>
  <c r="Q39" i="16"/>
  <c r="R49" i="16" l="1"/>
  <c r="R51" i="16"/>
  <c r="T46" i="16"/>
  <c r="T50" i="16"/>
  <c r="R48" i="16"/>
  <c r="R52" i="16"/>
  <c r="T48" i="16"/>
  <c r="T44" i="16"/>
  <c r="R50" i="16"/>
  <c r="R46" i="16"/>
  <c r="T47" i="16"/>
  <c r="T49" i="16"/>
  <c r="T43" i="16"/>
  <c r="T42" i="16"/>
  <c r="R45" i="16"/>
  <c r="R44" i="16"/>
  <c r="T45" i="16"/>
  <c r="R47" i="16"/>
  <c r="T51" i="16"/>
  <c r="T52" i="16"/>
  <c r="R43" i="16"/>
  <c r="S39" i="16" l="1"/>
  <c r="G20" i="27"/>
  <c r="O43" i="16" s="1"/>
  <c r="H20" i="27"/>
  <c r="O44" i="16" s="1"/>
  <c r="I20" i="27"/>
  <c r="O45" i="16" s="1"/>
  <c r="J20" i="27"/>
  <c r="O46" i="16" s="1"/>
  <c r="K20" i="27"/>
  <c r="O47" i="16" s="1"/>
  <c r="L20" i="27"/>
  <c r="O48" i="16" s="1"/>
  <c r="M20" i="27"/>
  <c r="O49" i="16" s="1"/>
  <c r="N20" i="27"/>
  <c r="O50" i="16" s="1"/>
  <c r="O20" i="27"/>
  <c r="O51" i="16" s="1"/>
  <c r="P20" i="27"/>
  <c r="O52" i="16" s="1"/>
  <c r="F20" i="27"/>
  <c r="O42" i="16" s="1"/>
  <c r="B5" i="27"/>
  <c r="G19" i="27"/>
  <c r="H19" i="27"/>
  <c r="I19" i="27"/>
  <c r="J19" i="27"/>
  <c r="K19" i="27"/>
  <c r="L19" i="27"/>
  <c r="M19" i="27"/>
  <c r="N19" i="27"/>
  <c r="O19" i="27"/>
  <c r="P19" i="27"/>
  <c r="F19" i="27"/>
  <c r="C5" i="27"/>
  <c r="K18" i="27" s="1"/>
  <c r="N47" i="16" s="1"/>
  <c r="AA10" i="16"/>
  <c r="E43" i="16"/>
  <c r="E44" i="16"/>
  <c r="E45" i="16"/>
  <c r="E46" i="16"/>
  <c r="E47" i="16"/>
  <c r="E48" i="16"/>
  <c r="E49" i="16"/>
  <c r="E50" i="16"/>
  <c r="E51" i="16"/>
  <c r="E42" i="16"/>
  <c r="P52" i="16" l="1"/>
  <c r="P51" i="16"/>
  <c r="P49" i="16"/>
  <c r="P50" i="16"/>
  <c r="P48" i="16"/>
  <c r="P43" i="16"/>
  <c r="P46" i="16"/>
  <c r="P44" i="16"/>
  <c r="P42" i="16"/>
  <c r="P45" i="16"/>
  <c r="B2" i="19"/>
  <c r="E9" i="18" l="1"/>
  <c r="E17" i="18"/>
  <c r="E25" i="18"/>
  <c r="E33" i="18"/>
  <c r="E41" i="18"/>
  <c r="E49" i="18"/>
  <c r="E57" i="18"/>
  <c r="E65" i="18"/>
  <c r="E73" i="18"/>
  <c r="E81" i="18"/>
  <c r="E89" i="18"/>
  <c r="E97" i="18"/>
  <c r="E105" i="18"/>
  <c r="E113" i="18"/>
  <c r="E121" i="18"/>
  <c r="E129" i="18"/>
  <c r="E137" i="18"/>
  <c r="E145" i="18"/>
  <c r="E153" i="18"/>
  <c r="E161" i="18"/>
  <c r="E169" i="18"/>
  <c r="E177" i="18"/>
  <c r="E185" i="18"/>
  <c r="E193" i="18"/>
  <c r="E201" i="18"/>
  <c r="E209" i="18"/>
  <c r="E217" i="18"/>
  <c r="E225" i="18"/>
  <c r="E233" i="18"/>
  <c r="E10" i="18"/>
  <c r="E18" i="18"/>
  <c r="E26" i="18"/>
  <c r="E34" i="18"/>
  <c r="E42" i="18"/>
  <c r="E50" i="18"/>
  <c r="E58" i="18"/>
  <c r="E66" i="18"/>
  <c r="E74" i="18"/>
  <c r="E82" i="18"/>
  <c r="E90" i="18"/>
  <c r="E98" i="18"/>
  <c r="E106" i="18"/>
  <c r="E114" i="18"/>
  <c r="E122" i="18"/>
  <c r="E130" i="18"/>
  <c r="E138" i="18"/>
  <c r="E154" i="18"/>
  <c r="E170" i="18"/>
  <c r="E186" i="18"/>
  <c r="E202" i="18"/>
  <c r="E218" i="18"/>
  <c r="E226" i="18"/>
  <c r="E230" i="18"/>
  <c r="E3" i="18"/>
  <c r="E11" i="18"/>
  <c r="E19" i="18"/>
  <c r="E27" i="18"/>
  <c r="E35" i="18"/>
  <c r="E43" i="18"/>
  <c r="E51" i="18"/>
  <c r="E59" i="18"/>
  <c r="E67" i="18"/>
  <c r="E75" i="18"/>
  <c r="E83" i="18"/>
  <c r="E91" i="18"/>
  <c r="E99" i="18"/>
  <c r="E107" i="18"/>
  <c r="E115" i="18"/>
  <c r="E123" i="18"/>
  <c r="E131" i="18"/>
  <c r="E139" i="18"/>
  <c r="E147" i="18"/>
  <c r="E155" i="18"/>
  <c r="E163" i="18"/>
  <c r="E171" i="18"/>
  <c r="E179" i="18"/>
  <c r="E187" i="18"/>
  <c r="E195" i="18"/>
  <c r="E203" i="18"/>
  <c r="E211" i="18"/>
  <c r="E219" i="18"/>
  <c r="E227" i="18"/>
  <c r="E235" i="18"/>
  <c r="E13" i="18"/>
  <c r="E29" i="18"/>
  <c r="E45" i="18"/>
  <c r="E61" i="18"/>
  <c r="E77" i="18"/>
  <c r="E93" i="18"/>
  <c r="E117" i="18"/>
  <c r="E133" i="18"/>
  <c r="E149" i="18"/>
  <c r="E165" i="18"/>
  <c r="E181" i="18"/>
  <c r="E197" i="18"/>
  <c r="E213" i="18"/>
  <c r="E229" i="18"/>
  <c r="E14" i="18"/>
  <c r="E30" i="18"/>
  <c r="E46" i="18"/>
  <c r="E62" i="18"/>
  <c r="E78" i="18"/>
  <c r="E94" i="18"/>
  <c r="E110" i="18"/>
  <c r="E126" i="18"/>
  <c r="E142" i="18"/>
  <c r="E158" i="18"/>
  <c r="E174" i="18"/>
  <c r="E190" i="18"/>
  <c r="E206" i="18"/>
  <c r="E4" i="18"/>
  <c r="E12" i="18"/>
  <c r="E20" i="18"/>
  <c r="E28" i="18"/>
  <c r="E36" i="18"/>
  <c r="E44" i="18"/>
  <c r="E52" i="18"/>
  <c r="E60" i="18"/>
  <c r="E68" i="18"/>
  <c r="E76" i="18"/>
  <c r="E84" i="18"/>
  <c r="E92" i="18"/>
  <c r="E100" i="18"/>
  <c r="E108" i="18"/>
  <c r="E116" i="18"/>
  <c r="E124" i="18"/>
  <c r="E132" i="18"/>
  <c r="E140" i="18"/>
  <c r="E148" i="18"/>
  <c r="E156" i="18"/>
  <c r="E164" i="18"/>
  <c r="E172" i="18"/>
  <c r="E180" i="18"/>
  <c r="E188" i="18"/>
  <c r="E196" i="18"/>
  <c r="E204" i="18"/>
  <c r="E212" i="18"/>
  <c r="E220" i="18"/>
  <c r="E228" i="18"/>
  <c r="E236" i="18"/>
  <c r="E5" i="18"/>
  <c r="E21" i="18"/>
  <c r="E37" i="18"/>
  <c r="E53" i="18"/>
  <c r="E69" i="18"/>
  <c r="E85" i="18"/>
  <c r="E101" i="18"/>
  <c r="E109" i="18"/>
  <c r="E125" i="18"/>
  <c r="E141" i="18"/>
  <c r="E157" i="18"/>
  <c r="E173" i="18"/>
  <c r="E189" i="18"/>
  <c r="E205" i="18"/>
  <c r="E221" i="18"/>
  <c r="E237" i="18"/>
  <c r="E6" i="18"/>
  <c r="E22" i="18"/>
  <c r="E38" i="18"/>
  <c r="E54" i="18"/>
  <c r="E70" i="18"/>
  <c r="E86" i="18"/>
  <c r="E102" i="18"/>
  <c r="E118" i="18"/>
  <c r="E134" i="18"/>
  <c r="E150" i="18"/>
  <c r="E166" i="18"/>
  <c r="E182" i="18"/>
  <c r="E198" i="18"/>
  <c r="E222" i="18"/>
  <c r="E7" i="18"/>
  <c r="E15" i="18"/>
  <c r="E23" i="18"/>
  <c r="E31" i="18"/>
  <c r="E39" i="18"/>
  <c r="E47" i="18"/>
  <c r="E55" i="18"/>
  <c r="E63" i="18"/>
  <c r="E71" i="18"/>
  <c r="E79" i="18"/>
  <c r="E87" i="18"/>
  <c r="E95" i="18"/>
  <c r="E103" i="18"/>
  <c r="E111" i="18"/>
  <c r="E119" i="18"/>
  <c r="E127" i="18"/>
  <c r="E135" i="18"/>
  <c r="E143" i="18"/>
  <c r="E151" i="18"/>
  <c r="E159" i="18"/>
  <c r="E167" i="18"/>
  <c r="E175" i="18"/>
  <c r="E183" i="18"/>
  <c r="E191" i="18"/>
  <c r="E199" i="18"/>
  <c r="E207" i="18"/>
  <c r="E215" i="18"/>
  <c r="E223" i="18"/>
  <c r="E231" i="18"/>
  <c r="E8" i="18"/>
  <c r="E16" i="18"/>
  <c r="E24" i="18"/>
  <c r="E32" i="18"/>
  <c r="E40" i="18"/>
  <c r="E48" i="18"/>
  <c r="E56" i="18"/>
  <c r="E64" i="18"/>
  <c r="E72" i="18"/>
  <c r="E80" i="18"/>
  <c r="E88" i="18"/>
  <c r="E96" i="18"/>
  <c r="E104" i="18"/>
  <c r="E112" i="18"/>
  <c r="E120" i="18"/>
  <c r="E128" i="18"/>
  <c r="E136" i="18"/>
  <c r="E144" i="18"/>
  <c r="E152" i="18"/>
  <c r="E160" i="18"/>
  <c r="E168" i="18"/>
  <c r="E176" i="18"/>
  <c r="E184" i="18"/>
  <c r="E192" i="18"/>
  <c r="E200" i="18"/>
  <c r="E208" i="18"/>
  <c r="E216" i="18"/>
  <c r="E224" i="18"/>
  <c r="E232" i="18"/>
  <c r="E146" i="18"/>
  <c r="E162" i="18"/>
  <c r="E178" i="18"/>
  <c r="E194" i="18"/>
  <c r="E210" i="18"/>
  <c r="E234" i="18"/>
  <c r="E214" i="18"/>
  <c r="I44" i="16"/>
  <c r="I45" i="16"/>
  <c r="I42" i="16"/>
  <c r="J44" i="16" l="1"/>
  <c r="K42" i="16"/>
  <c r="J42" i="16"/>
  <c r="K49" i="16"/>
  <c r="K50" i="16"/>
  <c r="I50" i="16"/>
  <c r="K47" i="16"/>
  <c r="K43" i="16"/>
  <c r="J51" i="16"/>
  <c r="J50" i="16"/>
  <c r="I49" i="16"/>
  <c r="K51" i="16"/>
  <c r="K44" i="16"/>
  <c r="I51" i="16"/>
  <c r="K48" i="16"/>
  <c r="J45" i="16"/>
  <c r="J49" i="16"/>
  <c r="J47" i="16"/>
  <c r="J48" i="16"/>
  <c r="I48" i="16"/>
  <c r="J46" i="16"/>
  <c r="K45" i="16"/>
  <c r="I47" i="16"/>
  <c r="J43" i="16"/>
  <c r="I43" i="16"/>
  <c r="I46" i="16"/>
  <c r="K46" i="16"/>
</calcChain>
</file>

<file path=xl/connections.xml><?xml version="1.0" encoding="utf-8"?>
<connections xmlns="http://schemas.openxmlformats.org/spreadsheetml/2006/main">
  <connection id="1" name="FunctionOfRatesLoanQuery" type="1" refreshedVersion="4" savePassword="1" saveData="1">
    <dbPr connection="DSN=Agency" command="exec RefinancibleUniverse_FunctionOfRates_Loan  3.98, '2015-06-01'"/>
  </connection>
  <connection id="2" name="FunctionOfRatesLoanWithLowestRateQuery" type="1" refreshedVersion="4" savePassword="1" saveData="1">
    <dbPr connection="DSN=Agency" command="exec RefinancibleUniverse_FunctionOfRates_LowestRate_Loan 3.98, '2015-06-01', '2015-07-02'"/>
  </connection>
  <connection id="3" name="FunctionOfRatesLoanWithMediaEffectQuery" type="1" refreshedVersion="4" savePassword="1" saveData="1">
    <dbPr connection="DSN=Agency" command="exec RefinancibleUniverse_FunctionOfRates_MediaEffect_Loan 3.98, '2015-06-01', '2015-07-02'"/>
  </connection>
  <connection id="4" name="FunctionOfRatesPoolQuery" type="1" refreshedVersion="4" savePassword="1" saveData="1">
    <dbPr connection="DSN=Agency" command="exec RefinancibleUniverse_FunctionOfRates  3.98, '2015-06-01'"/>
  </connection>
  <connection id="5" name="LoanLevelLowestRateQuery" type="1" refreshedVersion="4" savePassword="1" saveData="1">
    <dbPr connection="DSN=Agency" command="exec RefinancibleUniverse_LoanLevel_withMediaEffect '2015-07-07'"/>
  </connection>
  <connection id="6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7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8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9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0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11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2" name="PMMSQuery" type="1" refreshedVersion="4" savePassword="1" saveData="1">
    <dbPr connection="DSN=Agency" command="select AsOfDate, SeriesNumValue = sum(case when M.SeriesType = 'Points_US' then (1.0 - d.SeriesNumvalue)/-4.0 else d.SeriesNumvalue end) from report.TimeSeriesMeta M, report.TimeSeries D where M.TimeSeriesMetaId = D.TimeSeriesMetaId and M.Source = 'Freddie' and M.TickerName  ='PMMS_FRM_30YR' and M.SeriesType in ('Points_US','Rate_US') and AsOfDate = '2015-07-02' group by AsOfDate "/>
  </connection>
  <connection id="13" name="PoolLevelQuery" type="1" refreshedVersion="4" savePassword="1" saveData="1">
    <dbPr connection="DSN=Agency" command="DROP TABLE IF EXISTS #tempone select AsOfDate, SeriesNumValue = sum(case when M.SeriesType = 'Points_US' then (1.0 - d.SeriesNumvalue)/-4.0 else d.SeriesNumvalue end) into #tempone from report.TimeSeriesMeta M, report.TimeSeries D where M.TimeSeriesMetaId = D.TimeSeriesMetaId and M.Source = 'Freddie' and M.TickerName  ='PMMS_FRM_30YR' and M.SeriesType in ('Points_US','Rate_US') group by AsOfDate order by AsOfDate DESC select t.asOfDate, refinancible = sum(case when f.wac - t.SeriesNumValue &gt;= 0.5 then f.currentBalance else 0 end)/sum(f.currentBalance) from fnm.sec p, fnm.secFactor f,  #tempone t, fnm.secSupp s where p.issueId = f.issueId and p.issueId = s.issueId and f.asOf = s.asOf and p.collateralType = 'LOAN'  and p.marketTicker in ('FNCL') and year(t.asOfDate) * 100 + month(t.asOfDate) = year(f.asOf)* 100 + month(f.asOf) and t.asOfDate &gt;= '20110101' group by t.asOfDate order by t.asOfDate desc"/>
  </connection>
  <connection id="14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5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6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7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8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19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0" name="temp15" type="6" refreshedVersion="4" background="1" saveData="1">
    <textPr codePage="437" sourceFile="C:\Users\lien.chen\Desktop\temp.csv" comma="1" qualifier="singleQuote">
      <textFields count="2">
        <textField/>
        <textField/>
      </textFields>
    </textPr>
  </connection>
  <connection id="21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2" name="temp2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3" name="temp3" type="6" refreshedVersion="4" background="1" saveData="1">
    <textPr codePage="437" sourceFile="C:\Users\lien.chen\Desktop\temp.csv" comma="1" qualifier="singleQuote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<sst xmlns="http://schemas.openxmlformats.org/spreadsheetml/2006/main" count="124" uniqueCount="74">
  <si>
    <t>Database Env</t>
  </si>
  <si>
    <t>PROD</t>
  </si>
  <si>
    <t>Save Data to DB</t>
  </si>
  <si>
    <t>Yes</t>
  </si>
  <si>
    <t>As of Date</t>
  </si>
  <si>
    <t>Report Name</t>
  </si>
  <si>
    <t>1M Chg</t>
  </si>
  <si>
    <t>3M Chg</t>
  </si>
  <si>
    <t>Month</t>
  </si>
  <si>
    <t>Last Month</t>
  </si>
  <si>
    <t>Report Folder</t>
  </si>
  <si>
    <t>asOfDate</t>
  </si>
  <si>
    <t>refinancible</t>
  </si>
  <si>
    <t>refinanceible</t>
  </si>
  <si>
    <t>Loan Level</t>
  </si>
  <si>
    <t>Pool</t>
  </si>
  <si>
    <t>Loan</t>
  </si>
  <si>
    <t>Pool Level</t>
  </si>
  <si>
    <t>MBAVCMRS</t>
  </si>
  <si>
    <t>Current</t>
  </si>
  <si>
    <t>Bloomberg Refi Index</t>
  </si>
  <si>
    <t>As Of</t>
  </si>
  <si>
    <t>Refinancible Percentage</t>
  </si>
  <si>
    <t>Last Thursday</t>
  </si>
  <si>
    <t>Loan Level Latest Update</t>
  </si>
  <si>
    <t>AsOfDate</t>
  </si>
  <si>
    <t>SeriesNumValue</t>
  </si>
  <si>
    <t>refinancible1</t>
  </si>
  <si>
    <t>refinancible2</t>
  </si>
  <si>
    <t>refinancible3</t>
  </si>
  <si>
    <t>refinancible4</t>
  </si>
  <si>
    <t>refinancible5</t>
  </si>
  <si>
    <t>refinancible6</t>
  </si>
  <si>
    <t>refinancible7</t>
  </si>
  <si>
    <t>refinancible8</t>
  </si>
  <si>
    <t>refinancible9</t>
  </si>
  <si>
    <t>refinancible10</t>
  </si>
  <si>
    <t>refinancible11</t>
  </si>
  <si>
    <t>-10 bps</t>
  </si>
  <si>
    <t>-20 bps</t>
  </si>
  <si>
    <t>-30 bps</t>
  </si>
  <si>
    <t>-40 bps</t>
  </si>
  <si>
    <t>-50 bps</t>
  </si>
  <si>
    <t>+10 bps</t>
  </si>
  <si>
    <t>+20 bps</t>
  </si>
  <si>
    <t>+30 bps</t>
  </si>
  <si>
    <t>+40 bps</t>
  </si>
  <si>
    <t>+50 bps</t>
  </si>
  <si>
    <t>refinanceible1</t>
  </si>
  <si>
    <t>refinanceible2</t>
  </si>
  <si>
    <t>refinanceible3</t>
  </si>
  <si>
    <t>refinanceible4</t>
  </si>
  <si>
    <t>refinanceible5</t>
  </si>
  <si>
    <t>refinanceible6</t>
  </si>
  <si>
    <t>refinanceible7</t>
  </si>
  <si>
    <t>refinanceible8</t>
  </si>
  <si>
    <t>refinanceible9</t>
  </si>
  <si>
    <t>refinanceible10</t>
  </si>
  <si>
    <t>refinanceible11</t>
  </si>
  <si>
    <t>Rates</t>
  </si>
  <si>
    <t>Refi %</t>
  </si>
  <si>
    <t>Chg</t>
  </si>
  <si>
    <t>-</t>
  </si>
  <si>
    <t>1-Point Rate:</t>
  </si>
  <si>
    <t>As Of:</t>
  </si>
  <si>
    <t>Refi Index</t>
  </si>
  <si>
    <t>Loan Level with Lowest Rate</t>
  </si>
  <si>
    <t>Loan Level with Lowest Rate Latest Update</t>
  </si>
  <si>
    <t>With Lowest Rate</t>
  </si>
  <si>
    <t>Loan with Lowest Rate</t>
  </si>
  <si>
    <t>12 Weeks Scenario</t>
  </si>
  <si>
    <t>Lowest Rate Scen.</t>
  </si>
  <si>
    <t>Refi Percentage (12 Weeks Scenario)</t>
  </si>
  <si>
    <t>S:\IT\Production\Daily Reports\Primary Market\2015-07\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</si>
</sst>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yyyy\-mm"/>
  </numFmts>
  <fonts count="14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sz val="9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6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4.9989318521683403E-2"/>
        <bgColor indexed="64"/>
      </patternFill>
    </fill>
  </fills>
  <borders count="5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/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medium">
        <color rgb="FF2E398A"/>
      </bottom>
      <diagonal/>
    </border>
    <border>
      <left/>
      <right/>
      <top style="medium">
        <color rgb="FF2E398A"/>
      </top>
      <bottom style="thin">
        <color rgb="FF2E398A"/>
      </bottom>
      <diagonal/>
    </border>
    <border>
      <left/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</borders>
  <cellStyleXfs count="1049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1" fillId="8" borderId="0" applyNumberFormat="0" applyBorder="0" applyAlignment="0" applyProtection="0"/>
    <xf numFmtId="0" fontId="12" fillId="8" borderId="0" applyNumberFormat="0" applyBorder="0" applyAlignment="0" applyProtection="0"/>
    <xf numFmtId="0" fontId="13" fillId="9" borderId="0" applyNumberFormat="0" applyBorder="0" applyAlignment="0" applyProtection="0"/>
    <xf numFmtId="0" fontId="11" fillId="10" borderId="0" applyNumberFormat="0" applyBorder="0" applyAlignment="0" applyProtection="0"/>
    <xf numFmtId="0" fontId="12" fillId="10" borderId="0" applyNumberFormat="0" applyBorder="0" applyAlignment="0" applyProtection="0"/>
    <xf numFmtId="0" fontId="13" fillId="11" borderId="0" applyNumberFormat="0" applyBorder="0" applyAlignment="0" applyProtection="0"/>
    <xf numFmtId="0" fontId="11" fillId="12" borderId="0" applyNumberFormat="0" applyBorder="0" applyAlignment="0" applyProtection="0"/>
    <xf numFmtId="0" fontId="12" fillId="11" borderId="0" applyNumberFormat="0" applyBorder="0" applyAlignment="0" applyProtection="0"/>
    <xf numFmtId="0" fontId="13" fillId="13" borderId="0" applyNumberFormat="0" applyBorder="0" applyAlignment="0" applyProtection="0"/>
    <xf numFmtId="0" fontId="11" fillId="14" borderId="0" applyNumberFormat="0" applyBorder="0" applyAlignment="0" applyProtection="0"/>
    <xf numFmtId="0" fontId="12" fillId="15" borderId="0" applyNumberFormat="0" applyBorder="0" applyAlignment="0" applyProtection="0"/>
    <xf numFmtId="0" fontId="13" fillId="14" borderId="0" applyNumberFormat="0" applyBorder="0" applyAlignment="0" applyProtection="0"/>
    <xf numFmtId="0" fontId="11" fillId="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1" fillId="16" borderId="0" applyNumberFormat="0" applyBorder="0" applyAlignment="0" applyProtection="0"/>
    <xf numFmtId="0" fontId="12" fillId="17" borderId="0" applyNumberFormat="0" applyBorder="0" applyAlignment="0" applyProtection="0"/>
    <xf numFmtId="0" fontId="13" fillId="18" borderId="0" applyNumberFormat="0" applyBorder="0" applyAlignment="0" applyProtection="0"/>
    <xf numFmtId="0" fontId="11" fillId="19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1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20" borderId="0" applyNumberFormat="0" applyBorder="0" applyAlignment="0" applyProtection="0"/>
    <xf numFmtId="0" fontId="11" fillId="16" borderId="0" applyNumberFormat="0" applyBorder="0" applyAlignment="0" applyProtection="0"/>
    <xf numFmtId="0" fontId="12" fillId="21" borderId="0" applyNumberFormat="0" applyBorder="0" applyAlignment="0" applyProtection="0"/>
    <xf numFmtId="0" fontId="13" fillId="13" borderId="0" applyNumberFormat="0" applyBorder="0" applyAlignment="0" applyProtection="0"/>
    <xf numFmtId="0" fontId="11" fillId="18" borderId="0" applyNumberFormat="0" applyBorder="0" applyAlignment="0" applyProtection="0"/>
    <xf numFmtId="0" fontId="12" fillId="15" borderId="0" applyNumberFormat="0" applyBorder="0" applyAlignment="0" applyProtection="0"/>
    <xf numFmtId="0" fontId="13" fillId="18" borderId="0" applyNumberFormat="0" applyBorder="0" applyAlignment="0" applyProtection="0"/>
    <xf numFmtId="0" fontId="11" fillId="8" borderId="0" applyNumberFormat="0" applyBorder="0" applyAlignment="0" applyProtection="0"/>
    <xf numFmtId="0" fontId="12" fillId="8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4" fillId="19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4" fillId="10" borderId="0" applyNumberFormat="0" applyBorder="0" applyAlignment="0" applyProtection="0"/>
    <xf numFmtId="0" fontId="15" fillId="13" borderId="0" applyNumberFormat="0" applyBorder="0" applyAlignment="0" applyProtection="0"/>
    <xf numFmtId="0" fontId="16" fillId="20" borderId="0" applyNumberFormat="0" applyBorder="0" applyAlignment="0" applyProtection="0"/>
    <xf numFmtId="0" fontId="14" fillId="16" borderId="0" applyNumberFormat="0" applyBorder="0" applyAlignment="0" applyProtection="0"/>
    <xf numFmtId="0" fontId="15" fillId="26" borderId="0" applyNumberFormat="0" applyBorder="0" applyAlignment="0" applyProtection="0"/>
    <xf numFmtId="0" fontId="16" fillId="27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6" fillId="23" borderId="0" applyNumberFormat="0" applyBorder="0" applyAlignment="0" applyProtection="0"/>
    <xf numFmtId="0" fontId="14" fillId="8" borderId="0" applyNumberFormat="0" applyBorder="0" applyAlignment="0" applyProtection="0"/>
    <xf numFmtId="0" fontId="15" fillId="8" borderId="0" applyNumberFormat="0" applyBorder="0" applyAlignment="0" applyProtection="0"/>
    <xf numFmtId="0" fontId="16" fillId="28" borderId="0" applyNumberFormat="0" applyBorder="0" applyAlignment="0" applyProtection="0"/>
    <xf numFmtId="0" fontId="14" fillId="23" borderId="0" applyNumberFormat="0" applyBorder="0" applyAlignment="0" applyProtection="0"/>
    <xf numFmtId="0" fontId="15" fillId="29" borderId="0" applyNumberFormat="0" applyBorder="0" applyAlignment="0" applyProtection="0"/>
    <xf numFmtId="0" fontId="16" fillId="30" borderId="0" applyNumberFormat="0" applyBorder="0" applyAlignment="0" applyProtection="0"/>
    <xf numFmtId="0" fontId="14" fillId="31" borderId="0" applyNumberFormat="0" applyBorder="0" applyAlignment="0" applyProtection="0"/>
    <xf numFmtId="0" fontId="15" fillId="32" borderId="0" applyNumberFormat="0" applyBorder="0" applyAlignment="0" applyProtection="0"/>
    <xf numFmtId="0" fontId="16" fillId="31" borderId="0" applyNumberFormat="0" applyBorder="0" applyAlignment="0" applyProtection="0"/>
    <xf numFmtId="0" fontId="14" fillId="33" borderId="0" applyNumberFormat="0" applyBorder="0" applyAlignment="0" applyProtection="0"/>
    <xf numFmtId="0" fontId="15" fillId="32" borderId="0" applyNumberFormat="0" applyBorder="0" applyAlignment="0" applyProtection="0"/>
    <xf numFmtId="0" fontId="16" fillId="33" borderId="0" applyNumberFormat="0" applyBorder="0" applyAlignment="0" applyProtection="0"/>
    <xf numFmtId="0" fontId="14" fillId="29" borderId="0" applyNumberFormat="0" applyBorder="0" applyAlignment="0" applyProtection="0"/>
    <xf numFmtId="0" fontId="15" fillId="29" borderId="0" applyNumberFormat="0" applyBorder="0" applyAlignment="0" applyProtection="0"/>
    <xf numFmtId="0" fontId="16" fillId="27" borderId="0" applyNumberFormat="0" applyBorder="0" applyAlignment="0" applyProtection="0"/>
    <xf numFmtId="0" fontId="14" fillId="23" borderId="0" applyNumberFormat="0" applyBorder="0" applyAlignment="0" applyProtection="0"/>
    <xf numFmtId="0" fontId="15" fillId="33" borderId="0" applyNumberFormat="0" applyBorder="0" applyAlignment="0" applyProtection="0"/>
    <xf numFmtId="0" fontId="16" fillId="23" borderId="0" applyNumberFormat="0" applyBorder="0" applyAlignment="0" applyProtection="0"/>
    <xf numFmtId="0" fontId="14" fillId="34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9" fillId="0" borderId="0"/>
    <xf numFmtId="17" fontId="9" fillId="0" borderId="0" applyFont="0" applyFill="0" applyBorder="0" applyProtection="0">
      <alignment horizontal="left"/>
    </xf>
    <xf numFmtId="0" fontId="9" fillId="0" borderId="0" applyFont="0" applyFill="0" applyBorder="0" applyProtection="0">
      <alignment horizontal="left"/>
    </xf>
    <xf numFmtId="0" fontId="17" fillId="9" borderId="0" applyNumberFormat="0" applyBorder="0" applyAlignment="0" applyProtection="0"/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38" fontId="20" fillId="12" borderId="0"/>
    <xf numFmtId="0" fontId="21" fillId="0" borderId="0" applyNumberFormat="0" applyFill="0" applyBorder="0" applyAlignment="0" applyProtection="0"/>
    <xf numFmtId="0" fontId="22" fillId="35" borderId="0">
      <alignment horizontal="left"/>
    </xf>
    <xf numFmtId="2" fontId="23" fillId="36" borderId="6" applyProtection="0">
      <alignment horizontal="left"/>
      <protection locked="0"/>
    </xf>
    <xf numFmtId="0" fontId="24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9" fillId="37" borderId="0"/>
    <xf numFmtId="167" fontId="10" fillId="0" borderId="0" applyFont="0" applyFill="0" applyBorder="0" applyAlignment="0" applyProtection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0" fontId="9" fillId="0" borderId="0" applyFill="0" applyBorder="0" applyAlignment="0"/>
    <xf numFmtId="0" fontId="9" fillId="0" borderId="0" applyFill="0" applyBorder="0" applyAlignment="0"/>
    <xf numFmtId="168" fontId="27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8" fillId="12" borderId="7" applyNumberFormat="0" applyAlignment="0" applyProtection="0"/>
    <xf numFmtId="0" fontId="29" fillId="14" borderId="7" applyNumberFormat="0" applyAlignment="0" applyProtection="0"/>
    <xf numFmtId="0" fontId="30" fillId="16" borderId="7" applyNumberFormat="0" applyAlignment="0" applyProtection="0"/>
    <xf numFmtId="0" fontId="31" fillId="38" borderId="8" applyNumberFormat="0"/>
    <xf numFmtId="0" fontId="32" fillId="39" borderId="9" applyBorder="0">
      <alignment horizontal="center" wrapText="1"/>
    </xf>
    <xf numFmtId="0" fontId="32" fillId="40" borderId="9" applyBorder="0">
      <alignment horizontal="center" wrapText="1"/>
    </xf>
    <xf numFmtId="0" fontId="33" fillId="41" borderId="8" applyNumberFormat="0"/>
    <xf numFmtId="0" fontId="34" fillId="42" borderId="8" applyNumberFormat="0"/>
    <xf numFmtId="0" fontId="3" fillId="42" borderId="8" applyNumberFormat="0"/>
    <xf numFmtId="0" fontId="33" fillId="41" borderId="8" applyNumberFormat="0"/>
    <xf numFmtId="0" fontId="34" fillId="41" borderId="8" applyNumberFormat="0"/>
    <xf numFmtId="0" fontId="33" fillId="38" borderId="8" applyNumberFormat="0"/>
    <xf numFmtId="0" fontId="31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5" fillId="41" borderId="10" applyNumberFormat="0" applyAlignment="0"/>
    <xf numFmtId="14" fontId="35" fillId="42" borderId="10" applyNumberFormat="0" applyAlignment="0"/>
    <xf numFmtId="14" fontId="36" fillId="42" borderId="10" applyNumberFormat="0" applyAlignment="0"/>
    <xf numFmtId="0" fontId="37" fillId="43" borderId="11" applyNumberFormat="0" applyAlignment="0" applyProtection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0" borderId="0" applyNumberFormat="0" applyFill="0" applyBorder="0" applyAlignment="0" applyProtection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0" fontId="26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3" fontId="9" fillId="0" borderId="0" applyFill="0" applyBorder="0" applyAlignment="0" applyProtection="0"/>
    <xf numFmtId="0" fontId="43" fillId="0" borderId="0"/>
    <xf numFmtId="0" fontId="44" fillId="0" borderId="0" applyNumberFormat="0" applyAlignment="0">
      <alignment horizontal="left"/>
    </xf>
    <xf numFmtId="0" fontId="45" fillId="0" borderId="0">
      <alignment horizontal="center"/>
    </xf>
    <xf numFmtId="0" fontId="43" fillId="0" borderId="0"/>
    <xf numFmtId="0" fontId="26" fillId="0" borderId="0" applyFont="0" applyFill="0" applyBorder="0" applyAlignment="0" applyProtection="0"/>
    <xf numFmtId="169" fontId="9" fillId="0" borderId="0" applyFont="0" applyFill="0" applyBorder="0" applyAlignment="0" applyProtection="0"/>
    <xf numFmtId="8" fontId="46" fillId="0" borderId="12">
      <protection locked="0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5" fontId="9" fillId="0" borderId="0" applyFill="0" applyBorder="0" applyAlignment="0" applyProtection="0"/>
    <xf numFmtId="173" fontId="10" fillId="0" borderId="0" applyFont="0" applyFill="0" applyBorder="0" applyAlignment="0" applyProtection="0"/>
    <xf numFmtId="10" fontId="9" fillId="0" borderId="0" applyFont="0" applyFill="0" applyBorder="0" applyProtection="0">
      <alignment horizontal="center"/>
    </xf>
    <xf numFmtId="174" fontId="9" fillId="0" borderId="0" applyFont="0" applyFill="0" applyBorder="0" applyProtection="0"/>
    <xf numFmtId="175" fontId="9" fillId="0" borderId="0" applyFont="0" applyFill="0" applyBorder="0" applyProtection="0"/>
    <xf numFmtId="15" fontId="47" fillId="0" borderId="0" applyFont="0" applyFill="0" applyBorder="0" applyAlignment="0" applyProtection="0"/>
    <xf numFmtId="0" fontId="43" fillId="0" borderId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5" fontId="12" fillId="12" borderId="0"/>
    <xf numFmtId="14" fontId="12" fillId="0" borderId="0" applyFill="0" applyBorder="0" applyAlignment="0"/>
    <xf numFmtId="0" fontId="45" fillId="36" borderId="0">
      <alignment horizontal="left"/>
    </xf>
    <xf numFmtId="176" fontId="9" fillId="0" borderId="0" applyFill="0" applyBorder="0" applyAlignment="0" applyProtection="0"/>
    <xf numFmtId="14" fontId="9" fillId="0" borderId="0"/>
    <xf numFmtId="0" fontId="48" fillId="19" borderId="0">
      <alignment horizontal="left"/>
    </xf>
    <xf numFmtId="0" fontId="49" fillId="0" borderId="0">
      <alignment horizontal="left"/>
    </xf>
    <xf numFmtId="38" fontId="50" fillId="0" borderId="13">
      <alignment vertical="center"/>
    </xf>
    <xf numFmtId="177" fontId="9" fillId="0" borderId="0">
      <alignment horizontal="right"/>
    </xf>
    <xf numFmtId="1" fontId="9" fillId="0" borderId="0">
      <alignment horizontal="right"/>
    </xf>
    <xf numFmtId="1" fontId="9" fillId="0" borderId="0">
      <alignment horizontal="right"/>
    </xf>
    <xf numFmtId="178" fontId="9" fillId="0" borderId="0">
      <alignment horizontal="right"/>
    </xf>
    <xf numFmtId="49" fontId="9" fillId="0" borderId="0">
      <alignment horizontal="left"/>
    </xf>
    <xf numFmtId="49" fontId="9" fillId="0" borderId="0">
      <alignment horizontal="left"/>
    </xf>
    <xf numFmtId="49" fontId="9" fillId="0" borderId="0">
      <alignment horizontal="right"/>
    </xf>
    <xf numFmtId="14" fontId="9" fillId="0" borderId="0">
      <alignment horizontal="left"/>
    </xf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51" fillId="0" borderId="0" applyNumberFormat="0" applyAlignment="0">
      <alignment horizontal="left"/>
    </xf>
    <xf numFmtId="9" fontId="52" fillId="0" borderId="3" applyNumberFormat="0" applyBorder="0" applyAlignment="0">
      <protection locked="0"/>
    </xf>
    <xf numFmtId="179" fontId="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" fontId="9" fillId="0" borderId="0" applyFill="0" applyBorder="0" applyAlignment="0" applyProtection="0"/>
    <xf numFmtId="180" fontId="9" fillId="0" borderId="0" applyFont="0" applyFill="0" applyBorder="0" applyAlignment="0" applyProtection="0"/>
    <xf numFmtId="0" fontId="12" fillId="12" borderId="0"/>
    <xf numFmtId="0" fontId="56" fillId="11" borderId="0" applyNumberFormat="0" applyBorder="0" applyAlignment="0" applyProtection="0"/>
    <xf numFmtId="0" fontId="57" fillId="15" borderId="0" applyNumberFormat="0" applyBorder="0" applyAlignment="0" applyProtection="0"/>
    <xf numFmtId="0" fontId="58" fillId="11" borderId="0" applyNumberFormat="0" applyBorder="0" applyAlignment="0" applyProtection="0"/>
    <xf numFmtId="2" fontId="59" fillId="36" borderId="6" applyProtection="0">
      <alignment horizontal="left"/>
      <protection locked="0"/>
    </xf>
    <xf numFmtId="38" fontId="40" fillId="44" borderId="0" applyNumberFormat="0" applyBorder="0" applyAlignment="0" applyProtection="0"/>
    <xf numFmtId="0" fontId="60" fillId="0" borderId="14" applyNumberFormat="0" applyAlignment="0" applyProtection="0">
      <alignment horizontal="left" vertical="center"/>
    </xf>
    <xf numFmtId="0" fontId="60" fillId="0" borderId="15">
      <alignment horizontal="left" vertical="center"/>
    </xf>
    <xf numFmtId="0" fontId="61" fillId="16" borderId="3">
      <alignment horizontal="centerContinuous"/>
    </xf>
    <xf numFmtId="0" fontId="62" fillId="0" borderId="16" applyNumberFormat="0" applyFill="0" applyAlignment="0" applyProtection="0"/>
    <xf numFmtId="0" fontId="63" fillId="0" borderId="17" applyNumberFormat="0" applyFill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18" applyNumberFormat="0" applyFill="0" applyAlignment="0" applyProtection="0"/>
    <xf numFmtId="0" fontId="67" fillId="0" borderId="19" applyNumberFormat="0" applyFill="0" applyAlignment="0" applyProtection="0"/>
    <xf numFmtId="0" fontId="68" fillId="0" borderId="20" applyNumberFormat="0" applyFill="0" applyAlignment="0" applyProtection="0"/>
    <xf numFmtId="0" fontId="4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9" fillId="0" borderId="19" applyNumberFormat="0" applyFill="0" applyAlignment="0" applyProtection="0"/>
    <xf numFmtId="0" fontId="70" fillId="0" borderId="21" applyNumberFormat="0" applyFill="0" applyAlignment="0" applyProtection="0"/>
    <xf numFmtId="0" fontId="71" fillId="0" borderId="22" applyNumberFormat="0" applyFill="0" applyAlignment="0" applyProtection="0"/>
    <xf numFmtId="0" fontId="72" fillId="0" borderId="23" applyNumberFormat="0" applyFill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12" borderId="0"/>
    <xf numFmtId="0" fontId="65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top"/>
      <protection locked="0"/>
    </xf>
    <xf numFmtId="10" fontId="40" fillId="45" borderId="3" applyNumberFormat="0" applyBorder="0" applyAlignment="0" applyProtection="0"/>
    <xf numFmtId="2" fontId="75" fillId="0" borderId="24" applyNumberFormat="0" applyFill="0" applyBorder="0" applyAlignment="0">
      <alignment horizontal="center"/>
      <protection locked="0"/>
    </xf>
    <xf numFmtId="2" fontId="75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6" fillId="8" borderId="7" applyNumberFormat="0" applyAlignment="0" applyProtection="0"/>
    <xf numFmtId="0" fontId="76" fillId="8" borderId="7" applyNumberFormat="0" applyAlignment="0" applyProtection="0"/>
    <xf numFmtId="0" fontId="76" fillId="8" borderId="7" applyNumberFormat="0" applyAlignment="0" applyProtection="0"/>
    <xf numFmtId="0" fontId="76" fillId="8" borderId="7" applyNumberFormat="0" applyAlignment="0" applyProtection="0"/>
    <xf numFmtId="37" fontId="77" fillId="0" borderId="0" applyNumberFormat="0" applyAlignment="0">
      <protection locked="0"/>
    </xf>
    <xf numFmtId="0" fontId="78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9" fillId="44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8" fontId="12" fillId="12" borderId="0"/>
    <xf numFmtId="0" fontId="82" fillId="8" borderId="0" applyNumberFormat="0" applyBorder="0" applyAlignment="0" applyProtection="0"/>
    <xf numFmtId="0" fontId="83" fillId="13" borderId="0" applyNumberFormat="0" applyBorder="0" applyAlignment="0" applyProtection="0"/>
    <xf numFmtId="0" fontId="84" fillId="37" borderId="0" applyNumberFormat="0" applyBorder="0" applyAlignment="0" applyProtection="0"/>
    <xf numFmtId="37" fontId="85" fillId="0" borderId="0"/>
    <xf numFmtId="0" fontId="48" fillId="12" borderId="0" applyNumberFormat="0" applyFont="0" applyFill="0" applyBorder="0" applyAlignment="0"/>
    <xf numFmtId="10" fontId="12" fillId="12" borderId="0"/>
    <xf numFmtId="181" fontId="86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1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42" borderId="0"/>
    <xf numFmtId="0" fontId="9" fillId="42" borderId="0"/>
    <xf numFmtId="0" fontId="9" fillId="0" borderId="0"/>
    <xf numFmtId="0" fontId="9" fillId="0" borderId="0"/>
    <xf numFmtId="0" fontId="33" fillId="41" borderId="0"/>
    <xf numFmtId="0" fontId="33" fillId="41" borderId="0"/>
    <xf numFmtId="0" fontId="33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1" borderId="0"/>
    <xf numFmtId="0" fontId="9" fillId="0" borderId="0"/>
    <xf numFmtId="0" fontId="9" fillId="0" borderId="0"/>
    <xf numFmtId="0" fontId="33" fillId="41" borderId="0"/>
    <xf numFmtId="0" fontId="1" fillId="0" borderId="0"/>
    <xf numFmtId="0" fontId="1" fillId="0" borderId="0"/>
    <xf numFmtId="0" fontId="9" fillId="0" borderId="0">
      <alignment vertical="top"/>
    </xf>
    <xf numFmtId="0" fontId="9" fillId="0" borderId="0">
      <alignment vertical="top"/>
    </xf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7" fillId="0" borderId="0"/>
    <xf numFmtId="0" fontId="9" fillId="0" borderId="0"/>
    <xf numFmtId="0" fontId="9" fillId="0" borderId="0"/>
    <xf numFmtId="0" fontId="33" fillId="3" borderId="2" applyNumberFormat="0" applyFont="0" applyAlignment="0" applyProtection="0"/>
    <xf numFmtId="0" fontId="12" fillId="10" borderId="26" applyNumberFormat="0" applyFont="0" applyAlignment="0" applyProtection="0"/>
    <xf numFmtId="0" fontId="88" fillId="10" borderId="26" applyNumberFormat="0" applyFont="0" applyAlignment="0" applyProtection="0"/>
    <xf numFmtId="0" fontId="33" fillId="3" borderId="2" applyNumberFormat="0" applyFont="0" applyAlignment="0" applyProtection="0"/>
    <xf numFmtId="0" fontId="89" fillId="0" borderId="0"/>
    <xf numFmtId="0" fontId="13" fillId="10" borderId="26" applyNumberFormat="0" applyFont="0" applyAlignment="0" applyProtection="0"/>
    <xf numFmtId="0" fontId="33" fillId="3" borderId="2" applyNumberFormat="0" applyFont="0" applyAlignment="0" applyProtection="0"/>
    <xf numFmtId="0" fontId="33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6" fillId="0" borderId="0">
      <alignment horizontal="center"/>
    </xf>
    <xf numFmtId="37" fontId="9" fillId="0" borderId="0"/>
    <xf numFmtId="183" fontId="4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184" fontId="90" fillId="0" borderId="0" applyNumberFormat="0" applyFill="0" applyBorder="0" applyAlignment="0" applyProtection="0"/>
    <xf numFmtId="164" fontId="26" fillId="0" borderId="0">
      <alignment horizontal="center"/>
    </xf>
    <xf numFmtId="0" fontId="33" fillId="6" borderId="0" applyNumberFormat="0" applyFont="0" applyBorder="0" applyAlignment="0" applyProtection="0"/>
    <xf numFmtId="0" fontId="90" fillId="0" borderId="27"/>
    <xf numFmtId="2" fontId="91" fillId="36" borderId="6">
      <alignment horizontal="left"/>
    </xf>
    <xf numFmtId="0" fontId="92" fillId="12" borderId="28" applyNumberFormat="0" applyAlignment="0" applyProtection="0"/>
    <xf numFmtId="0" fontId="93" fillId="14" borderId="28" applyNumberFormat="0" applyAlignment="0" applyProtection="0"/>
    <xf numFmtId="0" fontId="94" fillId="16" borderId="28" applyNumberFormat="0" applyAlignment="0" applyProtection="0"/>
    <xf numFmtId="40" fontId="12" fillId="36" borderId="0">
      <alignment horizontal="right"/>
    </xf>
    <xf numFmtId="0" fontId="95" fillId="45" borderId="0">
      <alignment horizontal="center"/>
    </xf>
    <xf numFmtId="0" fontId="38" fillId="46" borderId="6"/>
    <xf numFmtId="0" fontId="96" fillId="0" borderId="0" applyBorder="0">
      <alignment horizontal="centerContinuous"/>
    </xf>
    <xf numFmtId="0" fontId="97" fillId="0" borderId="0" applyBorder="0">
      <alignment horizontal="centerContinuous"/>
    </xf>
    <xf numFmtId="0" fontId="60" fillId="0" borderId="0"/>
    <xf numFmtId="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8" fillId="0" borderId="0" applyFont="0" applyFill="0" applyBorder="0" applyAlignment="0" applyProtection="0"/>
    <xf numFmtId="185" fontId="27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0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186" fontId="26" fillId="0" borderId="0">
      <alignment horizontal="center"/>
    </xf>
    <xf numFmtId="187" fontId="26" fillId="0" borderId="3">
      <alignment horizontal="center"/>
    </xf>
    <xf numFmtId="0" fontId="99" fillId="0" borderId="29" applyAlignment="0">
      <alignment horizontal="center"/>
    </xf>
    <xf numFmtId="0" fontId="100" fillId="44" borderId="0"/>
    <xf numFmtId="0" fontId="50" fillId="0" borderId="0" applyNumberFormat="0" applyFont="0" applyFill="0" applyBorder="0" applyAlignment="0" applyProtection="0">
      <alignment horizontal="left"/>
    </xf>
    <xf numFmtId="0" fontId="101" fillId="0" borderId="30">
      <alignment horizontal="center"/>
    </xf>
    <xf numFmtId="0" fontId="47" fillId="0" borderId="0">
      <alignment vertical="top"/>
    </xf>
    <xf numFmtId="188" fontId="47" fillId="0" borderId="0">
      <alignment vertical="top"/>
    </xf>
    <xf numFmtId="0" fontId="99" fillId="0" borderId="0">
      <alignment horizontal="left"/>
    </xf>
    <xf numFmtId="0" fontId="99" fillId="0" borderId="0">
      <alignment horizontal="right"/>
    </xf>
    <xf numFmtId="0" fontId="12" fillId="0" borderId="6" applyNumberFormat="0" applyBorder="0" applyAlignment="0"/>
    <xf numFmtId="189" fontId="102" fillId="0" borderId="0" applyNumberFormat="0" applyFill="0" applyBorder="0" applyAlignment="0" applyProtection="0">
      <alignment horizontal="left"/>
    </xf>
    <xf numFmtId="0" fontId="48" fillId="33" borderId="0">
      <alignment horizontal="left"/>
    </xf>
    <xf numFmtId="0" fontId="103" fillId="0" borderId="31"/>
    <xf numFmtId="187" fontId="23" fillId="10" borderId="0">
      <alignment horizontal="center"/>
    </xf>
    <xf numFmtId="187" fontId="104" fillId="10" borderId="0">
      <alignment horizontal="center"/>
    </xf>
    <xf numFmtId="187" fontId="23" fillId="11" borderId="0">
      <alignment horizontal="center"/>
    </xf>
    <xf numFmtId="0" fontId="23" fillId="10" borderId="0">
      <alignment horizontal="left"/>
    </xf>
    <xf numFmtId="0" fontId="105" fillId="0" borderId="0" applyFont="0" applyFill="0" applyBorder="0" applyAlignment="0" applyProtection="0"/>
    <xf numFmtId="190" fontId="27" fillId="0" borderId="0" applyFont="0" applyFill="0" applyBorder="0" applyAlignment="0" applyProtection="0"/>
    <xf numFmtId="191" fontId="9" fillId="0" borderId="0"/>
    <xf numFmtId="0" fontId="9" fillId="0" borderId="0"/>
    <xf numFmtId="0" fontId="9" fillId="0" borderId="0">
      <alignment horizontal="left" wrapText="1"/>
    </xf>
    <xf numFmtId="0" fontId="23" fillId="10" borderId="0">
      <alignment horizontal="center"/>
    </xf>
    <xf numFmtId="0" fontId="99" fillId="0" borderId="0"/>
    <xf numFmtId="0" fontId="106" fillId="0" borderId="0"/>
    <xf numFmtId="40" fontId="107" fillId="0" borderId="0" applyBorder="0">
      <alignment horizontal="right"/>
    </xf>
    <xf numFmtId="0" fontId="9" fillId="36" borderId="26"/>
    <xf numFmtId="0" fontId="26" fillId="0" borderId="0">
      <alignment horizontal="center"/>
    </xf>
    <xf numFmtId="15" fontId="26" fillId="0" borderId="0">
      <alignment horizontal="center"/>
    </xf>
    <xf numFmtId="0" fontId="108" fillId="0" borderId="0">
      <alignment horizontal="center"/>
    </xf>
    <xf numFmtId="3" fontId="26" fillId="0" borderId="0">
      <alignment horizontal="center"/>
    </xf>
    <xf numFmtId="192" fontId="26" fillId="0" borderId="0">
      <alignment horizontal="center"/>
    </xf>
    <xf numFmtId="187" fontId="26" fillId="0" borderId="0">
      <alignment horizontal="center"/>
    </xf>
    <xf numFmtId="0" fontId="109" fillId="47" borderId="0"/>
    <xf numFmtId="193" fontId="26" fillId="0" borderId="0">
      <alignment horizontal="center"/>
    </xf>
    <xf numFmtId="193" fontId="26" fillId="0" borderId="32">
      <alignment horizontal="center"/>
    </xf>
    <xf numFmtId="0" fontId="26" fillId="0" borderId="0">
      <alignment horizontal="left"/>
    </xf>
    <xf numFmtId="0" fontId="110" fillId="0" borderId="0">
      <alignment horizontal="center"/>
    </xf>
    <xf numFmtId="0" fontId="111" fillId="0" borderId="0" applyNumberFormat="0" applyFill="0" applyBorder="0"/>
    <xf numFmtId="0" fontId="12" fillId="12" borderId="0"/>
    <xf numFmtId="49" fontId="12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49" fontId="9" fillId="0" borderId="0"/>
    <xf numFmtId="0" fontId="112" fillId="0" borderId="0">
      <alignment horizontal="right"/>
    </xf>
    <xf numFmtId="0" fontId="113" fillId="0" borderId="0">
      <alignment horizontal="right"/>
      <protection locked="0"/>
    </xf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20" fillId="12" borderId="0"/>
    <xf numFmtId="0" fontId="33" fillId="48" borderId="33" applyBorder="0">
      <alignment horizontal="center" wrapText="1"/>
    </xf>
    <xf numFmtId="0" fontId="32" fillId="39" borderId="9" applyBorder="0">
      <alignment horizontal="center" wrapText="1"/>
    </xf>
    <xf numFmtId="0" fontId="33" fillId="49" borderId="9" applyBorder="0">
      <alignment horizontal="center" wrapText="1"/>
    </xf>
    <xf numFmtId="0" fontId="32" fillId="40" borderId="9" applyBorder="0">
      <alignment horizontal="center" wrapText="1"/>
    </xf>
    <xf numFmtId="0" fontId="7" fillId="50" borderId="9" applyBorder="0">
      <alignment horizontal="center" wrapText="1"/>
    </xf>
    <xf numFmtId="0" fontId="32" fillId="51" borderId="9" applyBorder="0">
      <alignment horizontal="center" wrapText="1"/>
    </xf>
    <xf numFmtId="0" fontId="32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99" fillId="0" borderId="0" applyNumberFormat="0" applyFill="0" applyBorder="0" applyAlignment="0" applyProtection="0"/>
    <xf numFmtId="0" fontId="117" fillId="0" borderId="34" applyNumberFormat="0" applyFill="0" applyAlignment="0" applyProtection="0"/>
    <xf numFmtId="0" fontId="20" fillId="0" borderId="35" applyNumberFormat="0" applyFill="0" applyAlignment="0" applyProtection="0"/>
    <xf numFmtId="0" fontId="9" fillId="0" borderId="36" applyNumberFormat="0" applyFill="0" applyAlignment="0" applyProtection="0"/>
    <xf numFmtId="0" fontId="118" fillId="0" borderId="37" applyNumberFormat="0" applyFill="0" applyAlignment="0" applyProtection="0"/>
    <xf numFmtId="0" fontId="119" fillId="12" borderId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1" fontId="123" fillId="41" borderId="10"/>
    <xf numFmtId="1" fontId="123" fillId="42" borderId="10"/>
    <xf numFmtId="2" fontId="124" fillId="42" borderId="10"/>
    <xf numFmtId="0" fontId="125" fillId="41" borderId="4" applyNumberFormat="0" applyAlignment="0"/>
    <xf numFmtId="0" fontId="126" fillId="42" borderId="4" applyNumberFormat="0" applyAlignment="0"/>
    <xf numFmtId="1" fontId="127" fillId="42" borderId="10" applyNumberFormat="0"/>
    <xf numFmtId="177" fontId="128" fillId="42" borderId="10" applyNumberFormat="0"/>
    <xf numFmtId="0" fontId="9" fillId="0" borderId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" fillId="54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" fillId="56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" fillId="58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" fillId="60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" fillId="62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" fillId="53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" fillId="55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" fillId="57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" fillId="59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" fillId="61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" fillId="63" borderId="0" applyNumberFormat="0" applyBorder="0" applyAlignment="0" applyProtection="0"/>
    <xf numFmtId="0" fontId="133" fillId="52" borderId="1" applyNumberFormat="0" applyAlignment="0" applyProtection="0"/>
    <xf numFmtId="0" fontId="131" fillId="52" borderId="1" applyNumberFormat="0" applyAlignment="0" applyProtection="0"/>
    <xf numFmtId="0" fontId="34" fillId="42" borderId="8" applyNumberFormat="0"/>
    <xf numFmtId="0" fontId="79" fillId="36" borderId="39" applyNumberFormat="0"/>
    <xf numFmtId="0" fontId="79" fillId="36" borderId="39" applyNumberFormat="0"/>
    <xf numFmtId="0" fontId="33" fillId="38" borderId="8" applyNumberFormat="0"/>
    <xf numFmtId="0" fontId="134" fillId="65" borderId="39" applyNumberFormat="0"/>
    <xf numFmtId="14" fontId="35" fillId="41" borderId="10" applyNumberFormat="0" applyAlignment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35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2" fillId="0" borderId="0"/>
    <xf numFmtId="0" fontId="13" fillId="0" borderId="0"/>
    <xf numFmtId="0" fontId="13" fillId="0" borderId="0"/>
    <xf numFmtId="0" fontId="13" fillId="0" borderId="0"/>
    <xf numFmtId="0" fontId="134" fillId="36" borderId="0"/>
    <xf numFmtId="0" fontId="9" fillId="0" borderId="0"/>
    <xf numFmtId="0" fontId="13" fillId="0" borderId="0"/>
    <xf numFmtId="0" fontId="13" fillId="0" borderId="0"/>
    <xf numFmtId="0" fontId="13" fillId="0" borderId="0"/>
    <xf numFmtId="0" fontId="33" fillId="41" borderId="0"/>
    <xf numFmtId="0" fontId="33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4" fillId="3" borderId="2" applyNumberFormat="0" applyFont="0" applyAlignment="0" applyProtection="0"/>
    <xf numFmtId="0" fontId="134" fillId="3" borderId="2" applyNumberFormat="0" applyFont="0" applyAlignment="0" applyProtection="0"/>
    <xf numFmtId="0" fontId="134" fillId="3" borderId="2" applyNumberFormat="0" applyFont="0" applyAlignment="0" applyProtection="0"/>
    <xf numFmtId="0" fontId="134" fillId="3" borderId="2" applyNumberFormat="0" applyFont="0" applyAlignment="0" applyProtection="0"/>
    <xf numFmtId="0" fontId="3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" fillId="3" borderId="2" applyNumberFormat="0" applyFont="0" applyAlignment="0" applyProtection="0"/>
    <xf numFmtId="0" fontId="13" fillId="3" borderId="2" applyNumberFormat="0" applyFont="0" applyAlignment="0" applyProtection="0"/>
    <xf numFmtId="0" fontId="1" fillId="3" borderId="2" applyNumberFormat="0" applyFont="0" applyAlignment="0" applyProtection="0"/>
    <xf numFmtId="0" fontId="134" fillId="6" borderId="0" applyNumberFormat="0" applyFont="0" applyBorder="0" applyAlignment="0" applyProtection="0"/>
    <xf numFmtId="0" fontId="134" fillId="6" borderId="0" applyNumberFormat="0" applyFont="0" applyBorder="0" applyAlignment="0" applyProtection="0"/>
    <xf numFmtId="0" fontId="134" fillId="6" borderId="0" applyNumberFormat="0" applyFont="0" applyBorder="0" applyAlignment="0" applyProtection="0"/>
    <xf numFmtId="0" fontId="134" fillId="6" borderId="0" applyNumberFormat="0" applyFont="0" applyBorder="0" applyAlignment="0" applyProtection="0"/>
    <xf numFmtId="0" fontId="33" fillId="6" borderId="0" applyNumberFormat="0" applyFont="0" applyBorder="0" applyAlignment="0" applyProtection="0"/>
    <xf numFmtId="0" fontId="130" fillId="52" borderId="38" applyNumberForma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33" fillId="0" borderId="0" applyFont="0" applyFill="0" applyBorder="0" applyAlignment="0" applyProtection="0"/>
    <xf numFmtId="0" fontId="32" fillId="39" borderId="9" applyBorder="0">
      <alignment horizontal="center" wrapText="1"/>
    </xf>
    <xf numFmtId="0" fontId="134" fillId="45" borderId="33" applyBorder="0">
      <alignment horizontal="center" wrapText="1"/>
    </xf>
    <xf numFmtId="0" fontId="33" fillId="49" borderId="9" applyBorder="0">
      <alignment horizontal="center" wrapText="1"/>
    </xf>
    <xf numFmtId="0" fontId="134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11" fillId="66" borderId="9" applyBorder="0">
      <alignment horizontal="center" wrapText="1"/>
    </xf>
    <xf numFmtId="0" fontId="118" fillId="0" borderId="37" applyNumberFormat="0" applyFill="0" applyAlignment="0" applyProtection="0"/>
    <xf numFmtId="0" fontId="118" fillId="0" borderId="37" applyNumberFormat="0" applyFill="0" applyAlignment="0" applyProtection="0"/>
    <xf numFmtId="0" fontId="132" fillId="0" borderId="0" applyNumberFormat="0" applyFill="0" applyBorder="0" applyAlignment="0" applyProtection="0"/>
    <xf numFmtId="1" fontId="123" fillId="42" borderId="10"/>
    <xf numFmtId="0" fontId="125" fillId="41" borderId="4" applyNumberFormat="0" applyAlignment="0"/>
  </cellStyleXfs>
  <cellXfs count="73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129" fillId="0" borderId="0" xfId="0" applyFont="1" applyAlignment="1">
      <alignment horizontal="right"/>
    </xf>
    <xf numFmtId="195" fontId="129" fillId="0" borderId="0" xfId="0" applyNumberFormat="1" applyFont="1" applyAlignment="1">
      <alignment horizontal="left"/>
    </xf>
    <xf numFmtId="14" fontId="7" fillId="0" borderId="40" xfId="0" applyNumberFormat="1" applyFont="1" applyBorder="1"/>
    <xf numFmtId="164" fontId="8" fillId="7" borderId="41" xfId="0" applyNumberFormat="1" applyFont="1" applyFill="1" applyBorder="1" applyAlignment="1">
      <alignment horizontal="center"/>
    </xf>
    <xf numFmtId="10" fontId="7" fillId="0" borderId="0" xfId="1" applyNumberFormat="1" applyFont="1"/>
    <xf numFmtId="10" fontId="7" fillId="0" borderId="0" xfId="0" applyNumberFormat="1" applyFont="1"/>
    <xf numFmtId="10" fontId="7" fillId="0" borderId="42" xfId="0" applyNumberFormat="1" applyFont="1" applyBorder="1"/>
    <xf numFmtId="10" fontId="0" fillId="0" borderId="0" xfId="0" applyNumberFormat="1"/>
    <xf numFmtId="2" fontId="7" fillId="0" borderId="0" xfId="1" applyNumberFormat="1" applyFont="1"/>
    <xf numFmtId="2" fontId="7" fillId="0" borderId="0" xfId="0" applyNumberFormat="1" applyFont="1"/>
    <xf numFmtId="0" fontId="7" fillId="0" borderId="0" xfId="0" applyFont="1" applyAlignment="1">
      <alignment vertical="center"/>
    </xf>
    <xf numFmtId="194" fontId="7" fillId="0" borderId="41" xfId="1" applyNumberFormat="1" applyFont="1" applyBorder="1" applyAlignment="1">
      <alignment horizontal="center" vertical="center"/>
    </xf>
    <xf numFmtId="0" fontId="0" fillId="0" borderId="41" xfId="0" applyBorder="1"/>
    <xf numFmtId="10" fontId="0" fillId="0" borderId="41" xfId="0" applyNumberFormat="1" applyBorder="1"/>
    <xf numFmtId="2" fontId="8" fillId="7" borderId="41" xfId="0" applyNumberFormat="1" applyFont="1" applyFill="1" applyBorder="1" applyAlignment="1">
      <alignment horizontal="center"/>
    </xf>
    <xf numFmtId="0" fontId="136" fillId="0" borderId="0" xfId="0" applyFont="1"/>
    <xf numFmtId="0" fontId="137" fillId="0" borderId="0" xfId="0" applyFont="1"/>
    <xf numFmtId="0" fontId="137" fillId="0" borderId="0" xfId="0" applyFont="1" applyAlignment="1">
      <alignment horizontal="left"/>
    </xf>
    <xf numFmtId="0" fontId="137" fillId="0" borderId="0" xfId="0" applyFont="1" applyAlignment="1">
      <alignment horizontal="right"/>
    </xf>
    <xf numFmtId="164" fontId="8" fillId="7" borderId="44" xfId="0" applyNumberFormat="1" applyFont="1" applyFill="1" applyBorder="1" applyAlignment="1">
      <alignment horizontal="center"/>
    </xf>
    <xf numFmtId="164" fontId="8" fillId="7" borderId="45" xfId="0" applyNumberFormat="1" applyFont="1" applyFill="1" applyBorder="1" applyAlignment="1">
      <alignment horizontal="center"/>
    </xf>
    <xf numFmtId="14" fontId="7" fillId="0" borderId="44" xfId="0" applyNumberFormat="1" applyFont="1" applyBorder="1" applyAlignment="1">
      <alignment horizontal="center" vertical="center"/>
    </xf>
    <xf numFmtId="14" fontId="7" fillId="0" borderId="46" xfId="0" applyNumberFormat="1" applyFont="1" applyBorder="1" applyAlignment="1">
      <alignment horizontal="center" vertical="center"/>
    </xf>
    <xf numFmtId="194" fontId="7" fillId="0" borderId="47" xfId="1" applyNumberFormat="1" applyFont="1" applyBorder="1" applyAlignment="1">
      <alignment horizontal="center" vertical="center"/>
    </xf>
    <xf numFmtId="194" fontId="7" fillId="0" borderId="45" xfId="1" applyNumberFormat="1" applyFont="1" applyBorder="1" applyAlignment="1">
      <alignment horizontal="center" vertical="center"/>
    </xf>
    <xf numFmtId="194" fontId="7" fillId="0" borderId="48" xfId="1" applyNumberFormat="1" applyFont="1" applyBorder="1" applyAlignment="1">
      <alignment horizontal="center" vertical="center"/>
    </xf>
    <xf numFmtId="1" fontId="7" fillId="0" borderId="44" xfId="0" applyNumberFormat="1" applyFont="1" applyBorder="1" applyAlignment="1">
      <alignment horizontal="center" vertical="center"/>
    </xf>
    <xf numFmtId="1" fontId="7" fillId="0" borderId="46" xfId="0" applyNumberFormat="1" applyFont="1" applyBorder="1" applyAlignment="1">
      <alignment horizontal="center" vertical="center"/>
    </xf>
    <xf numFmtId="164" fontId="8" fillId="7" borderId="43" xfId="0" applyNumberFormat="1" applyFont="1" applyFill="1" applyBorder="1" applyAlignment="1">
      <alignment vertical="center"/>
    </xf>
    <xf numFmtId="2" fontId="4" fillId="67" borderId="44" xfId="0" applyNumberFormat="1" applyFont="1" applyFill="1" applyBorder="1" applyAlignment="1">
      <alignment horizontal="center" vertical="center"/>
    </xf>
    <xf numFmtId="194" fontId="4" fillId="67" borderId="45" xfId="1" quotePrefix="1" applyNumberFormat="1" applyFont="1" applyFill="1" applyBorder="1" applyAlignment="1">
      <alignment horizontal="center" vertical="center"/>
    </xf>
    <xf numFmtId="194" fontId="7" fillId="0" borderId="44" xfId="1" applyNumberFormat="1" applyFont="1" applyBorder="1" applyAlignment="1">
      <alignment horizontal="center" vertical="center"/>
    </xf>
    <xf numFmtId="194" fontId="4" fillId="67" borderId="44" xfId="1" applyNumberFormat="1" applyFont="1" applyFill="1" applyBorder="1" applyAlignment="1">
      <alignment horizontal="center" vertical="center"/>
    </xf>
    <xf numFmtId="194" fontId="7" fillId="0" borderId="46" xfId="1" applyNumberFormat="1" applyFont="1" applyBorder="1" applyAlignment="1">
      <alignment horizontal="center" vertical="center"/>
    </xf>
    <xf numFmtId="14" fontId="138" fillId="0" borderId="0" xfId="0" applyNumberFormat="1" applyFont="1"/>
    <xf numFmtId="10" fontId="138" fillId="0" borderId="0" xfId="0" applyNumberFormat="1" applyFont="1"/>
    <xf numFmtId="2" fontId="138" fillId="0" borderId="0" xfId="0" applyNumberFormat="1" applyFont="1"/>
    <xf numFmtId="14" fontId="137" fillId="0" borderId="0" xfId="0" applyNumberFormat="1" applyFont="1" applyAlignment="1">
      <alignment horizontal="left"/>
    </xf>
    <xf numFmtId="164" fontId="0" fillId="0" borderId="0" xfId="0" applyNumberFormat="1"/>
    <xf numFmtId="194" fontId="0" fillId="0" borderId="0" xfId="0" applyNumberFormat="1"/>
    <xf numFmtId="9" fontId="0" fillId="0" borderId="0" xfId="1" applyFont="1"/>
    <xf numFmtId="164" fontId="8" fillId="7" borderId="54" xfId="0" applyNumberFormat="1" applyFont="1" applyFill="1" applyBorder="1" applyAlignment="1">
      <alignment horizontal="left" vertical="center"/>
    </xf>
    <xf numFmtId="164" fontId="8" fillId="7" borderId="55" xfId="0" applyNumberFormat="1" applyFont="1" applyFill="1" applyBorder="1" applyAlignment="1">
      <alignment horizontal="center"/>
    </xf>
    <xf numFmtId="14" fontId="7" fillId="0" borderId="55" xfId="0" applyNumberFormat="1" applyFont="1" applyBorder="1" applyAlignment="1">
      <alignment horizontal="center" vertical="center"/>
    </xf>
    <xf numFmtId="14" fontId="7" fillId="0" borderId="56" xfId="0" applyNumberFormat="1" applyFont="1" applyBorder="1" applyAlignment="1">
      <alignment horizontal="center" vertical="center"/>
    </xf>
    <xf numFmtId="194" fontId="7" fillId="0" borderId="50" xfId="1" applyNumberFormat="1" applyFont="1" applyBorder="1" applyAlignment="1">
      <alignment horizontal="center" vertical="center"/>
    </xf>
    <xf numFmtId="194" fontId="7" fillId="0" borderId="51" xfId="1" applyNumberFormat="1" applyFont="1" applyBorder="1" applyAlignment="1">
      <alignment horizontal="center" vertical="center"/>
    </xf>
    <xf numFmtId="14" fontId="139" fillId="0" borderId="0" xfId="0" applyNumberFormat="1" applyFont="1"/>
    <xf numFmtId="10" fontId="139" fillId="0" borderId="0" xfId="0" applyNumberFormat="1" applyFont="1"/>
    <xf numFmtId="2" fontId="139" fillId="0" borderId="0" xfId="0" applyNumberFormat="1" applyFont="1"/>
    <xf numFmtId="14" fontId="140" fillId="0" borderId="0" xfId="0" applyNumberFormat="1" applyFont="1"/>
    <xf numFmtId="10" fontId="140" fillId="0" borderId="0" xfId="0" applyNumberFormat="1" applyFont="1"/>
    <xf numFmtId="2" fontId="140" fillId="0" borderId="0" xfId="0" applyNumberFormat="1" applyFont="1"/>
    <xf numFmtId="164" fontId="8" fillId="7" borderId="49" xfId="0" applyNumberFormat="1" applyFont="1" applyFill="1" applyBorder="1" applyAlignment="1">
      <alignment horizontal="center" vertical="center"/>
    </xf>
    <xf numFmtId="164" fontId="8" fillId="7" borderId="52" xfId="0" applyNumberFormat="1" applyFont="1" applyFill="1" applyBorder="1" applyAlignment="1">
      <alignment horizontal="center" vertical="center"/>
    </xf>
    <xf numFmtId="164" fontId="8" fillId="7" borderId="53" xfId="0" applyNumberFormat="1" applyFont="1" applyFill="1" applyBorder="1" applyAlignment="1">
      <alignment horizontal="center" vertical="center"/>
    </xf>
  </cellXfs>
  <cellStyles count="1049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4 2" xfId="526"/>
    <cellStyle name="20% - Accent1 4 2 2" xfId="527"/>
    <cellStyle name="20% - Accent1 4 3" xfId="528"/>
    <cellStyle name="20% - Accent1 4 3 2" xfId="529"/>
    <cellStyle name="20% - Accent1 4 4" xfId="530"/>
    <cellStyle name="20% - Accent1 4_Primary vs Secondary Spread Oct 3" xfId="531"/>
    <cellStyle name="20% - Accent1 5" xfId="16"/>
    <cellStyle name="20% - Accent2 2" xfId="17"/>
    <cellStyle name="20% - Accent2 3" xfId="18"/>
    <cellStyle name="20% - Accent2 4" xfId="19"/>
    <cellStyle name="20% - Accent2 4 2" xfId="532"/>
    <cellStyle name="20% - Accent2 4 2 2" xfId="533"/>
    <cellStyle name="20% - Accent2 4 3" xfId="534"/>
    <cellStyle name="20% - Accent2 4 3 2" xfId="535"/>
    <cellStyle name="20% - Accent2 4 4" xfId="536"/>
    <cellStyle name="20% - Accent2 4_Primary vs Secondary Spread Oct 3" xfId="537"/>
    <cellStyle name="20% - Accent2 5" xfId="538"/>
    <cellStyle name="20% - Accent3 2" xfId="20"/>
    <cellStyle name="20% - Accent3 3" xfId="21"/>
    <cellStyle name="20% - Accent3 4" xfId="22"/>
    <cellStyle name="20% - Accent3 4 2" xfId="539"/>
    <cellStyle name="20% - Accent3 4 2 2" xfId="540"/>
    <cellStyle name="20% - Accent3 4 3" xfId="541"/>
    <cellStyle name="20% - Accent3 4 3 2" xfId="542"/>
    <cellStyle name="20% - Accent3 4 4" xfId="543"/>
    <cellStyle name="20% - Accent3 4_Primary vs Secondary Spread Oct 3" xfId="544"/>
    <cellStyle name="20% - Accent3 5" xfId="545"/>
    <cellStyle name="20% - Accent4 2" xfId="23"/>
    <cellStyle name="20% - Accent4 3" xfId="24"/>
    <cellStyle name="20% - Accent4 4" xfId="25"/>
    <cellStyle name="20% - Accent4 4 2" xfId="546"/>
    <cellStyle name="20% - Accent4 4 2 2" xfId="547"/>
    <cellStyle name="20% - Accent4 4 3" xfId="548"/>
    <cellStyle name="20% - Accent4 4 3 2" xfId="549"/>
    <cellStyle name="20% - Accent4 4 4" xfId="550"/>
    <cellStyle name="20% - Accent4 4_Primary vs Secondary Spread Oct 3" xfId="551"/>
    <cellStyle name="20% - Accent4 5" xfId="552"/>
    <cellStyle name="20% - Accent5 2" xfId="26"/>
    <cellStyle name="20% - Accent5 3" xfId="27"/>
    <cellStyle name="20% - Accent5 4" xfId="28"/>
    <cellStyle name="20% - Accent5 4 2" xfId="553"/>
    <cellStyle name="20% - Accent5 4 2 2" xfId="554"/>
    <cellStyle name="20% - Accent5 4 3" xfId="555"/>
    <cellStyle name="20% - Accent5 4 3 2" xfId="556"/>
    <cellStyle name="20% - Accent5 4 4" xfId="557"/>
    <cellStyle name="20% - Accent5 4_Primary vs Secondary Spread Oct 3" xfId="558"/>
    <cellStyle name="20% - Accent5 5" xfId="559"/>
    <cellStyle name="20% - Accent6 2" xfId="29"/>
    <cellStyle name="20% - Accent6 3" xfId="30"/>
    <cellStyle name="20% - Accent6 4" xfId="31"/>
    <cellStyle name="20% - Accent6 4 2" xfId="560"/>
    <cellStyle name="20% - Accent6 4 2 2" xfId="561"/>
    <cellStyle name="20% - Accent6 4 3" xfId="562"/>
    <cellStyle name="20% - Accent6 4 3 2" xfId="563"/>
    <cellStyle name="20% - Accent6 4 4" xfId="564"/>
    <cellStyle name="20% - Accent6 4_Primary vs Secondary Spread Oct 3" xfId="565"/>
    <cellStyle name="20% - Accent6 5" xfId="566"/>
    <cellStyle name="40% - Accent1 2" xfId="32"/>
    <cellStyle name="40% - Accent1 3" xfId="33"/>
    <cellStyle name="40% - Accent1 4" xfId="34"/>
    <cellStyle name="40% - Accent1 4 2" xfId="567"/>
    <cellStyle name="40% - Accent1 4 2 2" xfId="568"/>
    <cellStyle name="40% - Accent1 4 3" xfId="569"/>
    <cellStyle name="40% - Accent1 4 3 2" xfId="570"/>
    <cellStyle name="40% - Accent1 4 4" xfId="571"/>
    <cellStyle name="40% - Accent1 4_Primary vs Secondary Spread Oct 3" xfId="572"/>
    <cellStyle name="40% - Accent1 5" xfId="573"/>
    <cellStyle name="40% - Accent2 2" xfId="35"/>
    <cellStyle name="40% - Accent2 3" xfId="36"/>
    <cellStyle name="40% - Accent2 4" xfId="37"/>
    <cellStyle name="40% - Accent2 4 2" xfId="574"/>
    <cellStyle name="40% - Accent2 4 2 2" xfId="575"/>
    <cellStyle name="40% - Accent2 4 3" xfId="576"/>
    <cellStyle name="40% - Accent2 4 3 2" xfId="577"/>
    <cellStyle name="40% - Accent2 4 4" xfId="578"/>
    <cellStyle name="40% - Accent2 4_Primary vs Secondary Spread Oct 3" xfId="579"/>
    <cellStyle name="40% - Accent2 5" xfId="580"/>
    <cellStyle name="40% - Accent3 2" xfId="38"/>
    <cellStyle name="40% - Accent3 3" xfId="39"/>
    <cellStyle name="40% - Accent3 4" xfId="40"/>
    <cellStyle name="40% - Accent3 4 2" xfId="581"/>
    <cellStyle name="40% - Accent3 4 2 2" xfId="582"/>
    <cellStyle name="40% - Accent3 4 3" xfId="583"/>
    <cellStyle name="40% - Accent3 4 3 2" xfId="584"/>
    <cellStyle name="40% - Accent3 4 4" xfId="585"/>
    <cellStyle name="40% - Accent3 4_Primary vs Secondary Spread Oct 3" xfId="586"/>
    <cellStyle name="40% - Accent3 5" xfId="587"/>
    <cellStyle name="40% - Accent4 2" xfId="41"/>
    <cellStyle name="40% - Accent4 3" xfId="42"/>
    <cellStyle name="40% - Accent4 4" xfId="43"/>
    <cellStyle name="40% - Accent4 4 2" xfId="588"/>
    <cellStyle name="40% - Accent4 4 2 2" xfId="589"/>
    <cellStyle name="40% - Accent4 4 3" xfId="590"/>
    <cellStyle name="40% - Accent4 4 3 2" xfId="591"/>
    <cellStyle name="40% - Accent4 4 4" xfId="592"/>
    <cellStyle name="40% - Accent4 4_Primary vs Secondary Spread Oct 3" xfId="593"/>
    <cellStyle name="40% - Accent4 5" xfId="594"/>
    <cellStyle name="40% - Accent5 2" xfId="44"/>
    <cellStyle name="40% - Accent5 3" xfId="45"/>
    <cellStyle name="40% - Accent5 4" xfId="46"/>
    <cellStyle name="40% - Accent5 4 2" xfId="595"/>
    <cellStyle name="40% - Accent5 4 2 2" xfId="596"/>
    <cellStyle name="40% - Accent5 4 3" xfId="597"/>
    <cellStyle name="40% - Accent5 4 3 2" xfId="598"/>
    <cellStyle name="40% - Accent5 4 4" xfId="599"/>
    <cellStyle name="40% - Accent5 4_Primary vs Secondary Spread Oct 3" xfId="600"/>
    <cellStyle name="40% - Accent5 5" xfId="601"/>
    <cellStyle name="40% - Accent6 2" xfId="47"/>
    <cellStyle name="40% - Accent6 3" xfId="48"/>
    <cellStyle name="40% - Accent6 4" xfId="49"/>
    <cellStyle name="40% - Accent6 4 2" xfId="602"/>
    <cellStyle name="40% - Accent6 4 2 2" xfId="603"/>
    <cellStyle name="40% - Accent6 4 3" xfId="604"/>
    <cellStyle name="40% - Accent6 4 3 2" xfId="605"/>
    <cellStyle name="40% - Accent6 4 4" xfId="606"/>
    <cellStyle name="40% - Accent6 4_Primary vs Secondary Spread Oct 3" xfId="607"/>
    <cellStyle name="40% - Accent6 5" xfId="608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alculation 5" xfId="609"/>
    <cellStyle name="Calculation 6" xfId="610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2 3" xfId="611"/>
    <cellStyle name="Cello Calculation 2_Primary vs Secondary Spread Oct 3" xfId="612"/>
    <cellStyle name="Cello Calculation 3" xfId="125"/>
    <cellStyle name="Cello Calculation 4" xfId="126"/>
    <cellStyle name="Cello Calculation_Primary vs Secondary Spread Oct 3" xfId="613"/>
    <cellStyle name="Cello Input" xfId="2"/>
    <cellStyle name="Cello Input 2" xfId="127"/>
    <cellStyle name="Cello Input 2 2" xfId="128"/>
    <cellStyle name="Cello Input 2 3" xfId="129"/>
    <cellStyle name="Cello Input 2 4" xfId="614"/>
    <cellStyle name="Cello Input 2 5" xfId="130"/>
    <cellStyle name="Cello Input 2_Primary vs Secondary Spread Oct 3" xfId="615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ello Linked Cell 3" xfId="616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29 2 2" xfId="617"/>
    <cellStyle name="Comma 29 3" xfId="618"/>
    <cellStyle name="Comma 29 3 2" xfId="619"/>
    <cellStyle name="Comma 29 4" xfId="620"/>
    <cellStyle name="Comma 29 5" xfId="621"/>
    <cellStyle name="Comma 3" xfId="181"/>
    <cellStyle name="Comma 30" xfId="182"/>
    <cellStyle name="Comma 31" xfId="622"/>
    <cellStyle name="Comma 32" xfId="623"/>
    <cellStyle name="Comma 33" xfId="624"/>
    <cellStyle name="Comma 34" xfId="625"/>
    <cellStyle name="Comma 35" xfId="626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16" xfId="627"/>
    <cellStyle name="Currency 17" xfId="628"/>
    <cellStyle name="Currency 18" xfId="629"/>
    <cellStyle name="Currency 19" xfId="630"/>
    <cellStyle name="Currency 2" xfId="204"/>
    <cellStyle name="Currency 20" xfId="631"/>
    <cellStyle name="Currency 21" xfId="632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Hyperlink 3" xfId="633"/>
    <cellStyle name="Input [yellow]" xfId="287"/>
    <cellStyle name="Input 10" xfId="634"/>
    <cellStyle name="Input 11" xfId="635"/>
    <cellStyle name="Input 12" xfId="636"/>
    <cellStyle name="Input 13" xfId="637"/>
    <cellStyle name="Input 14" xfId="638"/>
    <cellStyle name="Input 15" xfId="639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nput 8" xfId="640"/>
    <cellStyle name="Input 9" xfId="641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2 3" xfId="642"/>
    <cellStyle name="Normal 2 2_Primary vs Secondary Spread Oct 3" xfId="643"/>
    <cellStyle name="Normal 2 3" xfId="339"/>
    <cellStyle name="Normal 2 3 2" xfId="340"/>
    <cellStyle name="Normal 2 3 2 2" xfId="341"/>
    <cellStyle name="Normal 2 3 3" xfId="342"/>
    <cellStyle name="Normal 2 3_Primary vs Secondary Spread Oct 3" xfId="644"/>
    <cellStyle name="Normal 2 4" xfId="343"/>
    <cellStyle name="Normal 2 4 2" xfId="344"/>
    <cellStyle name="Normal 2 4 2 2" xfId="345"/>
    <cellStyle name="Normal 2 4 3" xfId="346"/>
    <cellStyle name="Normal 2 4_Primary vs Secondary Spread Oct 3" xfId="645"/>
    <cellStyle name="Normal 2 5" xfId="347"/>
    <cellStyle name="Normal 2 5 2" xfId="348"/>
    <cellStyle name="Normal 2 6" xfId="349"/>
    <cellStyle name="Normal 2 7" xfId="350"/>
    <cellStyle name="Normal 2_Primary vs Secondary Spread Oct 3" xfId="646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 3" xfId="647"/>
    <cellStyle name="Normal 3_Primary vs Secondary Spread Oct 3" xfId="648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8_Primary vs Secondary Spread Oct 3" xfId="649"/>
    <cellStyle name="Normal 39" xfId="376"/>
    <cellStyle name="Normal 4" xfId="377"/>
    <cellStyle name="Normal 4 2" xfId="378"/>
    <cellStyle name="Normal 4 3" xfId="379"/>
    <cellStyle name="Normal 4 4" xfId="380"/>
    <cellStyle name="Normal 4_Primary vs Secondary Spread Oct 3" xfId="650"/>
    <cellStyle name="Normal 40" xfId="381"/>
    <cellStyle name="Normal 41" xfId="382"/>
    <cellStyle name="Normal 42" xfId="383"/>
    <cellStyle name="Normal 42 2" xfId="384"/>
    <cellStyle name="Normal 43" xfId="651"/>
    <cellStyle name="Normal 44" xfId="652"/>
    <cellStyle name="Normal 45" xfId="653"/>
    <cellStyle name="Normal 46" xfId="654"/>
    <cellStyle name="Normal 47" xfId="655"/>
    <cellStyle name="Normal 48" xfId="656"/>
    <cellStyle name="Normal 49" xfId="657"/>
    <cellStyle name="Normal 5" xfId="385"/>
    <cellStyle name="Normal 5 2" xfId="658"/>
    <cellStyle name="Normal 5 2 2" xfId="659"/>
    <cellStyle name="Normal 5 3" xfId="660"/>
    <cellStyle name="Normal 5 3 2" xfId="661"/>
    <cellStyle name="Normal 5 4" xfId="662"/>
    <cellStyle name="Normal 5_Primary vs Secondary Spread Oct 3" xfId="663"/>
    <cellStyle name="Normal 50" xfId="664"/>
    <cellStyle name="Normal 51" xfId="665"/>
    <cellStyle name="Normal 52" xfId="666"/>
    <cellStyle name="Normal 53" xfId="667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4 2" xfId="668"/>
    <cellStyle name="Note 4 2 2" xfId="669"/>
    <cellStyle name="Note 4 3" xfId="670"/>
    <cellStyle name="Note 4 3 2" xfId="671"/>
    <cellStyle name="Note 4 4" xfId="672"/>
    <cellStyle name="Note 5" xfId="400"/>
    <cellStyle name="Note 5 2" xfId="673"/>
    <cellStyle name="Note 5 2 2" xfId="674"/>
    <cellStyle name="Note 5 3" xfId="675"/>
    <cellStyle name="Note 5 3 2" xfId="676"/>
    <cellStyle name="Note 5 4" xfId="677"/>
    <cellStyle name="Note 6" xfId="401"/>
    <cellStyle name="Note 6 2" xfId="678"/>
    <cellStyle name="Note 6 2 2" xfId="679"/>
    <cellStyle name="Note 6 3" xfId="680"/>
    <cellStyle name="Note 6 3 2" xfId="681"/>
    <cellStyle name="Note 6 4" xfId="682"/>
    <cellStyle name="Note 6 5" xfId="683"/>
    <cellStyle name="Note 7" xfId="402"/>
    <cellStyle name="Note 7 2" xfId="403"/>
    <cellStyle name="Note 7 2 2" xfId="684"/>
    <cellStyle name="Note 7 3" xfId="685"/>
    <cellStyle name="Note 7 3 2" xfId="686"/>
    <cellStyle name="Note 7 4" xfId="687"/>
    <cellStyle name="Note 7 5" xfId="688"/>
    <cellStyle name="Note 8" xfId="404"/>
    <cellStyle name="Note 9" xfId="689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ffWhite 2" xfId="690"/>
    <cellStyle name="OffWhite 2 2" xfId="691"/>
    <cellStyle name="OffWhite 3" xfId="692"/>
    <cellStyle name="OffWhite 3 2" xfId="693"/>
    <cellStyle name="OffWhite 4" xfId="694"/>
    <cellStyle name="Option" xfId="412"/>
    <cellStyle name="orange text cell" xfId="413"/>
    <cellStyle name="Output 2" xfId="414"/>
    <cellStyle name="Output 3" xfId="415"/>
    <cellStyle name="Output 4" xfId="416"/>
    <cellStyle name="Output 5" xfId="695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2 2 2" xfId="696"/>
    <cellStyle name="Percent 2 3" xfId="697"/>
    <cellStyle name="Percent 2 3 2" xfId="698"/>
    <cellStyle name="Percent 2 4" xfId="699"/>
    <cellStyle name="Percent 2 5" xfId="700"/>
    <cellStyle name="Percent 3" xfId="430"/>
    <cellStyle name="Percent 3 2" xfId="701"/>
    <cellStyle name="Percent 3 2 2" xfId="702"/>
    <cellStyle name="Percent 3 3" xfId="703"/>
    <cellStyle name="Percent 3 3 2" xfId="704"/>
    <cellStyle name="Percent 3 4" xfId="705"/>
    <cellStyle name="Percent 4" xfId="706"/>
    <cellStyle name="Percent 4 2" xfId="707"/>
    <cellStyle name="Percent 4 2 2" xfId="708"/>
    <cellStyle name="Percent 4 3" xfId="709"/>
    <cellStyle name="Percent 4 3 2" xfId="710"/>
    <cellStyle name="Percent 4 4" xfId="711"/>
    <cellStyle name="Percent 5" xfId="712"/>
    <cellStyle name="Percent 5 2" xfId="713"/>
    <cellStyle name="Percent 5 2 2" xfId="714"/>
    <cellStyle name="Percent 5 3" xfId="715"/>
    <cellStyle name="Percent 5 3 2" xfId="716"/>
    <cellStyle name="Percent 5 4" xfId="717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Calculations 2 2" xfId="718"/>
    <cellStyle name="Title Calculations_Primary vs Secondary Spread Oct 3" xfId="719"/>
    <cellStyle name="Title Indicative" xfId="500"/>
    <cellStyle name="Title Indicative 2" xfId="501"/>
    <cellStyle name="Title Indicative 2 2" xfId="720"/>
    <cellStyle name="Title Indicative_Primary vs Secondary Spread Oct 3" xfId="721"/>
    <cellStyle name="Title Pricing Assumptions" xfId="502"/>
    <cellStyle name="Title Pricing Assumptions 10" xfId="722"/>
    <cellStyle name="Title Pricing Assumptions 10 2" xfId="723"/>
    <cellStyle name="Title Pricing Assumptions 10 2 2" xfId="724"/>
    <cellStyle name="Title Pricing Assumptions 10 2_Primary vs Secondary Spread Oct 3" xfId="725"/>
    <cellStyle name="Title Pricing Assumptions 10 3" xfId="726"/>
    <cellStyle name="Title Pricing Assumptions 10 4" xfId="727"/>
    <cellStyle name="Title Pricing Assumptions 10 5" xfId="728"/>
    <cellStyle name="Title Pricing Assumptions 10_Primary vs Secondary Spread Oct 3" xfId="729"/>
    <cellStyle name="Title Pricing Assumptions 11" xfId="730"/>
    <cellStyle name="Title Pricing Assumptions 11 2" xfId="731"/>
    <cellStyle name="Title Pricing Assumptions 11_Primary vs Secondary Spread Oct 3" xfId="732"/>
    <cellStyle name="Title Pricing Assumptions 12" xfId="733"/>
    <cellStyle name="Title Pricing Assumptions 12 2" xfId="734"/>
    <cellStyle name="Title Pricing Assumptions 12_Primary vs Secondary Spread Oct 3" xfId="735"/>
    <cellStyle name="Title Pricing Assumptions 13" xfId="736"/>
    <cellStyle name="Title Pricing Assumptions 14" xfId="737"/>
    <cellStyle name="Title Pricing Assumptions 15" xfId="738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0" xfId="739"/>
    <cellStyle name="Title Pricing Assumptions 3 10 2" xfId="740"/>
    <cellStyle name="Title Pricing Assumptions 3 10_Primary vs Secondary Spread Oct 3" xfId="741"/>
    <cellStyle name="Title Pricing Assumptions 3 11" xfId="742"/>
    <cellStyle name="Title Pricing Assumptions 3 12" xfId="743"/>
    <cellStyle name="Title Pricing Assumptions 3 12 8" xfId="507"/>
    <cellStyle name="Title Pricing Assumptions 3 2" xfId="744"/>
    <cellStyle name="Title Pricing Assumptions 3 2 2" xfId="745"/>
    <cellStyle name="Title Pricing Assumptions 3 2 2 2" xfId="746"/>
    <cellStyle name="Title Pricing Assumptions 3 2 2 2 2" xfId="747"/>
    <cellStyle name="Title Pricing Assumptions 3 2 2 2_Primary vs Secondary Spread Oct 3" xfId="748"/>
    <cellStyle name="Title Pricing Assumptions 3 2 2 3" xfId="749"/>
    <cellStyle name="Title Pricing Assumptions 3 2 2 4" xfId="750"/>
    <cellStyle name="Title Pricing Assumptions 3 2 2 5" xfId="751"/>
    <cellStyle name="Title Pricing Assumptions 3 2 2_Primary vs Secondary Spread Oct 3" xfId="752"/>
    <cellStyle name="Title Pricing Assumptions 3 2 3" xfId="753"/>
    <cellStyle name="Title Pricing Assumptions 3 2 3 2" xfId="754"/>
    <cellStyle name="Title Pricing Assumptions 3 2 3 2 2" xfId="755"/>
    <cellStyle name="Title Pricing Assumptions 3 2 3 2_Primary vs Secondary Spread Oct 3" xfId="756"/>
    <cellStyle name="Title Pricing Assumptions 3 2 3 3" xfId="757"/>
    <cellStyle name="Title Pricing Assumptions 3 2 3 4" xfId="758"/>
    <cellStyle name="Title Pricing Assumptions 3 2 3 5" xfId="759"/>
    <cellStyle name="Title Pricing Assumptions 3 2 3_Primary vs Secondary Spread Oct 3" xfId="760"/>
    <cellStyle name="Title Pricing Assumptions 3 2 4" xfId="761"/>
    <cellStyle name="Title Pricing Assumptions 3 2 4 2" xfId="762"/>
    <cellStyle name="Title Pricing Assumptions 3 2 4 2 2" xfId="763"/>
    <cellStyle name="Title Pricing Assumptions 3 2 4 2_Primary vs Secondary Spread Oct 3" xfId="764"/>
    <cellStyle name="Title Pricing Assumptions 3 2 4 3" xfId="765"/>
    <cellStyle name="Title Pricing Assumptions 3 2 4 4" xfId="766"/>
    <cellStyle name="Title Pricing Assumptions 3 2 4 5" xfId="767"/>
    <cellStyle name="Title Pricing Assumptions 3 2 4_Primary vs Secondary Spread Oct 3" xfId="768"/>
    <cellStyle name="Title Pricing Assumptions 3 2 5" xfId="769"/>
    <cellStyle name="Title Pricing Assumptions 3 2 5 2" xfId="770"/>
    <cellStyle name="Title Pricing Assumptions 3 2 5_Primary vs Secondary Spread Oct 3" xfId="771"/>
    <cellStyle name="Title Pricing Assumptions 3 2 6" xfId="772"/>
    <cellStyle name="Title Pricing Assumptions 3 2 6 2" xfId="773"/>
    <cellStyle name="Title Pricing Assumptions 3 2 6_Primary vs Secondary Spread Oct 3" xfId="774"/>
    <cellStyle name="Title Pricing Assumptions 3 2 7" xfId="775"/>
    <cellStyle name="Title Pricing Assumptions 3 2 8" xfId="776"/>
    <cellStyle name="Title Pricing Assumptions 3 2_Primary vs Secondary Spread Oct 3" xfId="777"/>
    <cellStyle name="Title Pricing Assumptions 3 3" xfId="778"/>
    <cellStyle name="Title Pricing Assumptions 3 3 2" xfId="779"/>
    <cellStyle name="Title Pricing Assumptions 3 3 2 2" xfId="780"/>
    <cellStyle name="Title Pricing Assumptions 3 3 2 2 2" xfId="781"/>
    <cellStyle name="Title Pricing Assumptions 3 3 2 2_Primary vs Secondary Spread Oct 3" xfId="782"/>
    <cellStyle name="Title Pricing Assumptions 3 3 2 3" xfId="783"/>
    <cellStyle name="Title Pricing Assumptions 3 3 2 4" xfId="784"/>
    <cellStyle name="Title Pricing Assumptions 3 3 2 5" xfId="785"/>
    <cellStyle name="Title Pricing Assumptions 3 3 2_Primary vs Secondary Spread Oct 3" xfId="786"/>
    <cellStyle name="Title Pricing Assumptions 3 3 3" xfId="787"/>
    <cellStyle name="Title Pricing Assumptions 3 3 3 2" xfId="788"/>
    <cellStyle name="Title Pricing Assumptions 3 3 3 2 2" xfId="789"/>
    <cellStyle name="Title Pricing Assumptions 3 3 3 2_Primary vs Secondary Spread Oct 3" xfId="790"/>
    <cellStyle name="Title Pricing Assumptions 3 3 3 3" xfId="791"/>
    <cellStyle name="Title Pricing Assumptions 3 3 3 4" xfId="792"/>
    <cellStyle name="Title Pricing Assumptions 3 3 3 5" xfId="793"/>
    <cellStyle name="Title Pricing Assumptions 3 3 3_Primary vs Secondary Spread Oct 3" xfId="794"/>
    <cellStyle name="Title Pricing Assumptions 3 3 4" xfId="795"/>
    <cellStyle name="Title Pricing Assumptions 3 3 4 2" xfId="796"/>
    <cellStyle name="Title Pricing Assumptions 3 3 4 2 2" xfId="797"/>
    <cellStyle name="Title Pricing Assumptions 3 3 4 2_Primary vs Secondary Spread Oct 3" xfId="798"/>
    <cellStyle name="Title Pricing Assumptions 3 3 4 3" xfId="799"/>
    <cellStyle name="Title Pricing Assumptions 3 3 4 4" xfId="800"/>
    <cellStyle name="Title Pricing Assumptions 3 3 4 5" xfId="801"/>
    <cellStyle name="Title Pricing Assumptions 3 3 4_Primary vs Secondary Spread Oct 3" xfId="802"/>
    <cellStyle name="Title Pricing Assumptions 3 3 5" xfId="803"/>
    <cellStyle name="Title Pricing Assumptions 3 3 5 2" xfId="804"/>
    <cellStyle name="Title Pricing Assumptions 3 3 5_Primary vs Secondary Spread Oct 3" xfId="805"/>
    <cellStyle name="Title Pricing Assumptions 3 3 6" xfId="806"/>
    <cellStyle name="Title Pricing Assumptions 3 3 6 2" xfId="807"/>
    <cellStyle name="Title Pricing Assumptions 3 3 6_Primary vs Secondary Spread Oct 3" xfId="808"/>
    <cellStyle name="Title Pricing Assumptions 3 3 7" xfId="809"/>
    <cellStyle name="Title Pricing Assumptions 3 3 8" xfId="810"/>
    <cellStyle name="Title Pricing Assumptions 3 3_Primary vs Secondary Spread Oct 3" xfId="811"/>
    <cellStyle name="Title Pricing Assumptions 3 4" xfId="812"/>
    <cellStyle name="Title Pricing Assumptions 3 4 2" xfId="813"/>
    <cellStyle name="Title Pricing Assumptions 3 4 2 2" xfId="814"/>
    <cellStyle name="Title Pricing Assumptions 3 4 2 2 2" xfId="815"/>
    <cellStyle name="Title Pricing Assumptions 3 4 2 2_Primary vs Secondary Spread Oct 3" xfId="816"/>
    <cellStyle name="Title Pricing Assumptions 3 4 2 3" xfId="817"/>
    <cellStyle name="Title Pricing Assumptions 3 4 2 4" xfId="818"/>
    <cellStyle name="Title Pricing Assumptions 3 4 2 5" xfId="819"/>
    <cellStyle name="Title Pricing Assumptions 3 4 2_Primary vs Secondary Spread Oct 3" xfId="820"/>
    <cellStyle name="Title Pricing Assumptions 3 4 3" xfId="821"/>
    <cellStyle name="Title Pricing Assumptions 3 4 3 2" xfId="822"/>
    <cellStyle name="Title Pricing Assumptions 3 4 3 2 2" xfId="823"/>
    <cellStyle name="Title Pricing Assumptions 3 4 3 2_Primary vs Secondary Spread Oct 3" xfId="824"/>
    <cellStyle name="Title Pricing Assumptions 3 4 3 3" xfId="825"/>
    <cellStyle name="Title Pricing Assumptions 3 4 3 4" xfId="826"/>
    <cellStyle name="Title Pricing Assumptions 3 4 3 5" xfId="827"/>
    <cellStyle name="Title Pricing Assumptions 3 4 3_Primary vs Secondary Spread Oct 3" xfId="828"/>
    <cellStyle name="Title Pricing Assumptions 3 4 4" xfId="829"/>
    <cellStyle name="Title Pricing Assumptions 3 4 4 2" xfId="830"/>
    <cellStyle name="Title Pricing Assumptions 3 4 4 2 2" xfId="831"/>
    <cellStyle name="Title Pricing Assumptions 3 4 4 2_Primary vs Secondary Spread Oct 3" xfId="832"/>
    <cellStyle name="Title Pricing Assumptions 3 4 4 3" xfId="833"/>
    <cellStyle name="Title Pricing Assumptions 3 4 4 4" xfId="834"/>
    <cellStyle name="Title Pricing Assumptions 3 4 4 5" xfId="835"/>
    <cellStyle name="Title Pricing Assumptions 3 4 4_Primary vs Secondary Spread Oct 3" xfId="836"/>
    <cellStyle name="Title Pricing Assumptions 3 4 5" xfId="837"/>
    <cellStyle name="Title Pricing Assumptions 3 4 5 2" xfId="838"/>
    <cellStyle name="Title Pricing Assumptions 3 4 5_Primary vs Secondary Spread Oct 3" xfId="839"/>
    <cellStyle name="Title Pricing Assumptions 3 4 6" xfId="840"/>
    <cellStyle name="Title Pricing Assumptions 3 4 6 2" xfId="841"/>
    <cellStyle name="Title Pricing Assumptions 3 4 6_Primary vs Secondary Spread Oct 3" xfId="842"/>
    <cellStyle name="Title Pricing Assumptions 3 4 7" xfId="843"/>
    <cellStyle name="Title Pricing Assumptions 3 4 8" xfId="844"/>
    <cellStyle name="Title Pricing Assumptions 3 4_Primary vs Secondary Spread Oct 3" xfId="845"/>
    <cellStyle name="Title Pricing Assumptions 3 5" xfId="846"/>
    <cellStyle name="Title Pricing Assumptions 3 5 2" xfId="847"/>
    <cellStyle name="Title Pricing Assumptions 3 5 2 2" xfId="848"/>
    <cellStyle name="Title Pricing Assumptions 3 5 2 2 2" xfId="849"/>
    <cellStyle name="Title Pricing Assumptions 3 5 2 2_Primary vs Secondary Spread Oct 3" xfId="850"/>
    <cellStyle name="Title Pricing Assumptions 3 5 2 3" xfId="851"/>
    <cellStyle name="Title Pricing Assumptions 3 5 2 4" xfId="852"/>
    <cellStyle name="Title Pricing Assumptions 3 5 2 5" xfId="853"/>
    <cellStyle name="Title Pricing Assumptions 3 5 2_Primary vs Secondary Spread Oct 3" xfId="854"/>
    <cellStyle name="Title Pricing Assumptions 3 5 3" xfId="855"/>
    <cellStyle name="Title Pricing Assumptions 3 5 3 2" xfId="856"/>
    <cellStyle name="Title Pricing Assumptions 3 5 3 2 2" xfId="857"/>
    <cellStyle name="Title Pricing Assumptions 3 5 3 2_Primary vs Secondary Spread Oct 3" xfId="858"/>
    <cellStyle name="Title Pricing Assumptions 3 5 3 3" xfId="859"/>
    <cellStyle name="Title Pricing Assumptions 3 5 3 4" xfId="860"/>
    <cellStyle name="Title Pricing Assumptions 3 5 3 5" xfId="861"/>
    <cellStyle name="Title Pricing Assumptions 3 5 3_Primary vs Secondary Spread Oct 3" xfId="862"/>
    <cellStyle name="Title Pricing Assumptions 3 5 4" xfId="863"/>
    <cellStyle name="Title Pricing Assumptions 3 5 4 2" xfId="864"/>
    <cellStyle name="Title Pricing Assumptions 3 5 4_Primary vs Secondary Spread Oct 3" xfId="865"/>
    <cellStyle name="Title Pricing Assumptions 3 5 5" xfId="866"/>
    <cellStyle name="Title Pricing Assumptions 3 5 5 2" xfId="867"/>
    <cellStyle name="Title Pricing Assumptions 3 5 5_Primary vs Secondary Spread Oct 3" xfId="868"/>
    <cellStyle name="Title Pricing Assumptions 3 5 6" xfId="869"/>
    <cellStyle name="Title Pricing Assumptions 3 5 7" xfId="870"/>
    <cellStyle name="Title Pricing Assumptions 3 5_Primary vs Secondary Spread Oct 3" xfId="871"/>
    <cellStyle name="Title Pricing Assumptions 3 6" xfId="872"/>
    <cellStyle name="Title Pricing Assumptions 3 6 2" xfId="873"/>
    <cellStyle name="Title Pricing Assumptions 3 6 2 2" xfId="874"/>
    <cellStyle name="Title Pricing Assumptions 3 6 2_Primary vs Secondary Spread Oct 3" xfId="875"/>
    <cellStyle name="Title Pricing Assumptions 3 6 3" xfId="876"/>
    <cellStyle name="Title Pricing Assumptions 3 6 4" xfId="877"/>
    <cellStyle name="Title Pricing Assumptions 3 6 4 2 8" xfId="508"/>
    <cellStyle name="Title Pricing Assumptions 3 6 5" xfId="878"/>
    <cellStyle name="Title Pricing Assumptions 3 6_Primary vs Secondary Spread Oct 3" xfId="879"/>
    <cellStyle name="Title Pricing Assumptions 3 7" xfId="880"/>
    <cellStyle name="Title Pricing Assumptions 3 7 2" xfId="881"/>
    <cellStyle name="Title Pricing Assumptions 3 7 2 2" xfId="882"/>
    <cellStyle name="Title Pricing Assumptions 3 7 2_Primary vs Secondary Spread Oct 3" xfId="883"/>
    <cellStyle name="Title Pricing Assumptions 3 7 3" xfId="884"/>
    <cellStyle name="Title Pricing Assumptions 3 7 4" xfId="885"/>
    <cellStyle name="Title Pricing Assumptions 3 7 5" xfId="886"/>
    <cellStyle name="Title Pricing Assumptions 3 7_Primary vs Secondary Spread Oct 3" xfId="887"/>
    <cellStyle name="Title Pricing Assumptions 3 8" xfId="888"/>
    <cellStyle name="Title Pricing Assumptions 3 8 2" xfId="889"/>
    <cellStyle name="Title Pricing Assumptions 3 8 2 2" xfId="890"/>
    <cellStyle name="Title Pricing Assumptions 3 8 2_Primary vs Secondary Spread Oct 3" xfId="891"/>
    <cellStyle name="Title Pricing Assumptions 3 8 3" xfId="892"/>
    <cellStyle name="Title Pricing Assumptions 3 8 4" xfId="893"/>
    <cellStyle name="Title Pricing Assumptions 3 8 5" xfId="894"/>
    <cellStyle name="Title Pricing Assumptions 3 8_Primary vs Secondary Spread Oct 3" xfId="895"/>
    <cellStyle name="Title Pricing Assumptions 3 9" xfId="896"/>
    <cellStyle name="Title Pricing Assumptions 3 9 2" xfId="897"/>
    <cellStyle name="Title Pricing Assumptions 3 9_Primary vs Secondary Spread Oct 3" xfId="898"/>
    <cellStyle name="Title Pricing Assumptions 3_Primary vs Secondary Spread Oct 3" xfId="899"/>
    <cellStyle name="Title Pricing Assumptions 4" xfId="900"/>
    <cellStyle name="Title Pricing Assumptions 4 2" xfId="901"/>
    <cellStyle name="Title Pricing Assumptions 4 2 2" xfId="902"/>
    <cellStyle name="Title Pricing Assumptions 4 2 2 2" xfId="903"/>
    <cellStyle name="Title Pricing Assumptions 4 2 2_Primary vs Secondary Spread Oct 3" xfId="904"/>
    <cellStyle name="Title Pricing Assumptions 4 2 3" xfId="905"/>
    <cellStyle name="Title Pricing Assumptions 4 2 4" xfId="906"/>
    <cellStyle name="Title Pricing Assumptions 4 2 5" xfId="907"/>
    <cellStyle name="Title Pricing Assumptions 4 2_Primary vs Secondary Spread Oct 3" xfId="908"/>
    <cellStyle name="Title Pricing Assumptions 4 3" xfId="909"/>
    <cellStyle name="Title Pricing Assumptions 4 3 2" xfId="910"/>
    <cellStyle name="Title Pricing Assumptions 4 3 2 2" xfId="911"/>
    <cellStyle name="Title Pricing Assumptions 4 3 2_Primary vs Secondary Spread Oct 3" xfId="912"/>
    <cellStyle name="Title Pricing Assumptions 4 3 3" xfId="913"/>
    <cellStyle name="Title Pricing Assumptions 4 3 4" xfId="914"/>
    <cellStyle name="Title Pricing Assumptions 4 3 5" xfId="915"/>
    <cellStyle name="Title Pricing Assumptions 4 3_Primary vs Secondary Spread Oct 3" xfId="916"/>
    <cellStyle name="Title Pricing Assumptions 4 4" xfId="917"/>
    <cellStyle name="Title Pricing Assumptions 4 4 2" xfId="918"/>
    <cellStyle name="Title Pricing Assumptions 4 4 2 2" xfId="919"/>
    <cellStyle name="Title Pricing Assumptions 4 4 2_Primary vs Secondary Spread Oct 3" xfId="920"/>
    <cellStyle name="Title Pricing Assumptions 4 4 3" xfId="921"/>
    <cellStyle name="Title Pricing Assumptions 4 4 4" xfId="922"/>
    <cellStyle name="Title Pricing Assumptions 4 4 5" xfId="923"/>
    <cellStyle name="Title Pricing Assumptions 4 4_Primary vs Secondary Spread Oct 3" xfId="924"/>
    <cellStyle name="Title Pricing Assumptions 4 5" xfId="925"/>
    <cellStyle name="Title Pricing Assumptions 4 5 2" xfId="926"/>
    <cellStyle name="Title Pricing Assumptions 4 5_Primary vs Secondary Spread Oct 3" xfId="927"/>
    <cellStyle name="Title Pricing Assumptions 4 6" xfId="928"/>
    <cellStyle name="Title Pricing Assumptions 4 6 2" xfId="929"/>
    <cellStyle name="Title Pricing Assumptions 4 6_Primary vs Secondary Spread Oct 3" xfId="930"/>
    <cellStyle name="Title Pricing Assumptions 4 7" xfId="931"/>
    <cellStyle name="Title Pricing Assumptions 4 8" xfId="932"/>
    <cellStyle name="Title Pricing Assumptions 4_Primary vs Secondary Spread Oct 3" xfId="933"/>
    <cellStyle name="Title Pricing Assumptions 5" xfId="934"/>
    <cellStyle name="Title Pricing Assumptions 5 2" xfId="935"/>
    <cellStyle name="Title Pricing Assumptions 5 2 2" xfId="936"/>
    <cellStyle name="Title Pricing Assumptions 5 2 2 2" xfId="937"/>
    <cellStyle name="Title Pricing Assumptions 5 2 2_Primary vs Secondary Spread Oct 3" xfId="938"/>
    <cellStyle name="Title Pricing Assumptions 5 2 3" xfId="939"/>
    <cellStyle name="Title Pricing Assumptions 5 2 4" xfId="940"/>
    <cellStyle name="Title Pricing Assumptions 5 2 5" xfId="941"/>
    <cellStyle name="Title Pricing Assumptions 5 2_Primary vs Secondary Spread Oct 3" xfId="942"/>
    <cellStyle name="Title Pricing Assumptions 5 3" xfId="943"/>
    <cellStyle name="Title Pricing Assumptions 5 3 2" xfId="944"/>
    <cellStyle name="Title Pricing Assumptions 5 3 2 2" xfId="945"/>
    <cellStyle name="Title Pricing Assumptions 5 3 2_Primary vs Secondary Spread Oct 3" xfId="946"/>
    <cellStyle name="Title Pricing Assumptions 5 3 3" xfId="947"/>
    <cellStyle name="Title Pricing Assumptions 5 3 4" xfId="948"/>
    <cellStyle name="Title Pricing Assumptions 5 3 5" xfId="949"/>
    <cellStyle name="Title Pricing Assumptions 5 3_Primary vs Secondary Spread Oct 3" xfId="950"/>
    <cellStyle name="Title Pricing Assumptions 5 4" xfId="951"/>
    <cellStyle name="Title Pricing Assumptions 5 4 2" xfId="952"/>
    <cellStyle name="Title Pricing Assumptions 5 4 2 2" xfId="953"/>
    <cellStyle name="Title Pricing Assumptions 5 4 2_Primary vs Secondary Spread Oct 3" xfId="954"/>
    <cellStyle name="Title Pricing Assumptions 5 4 3" xfId="955"/>
    <cellStyle name="Title Pricing Assumptions 5 4 4" xfId="956"/>
    <cellStyle name="Title Pricing Assumptions 5 4 5" xfId="957"/>
    <cellStyle name="Title Pricing Assumptions 5 4_Primary vs Secondary Spread Oct 3" xfId="958"/>
    <cellStyle name="Title Pricing Assumptions 5 5" xfId="959"/>
    <cellStyle name="Title Pricing Assumptions 5 5 2" xfId="960"/>
    <cellStyle name="Title Pricing Assumptions 5 5_Primary vs Secondary Spread Oct 3" xfId="961"/>
    <cellStyle name="Title Pricing Assumptions 5 6" xfId="962"/>
    <cellStyle name="Title Pricing Assumptions 5 6 2" xfId="963"/>
    <cellStyle name="Title Pricing Assumptions 5 6_Primary vs Secondary Spread Oct 3" xfId="964"/>
    <cellStyle name="Title Pricing Assumptions 5 7" xfId="965"/>
    <cellStyle name="Title Pricing Assumptions 5 8" xfId="966"/>
    <cellStyle name="Title Pricing Assumptions 5_Primary vs Secondary Spread Oct 3" xfId="967"/>
    <cellStyle name="Title Pricing Assumptions 6" xfId="968"/>
    <cellStyle name="Title Pricing Assumptions 6 2" xfId="969"/>
    <cellStyle name="Title Pricing Assumptions 6 2 2" xfId="970"/>
    <cellStyle name="Title Pricing Assumptions 6 2 2 2" xfId="971"/>
    <cellStyle name="Title Pricing Assumptions 6 2 2_Primary vs Secondary Spread Oct 3" xfId="972"/>
    <cellStyle name="Title Pricing Assumptions 6 2 3" xfId="973"/>
    <cellStyle name="Title Pricing Assumptions 6 2 4" xfId="974"/>
    <cellStyle name="Title Pricing Assumptions 6 2 5" xfId="975"/>
    <cellStyle name="Title Pricing Assumptions 6 2_Primary vs Secondary Spread Oct 3" xfId="976"/>
    <cellStyle name="Title Pricing Assumptions 6 3" xfId="977"/>
    <cellStyle name="Title Pricing Assumptions 6 3 2" xfId="978"/>
    <cellStyle name="Title Pricing Assumptions 6 3 2 2" xfId="979"/>
    <cellStyle name="Title Pricing Assumptions 6 3 2_Primary vs Secondary Spread Oct 3" xfId="980"/>
    <cellStyle name="Title Pricing Assumptions 6 3 3" xfId="981"/>
    <cellStyle name="Title Pricing Assumptions 6 3 4" xfId="982"/>
    <cellStyle name="Title Pricing Assumptions 6 3_Primary vs Secondary Spread Oct 3" xfId="983"/>
    <cellStyle name="Title Pricing Assumptions 6 4" xfId="984"/>
    <cellStyle name="Title Pricing Assumptions 6 4 2" xfId="985"/>
    <cellStyle name="Title Pricing Assumptions 6 4 2 2" xfId="986"/>
    <cellStyle name="Title Pricing Assumptions 6 4 2_Primary vs Secondary Spread Oct 3" xfId="987"/>
    <cellStyle name="Title Pricing Assumptions 6 4 3" xfId="988"/>
    <cellStyle name="Title Pricing Assumptions 6 4 4" xfId="989"/>
    <cellStyle name="Title Pricing Assumptions 6 4 5" xfId="990"/>
    <cellStyle name="Title Pricing Assumptions 6 4_Primary vs Secondary Spread Oct 3" xfId="991"/>
    <cellStyle name="Title Pricing Assumptions 6 5" xfId="992"/>
    <cellStyle name="Title Pricing Assumptions 6 5 2" xfId="993"/>
    <cellStyle name="Title Pricing Assumptions 6 5_Primary vs Secondary Spread Oct 3" xfId="994"/>
    <cellStyle name="Title Pricing Assumptions 6 6" xfId="995"/>
    <cellStyle name="Title Pricing Assumptions 6 6 2" xfId="996"/>
    <cellStyle name="Title Pricing Assumptions 6 6_Primary vs Secondary Spread Oct 3" xfId="997"/>
    <cellStyle name="Title Pricing Assumptions 6 7" xfId="998"/>
    <cellStyle name="Title Pricing Assumptions 6 8" xfId="999"/>
    <cellStyle name="Title Pricing Assumptions 6_Primary vs Secondary Spread Oct 3" xfId="1000"/>
    <cellStyle name="Title Pricing Assumptions 7" xfId="1001"/>
    <cellStyle name="Title Pricing Assumptions 7 2" xfId="1002"/>
    <cellStyle name="Title Pricing Assumptions 7 2 2" xfId="1003"/>
    <cellStyle name="Title Pricing Assumptions 7 2 2 2" xfId="1004"/>
    <cellStyle name="Title Pricing Assumptions 7 2 2_Primary vs Secondary Spread Oct 3" xfId="1005"/>
    <cellStyle name="Title Pricing Assumptions 7 2 3" xfId="1006"/>
    <cellStyle name="Title Pricing Assumptions 7 2 4" xfId="1007"/>
    <cellStyle name="Title Pricing Assumptions 7 2 5" xfId="1008"/>
    <cellStyle name="Title Pricing Assumptions 7 2_Primary vs Secondary Spread Oct 3" xfId="1009"/>
    <cellStyle name="Title Pricing Assumptions 7 3" xfId="1010"/>
    <cellStyle name="Title Pricing Assumptions 7 3 2" xfId="1011"/>
    <cellStyle name="Title Pricing Assumptions 7 3 2 2" xfId="1012"/>
    <cellStyle name="Title Pricing Assumptions 7 3 2_Primary vs Secondary Spread Oct 3" xfId="1013"/>
    <cellStyle name="Title Pricing Assumptions 7 3 3" xfId="1014"/>
    <cellStyle name="Title Pricing Assumptions 7 3 4" xfId="1015"/>
    <cellStyle name="Title Pricing Assumptions 7 3 5" xfId="1016"/>
    <cellStyle name="Title Pricing Assumptions 7 3_Primary vs Secondary Spread Oct 3" xfId="1017"/>
    <cellStyle name="Title Pricing Assumptions 7 4" xfId="1018"/>
    <cellStyle name="Title Pricing Assumptions 7 4 2" xfId="1019"/>
    <cellStyle name="Title Pricing Assumptions 7 4_Primary vs Secondary Spread Oct 3" xfId="1020"/>
    <cellStyle name="Title Pricing Assumptions 7 5" xfId="1021"/>
    <cellStyle name="Title Pricing Assumptions 7 5 2" xfId="1022"/>
    <cellStyle name="Title Pricing Assumptions 7 5_Primary vs Secondary Spread Oct 3" xfId="1023"/>
    <cellStyle name="Title Pricing Assumptions 7 6" xfId="1024"/>
    <cellStyle name="Title Pricing Assumptions 7 7" xfId="1025"/>
    <cellStyle name="Title Pricing Assumptions 7_Primary vs Secondary Spread Oct 3" xfId="1026"/>
    <cellStyle name="Title Pricing Assumptions 8" xfId="1027"/>
    <cellStyle name="Title Pricing Assumptions 8 2" xfId="1028"/>
    <cellStyle name="Title Pricing Assumptions 8 2 2" xfId="1029"/>
    <cellStyle name="Title Pricing Assumptions 8 2_Primary vs Secondary Spread Oct 3" xfId="1030"/>
    <cellStyle name="Title Pricing Assumptions 8 3" xfId="1031"/>
    <cellStyle name="Title Pricing Assumptions 8 4" xfId="1032"/>
    <cellStyle name="Title Pricing Assumptions 8 5" xfId="1033"/>
    <cellStyle name="Title Pricing Assumptions 8_Primary vs Secondary Spread Oct 3" xfId="1034"/>
    <cellStyle name="Title Pricing Assumptions 9" xfId="1035"/>
    <cellStyle name="Title Pricing Assumptions 9 2" xfId="1036"/>
    <cellStyle name="Title Pricing Assumptions 9 2 2" xfId="1037"/>
    <cellStyle name="Title Pricing Assumptions 9 2_Primary vs Secondary Spread Oct 3" xfId="1038"/>
    <cellStyle name="Title Pricing Assumptions 9 3" xfId="1039"/>
    <cellStyle name="Title Pricing Assumptions 9 4" xfId="1040"/>
    <cellStyle name="Title Pricing Assumptions 9 5" xfId="1041"/>
    <cellStyle name="Title Pricing Assumptions 9_Primary vs Secondary Spread Oct 3" xfId="1042"/>
    <cellStyle name="Title Pricing Assumptions_Primary vs Secondary Spread Oct 3" xfId="1043"/>
    <cellStyle name="Titles - Other" xfId="509"/>
    <cellStyle name="Total 2" xfId="510"/>
    <cellStyle name="Total 2 2" xfId="511"/>
    <cellStyle name="Total 3" xfId="512"/>
    <cellStyle name="Total 4" xfId="513"/>
    <cellStyle name="Total 4 2" xfId="1044"/>
    <cellStyle name="Total 4_Primary vs Secondary Spread Oct 3" xfId="1045"/>
    <cellStyle name="Warning" xfId="514"/>
    <cellStyle name="Warning Text 2" xfId="515"/>
    <cellStyle name="Warning Text 3" xfId="516"/>
    <cellStyle name="Warning Text 4" xfId="517"/>
    <cellStyle name="Warning Text 5" xfId="1046"/>
    <cellStyle name="YB Calculations" xfId="518"/>
    <cellStyle name="YB Calculations 2" xfId="519"/>
    <cellStyle name="YB Calculations 2 2" xfId="1047"/>
    <cellStyle name="YB Curve" xfId="520"/>
    <cellStyle name="YB Indicative" xfId="521"/>
    <cellStyle name="YB Indicative 2" xfId="1048"/>
    <cellStyle name="YBINDIC" xfId="522"/>
    <cellStyle name="YBIOPOBE" xfId="523"/>
    <cellStyle name="YBPRICE" xfId="524"/>
    <cellStyle name="一般_原始檔案" xfId="525"/>
  </cellStyles>
  <dxfs count="81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ill>
        <patternFill>
          <bgColor rgb="FFFFFF00"/>
        </patternFill>
      </fill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Medium9"/>
  <colors>
    <mruColors>
      <color rgb="FF2E8A60"/>
      <color rgb="FFC7732D"/>
      <color rgb="FF2E398A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As Function of Rates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'Function Of Rate'!$E$20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5"/>
          </c:marker>
          <c:cat>
            <c:strRef>
              <c:f>'Function Of Rate'!$F$18:$P$18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3.98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Rate'!$F$20:$P$20</c:f>
              <c:numCache>
                <c:formatCode>0.00%</c:formatCode>
                <c:ptCount val="11"/>
                <c:pt idx="0">
                  <c:v>0.65322604072698154</c:v>
                </c:pt>
                <c:pt idx="1">
                  <c:v>0.58817030243821822</c:v>
                </c:pt>
                <c:pt idx="2">
                  <c:v>0.54816545784289528</c:v>
                </c:pt>
                <c:pt idx="3">
                  <c:v>0.48349467286280118</c:v>
                </c:pt>
                <c:pt idx="4">
                  <c:v>0.42269076065729377</c:v>
                </c:pt>
                <c:pt idx="5">
                  <c:v>0.39179423960644549</c:v>
                </c:pt>
                <c:pt idx="6">
                  <c:v>0.34065965745166854</c:v>
                </c:pt>
                <c:pt idx="7">
                  <c:v>0.31567526516234673</c:v>
                </c:pt>
                <c:pt idx="8">
                  <c:v>0.26570559193735022</c:v>
                </c:pt>
                <c:pt idx="9">
                  <c:v>0.21407049019105798</c:v>
                </c:pt>
                <c:pt idx="10">
                  <c:v>0.19725786878462545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'Function Of Rate'!$E$21</c:f>
              <c:strCache>
                <c:ptCount val="1"/>
                <c:pt idx="0">
                  <c:v>With Lowest Rate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circle"/>
            <c:size val="5"/>
            <c:spPr>
              <a:solidFill>
                <a:srgbClr val="2E8A60"/>
              </a:solidFill>
            </c:spPr>
          </c:marker>
          <c:cat>
            <c:strRef>
              <c:f>'Function Of Rate'!$F$18:$P$18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3.98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Rate'!$F$21:$P$21</c:f>
              <c:numCache>
                <c:formatCode>0.00%</c:formatCode>
                <c:ptCount val="11"/>
                <c:pt idx="0">
                  <c:v>0.20232455636978042</c:v>
                </c:pt>
                <c:pt idx="1">
                  <c:v>3.4349770113793511E-3</c:v>
                </c:pt>
                <c:pt idx="2">
                  <c:v>2.2577961575233258E-3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'Function Of Rate'!$E$22</c:f>
              <c:strCache>
                <c:ptCount val="1"/>
                <c:pt idx="0">
                  <c:v>12 Weeks Scenario</c:v>
                </c:pt>
              </c:strCache>
            </c:strRef>
          </c:tx>
          <c:marker>
            <c:symbol val="circle"/>
            <c:size val="5"/>
          </c:marker>
          <c:cat>
            <c:strRef>
              <c:f>'Function Of Rate'!$F$18:$P$18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3.98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Rate'!$F$22:$P$22</c:f>
              <c:numCache>
                <c:formatCode>0.00%</c:formatCode>
                <c:ptCount val="11"/>
                <c:pt idx="0">
                  <c:v>0.2139832329806424</c:v>
                </c:pt>
                <c:pt idx="1">
                  <c:v>0.16891543025300446</c:v>
                </c:pt>
                <c:pt idx="2">
                  <c:v>6.9002292025201941E-3</c:v>
                </c:pt>
                <c:pt idx="3">
                  <c:v>1.8741090827335694E-3</c:v>
                </c:pt>
                <c:pt idx="4">
                  <c:v>9.8602933182377899E-4</c:v>
                </c:pt>
                <c:pt idx="5">
                  <c:v>4.0102183056688951E-4</c:v>
                </c:pt>
                <c:pt idx="6">
                  <c:v>1.8547692284359447E-4</c:v>
                </c:pt>
                <c:pt idx="7">
                  <c:v>1.1210162748833887E-4</c:v>
                </c:pt>
                <c:pt idx="8">
                  <c:v>4.5419169426527346E-5</c:v>
                </c:pt>
                <c:pt idx="9">
                  <c:v>1.259317285017745E-5</c:v>
                </c:pt>
                <c:pt idx="10">
                  <c:v>7.0713343533133344E-6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4485120"/>
        <c:axId val="264589312"/>
      </c:lineChart>
      <c:catAx>
        <c:axId val="26448512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64589312"/>
        <c:crosses val="autoZero"/>
        <c:auto val="1"/>
        <c:lblAlgn val="ctr"/>
        <c:lblOffset val="100"/>
        <c:noMultiLvlLbl val="0"/>
      </c:catAx>
      <c:valAx>
        <c:axId val="264589312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264485120"/>
        <c:crossesAt val="1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layout>
        <c:manualLayout>
          <c:xMode val="edge"/>
          <c:yMode val="edge"/>
          <c:x val="9.7829911451215848E-2"/>
          <c:y val="0.87468161200596628"/>
          <c:w val="0.87404010154358192"/>
          <c:h val="0.1068284078889611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Historical Refinancible Universe vs Refi Index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Query!$D$2</c:f>
              <c:strCache>
                <c:ptCount val="1"/>
                <c:pt idx="0">
                  <c:v>Refi Percentage (12 Weeks Scenario)</c:v>
                </c:pt>
              </c:strCache>
            </c:strRef>
          </c:tx>
          <c:spPr>
            <a:solidFill>
              <a:srgbClr val="C7732D"/>
            </a:solidFill>
            <a:ln>
              <a:noFill/>
            </a:ln>
          </c:spPr>
          <c:invertIfNegative val="0"/>
          <c:cat>
            <c:numRef>
              <c:f>Query!$B$3:$B$237</c:f>
              <c:numCache>
                <c:formatCode>m/d/yyyy</c:formatCode>
                <c:ptCount val="235"/>
                <c:pt idx="0">
                  <c:v>42187</c:v>
                </c:pt>
                <c:pt idx="1">
                  <c:v>42180</c:v>
                </c:pt>
                <c:pt idx="2">
                  <c:v>42173</c:v>
                </c:pt>
                <c:pt idx="3">
                  <c:v>42166</c:v>
                </c:pt>
                <c:pt idx="4">
                  <c:v>42159</c:v>
                </c:pt>
                <c:pt idx="5">
                  <c:v>42152</c:v>
                </c:pt>
                <c:pt idx="6">
                  <c:v>42145</c:v>
                </c:pt>
                <c:pt idx="7">
                  <c:v>42138</c:v>
                </c:pt>
                <c:pt idx="8">
                  <c:v>42131</c:v>
                </c:pt>
                <c:pt idx="9">
                  <c:v>42124</c:v>
                </c:pt>
                <c:pt idx="10">
                  <c:v>42117</c:v>
                </c:pt>
                <c:pt idx="11">
                  <c:v>42110</c:v>
                </c:pt>
                <c:pt idx="12">
                  <c:v>42103</c:v>
                </c:pt>
                <c:pt idx="13">
                  <c:v>42096</c:v>
                </c:pt>
                <c:pt idx="14">
                  <c:v>42089</c:v>
                </c:pt>
                <c:pt idx="15">
                  <c:v>42082</c:v>
                </c:pt>
                <c:pt idx="16">
                  <c:v>42075</c:v>
                </c:pt>
                <c:pt idx="17">
                  <c:v>42068</c:v>
                </c:pt>
                <c:pt idx="18">
                  <c:v>42061</c:v>
                </c:pt>
                <c:pt idx="19">
                  <c:v>42054</c:v>
                </c:pt>
                <c:pt idx="20">
                  <c:v>42047</c:v>
                </c:pt>
                <c:pt idx="21">
                  <c:v>42040</c:v>
                </c:pt>
                <c:pt idx="22">
                  <c:v>42033</c:v>
                </c:pt>
                <c:pt idx="23">
                  <c:v>42026</c:v>
                </c:pt>
                <c:pt idx="24">
                  <c:v>42019</c:v>
                </c:pt>
                <c:pt idx="25">
                  <c:v>42012</c:v>
                </c:pt>
                <c:pt idx="26">
                  <c:v>42004</c:v>
                </c:pt>
                <c:pt idx="27">
                  <c:v>41997</c:v>
                </c:pt>
                <c:pt idx="28">
                  <c:v>41991</c:v>
                </c:pt>
                <c:pt idx="29">
                  <c:v>41984</c:v>
                </c:pt>
                <c:pt idx="30">
                  <c:v>41977</c:v>
                </c:pt>
                <c:pt idx="31">
                  <c:v>41969</c:v>
                </c:pt>
                <c:pt idx="32">
                  <c:v>41963</c:v>
                </c:pt>
                <c:pt idx="33">
                  <c:v>41956</c:v>
                </c:pt>
                <c:pt idx="34">
                  <c:v>41949</c:v>
                </c:pt>
                <c:pt idx="35">
                  <c:v>41942</c:v>
                </c:pt>
                <c:pt idx="36">
                  <c:v>41935</c:v>
                </c:pt>
                <c:pt idx="37">
                  <c:v>41928</c:v>
                </c:pt>
                <c:pt idx="38">
                  <c:v>41921</c:v>
                </c:pt>
                <c:pt idx="39">
                  <c:v>41914</c:v>
                </c:pt>
                <c:pt idx="40">
                  <c:v>41907</c:v>
                </c:pt>
                <c:pt idx="41">
                  <c:v>41900</c:v>
                </c:pt>
                <c:pt idx="42">
                  <c:v>41893</c:v>
                </c:pt>
                <c:pt idx="43">
                  <c:v>41886</c:v>
                </c:pt>
                <c:pt idx="44">
                  <c:v>41879</c:v>
                </c:pt>
                <c:pt idx="45">
                  <c:v>41872</c:v>
                </c:pt>
                <c:pt idx="46">
                  <c:v>41865</c:v>
                </c:pt>
                <c:pt idx="47">
                  <c:v>41858</c:v>
                </c:pt>
                <c:pt idx="48">
                  <c:v>41851</c:v>
                </c:pt>
                <c:pt idx="49">
                  <c:v>41844</c:v>
                </c:pt>
                <c:pt idx="50">
                  <c:v>41837</c:v>
                </c:pt>
                <c:pt idx="51">
                  <c:v>41830</c:v>
                </c:pt>
                <c:pt idx="52">
                  <c:v>41823</c:v>
                </c:pt>
                <c:pt idx="53">
                  <c:v>41816</c:v>
                </c:pt>
                <c:pt idx="54">
                  <c:v>41809</c:v>
                </c:pt>
                <c:pt idx="55">
                  <c:v>41802</c:v>
                </c:pt>
                <c:pt idx="56">
                  <c:v>41795</c:v>
                </c:pt>
                <c:pt idx="57">
                  <c:v>41788</c:v>
                </c:pt>
                <c:pt idx="58">
                  <c:v>41781</c:v>
                </c:pt>
                <c:pt idx="59">
                  <c:v>41774</c:v>
                </c:pt>
                <c:pt idx="60">
                  <c:v>41767</c:v>
                </c:pt>
                <c:pt idx="61">
                  <c:v>41760</c:v>
                </c:pt>
                <c:pt idx="62">
                  <c:v>41753</c:v>
                </c:pt>
                <c:pt idx="63">
                  <c:v>41746</c:v>
                </c:pt>
                <c:pt idx="64">
                  <c:v>41739</c:v>
                </c:pt>
                <c:pt idx="65">
                  <c:v>41732</c:v>
                </c:pt>
                <c:pt idx="66">
                  <c:v>41725</c:v>
                </c:pt>
                <c:pt idx="67">
                  <c:v>41718</c:v>
                </c:pt>
                <c:pt idx="68">
                  <c:v>41711</c:v>
                </c:pt>
                <c:pt idx="69">
                  <c:v>41704</c:v>
                </c:pt>
                <c:pt idx="70">
                  <c:v>41697</c:v>
                </c:pt>
                <c:pt idx="71">
                  <c:v>41690</c:v>
                </c:pt>
                <c:pt idx="72">
                  <c:v>41683</c:v>
                </c:pt>
                <c:pt idx="73">
                  <c:v>41676</c:v>
                </c:pt>
                <c:pt idx="74">
                  <c:v>41669</c:v>
                </c:pt>
                <c:pt idx="75">
                  <c:v>41662</c:v>
                </c:pt>
                <c:pt idx="76">
                  <c:v>41655</c:v>
                </c:pt>
                <c:pt idx="77">
                  <c:v>41648</c:v>
                </c:pt>
                <c:pt idx="78">
                  <c:v>41641</c:v>
                </c:pt>
                <c:pt idx="79">
                  <c:v>41634</c:v>
                </c:pt>
                <c:pt idx="80">
                  <c:v>41627</c:v>
                </c:pt>
                <c:pt idx="81">
                  <c:v>41620</c:v>
                </c:pt>
                <c:pt idx="82">
                  <c:v>41613</c:v>
                </c:pt>
                <c:pt idx="83">
                  <c:v>41605</c:v>
                </c:pt>
                <c:pt idx="84">
                  <c:v>41599</c:v>
                </c:pt>
                <c:pt idx="85">
                  <c:v>41592</c:v>
                </c:pt>
                <c:pt idx="86">
                  <c:v>41585</c:v>
                </c:pt>
                <c:pt idx="87">
                  <c:v>41578</c:v>
                </c:pt>
                <c:pt idx="88">
                  <c:v>41571</c:v>
                </c:pt>
                <c:pt idx="89">
                  <c:v>41564</c:v>
                </c:pt>
                <c:pt idx="90">
                  <c:v>41557</c:v>
                </c:pt>
                <c:pt idx="91">
                  <c:v>41550</c:v>
                </c:pt>
                <c:pt idx="92">
                  <c:v>41543</c:v>
                </c:pt>
                <c:pt idx="93">
                  <c:v>41536</c:v>
                </c:pt>
                <c:pt idx="94">
                  <c:v>41529</c:v>
                </c:pt>
                <c:pt idx="95">
                  <c:v>41522</c:v>
                </c:pt>
                <c:pt idx="96">
                  <c:v>41515</c:v>
                </c:pt>
                <c:pt idx="97">
                  <c:v>41508</c:v>
                </c:pt>
                <c:pt idx="98">
                  <c:v>41501</c:v>
                </c:pt>
                <c:pt idx="99">
                  <c:v>41494</c:v>
                </c:pt>
                <c:pt idx="100">
                  <c:v>41487</c:v>
                </c:pt>
                <c:pt idx="101">
                  <c:v>41480</c:v>
                </c:pt>
                <c:pt idx="102">
                  <c:v>41473</c:v>
                </c:pt>
                <c:pt idx="103">
                  <c:v>41466</c:v>
                </c:pt>
                <c:pt idx="104">
                  <c:v>41458</c:v>
                </c:pt>
                <c:pt idx="105">
                  <c:v>41452</c:v>
                </c:pt>
                <c:pt idx="106">
                  <c:v>41445</c:v>
                </c:pt>
                <c:pt idx="107">
                  <c:v>41438</c:v>
                </c:pt>
                <c:pt idx="108">
                  <c:v>41431</c:v>
                </c:pt>
                <c:pt idx="109">
                  <c:v>41424</c:v>
                </c:pt>
                <c:pt idx="110">
                  <c:v>41417</c:v>
                </c:pt>
                <c:pt idx="111">
                  <c:v>41410</c:v>
                </c:pt>
                <c:pt idx="112">
                  <c:v>41403</c:v>
                </c:pt>
                <c:pt idx="113">
                  <c:v>41396</c:v>
                </c:pt>
                <c:pt idx="114">
                  <c:v>41389</c:v>
                </c:pt>
                <c:pt idx="115">
                  <c:v>41382</c:v>
                </c:pt>
                <c:pt idx="116">
                  <c:v>41375</c:v>
                </c:pt>
                <c:pt idx="117">
                  <c:v>41368</c:v>
                </c:pt>
                <c:pt idx="118">
                  <c:v>41361</c:v>
                </c:pt>
                <c:pt idx="119">
                  <c:v>41354</c:v>
                </c:pt>
                <c:pt idx="120">
                  <c:v>41347</c:v>
                </c:pt>
                <c:pt idx="121">
                  <c:v>41340</c:v>
                </c:pt>
                <c:pt idx="122">
                  <c:v>41333</c:v>
                </c:pt>
                <c:pt idx="123">
                  <c:v>41326</c:v>
                </c:pt>
                <c:pt idx="124">
                  <c:v>41319</c:v>
                </c:pt>
                <c:pt idx="125">
                  <c:v>41312</c:v>
                </c:pt>
                <c:pt idx="126">
                  <c:v>41305</c:v>
                </c:pt>
                <c:pt idx="127">
                  <c:v>41298</c:v>
                </c:pt>
                <c:pt idx="128">
                  <c:v>41291</c:v>
                </c:pt>
                <c:pt idx="129">
                  <c:v>41284</c:v>
                </c:pt>
                <c:pt idx="130">
                  <c:v>41277</c:v>
                </c:pt>
                <c:pt idx="131">
                  <c:v>41270</c:v>
                </c:pt>
                <c:pt idx="132">
                  <c:v>41263</c:v>
                </c:pt>
                <c:pt idx="133">
                  <c:v>41256</c:v>
                </c:pt>
                <c:pt idx="134">
                  <c:v>41249</c:v>
                </c:pt>
                <c:pt idx="135">
                  <c:v>41242</c:v>
                </c:pt>
                <c:pt idx="136">
                  <c:v>41234</c:v>
                </c:pt>
                <c:pt idx="137">
                  <c:v>41228</c:v>
                </c:pt>
                <c:pt idx="138">
                  <c:v>41221</c:v>
                </c:pt>
                <c:pt idx="139">
                  <c:v>41214</c:v>
                </c:pt>
                <c:pt idx="140">
                  <c:v>41207</c:v>
                </c:pt>
                <c:pt idx="141">
                  <c:v>41200</c:v>
                </c:pt>
                <c:pt idx="142">
                  <c:v>41193</c:v>
                </c:pt>
                <c:pt idx="143">
                  <c:v>41186</c:v>
                </c:pt>
                <c:pt idx="144">
                  <c:v>41179</c:v>
                </c:pt>
                <c:pt idx="145">
                  <c:v>41172</c:v>
                </c:pt>
                <c:pt idx="146">
                  <c:v>41165</c:v>
                </c:pt>
                <c:pt idx="147">
                  <c:v>41158</c:v>
                </c:pt>
                <c:pt idx="148">
                  <c:v>41151</c:v>
                </c:pt>
                <c:pt idx="149">
                  <c:v>41144</c:v>
                </c:pt>
                <c:pt idx="150">
                  <c:v>41137</c:v>
                </c:pt>
                <c:pt idx="151">
                  <c:v>41130</c:v>
                </c:pt>
                <c:pt idx="152">
                  <c:v>41123</c:v>
                </c:pt>
                <c:pt idx="153">
                  <c:v>41116</c:v>
                </c:pt>
                <c:pt idx="154">
                  <c:v>41109</c:v>
                </c:pt>
                <c:pt idx="155">
                  <c:v>41102</c:v>
                </c:pt>
                <c:pt idx="156">
                  <c:v>41095</c:v>
                </c:pt>
                <c:pt idx="157">
                  <c:v>41088</c:v>
                </c:pt>
                <c:pt idx="158">
                  <c:v>41081</c:v>
                </c:pt>
                <c:pt idx="159">
                  <c:v>41074</c:v>
                </c:pt>
                <c:pt idx="160">
                  <c:v>41067</c:v>
                </c:pt>
                <c:pt idx="161">
                  <c:v>41060</c:v>
                </c:pt>
                <c:pt idx="162">
                  <c:v>41053</c:v>
                </c:pt>
                <c:pt idx="163">
                  <c:v>41046</c:v>
                </c:pt>
                <c:pt idx="164">
                  <c:v>41039</c:v>
                </c:pt>
                <c:pt idx="165">
                  <c:v>41032</c:v>
                </c:pt>
                <c:pt idx="166">
                  <c:v>41025</c:v>
                </c:pt>
                <c:pt idx="167">
                  <c:v>41018</c:v>
                </c:pt>
                <c:pt idx="168">
                  <c:v>41011</c:v>
                </c:pt>
                <c:pt idx="169">
                  <c:v>41004</c:v>
                </c:pt>
                <c:pt idx="170">
                  <c:v>40997</c:v>
                </c:pt>
                <c:pt idx="171">
                  <c:v>40990</c:v>
                </c:pt>
                <c:pt idx="172">
                  <c:v>40983</c:v>
                </c:pt>
                <c:pt idx="173">
                  <c:v>40976</c:v>
                </c:pt>
                <c:pt idx="174">
                  <c:v>40969</c:v>
                </c:pt>
                <c:pt idx="175">
                  <c:v>40962</c:v>
                </c:pt>
                <c:pt idx="176">
                  <c:v>40955</c:v>
                </c:pt>
                <c:pt idx="177">
                  <c:v>40948</c:v>
                </c:pt>
                <c:pt idx="178">
                  <c:v>40941</c:v>
                </c:pt>
                <c:pt idx="179">
                  <c:v>40934</c:v>
                </c:pt>
                <c:pt idx="180">
                  <c:v>40927</c:v>
                </c:pt>
                <c:pt idx="181">
                  <c:v>40920</c:v>
                </c:pt>
                <c:pt idx="182">
                  <c:v>40913</c:v>
                </c:pt>
                <c:pt idx="183">
                  <c:v>40906</c:v>
                </c:pt>
                <c:pt idx="184">
                  <c:v>40899</c:v>
                </c:pt>
                <c:pt idx="185">
                  <c:v>40892</c:v>
                </c:pt>
                <c:pt idx="186">
                  <c:v>40885</c:v>
                </c:pt>
                <c:pt idx="187">
                  <c:v>40878</c:v>
                </c:pt>
                <c:pt idx="188">
                  <c:v>40870</c:v>
                </c:pt>
                <c:pt idx="189">
                  <c:v>40864</c:v>
                </c:pt>
                <c:pt idx="190">
                  <c:v>40857</c:v>
                </c:pt>
                <c:pt idx="191">
                  <c:v>40850</c:v>
                </c:pt>
                <c:pt idx="192">
                  <c:v>40843</c:v>
                </c:pt>
                <c:pt idx="193">
                  <c:v>40836</c:v>
                </c:pt>
                <c:pt idx="194">
                  <c:v>40829</c:v>
                </c:pt>
                <c:pt idx="195">
                  <c:v>40822</c:v>
                </c:pt>
                <c:pt idx="196">
                  <c:v>40815</c:v>
                </c:pt>
                <c:pt idx="197">
                  <c:v>40808</c:v>
                </c:pt>
                <c:pt idx="198">
                  <c:v>40801</c:v>
                </c:pt>
                <c:pt idx="199">
                  <c:v>40794</c:v>
                </c:pt>
                <c:pt idx="200">
                  <c:v>40787</c:v>
                </c:pt>
                <c:pt idx="201">
                  <c:v>40780</c:v>
                </c:pt>
                <c:pt idx="202">
                  <c:v>40773</c:v>
                </c:pt>
                <c:pt idx="203">
                  <c:v>40766</c:v>
                </c:pt>
                <c:pt idx="204">
                  <c:v>40759</c:v>
                </c:pt>
                <c:pt idx="205">
                  <c:v>40752</c:v>
                </c:pt>
                <c:pt idx="206">
                  <c:v>40745</c:v>
                </c:pt>
                <c:pt idx="207">
                  <c:v>40738</c:v>
                </c:pt>
                <c:pt idx="208">
                  <c:v>40731</c:v>
                </c:pt>
                <c:pt idx="209">
                  <c:v>40724</c:v>
                </c:pt>
                <c:pt idx="210">
                  <c:v>40717</c:v>
                </c:pt>
                <c:pt idx="211">
                  <c:v>40710</c:v>
                </c:pt>
                <c:pt idx="212">
                  <c:v>40703</c:v>
                </c:pt>
                <c:pt idx="213">
                  <c:v>40696</c:v>
                </c:pt>
                <c:pt idx="214">
                  <c:v>40689</c:v>
                </c:pt>
                <c:pt idx="215">
                  <c:v>40682</c:v>
                </c:pt>
                <c:pt idx="216">
                  <c:v>40675</c:v>
                </c:pt>
                <c:pt idx="217">
                  <c:v>40668</c:v>
                </c:pt>
                <c:pt idx="218">
                  <c:v>40661</c:v>
                </c:pt>
                <c:pt idx="219">
                  <c:v>40654</c:v>
                </c:pt>
                <c:pt idx="220">
                  <c:v>40647</c:v>
                </c:pt>
                <c:pt idx="221">
                  <c:v>40640</c:v>
                </c:pt>
                <c:pt idx="222">
                  <c:v>40633</c:v>
                </c:pt>
                <c:pt idx="223">
                  <c:v>40626</c:v>
                </c:pt>
                <c:pt idx="224">
                  <c:v>40619</c:v>
                </c:pt>
                <c:pt idx="225">
                  <c:v>40612</c:v>
                </c:pt>
                <c:pt idx="226">
                  <c:v>40605</c:v>
                </c:pt>
                <c:pt idx="227">
                  <c:v>40598</c:v>
                </c:pt>
                <c:pt idx="228">
                  <c:v>40591</c:v>
                </c:pt>
                <c:pt idx="229">
                  <c:v>40584</c:v>
                </c:pt>
                <c:pt idx="230">
                  <c:v>40577</c:v>
                </c:pt>
                <c:pt idx="231">
                  <c:v>40570</c:v>
                </c:pt>
                <c:pt idx="232">
                  <c:v>40563</c:v>
                </c:pt>
                <c:pt idx="233">
                  <c:v>40556</c:v>
                </c:pt>
                <c:pt idx="234">
                  <c:v>40549</c:v>
                </c:pt>
              </c:numCache>
            </c:numRef>
          </c:cat>
          <c:val>
            <c:numRef>
              <c:f>Query!$D$3:$D$237</c:f>
              <c:numCache>
                <c:formatCode>0.00%</c:formatCode>
                <c:ptCount val="235"/>
                <c:pt idx="0">
                  <c:v>5.4944560466175651E-4</c:v>
                </c:pt>
                <c:pt idx="1">
                  <c:v>6.33970704565231E-4</c:v>
                </c:pt>
                <c:pt idx="2">
                  <c:v>8.5021725785377989E-4</c:v>
                </c:pt>
                <c:pt idx="3">
                  <c:v>6.015941023918887E-4</c:v>
                </c:pt>
                <c:pt idx="4">
                  <c:v>1.4226748396708299E-3</c:v>
                </c:pt>
                <c:pt idx="5">
                  <c:v>1.6736251546201301E-3</c:v>
                </c:pt>
                <c:pt idx="6">
                  <c:v>1.67442383088528E-3</c:v>
                </c:pt>
                <c:pt idx="7">
                  <c:v>2.3331317991025198E-3</c:v>
                </c:pt>
                <c:pt idx="8">
                  <c:v>3.4714448657501701E-3</c:v>
                </c:pt>
                <c:pt idx="9">
                  <c:v>0.168531927128662</c:v>
                </c:pt>
                <c:pt idx="10">
                  <c:v>0.187930762639857</c:v>
                </c:pt>
                <c:pt idx="11">
                  <c:v>0.16810406485709101</c:v>
                </c:pt>
                <c:pt idx="12">
                  <c:v>0.18505564947661601</c:v>
                </c:pt>
                <c:pt idx="13">
                  <c:v>0.16611661450599</c:v>
                </c:pt>
                <c:pt idx="14">
                  <c:v>0.16936375390644101</c:v>
                </c:pt>
                <c:pt idx="15">
                  <c:v>0.145251647985956</c:v>
                </c:pt>
                <c:pt idx="16">
                  <c:v>0.109721001806031</c:v>
                </c:pt>
                <c:pt idx="17">
                  <c:v>0.14554399189627501</c:v>
                </c:pt>
                <c:pt idx="18">
                  <c:v>0.13140881606048399</c:v>
                </c:pt>
                <c:pt idx="19">
                  <c:v>0.146759122816186</c:v>
                </c:pt>
                <c:pt idx="20">
                  <c:v>0.17272998234149201</c:v>
                </c:pt>
                <c:pt idx="21">
                  <c:v>0.18771115723731899</c:v>
                </c:pt>
                <c:pt idx="22">
                  <c:v>0.183514418950807</c:v>
                </c:pt>
                <c:pt idx="23">
                  <c:v>0.18606636138555099</c:v>
                </c:pt>
                <c:pt idx="24">
                  <c:v>0.18556389775981899</c:v>
                </c:pt>
                <c:pt idx="25">
                  <c:v>0.14791956318824301</c:v>
                </c:pt>
                <c:pt idx="26">
                  <c:v>0.11008343849461499</c:v>
                </c:pt>
                <c:pt idx="27">
                  <c:v>0.128936720795501</c:v>
                </c:pt>
                <c:pt idx="28">
                  <c:v>0.13100701570916601</c:v>
                </c:pt>
                <c:pt idx="29">
                  <c:v>0.108243403634791</c:v>
                </c:pt>
                <c:pt idx="30">
                  <c:v>0.10843983316764801</c:v>
                </c:pt>
                <c:pt idx="31">
                  <c:v>9.3998413556807103E-2</c:v>
                </c:pt>
                <c:pt idx="32">
                  <c:v>9.2759285706895706E-2</c:v>
                </c:pt>
                <c:pt idx="33">
                  <c:v>7.4888854290669493E-2</c:v>
                </c:pt>
                <c:pt idx="34">
                  <c:v>7.3307962083476605E-2</c:v>
                </c:pt>
                <c:pt idx="35">
                  <c:v>9.2355670832085193E-2</c:v>
                </c:pt>
                <c:pt idx="36">
                  <c:v>0.105678643107878</c:v>
                </c:pt>
                <c:pt idx="37">
                  <c:v>9.2515921347387203E-2</c:v>
                </c:pt>
                <c:pt idx="38">
                  <c:v>5.7460081272162802E-2</c:v>
                </c:pt>
                <c:pt idx="39">
                  <c:v>5.78845043705907E-3</c:v>
                </c:pt>
                <c:pt idx="40">
                  <c:v>2.1899499180467298E-3</c:v>
                </c:pt>
                <c:pt idx="41">
                  <c:v>2.1801779477546102E-3</c:v>
                </c:pt>
                <c:pt idx="42">
                  <c:v>5.6963722019140399E-2</c:v>
                </c:pt>
                <c:pt idx="43">
                  <c:v>5.6843667888921999E-2</c:v>
                </c:pt>
                <c:pt idx="44">
                  <c:v>5.5210302843546E-2</c:v>
                </c:pt>
                <c:pt idx="45">
                  <c:v>5.5733257120455203E-2</c:v>
                </c:pt>
                <c:pt idx="46">
                  <c:v>4.0576469480246402E-2</c:v>
                </c:pt>
                <c:pt idx="47">
                  <c:v>2.98931442613069E-2</c:v>
                </c:pt>
                <c:pt idx="48">
                  <c:v>3.8081960412189197E-2</c:v>
                </c:pt>
                <c:pt idx="49">
                  <c:v>3.6985472623473202E-2</c:v>
                </c:pt>
                <c:pt idx="50">
                  <c:v>3.6985472623473202E-2</c:v>
                </c:pt>
                <c:pt idx="51">
                  <c:v>2.8091291880043799E-2</c:v>
                </c:pt>
                <c:pt idx="52">
                  <c:v>5.0464297832893801E-2</c:v>
                </c:pt>
                <c:pt idx="53">
                  <c:v>3.4895003086718203E-2</c:v>
                </c:pt>
                <c:pt idx="54">
                  <c:v>2.6288769130428501E-2</c:v>
                </c:pt>
                <c:pt idx="55">
                  <c:v>2.57985966584953E-2</c:v>
                </c:pt>
                <c:pt idx="56">
                  <c:v>3.39392972413807E-2</c:v>
                </c:pt>
                <c:pt idx="57">
                  <c:v>2.9521653233466699E-2</c:v>
                </c:pt>
                <c:pt idx="58">
                  <c:v>2.8653101671392602E-2</c:v>
                </c:pt>
                <c:pt idx="59">
                  <c:v>2.2126974140678001E-2</c:v>
                </c:pt>
                <c:pt idx="60">
                  <c:v>2.2073656709097101E-2</c:v>
                </c:pt>
                <c:pt idx="61">
                  <c:v>9.8642663465764498E-3</c:v>
                </c:pt>
                <c:pt idx="62">
                  <c:v>5.3403429564292202E-3</c:v>
                </c:pt>
                <c:pt idx="63">
                  <c:v>9.0367181357990708E-3</c:v>
                </c:pt>
                <c:pt idx="64">
                  <c:v>3.4890800072405899E-3</c:v>
                </c:pt>
                <c:pt idx="65">
                  <c:v>1.48737291930596E-3</c:v>
                </c:pt>
                <c:pt idx="66">
                  <c:v>2.5391137542070102E-3</c:v>
                </c:pt>
                <c:pt idx="67">
                  <c:v>6.7470837053240302E-3</c:v>
                </c:pt>
                <c:pt idx="68">
                  <c:v>2.5606168679182602E-3</c:v>
                </c:pt>
                <c:pt idx="69">
                  <c:v>6.3681225023528298E-3</c:v>
                </c:pt>
                <c:pt idx="70">
                  <c:v>2.0311520591881401E-3</c:v>
                </c:pt>
                <c:pt idx="71">
                  <c:v>3.7079476145124701E-3</c:v>
                </c:pt>
                <c:pt idx="72">
                  <c:v>5.9474577791092101E-3</c:v>
                </c:pt>
                <c:pt idx="73">
                  <c:v>7.21546546831584E-3</c:v>
                </c:pt>
                <c:pt idx="74">
                  <c:v>4.8506682686177702E-3</c:v>
                </c:pt>
                <c:pt idx="75">
                  <c:v>2.2673030698720899E-3</c:v>
                </c:pt>
                <c:pt idx="76">
                  <c:v>2.0703667546944798E-3</c:v>
                </c:pt>
                <c:pt idx="77">
                  <c:v>7.2807678642524602E-4</c:v>
                </c:pt>
                <c:pt idx="78">
                  <c:v>3.6503917074256998E-4</c:v>
                </c:pt>
                <c:pt idx="79">
                  <c:v>7.6921873800145097E-4</c:v>
                </c:pt>
                <c:pt idx="80">
                  <c:v>9.4800641267841503E-4</c:v>
                </c:pt>
                <c:pt idx="81">
                  <c:v>1.7289463930776701E-3</c:v>
                </c:pt>
                <c:pt idx="82">
                  <c:v>1.5682869089664699E-3</c:v>
                </c:pt>
                <c:pt idx="83">
                  <c:v>3.7093838786239901E-3</c:v>
                </c:pt>
                <c:pt idx="84">
                  <c:v>5.1057108713702896E-3</c:v>
                </c:pt>
                <c:pt idx="85">
                  <c:v>2.3059610467440102E-3</c:v>
                </c:pt>
                <c:pt idx="86">
                  <c:v>5.9142756056665803E-3</c:v>
                </c:pt>
                <c:pt idx="87">
                  <c:v>6.6622111195612701E-3</c:v>
                </c:pt>
                <c:pt idx="88">
                  <c:v>5.1244395463538699E-3</c:v>
                </c:pt>
                <c:pt idx="89">
                  <c:v>2.1912087808184902E-3</c:v>
                </c:pt>
                <c:pt idx="90">
                  <c:v>2.9998090771003101E-3</c:v>
                </c:pt>
                <c:pt idx="91">
                  <c:v>2.1705397754131698E-3</c:v>
                </c:pt>
                <c:pt idx="92">
                  <c:v>1.1254799612103201E-3</c:v>
                </c:pt>
                <c:pt idx="93">
                  <c:v>2.8613116476948101E-4</c:v>
                </c:pt>
                <c:pt idx="94">
                  <c:v>1.28166724373324E-4</c:v>
                </c:pt>
                <c:pt idx="95">
                  <c:v>1.38137801233605E-4</c:v>
                </c:pt>
                <c:pt idx="96">
                  <c:v>7.0808320685095995E-5</c:v>
                </c:pt>
                <c:pt idx="97">
                  <c:v>5.14127448459894E-5</c:v>
                </c:pt>
                <c:pt idx="98">
                  <c:v>1.09727944241163E-4</c:v>
                </c:pt>
                <c:pt idx="99">
                  <c:v>1.8981164598661E-4</c:v>
                </c:pt>
                <c:pt idx="100">
                  <c:v>1.2656752123026201E-4</c:v>
                </c:pt>
                <c:pt idx="101">
                  <c:v>7.7705125163761099E-5</c:v>
                </c:pt>
                <c:pt idx="102">
                  <c:v>7.7260015377096707E-5</c:v>
                </c:pt>
                <c:pt idx="103">
                  <c:v>6.2349917608853304E-5</c:v>
                </c:pt>
                <c:pt idx="104">
                  <c:v>2.0890509018574801E-4</c:v>
                </c:pt>
                <c:pt idx="105">
                  <c:v>1.18085120456235E-4</c:v>
                </c:pt>
                <c:pt idx="106">
                  <c:v>4.5721700980804099E-4</c:v>
                </c:pt>
                <c:pt idx="107">
                  <c:v>4.4853144090145001E-4</c:v>
                </c:pt>
                <c:pt idx="108">
                  <c:v>5.1111206075067303E-4</c:v>
                </c:pt>
                <c:pt idx="109">
                  <c:v>7.23006593961598E-4</c:v>
                </c:pt>
                <c:pt idx="110">
                  <c:v>3.24861882666854E-3</c:v>
                </c:pt>
                <c:pt idx="111">
                  <c:v>8.3805961025081796E-3</c:v>
                </c:pt>
                <c:pt idx="112">
                  <c:v>1.43811701784358E-2</c:v>
                </c:pt>
                <c:pt idx="113">
                  <c:v>0.77278468829226099</c:v>
                </c:pt>
                <c:pt idx="114">
                  <c:v>9.5307583692172005E-3</c:v>
                </c:pt>
                <c:pt idx="115">
                  <c:v>1.3563295142313201E-2</c:v>
                </c:pt>
                <c:pt idx="116">
                  <c:v>6.9694981086310098E-3</c:v>
                </c:pt>
                <c:pt idx="117">
                  <c:v>2.9231505873714399E-3</c:v>
                </c:pt>
                <c:pt idx="118">
                  <c:v>1.5814373541439301E-3</c:v>
                </c:pt>
                <c:pt idx="119">
                  <c:v>2.2270412887641501E-3</c:v>
                </c:pt>
                <c:pt idx="120">
                  <c:v>1.16383571386427E-3</c:v>
                </c:pt>
                <c:pt idx="121">
                  <c:v>2.7765010532729102E-3</c:v>
                </c:pt>
                <c:pt idx="122">
                  <c:v>2.4413028764475298E-3</c:v>
                </c:pt>
                <c:pt idx="123">
                  <c:v>1.6769000092261E-3</c:v>
                </c:pt>
                <c:pt idx="124">
                  <c:v>2.4304666853394601E-3</c:v>
                </c:pt>
                <c:pt idx="125">
                  <c:v>1.8805301659143899E-3</c:v>
                </c:pt>
                <c:pt idx="126">
                  <c:v>1.5724025040129101E-3</c:v>
                </c:pt>
                <c:pt idx="127">
                  <c:v>6.31365338468388E-3</c:v>
                </c:pt>
                <c:pt idx="128">
                  <c:v>0.83579303387112303</c:v>
                </c:pt>
                <c:pt idx="129">
                  <c:v>6.3649104803575E-3</c:v>
                </c:pt>
                <c:pt idx="130">
                  <c:v>0.836402700195363</c:v>
                </c:pt>
                <c:pt idx="131">
                  <c:v>0.85656729506407103</c:v>
                </c:pt>
                <c:pt idx="132">
                  <c:v>0.85553537746283803</c:v>
                </c:pt>
                <c:pt idx="133">
                  <c:v>0.87441718771065802</c:v>
                </c:pt>
                <c:pt idx="134">
                  <c:v>0.85552701758194905</c:v>
                </c:pt>
                <c:pt idx="135">
                  <c:v>0.87096715032167604</c:v>
                </c:pt>
                <c:pt idx="136">
                  <c:v>0.88870182147749199</c:v>
                </c:pt>
                <c:pt idx="137">
                  <c:v>0.87099758649899595</c:v>
                </c:pt>
                <c:pt idx="138">
                  <c:v>0.85294848165289106</c:v>
                </c:pt>
                <c:pt idx="139">
                  <c:v>0.85025958001434099</c:v>
                </c:pt>
                <c:pt idx="140">
                  <c:v>0.87765828155593195</c:v>
                </c:pt>
                <c:pt idx="141">
                  <c:v>0.89451035602650197</c:v>
                </c:pt>
                <c:pt idx="142">
                  <c:v>0.87893796322118301</c:v>
                </c:pt>
                <c:pt idx="143">
                  <c:v>0.89337068210282</c:v>
                </c:pt>
                <c:pt idx="144">
                  <c:v>0.91307424668051995</c:v>
                </c:pt>
                <c:pt idx="145">
                  <c:v>0.87391634150534703</c:v>
                </c:pt>
                <c:pt idx="146">
                  <c:v>0.85777100850024601</c:v>
                </c:pt>
                <c:pt idx="147">
                  <c:v>0.85389897885032495</c:v>
                </c:pt>
                <c:pt idx="148">
                  <c:v>0.86873710574149099</c:v>
                </c:pt>
                <c:pt idx="149">
                  <c:v>0.83946291551948105</c:v>
                </c:pt>
                <c:pt idx="150">
                  <c:v>0.85326106113769395</c:v>
                </c:pt>
                <c:pt idx="151">
                  <c:v>0.86873710574149099</c:v>
                </c:pt>
                <c:pt idx="152">
                  <c:v>0.86721057119503697</c:v>
                </c:pt>
                <c:pt idx="153">
                  <c:v>0.89854811201564799</c:v>
                </c:pt>
                <c:pt idx="154">
                  <c:v>0.88557582733423201</c:v>
                </c:pt>
                <c:pt idx="155">
                  <c:v>0.88306588959651799</c:v>
                </c:pt>
                <c:pt idx="156">
                  <c:v>0.85480310148891403</c:v>
                </c:pt>
                <c:pt idx="157">
                  <c:v>0.86355719580735102</c:v>
                </c:pt>
                <c:pt idx="158">
                  <c:v>0.86355719580735102</c:v>
                </c:pt>
                <c:pt idx="159">
                  <c:v>0.84598502966079503</c:v>
                </c:pt>
                <c:pt idx="160">
                  <c:v>0.86123151402869003</c:v>
                </c:pt>
                <c:pt idx="161">
                  <c:v>0.83309495413351498</c:v>
                </c:pt>
                <c:pt idx="162">
                  <c:v>0.82988569781951205</c:v>
                </c:pt>
                <c:pt idx="163">
                  <c:v>0.831927164274886</c:v>
                </c:pt>
                <c:pt idx="164">
                  <c:v>0.80754152596055995</c:v>
                </c:pt>
                <c:pt idx="165">
                  <c:v>0.80415566862182497</c:v>
                </c:pt>
                <c:pt idx="166">
                  <c:v>0.80265108338267499</c:v>
                </c:pt>
                <c:pt idx="167">
                  <c:v>0.77849897612614904</c:v>
                </c:pt>
                <c:pt idx="168">
                  <c:v>0.80265108338267499</c:v>
                </c:pt>
                <c:pt idx="169">
                  <c:v>2.3931530313827699E-3</c:v>
                </c:pt>
                <c:pt idx="170">
                  <c:v>2.0359348143069401E-3</c:v>
                </c:pt>
                <c:pt idx="171">
                  <c:v>1.02306018328437E-3</c:v>
                </c:pt>
                <c:pt idx="172">
                  <c:v>0.77543640291465299</c:v>
                </c:pt>
                <c:pt idx="173">
                  <c:v>0.78407944596061996</c:v>
                </c:pt>
                <c:pt idx="174">
                  <c:v>0.775278844773303</c:v>
                </c:pt>
                <c:pt idx="175">
                  <c:v>0.76744855177879401</c:v>
                </c:pt>
                <c:pt idx="176">
                  <c:v>0.79921379703908202</c:v>
                </c:pt>
                <c:pt idx="177">
                  <c:v>0.79921379703908202</c:v>
                </c:pt>
                <c:pt idx="178">
                  <c:v>0.79845513778799804</c:v>
                </c:pt>
                <c:pt idx="179">
                  <c:v>0.78374402567192103</c:v>
                </c:pt>
                <c:pt idx="180">
                  <c:v>0.81498439857814597</c:v>
                </c:pt>
                <c:pt idx="181">
                  <c:v>0.81663205917875104</c:v>
                </c:pt>
                <c:pt idx="182">
                  <c:v>0.80565650657334698</c:v>
                </c:pt>
                <c:pt idx="183">
                  <c:v>0.817559292303353</c:v>
                </c:pt>
                <c:pt idx="184">
                  <c:v>0.82559057548597004</c:v>
                </c:pt>
                <c:pt idx="185">
                  <c:v>0.79669049657242397</c:v>
                </c:pt>
                <c:pt idx="186">
                  <c:v>0.79468507896195895</c:v>
                </c:pt>
                <c:pt idx="187">
                  <c:v>0.79395979394243599</c:v>
                </c:pt>
                <c:pt idx="188">
                  <c:v>0.80866545886582697</c:v>
                </c:pt>
                <c:pt idx="189">
                  <c:v>0.807360764605215</c:v>
                </c:pt>
                <c:pt idx="190">
                  <c:v>0.80740872054840995</c:v>
                </c:pt>
                <c:pt idx="191">
                  <c:v>0.80648126550350197</c:v>
                </c:pt>
                <c:pt idx="192">
                  <c:v>0.77089716807818798</c:v>
                </c:pt>
                <c:pt idx="193">
                  <c:v>0.76945479185077703</c:v>
                </c:pt>
                <c:pt idx="194">
                  <c:v>0.75098159830325395</c:v>
                </c:pt>
                <c:pt idx="195">
                  <c:v>0.82194247765297301</c:v>
                </c:pt>
                <c:pt idx="196">
                  <c:v>0.83561176946303795</c:v>
                </c:pt>
                <c:pt idx="197">
                  <c:v>0.78833832359916201</c:v>
                </c:pt>
                <c:pt idx="198">
                  <c:v>0.78833832359916201</c:v>
                </c:pt>
                <c:pt idx="199">
                  <c:v>0.786160649616369</c:v>
                </c:pt>
                <c:pt idx="200">
                  <c:v>0.72380364081501802</c:v>
                </c:pt>
                <c:pt idx="201">
                  <c:v>0.73020380506198002</c:v>
                </c:pt>
                <c:pt idx="202">
                  <c:v>0.76977670194978398</c:v>
                </c:pt>
                <c:pt idx="203">
                  <c:v>0.68802315917174295</c:v>
                </c:pt>
                <c:pt idx="204">
                  <c:v>0.59586208852897005</c:v>
                </c:pt>
                <c:pt idx="205">
                  <c:v>9.9907247032366194E-3</c:v>
                </c:pt>
                <c:pt idx="206">
                  <c:v>1.04315971858071E-2</c:v>
                </c:pt>
                <c:pt idx="207">
                  <c:v>1.3388573483630799E-2</c:v>
                </c:pt>
                <c:pt idx="208">
                  <c:v>7.4617374953439E-3</c:v>
                </c:pt>
                <c:pt idx="209">
                  <c:v>1.2160270900161399E-2</c:v>
                </c:pt>
                <c:pt idx="210">
                  <c:v>1.00606573736092E-2</c:v>
                </c:pt>
                <c:pt idx="211">
                  <c:v>1.23002415872017E-2</c:v>
                </c:pt>
                <c:pt idx="212">
                  <c:v>1.23067584719575E-2</c:v>
                </c:pt>
                <c:pt idx="213">
                  <c:v>8.68657357338724E-3</c:v>
                </c:pt>
                <c:pt idx="214">
                  <c:v>5.5127032061132201E-3</c:v>
                </c:pt>
                <c:pt idx="215">
                  <c:v>5.4986490601633296E-3</c:v>
                </c:pt>
                <c:pt idx="216">
                  <c:v>5.44390325332186E-3</c:v>
                </c:pt>
                <c:pt idx="217">
                  <c:v>2.29777756393631E-3</c:v>
                </c:pt>
                <c:pt idx="218">
                  <c:v>1.13472894544288E-3</c:v>
                </c:pt>
                <c:pt idx="219">
                  <c:v>1.12729989415065E-3</c:v>
                </c:pt>
                <c:pt idx="220">
                  <c:v>3.9614697005304603E-4</c:v>
                </c:pt>
                <c:pt idx="221">
                  <c:v>2.4181129106516801E-4</c:v>
                </c:pt>
                <c:pt idx="222">
                  <c:v>2.5023950479765699E-4</c:v>
                </c:pt>
                <c:pt idx="223">
                  <c:v>6.0502769456042399E-4</c:v>
                </c:pt>
                <c:pt idx="224">
                  <c:v>1.0337095119414301E-3</c:v>
                </c:pt>
                <c:pt idx="225">
                  <c:v>2.4946862835881098E-4</c:v>
                </c:pt>
                <c:pt idx="226">
                  <c:v>1.96229527460014E-4</c:v>
                </c:pt>
                <c:pt idx="227">
                  <c:v>1.35954340606731E-4</c:v>
                </c:pt>
                <c:pt idx="228">
                  <c:v>6.2663406645224498E-5</c:v>
                </c:pt>
                <c:pt idx="229">
                  <c:v>5.20153194974807E-5</c:v>
                </c:pt>
                <c:pt idx="230">
                  <c:v>2.0178573468983399E-4</c:v>
                </c:pt>
                <c:pt idx="231">
                  <c:v>2.71872925347238E-4</c:v>
                </c:pt>
                <c:pt idx="232">
                  <c:v>4.2360297628175301E-4</c:v>
                </c:pt>
                <c:pt idx="233">
                  <c:v>5.3255518166106497E-4</c:v>
                </c:pt>
                <c:pt idx="234">
                  <c:v>3.7596565105309601E-4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6222976"/>
        <c:axId val="304350336"/>
      </c:barChart>
      <c:lineChart>
        <c:grouping val="standard"/>
        <c:varyColors val="0"/>
        <c:ser>
          <c:idx val="3"/>
          <c:order val="1"/>
          <c:tx>
            <c:strRef>
              <c:f>Query!$E$2</c:f>
              <c:strCache>
                <c:ptCount val="1"/>
                <c:pt idx="0">
                  <c:v>Refi Index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Query!$B$3:$B$237</c:f>
              <c:numCache>
                <c:formatCode>m/d/yyyy</c:formatCode>
                <c:ptCount val="235"/>
                <c:pt idx="0">
                  <c:v>42187</c:v>
                </c:pt>
                <c:pt idx="1">
                  <c:v>42180</c:v>
                </c:pt>
                <c:pt idx="2">
                  <c:v>42173</c:v>
                </c:pt>
                <c:pt idx="3">
                  <c:v>42166</c:v>
                </c:pt>
                <c:pt idx="4">
                  <c:v>42159</c:v>
                </c:pt>
                <c:pt idx="5">
                  <c:v>42152</c:v>
                </c:pt>
                <c:pt idx="6">
                  <c:v>42145</c:v>
                </c:pt>
                <c:pt idx="7">
                  <c:v>42138</c:v>
                </c:pt>
                <c:pt idx="8">
                  <c:v>42131</c:v>
                </c:pt>
                <c:pt idx="9">
                  <c:v>42124</c:v>
                </c:pt>
                <c:pt idx="10">
                  <c:v>42117</c:v>
                </c:pt>
                <c:pt idx="11">
                  <c:v>42110</c:v>
                </c:pt>
                <c:pt idx="12">
                  <c:v>42103</c:v>
                </c:pt>
                <c:pt idx="13">
                  <c:v>42096</c:v>
                </c:pt>
                <c:pt idx="14">
                  <c:v>42089</c:v>
                </c:pt>
                <c:pt idx="15">
                  <c:v>42082</c:v>
                </c:pt>
                <c:pt idx="16">
                  <c:v>42075</c:v>
                </c:pt>
                <c:pt idx="17">
                  <c:v>42068</c:v>
                </c:pt>
                <c:pt idx="18">
                  <c:v>42061</c:v>
                </c:pt>
                <c:pt idx="19">
                  <c:v>42054</c:v>
                </c:pt>
                <c:pt idx="20">
                  <c:v>42047</c:v>
                </c:pt>
                <c:pt idx="21">
                  <c:v>42040</c:v>
                </c:pt>
                <c:pt idx="22">
                  <c:v>42033</c:v>
                </c:pt>
                <c:pt idx="23">
                  <c:v>42026</c:v>
                </c:pt>
                <c:pt idx="24">
                  <c:v>42019</c:v>
                </c:pt>
                <c:pt idx="25">
                  <c:v>42012</c:v>
                </c:pt>
                <c:pt idx="26">
                  <c:v>42004</c:v>
                </c:pt>
                <c:pt idx="27">
                  <c:v>41997</c:v>
                </c:pt>
                <c:pt idx="28">
                  <c:v>41991</c:v>
                </c:pt>
                <c:pt idx="29">
                  <c:v>41984</c:v>
                </c:pt>
                <c:pt idx="30">
                  <c:v>41977</c:v>
                </c:pt>
                <c:pt idx="31">
                  <c:v>41969</c:v>
                </c:pt>
                <c:pt idx="32">
                  <c:v>41963</c:v>
                </c:pt>
                <c:pt idx="33">
                  <c:v>41956</c:v>
                </c:pt>
                <c:pt idx="34">
                  <c:v>41949</c:v>
                </c:pt>
                <c:pt idx="35">
                  <c:v>41942</c:v>
                </c:pt>
                <c:pt idx="36">
                  <c:v>41935</c:v>
                </c:pt>
                <c:pt idx="37">
                  <c:v>41928</c:v>
                </c:pt>
                <c:pt idx="38">
                  <c:v>41921</c:v>
                </c:pt>
                <c:pt idx="39">
                  <c:v>41914</c:v>
                </c:pt>
                <c:pt idx="40">
                  <c:v>41907</c:v>
                </c:pt>
                <c:pt idx="41">
                  <c:v>41900</c:v>
                </c:pt>
                <c:pt idx="42">
                  <c:v>41893</c:v>
                </c:pt>
                <c:pt idx="43">
                  <c:v>41886</c:v>
                </c:pt>
                <c:pt idx="44">
                  <c:v>41879</c:v>
                </c:pt>
                <c:pt idx="45">
                  <c:v>41872</c:v>
                </c:pt>
                <c:pt idx="46">
                  <c:v>41865</c:v>
                </c:pt>
                <c:pt idx="47">
                  <c:v>41858</c:v>
                </c:pt>
                <c:pt idx="48">
                  <c:v>41851</c:v>
                </c:pt>
                <c:pt idx="49">
                  <c:v>41844</c:v>
                </c:pt>
                <c:pt idx="50">
                  <c:v>41837</c:v>
                </c:pt>
                <c:pt idx="51">
                  <c:v>41830</c:v>
                </c:pt>
                <c:pt idx="52">
                  <c:v>41823</c:v>
                </c:pt>
                <c:pt idx="53">
                  <c:v>41816</c:v>
                </c:pt>
                <c:pt idx="54">
                  <c:v>41809</c:v>
                </c:pt>
                <c:pt idx="55">
                  <c:v>41802</c:v>
                </c:pt>
                <c:pt idx="56">
                  <c:v>41795</c:v>
                </c:pt>
                <c:pt idx="57">
                  <c:v>41788</c:v>
                </c:pt>
                <c:pt idx="58">
                  <c:v>41781</c:v>
                </c:pt>
                <c:pt idx="59">
                  <c:v>41774</c:v>
                </c:pt>
                <c:pt idx="60">
                  <c:v>41767</c:v>
                </c:pt>
                <c:pt idx="61">
                  <c:v>41760</c:v>
                </c:pt>
                <c:pt idx="62">
                  <c:v>41753</c:v>
                </c:pt>
                <c:pt idx="63">
                  <c:v>41746</c:v>
                </c:pt>
                <c:pt idx="64">
                  <c:v>41739</c:v>
                </c:pt>
                <c:pt idx="65">
                  <c:v>41732</c:v>
                </c:pt>
                <c:pt idx="66">
                  <c:v>41725</c:v>
                </c:pt>
                <c:pt idx="67">
                  <c:v>41718</c:v>
                </c:pt>
                <c:pt idx="68">
                  <c:v>41711</c:v>
                </c:pt>
                <c:pt idx="69">
                  <c:v>41704</c:v>
                </c:pt>
                <c:pt idx="70">
                  <c:v>41697</c:v>
                </c:pt>
                <c:pt idx="71">
                  <c:v>41690</c:v>
                </c:pt>
                <c:pt idx="72">
                  <c:v>41683</c:v>
                </c:pt>
                <c:pt idx="73">
                  <c:v>41676</c:v>
                </c:pt>
                <c:pt idx="74">
                  <c:v>41669</c:v>
                </c:pt>
                <c:pt idx="75">
                  <c:v>41662</c:v>
                </c:pt>
                <c:pt idx="76">
                  <c:v>41655</c:v>
                </c:pt>
                <c:pt idx="77">
                  <c:v>41648</c:v>
                </c:pt>
                <c:pt idx="78">
                  <c:v>41641</c:v>
                </c:pt>
                <c:pt idx="79">
                  <c:v>41634</c:v>
                </c:pt>
                <c:pt idx="80">
                  <c:v>41627</c:v>
                </c:pt>
                <c:pt idx="81">
                  <c:v>41620</c:v>
                </c:pt>
                <c:pt idx="82">
                  <c:v>41613</c:v>
                </c:pt>
                <c:pt idx="83">
                  <c:v>41605</c:v>
                </c:pt>
                <c:pt idx="84">
                  <c:v>41599</c:v>
                </c:pt>
                <c:pt idx="85">
                  <c:v>41592</c:v>
                </c:pt>
                <c:pt idx="86">
                  <c:v>41585</c:v>
                </c:pt>
                <c:pt idx="87">
                  <c:v>41578</c:v>
                </c:pt>
                <c:pt idx="88">
                  <c:v>41571</c:v>
                </c:pt>
                <c:pt idx="89">
                  <c:v>41564</c:v>
                </c:pt>
                <c:pt idx="90">
                  <c:v>41557</c:v>
                </c:pt>
                <c:pt idx="91">
                  <c:v>41550</c:v>
                </c:pt>
                <c:pt idx="92">
                  <c:v>41543</c:v>
                </c:pt>
                <c:pt idx="93">
                  <c:v>41536</c:v>
                </c:pt>
                <c:pt idx="94">
                  <c:v>41529</c:v>
                </c:pt>
                <c:pt idx="95">
                  <c:v>41522</c:v>
                </c:pt>
                <c:pt idx="96">
                  <c:v>41515</c:v>
                </c:pt>
                <c:pt idx="97">
                  <c:v>41508</c:v>
                </c:pt>
                <c:pt idx="98">
                  <c:v>41501</c:v>
                </c:pt>
                <c:pt idx="99">
                  <c:v>41494</c:v>
                </c:pt>
                <c:pt idx="100">
                  <c:v>41487</c:v>
                </c:pt>
                <c:pt idx="101">
                  <c:v>41480</c:v>
                </c:pt>
                <c:pt idx="102">
                  <c:v>41473</c:v>
                </c:pt>
                <c:pt idx="103">
                  <c:v>41466</c:v>
                </c:pt>
                <c:pt idx="104">
                  <c:v>41458</c:v>
                </c:pt>
                <c:pt idx="105">
                  <c:v>41452</c:v>
                </c:pt>
                <c:pt idx="106">
                  <c:v>41445</c:v>
                </c:pt>
                <c:pt idx="107">
                  <c:v>41438</c:v>
                </c:pt>
                <c:pt idx="108">
                  <c:v>41431</c:v>
                </c:pt>
                <c:pt idx="109">
                  <c:v>41424</c:v>
                </c:pt>
                <c:pt idx="110">
                  <c:v>41417</c:v>
                </c:pt>
                <c:pt idx="111">
                  <c:v>41410</c:v>
                </c:pt>
                <c:pt idx="112">
                  <c:v>41403</c:v>
                </c:pt>
                <c:pt idx="113">
                  <c:v>41396</c:v>
                </c:pt>
                <c:pt idx="114">
                  <c:v>41389</c:v>
                </c:pt>
                <c:pt idx="115">
                  <c:v>41382</c:v>
                </c:pt>
                <c:pt idx="116">
                  <c:v>41375</c:v>
                </c:pt>
                <c:pt idx="117">
                  <c:v>41368</c:v>
                </c:pt>
                <c:pt idx="118">
                  <c:v>41361</c:v>
                </c:pt>
                <c:pt idx="119">
                  <c:v>41354</c:v>
                </c:pt>
                <c:pt idx="120">
                  <c:v>41347</c:v>
                </c:pt>
                <c:pt idx="121">
                  <c:v>41340</c:v>
                </c:pt>
                <c:pt idx="122">
                  <c:v>41333</c:v>
                </c:pt>
                <c:pt idx="123">
                  <c:v>41326</c:v>
                </c:pt>
                <c:pt idx="124">
                  <c:v>41319</c:v>
                </c:pt>
                <c:pt idx="125">
                  <c:v>41312</c:v>
                </c:pt>
                <c:pt idx="126">
                  <c:v>41305</c:v>
                </c:pt>
                <c:pt idx="127">
                  <c:v>41298</c:v>
                </c:pt>
                <c:pt idx="128">
                  <c:v>41291</c:v>
                </c:pt>
                <c:pt idx="129">
                  <c:v>41284</c:v>
                </c:pt>
                <c:pt idx="130">
                  <c:v>41277</c:v>
                </c:pt>
                <c:pt idx="131">
                  <c:v>41270</c:v>
                </c:pt>
                <c:pt idx="132">
                  <c:v>41263</c:v>
                </c:pt>
                <c:pt idx="133">
                  <c:v>41256</c:v>
                </c:pt>
                <c:pt idx="134">
                  <c:v>41249</c:v>
                </c:pt>
                <c:pt idx="135">
                  <c:v>41242</c:v>
                </c:pt>
                <c:pt idx="136">
                  <c:v>41234</c:v>
                </c:pt>
                <c:pt idx="137">
                  <c:v>41228</c:v>
                </c:pt>
                <c:pt idx="138">
                  <c:v>41221</c:v>
                </c:pt>
                <c:pt idx="139">
                  <c:v>41214</c:v>
                </c:pt>
                <c:pt idx="140">
                  <c:v>41207</c:v>
                </c:pt>
                <c:pt idx="141">
                  <c:v>41200</c:v>
                </c:pt>
                <c:pt idx="142">
                  <c:v>41193</c:v>
                </c:pt>
                <c:pt idx="143">
                  <c:v>41186</c:v>
                </c:pt>
                <c:pt idx="144">
                  <c:v>41179</c:v>
                </c:pt>
                <c:pt idx="145">
                  <c:v>41172</c:v>
                </c:pt>
                <c:pt idx="146">
                  <c:v>41165</c:v>
                </c:pt>
                <c:pt idx="147">
                  <c:v>41158</c:v>
                </c:pt>
                <c:pt idx="148">
                  <c:v>41151</c:v>
                </c:pt>
                <c:pt idx="149">
                  <c:v>41144</c:v>
                </c:pt>
                <c:pt idx="150">
                  <c:v>41137</c:v>
                </c:pt>
                <c:pt idx="151">
                  <c:v>41130</c:v>
                </c:pt>
                <c:pt idx="152">
                  <c:v>41123</c:v>
                </c:pt>
                <c:pt idx="153">
                  <c:v>41116</c:v>
                </c:pt>
                <c:pt idx="154">
                  <c:v>41109</c:v>
                </c:pt>
                <c:pt idx="155">
                  <c:v>41102</c:v>
                </c:pt>
                <c:pt idx="156">
                  <c:v>41095</c:v>
                </c:pt>
                <c:pt idx="157">
                  <c:v>41088</c:v>
                </c:pt>
                <c:pt idx="158">
                  <c:v>41081</c:v>
                </c:pt>
                <c:pt idx="159">
                  <c:v>41074</c:v>
                </c:pt>
                <c:pt idx="160">
                  <c:v>41067</c:v>
                </c:pt>
                <c:pt idx="161">
                  <c:v>41060</c:v>
                </c:pt>
                <c:pt idx="162">
                  <c:v>41053</c:v>
                </c:pt>
                <c:pt idx="163">
                  <c:v>41046</c:v>
                </c:pt>
                <c:pt idx="164">
                  <c:v>41039</c:v>
                </c:pt>
                <c:pt idx="165">
                  <c:v>41032</c:v>
                </c:pt>
                <c:pt idx="166">
                  <c:v>41025</c:v>
                </c:pt>
                <c:pt idx="167">
                  <c:v>41018</c:v>
                </c:pt>
                <c:pt idx="168">
                  <c:v>41011</c:v>
                </c:pt>
                <c:pt idx="169">
                  <c:v>41004</c:v>
                </c:pt>
                <c:pt idx="170">
                  <c:v>40997</c:v>
                </c:pt>
                <c:pt idx="171">
                  <c:v>40990</c:v>
                </c:pt>
                <c:pt idx="172">
                  <c:v>40983</c:v>
                </c:pt>
                <c:pt idx="173">
                  <c:v>40976</c:v>
                </c:pt>
                <c:pt idx="174">
                  <c:v>40969</c:v>
                </c:pt>
                <c:pt idx="175">
                  <c:v>40962</c:v>
                </c:pt>
                <c:pt idx="176">
                  <c:v>40955</c:v>
                </c:pt>
                <c:pt idx="177">
                  <c:v>40948</c:v>
                </c:pt>
                <c:pt idx="178">
                  <c:v>40941</c:v>
                </c:pt>
                <c:pt idx="179">
                  <c:v>40934</c:v>
                </c:pt>
                <c:pt idx="180">
                  <c:v>40927</c:v>
                </c:pt>
                <c:pt idx="181">
                  <c:v>40920</c:v>
                </c:pt>
                <c:pt idx="182">
                  <c:v>40913</c:v>
                </c:pt>
                <c:pt idx="183">
                  <c:v>40906</c:v>
                </c:pt>
                <c:pt idx="184">
                  <c:v>40899</c:v>
                </c:pt>
                <c:pt idx="185">
                  <c:v>40892</c:v>
                </c:pt>
                <c:pt idx="186">
                  <c:v>40885</c:v>
                </c:pt>
                <c:pt idx="187">
                  <c:v>40878</c:v>
                </c:pt>
                <c:pt idx="188">
                  <c:v>40870</c:v>
                </c:pt>
                <c:pt idx="189">
                  <c:v>40864</c:v>
                </c:pt>
                <c:pt idx="190">
                  <c:v>40857</c:v>
                </c:pt>
                <c:pt idx="191">
                  <c:v>40850</c:v>
                </c:pt>
                <c:pt idx="192">
                  <c:v>40843</c:v>
                </c:pt>
                <c:pt idx="193">
                  <c:v>40836</c:v>
                </c:pt>
                <c:pt idx="194">
                  <c:v>40829</c:v>
                </c:pt>
                <c:pt idx="195">
                  <c:v>40822</c:v>
                </c:pt>
                <c:pt idx="196">
                  <c:v>40815</c:v>
                </c:pt>
                <c:pt idx="197">
                  <c:v>40808</c:v>
                </c:pt>
                <c:pt idx="198">
                  <c:v>40801</c:v>
                </c:pt>
                <c:pt idx="199">
                  <c:v>40794</c:v>
                </c:pt>
                <c:pt idx="200">
                  <c:v>40787</c:v>
                </c:pt>
                <c:pt idx="201">
                  <c:v>40780</c:v>
                </c:pt>
                <c:pt idx="202">
                  <c:v>40773</c:v>
                </c:pt>
                <c:pt idx="203">
                  <c:v>40766</c:v>
                </c:pt>
                <c:pt idx="204">
                  <c:v>40759</c:v>
                </c:pt>
                <c:pt idx="205">
                  <c:v>40752</c:v>
                </c:pt>
                <c:pt idx="206">
                  <c:v>40745</c:v>
                </c:pt>
                <c:pt idx="207">
                  <c:v>40738</c:v>
                </c:pt>
                <c:pt idx="208">
                  <c:v>40731</c:v>
                </c:pt>
                <c:pt idx="209">
                  <c:v>40724</c:v>
                </c:pt>
                <c:pt idx="210">
                  <c:v>40717</c:v>
                </c:pt>
                <c:pt idx="211">
                  <c:v>40710</c:v>
                </c:pt>
                <c:pt idx="212">
                  <c:v>40703</c:v>
                </c:pt>
                <c:pt idx="213">
                  <c:v>40696</c:v>
                </c:pt>
                <c:pt idx="214">
                  <c:v>40689</c:v>
                </c:pt>
                <c:pt idx="215">
                  <c:v>40682</c:v>
                </c:pt>
                <c:pt idx="216">
                  <c:v>40675</c:v>
                </c:pt>
                <c:pt idx="217">
                  <c:v>40668</c:v>
                </c:pt>
                <c:pt idx="218">
                  <c:v>40661</c:v>
                </c:pt>
                <c:pt idx="219">
                  <c:v>40654</c:v>
                </c:pt>
                <c:pt idx="220">
                  <c:v>40647</c:v>
                </c:pt>
                <c:pt idx="221">
                  <c:v>40640</c:v>
                </c:pt>
                <c:pt idx="222">
                  <c:v>40633</c:v>
                </c:pt>
                <c:pt idx="223">
                  <c:v>40626</c:v>
                </c:pt>
                <c:pt idx="224">
                  <c:v>40619</c:v>
                </c:pt>
                <c:pt idx="225">
                  <c:v>40612</c:v>
                </c:pt>
                <c:pt idx="226">
                  <c:v>40605</c:v>
                </c:pt>
                <c:pt idx="227">
                  <c:v>40598</c:v>
                </c:pt>
                <c:pt idx="228">
                  <c:v>40591</c:v>
                </c:pt>
                <c:pt idx="229">
                  <c:v>40584</c:v>
                </c:pt>
                <c:pt idx="230">
                  <c:v>40577</c:v>
                </c:pt>
                <c:pt idx="231">
                  <c:v>40570</c:v>
                </c:pt>
                <c:pt idx="232">
                  <c:v>40563</c:v>
                </c:pt>
                <c:pt idx="233">
                  <c:v>40556</c:v>
                </c:pt>
                <c:pt idx="234">
                  <c:v>40549</c:v>
                </c:pt>
              </c:numCache>
            </c:numRef>
          </c:cat>
          <c:val>
            <c:numRef>
              <c:f>Query!$E$3:$E$237</c:f>
              <c:numCache>
                <c:formatCode>0.00</c:formatCode>
                <c:ptCount val="235"/>
                <c:pt idx="0">
                  <c:v>#N/A</c:v>
                </c:pt>
                <c:pt idx="1">
                  <c:v>1246.0999999999999</c:v>
                </c:pt>
                <c:pt idx="2">
                  <c:v>1318.3</c:v>
                </c:pt>
                <c:pt idx="3">
                  <c:v>1273.4000000000001</c:v>
                </c:pt>
                <c:pt idx="4">
                  <c:v>1342.4</c:v>
                </c:pt>
                <c:pt idx="5">
                  <c:v>1233.9000000000001</c:v>
                </c:pt>
                <c:pt idx="6">
                  <c:v>1408.1</c:v>
                </c:pt>
                <c:pt idx="7">
                  <c:v>1448.8</c:v>
                </c:pt>
                <c:pt idx="8">
                  <c:v>1477.8</c:v>
                </c:pt>
                <c:pt idx="9">
                  <c:v>1559.4</c:v>
                </c:pt>
                <c:pt idx="10">
                  <c:v>1723</c:v>
                </c:pt>
                <c:pt idx="11">
                  <c:v>1817</c:v>
                </c:pt>
                <c:pt idx="12">
                  <c:v>1804.6</c:v>
                </c:pt>
                <c:pt idx="13">
                  <c:v>1854.7</c:v>
                </c:pt>
                <c:pt idx="14">
                  <c:v>1941.6</c:v>
                </c:pt>
                <c:pt idx="15">
                  <c:v>1860.8</c:v>
                </c:pt>
                <c:pt idx="16">
                  <c:v>1623.6</c:v>
                </c:pt>
                <c:pt idx="17">
                  <c:v>1685.7</c:v>
                </c:pt>
                <c:pt idx="18">
                  <c:v>1740.3</c:v>
                </c:pt>
                <c:pt idx="19">
                  <c:v>1703.1</c:v>
                </c:pt>
                <c:pt idx="20">
                  <c:v>1904.2</c:v>
                </c:pt>
                <c:pt idx="21">
                  <c:v>2291.3000000000002</c:v>
                </c:pt>
                <c:pt idx="22">
                  <c:v>2584.8000000000002</c:v>
                </c:pt>
                <c:pt idx="23">
                  <c:v>2572.3000000000002</c:v>
                </c:pt>
                <c:pt idx="24">
                  <c:v>2799.3</c:v>
                </c:pt>
                <c:pt idx="25">
                  <c:v>2271.5</c:v>
                </c:pt>
                <c:pt idx="26">
                  <c:v>1347.6</c:v>
                </c:pt>
                <c:pt idx="27">
                  <c:v>1164.2</c:v>
                </c:pt>
                <c:pt idx="28">
                  <c:v>1538.7</c:v>
                </c:pt>
                <c:pt idx="29">
                  <c:v>1518.8</c:v>
                </c:pt>
                <c:pt idx="30">
                  <c:v>1548.6</c:v>
                </c:pt>
                <c:pt idx="31">
                  <c:v>#N/A</c:v>
                </c:pt>
                <c:pt idx="32">
                  <c:v>1547.9</c:v>
                </c:pt>
                <c:pt idx="33">
                  <c:v>1563.2</c:v>
                </c:pt>
                <c:pt idx="34">
                  <c:v>1565.3</c:v>
                </c:pt>
                <c:pt idx="35">
                  <c:v>1604.8</c:v>
                </c:pt>
                <c:pt idx="36">
                  <c:v>1713.6</c:v>
                </c:pt>
                <c:pt idx="37">
                  <c:v>1898.2</c:v>
                </c:pt>
                <c:pt idx="38">
                  <c:v>1560.6</c:v>
                </c:pt>
                <c:pt idx="39">
                  <c:v>1387.1</c:v>
                </c:pt>
                <c:pt idx="40">
                  <c:v>1326.2</c:v>
                </c:pt>
                <c:pt idx="41">
                  <c:v>1335.1</c:v>
                </c:pt>
                <c:pt idx="42">
                  <c:v>1398.4</c:v>
                </c:pt>
                <c:pt idx="43">
                  <c:v>1275.8</c:v>
                </c:pt>
                <c:pt idx="44">
                  <c:v>1436</c:v>
                </c:pt>
                <c:pt idx="45">
                  <c:v>1439.4</c:v>
                </c:pt>
                <c:pt idx="46">
                  <c:v>1404.9</c:v>
                </c:pt>
                <c:pt idx="47">
                  <c:v>1342.6</c:v>
                </c:pt>
                <c:pt idx="48">
                  <c:v>1373.9</c:v>
                </c:pt>
                <c:pt idx="49">
                  <c:v>1327.5</c:v>
                </c:pt>
                <c:pt idx="50">
                  <c:v>1400.7</c:v>
                </c:pt>
                <c:pt idx="51">
                  <c:v>1329.7</c:v>
                </c:pt>
                <c:pt idx="52">
                  <c:v>1346.8</c:v>
                </c:pt>
                <c:pt idx="53">
                  <c:v>1341.8</c:v>
                </c:pt>
                <c:pt idx="54">
                  <c:v>1333.5</c:v>
                </c:pt>
                <c:pt idx="55">
                  <c:v>1321.3</c:v>
                </c:pt>
                <c:pt idx="56">
                  <c:v>1516.9</c:v>
                </c:pt>
                <c:pt idx="57">
                  <c:v>1382.6</c:v>
                </c:pt>
                <c:pt idx="58">
                  <c:v>1453.4</c:v>
                </c:pt>
                <c:pt idx="59">
                  <c:v>1460.6</c:v>
                </c:pt>
                <c:pt idx="60">
                  <c:v>1400.9</c:v>
                </c:pt>
                <c:pt idx="61">
                  <c:v>1323.9</c:v>
                </c:pt>
                <c:pt idx="62">
                  <c:v>1298.0999999999999</c:v>
                </c:pt>
                <c:pt idx="63">
                  <c:v>1370.9</c:v>
                </c:pt>
                <c:pt idx="64">
                  <c:v>1429.9</c:v>
                </c:pt>
                <c:pt idx="65">
                  <c:v>1324.7</c:v>
                </c:pt>
                <c:pt idx="66">
                  <c:v>1383.5</c:v>
                </c:pt>
                <c:pt idx="67">
                  <c:v>1426.3</c:v>
                </c:pt>
                <c:pt idx="68">
                  <c:v>1552.1</c:v>
                </c:pt>
                <c:pt idx="69">
                  <c:v>1528</c:v>
                </c:pt>
                <c:pt idx="70">
                  <c:v>1600.6</c:v>
                </c:pt>
                <c:pt idx="71">
                  <c:v>1442.3</c:v>
                </c:pt>
                <c:pt idx="72">
                  <c:v>1650.6</c:v>
                </c:pt>
                <c:pt idx="73">
                  <c:v>1674.2</c:v>
                </c:pt>
                <c:pt idx="74">
                  <c:v>1667.5</c:v>
                </c:pt>
                <c:pt idx="75">
                  <c:v>1601.2</c:v>
                </c:pt>
                <c:pt idx="76">
                  <c:v>1675.8</c:v>
                </c:pt>
                <c:pt idx="77">
                  <c:v>1507</c:v>
                </c:pt>
                <c:pt idx="78">
                  <c:v>1352.7</c:v>
                </c:pt>
                <c:pt idx="79">
                  <c:v>1277.8</c:v>
                </c:pt>
                <c:pt idx="80">
                  <c:v>1426.7</c:v>
                </c:pt>
                <c:pt idx="81">
                  <c:v>1529.8</c:v>
                </c:pt>
                <c:pt idx="82">
                  <c:v>1599.4</c:v>
                </c:pt>
                <c:pt idx="83">
                  <c:v>#N/A</c:v>
                </c:pt>
                <c:pt idx="84">
                  <c:v>1917.2</c:v>
                </c:pt>
                <c:pt idx="85">
                  <c:v>1903.5</c:v>
                </c:pt>
                <c:pt idx="86">
                  <c:v>2056.9</c:v>
                </c:pt>
                <c:pt idx="87">
                  <c:v>2105.6</c:v>
                </c:pt>
                <c:pt idx="88">
                  <c:v>2211.8000000000002</c:v>
                </c:pt>
                <c:pt idx="89">
                  <c:v>2033.7</c:v>
                </c:pt>
                <c:pt idx="90">
                  <c:v>2102.6999999999998</c:v>
                </c:pt>
                <c:pt idx="91">
                  <c:v>2025.3</c:v>
                </c:pt>
                <c:pt idx="92">
                  <c:v>1956.6</c:v>
                </c:pt>
                <c:pt idx="93">
                  <c:v>1922.9</c:v>
                </c:pt>
                <c:pt idx="94">
                  <c:v>1814</c:v>
                </c:pt>
                <c:pt idx="95">
                  <c:v>1512.9</c:v>
                </c:pt>
                <c:pt idx="96">
                  <c:v>1909</c:v>
                </c:pt>
                <c:pt idx="97">
                  <c:v>1842.6</c:v>
                </c:pt>
                <c:pt idx="98">
                  <c:v>1935.1</c:v>
                </c:pt>
                <c:pt idx="99">
                  <c:v>2110.6</c:v>
                </c:pt>
                <c:pt idx="100">
                  <c:v>2228.9</c:v>
                </c:pt>
                <c:pt idx="101">
                  <c:v>2218.3000000000002</c:v>
                </c:pt>
                <c:pt idx="102">
                  <c:v>2288</c:v>
                </c:pt>
                <c:pt idx="103">
                  <c:v>2242.1999999999998</c:v>
                </c:pt>
                <c:pt idx="104">
                  <c:v>#N/A</c:v>
                </c:pt>
                <c:pt idx="105">
                  <c:v>2573.4</c:v>
                </c:pt>
                <c:pt idx="106">
                  <c:v>3040.1</c:v>
                </c:pt>
                <c:pt idx="107">
                  <c:v>3214.4</c:v>
                </c:pt>
                <c:pt idx="108">
                  <c:v>3339.8</c:v>
                </c:pt>
                <c:pt idx="109">
                  <c:v>3163.6</c:v>
                </c:pt>
                <c:pt idx="110">
                  <c:v>3709.4</c:v>
                </c:pt>
                <c:pt idx="111">
                  <c:v>4241.5</c:v>
                </c:pt>
                <c:pt idx="112">
                  <c:v>4797.2</c:v>
                </c:pt>
                <c:pt idx="113">
                  <c:v>5279.9</c:v>
                </c:pt>
                <c:pt idx="114">
                  <c:v>4854.1000000000004</c:v>
                </c:pt>
                <c:pt idx="115">
                  <c:v>4672.1000000000004</c:v>
                </c:pt>
                <c:pt idx="116">
                  <c:v>4726.8999999999996</c:v>
                </c:pt>
                <c:pt idx="117">
                  <c:v>4528.8999999999996</c:v>
                </c:pt>
                <c:pt idx="118">
                  <c:v>4119.2</c:v>
                </c:pt>
                <c:pt idx="119">
                  <c:v>4412.8999999999996</c:v>
                </c:pt>
                <c:pt idx="120">
                  <c:v>4111.3</c:v>
                </c:pt>
                <c:pt idx="121">
                  <c:v>4485.2</c:v>
                </c:pt>
                <c:pt idx="122">
                  <c:v>4724.8999999999996</c:v>
                </c:pt>
                <c:pt idx="123">
                  <c:v>4136.3</c:v>
                </c:pt>
                <c:pt idx="124">
                  <c:v>4261.8</c:v>
                </c:pt>
                <c:pt idx="125">
                  <c:v>4284.3</c:v>
                </c:pt>
                <c:pt idx="126">
                  <c:v>4579</c:v>
                </c:pt>
                <c:pt idx="127">
                  <c:v>4433.6000000000004</c:v>
                </c:pt>
                <c:pt idx="128">
                  <c:v>4937.3999999999996</c:v>
                </c:pt>
                <c:pt idx="129">
                  <c:v>4554.3999999999996</c:v>
                </c:pt>
                <c:pt idx="130">
                  <c:v>3896.4</c:v>
                </c:pt>
                <c:pt idx="131">
                  <c:v>3488.9</c:v>
                </c:pt>
                <c:pt idx="132">
                  <c:v>3983.2</c:v>
                </c:pt>
                <c:pt idx="133">
                  <c:v>4564.3999999999996</c:v>
                </c:pt>
                <c:pt idx="134">
                  <c:v>5368.1</c:v>
                </c:pt>
                <c:pt idx="135">
                  <c:v>4943</c:v>
                </c:pt>
                <c:pt idx="136">
                  <c:v>#N/A</c:v>
                </c:pt>
                <c:pt idx="137">
                  <c:v>4702.3999999999996</c:v>
                </c:pt>
                <c:pt idx="138">
                  <c:v>4856.1000000000004</c:v>
                </c:pt>
                <c:pt idx="139">
                  <c:v>4297.7</c:v>
                </c:pt>
                <c:pt idx="140">
                  <c:v>4550.7</c:v>
                </c:pt>
                <c:pt idx="141">
                  <c:v>4847.2</c:v>
                </c:pt>
                <c:pt idx="142">
                  <c:v>5572.2</c:v>
                </c:pt>
                <c:pt idx="143">
                  <c:v>5892.5</c:v>
                </c:pt>
                <c:pt idx="144">
                  <c:v>5965.5</c:v>
                </c:pt>
                <c:pt idx="145">
                  <c:v>4979</c:v>
                </c:pt>
                <c:pt idx="146">
                  <c:v>4823.3</c:v>
                </c:pt>
                <c:pt idx="147">
                  <c:v>4779.1000000000004</c:v>
                </c:pt>
                <c:pt idx="148">
                  <c:v>4274.8</c:v>
                </c:pt>
                <c:pt idx="149">
                  <c:v>4414.6000000000004</c:v>
                </c:pt>
                <c:pt idx="150">
                  <c:v>4671.1000000000004</c:v>
                </c:pt>
                <c:pt idx="151">
                  <c:v>5172.2</c:v>
                </c:pt>
                <c:pt idx="152">
                  <c:v>5444.3</c:v>
                </c:pt>
                <c:pt idx="153">
                  <c:v>5492.1</c:v>
                </c:pt>
                <c:pt idx="154">
                  <c:v>5383.1</c:v>
                </c:pt>
                <c:pt idx="155">
                  <c:v>5246.8</c:v>
                </c:pt>
                <c:pt idx="156">
                  <c:v>4267.8999999999996</c:v>
                </c:pt>
                <c:pt idx="157">
                  <c:v>4372.2</c:v>
                </c:pt>
                <c:pt idx="158">
                  <c:v>4585.8</c:v>
                </c:pt>
                <c:pt idx="159">
                  <c:v>4719.6000000000004</c:v>
                </c:pt>
                <c:pt idx="160">
                  <c:v>5590</c:v>
                </c:pt>
                <c:pt idx="161">
                  <c:v>4736</c:v>
                </c:pt>
                <c:pt idx="162">
                  <c:v>4675.8999999999996</c:v>
                </c:pt>
                <c:pt idx="163">
                  <c:v>4732</c:v>
                </c:pt>
                <c:pt idx="164">
                  <c:v>4482</c:v>
                </c:pt>
                <c:pt idx="165">
                  <c:v>3924.4</c:v>
                </c:pt>
                <c:pt idx="166">
                  <c:v>3856</c:v>
                </c:pt>
                <c:pt idx="167">
                  <c:v>3892.2</c:v>
                </c:pt>
                <c:pt idx="168">
                  <c:v>4144.3</c:v>
                </c:pt>
                <c:pt idx="169">
                  <c:v>3549.3</c:v>
                </c:pt>
                <c:pt idx="170">
                  <c:v>3699.5</c:v>
                </c:pt>
                <c:pt idx="171">
                  <c:v>3588.4</c:v>
                </c:pt>
                <c:pt idx="172">
                  <c:v>3715.2</c:v>
                </c:pt>
                <c:pt idx="173">
                  <c:v>4063.4</c:v>
                </c:pt>
                <c:pt idx="174">
                  <c:v>4277.6000000000004</c:v>
                </c:pt>
                <c:pt idx="175">
                  <c:v>4379.1000000000004</c:v>
                </c:pt>
                <c:pt idx="176">
                  <c:v>4466.8999999999996</c:v>
                </c:pt>
                <c:pt idx="177">
                  <c:v>4716.1000000000004</c:v>
                </c:pt>
                <c:pt idx="178">
                  <c:v>4617.1000000000004</c:v>
                </c:pt>
                <c:pt idx="179">
                  <c:v>4184.3</c:v>
                </c:pt>
                <c:pt idx="180">
                  <c:v>4326.3999999999996</c:v>
                </c:pt>
                <c:pt idx="181">
                  <c:v>4626.5</c:v>
                </c:pt>
                <c:pt idx="182">
                  <c:v>3668.3</c:v>
                </c:pt>
                <c:pt idx="183">
                  <c:v>3608.1</c:v>
                </c:pt>
                <c:pt idx="184">
                  <c:v>3684.5</c:v>
                </c:pt>
                <c:pt idx="185">
                  <c:v>3676.1</c:v>
                </c:pt>
                <c:pt idx="186">
                  <c:v>3708.6</c:v>
                </c:pt>
                <c:pt idx="187">
                  <c:v>3394.7</c:v>
                </c:pt>
                <c:pt idx="188">
                  <c:v>#N/A</c:v>
                </c:pt>
                <c:pt idx="189">
                  <c:v>3466.8</c:v>
                </c:pt>
                <c:pt idx="190">
                  <c:v>3664.5</c:v>
                </c:pt>
                <c:pt idx="191">
                  <c:v>4137.6000000000004</c:v>
                </c:pt>
                <c:pt idx="192">
                  <c:v>3695</c:v>
                </c:pt>
                <c:pt idx="193">
                  <c:v>3719.3</c:v>
                </c:pt>
                <c:pt idx="194">
                  <c:v>3553.2</c:v>
                </c:pt>
                <c:pt idx="195">
                  <c:v>4251.1000000000004</c:v>
                </c:pt>
                <c:pt idx="196">
                  <c:v>4241.8</c:v>
                </c:pt>
                <c:pt idx="197">
                  <c:v>4512.1000000000004</c:v>
                </c:pt>
                <c:pt idx="198">
                  <c:v>4033.8</c:v>
                </c:pt>
                <c:pt idx="199">
                  <c:v>3571.7</c:v>
                </c:pt>
                <c:pt idx="200">
                  <c:v>3372</c:v>
                </c:pt>
                <c:pt idx="201">
                  <c:v>3601.3</c:v>
                </c:pt>
                <c:pt idx="202">
                  <c:v>4110.8</c:v>
                </c:pt>
                <c:pt idx="203">
                  <c:v>4184.3999999999996</c:v>
                </c:pt>
                <c:pt idx="204">
                  <c:v>3880.9</c:v>
                </c:pt>
                <c:pt idx="205">
                  <c:v>2974.1</c:v>
                </c:pt>
                <c:pt idx="206">
                  <c:v>2769.6</c:v>
                </c:pt>
                <c:pt idx="207">
                  <c:v>2923.8</c:v>
                </c:pt>
                <c:pt idx="208">
                  <c:v>2362.6999999999998</c:v>
                </c:pt>
                <c:pt idx="209">
                  <c:v>2527.5</c:v>
                </c:pt>
                <c:pt idx="210">
                  <c:v>2809.5</c:v>
                </c:pt>
                <c:pt idx="211">
                  <c:v>2857.9</c:v>
                </c:pt>
                <c:pt idx="212">
                  <c:v>3101.7</c:v>
                </c:pt>
                <c:pt idx="213">
                  <c:v>2648</c:v>
                </c:pt>
                <c:pt idx="214">
                  <c:v>2619.6999999999998</c:v>
                </c:pt>
                <c:pt idx="215">
                  <c:v>2764.6</c:v>
                </c:pt>
                <c:pt idx="216">
                  <c:v>2742.2</c:v>
                </c:pt>
                <c:pt idx="217">
                  <c:v>2414.9</c:v>
                </c:pt>
                <c:pt idx="218">
                  <c:v>2220.1</c:v>
                </c:pt>
                <c:pt idx="219">
                  <c:v>2091.4</c:v>
                </c:pt>
                <c:pt idx="220">
                  <c:v>2065.3000000000002</c:v>
                </c:pt>
                <c:pt idx="221">
                  <c:v>2010.6</c:v>
                </c:pt>
                <c:pt idx="222">
                  <c:v>2194.4</c:v>
                </c:pt>
                <c:pt idx="223">
                  <c:v>2350.6999999999998</c:v>
                </c:pt>
                <c:pt idx="224">
                  <c:v>2620.8000000000002</c:v>
                </c:pt>
                <c:pt idx="225">
                  <c:v>2563.6</c:v>
                </c:pt>
                <c:pt idx="226">
                  <c:v>2539.4</c:v>
                </c:pt>
                <c:pt idx="227">
                  <c:v>2155.5</c:v>
                </c:pt>
                <c:pt idx="228">
                  <c:v>2325.3000000000002</c:v>
                </c:pt>
                <c:pt idx="229">
                  <c:v>1953.2</c:v>
                </c:pt>
                <c:pt idx="230">
                  <c:v>2190.4</c:v>
                </c:pt>
                <c:pt idx="231">
                  <c:v>2371.1</c:v>
                </c:pt>
                <c:pt idx="232">
                  <c:v>2129.6999999999998</c:v>
                </c:pt>
                <c:pt idx="233">
                  <c:v>2528.6999999999998</c:v>
                </c:pt>
                <c:pt idx="234">
                  <c:v>2344.3000000000002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570944"/>
        <c:axId val="304352256"/>
      </c:lineChart>
      <c:dateAx>
        <c:axId val="266222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04350336"/>
        <c:crosses val="autoZero"/>
        <c:auto val="1"/>
        <c:lblOffset val="100"/>
        <c:baseTimeUnit val="days"/>
        <c:majorUnit val="6"/>
        <c:majorTimeUnit val="months"/>
      </c:dateAx>
      <c:valAx>
        <c:axId val="3043503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66222976"/>
        <c:crosses val="autoZero"/>
        <c:crossBetween val="between"/>
      </c:valAx>
      <c:valAx>
        <c:axId val="304352256"/>
        <c:scaling>
          <c:orientation val="minMax"/>
          <c:max val="6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305570944"/>
        <c:crosses val="max"/>
        <c:crossBetween val="between"/>
      </c:valAx>
      <c:dateAx>
        <c:axId val="3055709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04352256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</xdr:colOff>
      <xdr:row>5</xdr:row>
      <xdr:rowOff>76201</xdr:rowOff>
    </xdr:from>
    <xdr:to>
      <xdr:col>26</xdr:col>
      <xdr:colOff>2695575</xdr:colOff>
      <xdr:row>7</xdr:row>
      <xdr:rowOff>80011</xdr:rowOff>
    </xdr:to>
    <xdr:sp macro="[0]!RunRefinancibleUniverse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27</xdr:col>
      <xdr:colOff>295276</xdr:colOff>
      <xdr:row>5</xdr:row>
      <xdr:rowOff>85726</xdr:rowOff>
    </xdr:from>
    <xdr:to>
      <xdr:col>29</xdr:col>
      <xdr:colOff>66676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4025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24</xdr:col>
      <xdr:colOff>514350</xdr:colOff>
      <xdr:row>17</xdr:row>
      <xdr:rowOff>104775</xdr:rowOff>
    </xdr:from>
    <xdr:to>
      <xdr:col>26</xdr:col>
      <xdr:colOff>1657350</xdr:colOff>
      <xdr:row>28</xdr:row>
      <xdr:rowOff>66675</xdr:rowOff>
    </xdr:to>
    <xdr:sp macro="" textlink="">
      <xdr:nvSpPr>
        <xdr:cNvPr id="5" name="TextBox 4"/>
        <xdr:cNvSpPr txBox="1"/>
      </xdr:nvSpPr>
      <xdr:spPr>
        <a:xfrm>
          <a:off x="16344900" y="2857500"/>
          <a:ext cx="2695575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Bloomberg Index: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(Update on Wednesday)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S:\Research\Cello\Refi Index\Historical MBA Refi Index Projections.xlsx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Tag: MBAVCMRS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Actual</a:t>
          </a:r>
        </a:p>
      </xdr:txBody>
    </xdr:sp>
    <xdr:clientData/>
  </xdr:twoCellAnchor>
  <xdr:twoCellAnchor>
    <xdr:from>
      <xdr:col>13</xdr:col>
      <xdr:colOff>600076</xdr:colOff>
      <xdr:row>10</xdr:row>
      <xdr:rowOff>146049</xdr:rowOff>
    </xdr:from>
    <xdr:to>
      <xdr:col>20</xdr:col>
      <xdr:colOff>31750</xdr:colOff>
      <xdr:row>37</xdr:row>
      <xdr:rowOff>142875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539751</xdr:colOff>
      <xdr:row>10</xdr:row>
      <xdr:rowOff>133350</xdr:rowOff>
    </xdr:from>
    <xdr:to>
      <xdr:col>13</xdr:col>
      <xdr:colOff>381001</xdr:colOff>
      <xdr:row>35</xdr:row>
      <xdr:rowOff>104775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561974</xdr:colOff>
      <xdr:row>51</xdr:row>
      <xdr:rowOff>57150</xdr:rowOff>
    </xdr:from>
    <xdr:to>
      <xdr:col>11</xdr:col>
      <xdr:colOff>171449</xdr:colOff>
      <xdr:row>55</xdr:row>
      <xdr:rowOff>85725</xdr:rowOff>
    </xdr:to>
    <xdr:sp macro="" textlink="">
      <xdr:nvSpPr>
        <xdr:cNvPr id="9" name="TextBox 8"/>
        <xdr:cNvSpPr txBox="1"/>
      </xdr:nvSpPr>
      <xdr:spPr>
        <a:xfrm>
          <a:off x="2390774" y="8467725"/>
          <a:ext cx="4924425" cy="7048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The refinancible</a:t>
          </a:r>
          <a:r>
            <a:rPr lang="en-US" sz="1000" baseline="0"/>
            <a:t> loans should be:</a:t>
          </a:r>
          <a:endParaRPr lang="en-US" sz="1000"/>
        </a:p>
        <a:p>
          <a:r>
            <a:rPr lang="en-US" sz="1000"/>
            <a:t>1) </a:t>
          </a:r>
          <a:r>
            <a:rPr lang="en-US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 bps in the money;</a:t>
          </a:r>
          <a:endParaRPr lang="en-US" sz="1000"/>
        </a:p>
        <a:p>
          <a:r>
            <a:rPr lang="en-US" sz="1000"/>
            <a:t>2) </a:t>
          </a:r>
          <a:r>
            <a:rPr lang="en-US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 or below this rate for less than 3 months (12 weeks) over its history</a:t>
          </a:r>
          <a:endParaRPr lang="en-US" sz="1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3" autoFormatId="16" applyNumberFormats="0" applyBorderFormats="0" applyFontFormats="0" applyPatternFormats="0" applyAlignmentFormats="0" applyWidthHeightFormats="0">
  <queryTableRefresh nextId="79" unboundColumnsRight="2">
    <queryTableFields count="4">
      <queryTableField id="62" name="AsOfDate" tableColumnId="1"/>
      <queryTableField id="64" name="refinancible" tableColumnId="3"/>
      <queryTableField id="78" dataBound="0" tableColumnId="2"/>
      <queryTableField id="77" dataBound="0" tableColumnId="6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2" backgroundRefresh="0" adjustColumnWidth="0" connectionId="5" autoFormatId="16" applyNumberFormats="0" applyBorderFormats="0" applyFontFormats="0" applyPatternFormats="0" applyAlignmentFormats="0" applyWidthHeightFormats="0">
  <queryTableRefresh nextId="77">
    <queryTableFields count="2">
      <queryTableField id="62" name="AsOfDate" tableColumnId="1"/>
      <queryTableField id="76" name="refinanceible" tableColumnId="5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temp_3" connectionId="2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emp_2" connectionId="2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" connectionId="2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uery from Agency_11" backgroundRefresh="0" adjustColumnWidth="0" connectionId="12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SeriesNumValue" tableColumnId="6"/>
    </queryTableFields>
    <queryTableDeletedFields count="1">
      <deletedField name="refinancible_satoAdj"/>
    </queryTableDeletedFields>
  </queryTableRefresh>
</queryTable>
</file>

<file path=xl/queryTables/queryTable7.xml><?xml version="1.0" encoding="utf-8"?>
<queryTable xmlns="http://schemas.openxmlformats.org/spreadsheetml/2006/main" name="Query from Agency_12" backgroundRefresh="0" adjustColumnWidth="0" connectionId="4" autoFormatId="16" applyNumberFormats="0" applyBorderFormats="0" applyFontFormats="0" applyPatternFormats="0" applyAlignmentFormats="0" applyWidthHeightFormats="0">
  <queryTableRefresh nextId="89">
    <queryTableFields count="11">
      <queryTableField id="78" name="refinancible1" tableColumnId="7"/>
      <queryTableField id="79" name="refinancible2" tableColumnId="8"/>
      <queryTableField id="80" name="refinancible3" tableColumnId="9"/>
      <queryTableField id="81" name="refinancible4" tableColumnId="10"/>
      <queryTableField id="82" name="refinancible5" tableColumnId="11"/>
      <queryTableField id="83" name="refinancible6" tableColumnId="12"/>
      <queryTableField id="84" name="refinancible7" tableColumnId="13"/>
      <queryTableField id="85" name="refinancible8" tableColumnId="14"/>
      <queryTableField id="86" name="refinancible9" tableColumnId="15"/>
      <queryTableField id="87" name="refinancible10" tableColumnId="16"/>
      <queryTableField id="88" name="refinancible11" tableColumnId="17"/>
    </queryTableFields>
    <queryTableDeletedFields count="1">
      <deletedField name="refinancible_satoAdj"/>
    </queryTableDeletedFields>
  </queryTableRefresh>
</queryTable>
</file>

<file path=xl/queryTables/queryTable8.xml><?xml version="1.0" encoding="utf-8"?>
<queryTable xmlns="http://schemas.openxmlformats.org/spreadsheetml/2006/main" name="Query from Agency_13" backgroundRefresh="0" adjustColumnWidth="0" connectionId="1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queryTables/queryTable9.xml><?xml version="1.0" encoding="utf-8"?>
<queryTable xmlns="http://schemas.openxmlformats.org/spreadsheetml/2006/main" name="Query from Agency_14" backgroundRefresh="0" adjustColumnWidth="0" connectionId="2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queryTables/queryTable10.xml><?xml version="1.0" encoding="utf-8"?>
<queryTable xmlns="http://schemas.openxmlformats.org/spreadsheetml/2006/main" name="Query from Agency_15" backgroundRefresh="0" adjustColumnWidth="0" connectionId="3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queryTables/queryTable11.xml><?xml version="1.0" encoding="utf-8"?>
<queryTable xmlns="http://schemas.openxmlformats.org/spreadsheetml/2006/main" name="temp" connectionId="23" autoFormatId="16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4" name="CurrentMtgRatesDataTable825" displayName="CurrentMtgRatesDataTable825" ref="B2:E237" tableType="queryTable" totalsRowShown="0" headerRowDxfId="62" dataDxfId="61">
  <tableColumns count="4">
    <tableColumn id="1" uniqueName="1" name="asOfDate" queryTableFieldId="62" dataDxfId="51"/>
    <tableColumn id="3" uniqueName="3" name="refinancible" queryTableFieldId="64" dataDxfId="50"/>
    <tableColumn id="2" uniqueName="2" name="Refi Percentage (12 Weeks Scenario)" queryTableFieldId="78" dataDxfId="49">
      <calculatedColumnFormula>VLOOKUP(CurrentMtgRatesDataTable825[[#This Row],[asOfDate]],N:O,2,0)</calculatedColumnFormula>
    </tableColumn>
    <tableColumn id="6" uniqueName="6" name="Refi Index" queryTableFieldId="77" dataDxfId="48">
      <calculatedColumnFormula>VLOOKUP(CurrentMtgRatesDataTable825[[#This Row],[asOfDate]]+1,Bloomberg!B:C,2,0)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CurrentMtgRatesDataTable82527" displayName="CurrentMtgRatesDataTable82527" ref="R2:S3" tableType="queryTable" insertRow="1" totalsRowShown="0" headerRowDxfId="60" dataDxfId="59">
  <tableColumns count="2">
    <tableColumn id="1" uniqueName="1" name="asOfDate" queryTableFieldId="62" dataDxfId="47"/>
    <tableColumn id="5" uniqueName="5" name="refinanceible" queryTableFieldId="76" dataDxfId="4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CurrentMtgRatesDataTable82523" displayName="CurrentMtgRatesDataTable82523" ref="B2:C3" tableType="queryTable" totalsRowShown="0" headerRowDxfId="58" dataDxfId="57">
  <tableColumns count="2">
    <tableColumn id="1" uniqueName="1" name="AsOfDate" queryTableFieldId="62" dataDxfId="45"/>
    <tableColumn id="6" uniqueName="6" name="SeriesNumValue" queryTableFieldId="77" dataDxfId="4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3" name="CurrentMtgRatesDataTable825234" displayName="CurrentMtgRatesDataTable825234" ref="F2:P3" tableType="queryTable" totalsRowShown="0" headerRowDxfId="56" dataDxfId="55">
  <tableColumns count="11">
    <tableColumn id="7" uniqueName="7" name="refinancible1" queryTableFieldId="78" dataDxfId="43"/>
    <tableColumn id="8" uniqueName="8" name="refinancible2" queryTableFieldId="79" dataDxfId="42"/>
    <tableColumn id="9" uniqueName="9" name="refinancible3" queryTableFieldId="80" dataDxfId="41"/>
    <tableColumn id="10" uniqueName="10" name="refinancible4" queryTableFieldId="81" dataDxfId="40"/>
    <tableColumn id="11" uniqueName="11" name="refinancible5" queryTableFieldId="82" dataDxfId="39"/>
    <tableColumn id="12" uniqueName="12" name="refinancible6" queryTableFieldId="83" dataDxfId="38"/>
    <tableColumn id="13" uniqueName="13" name="refinancible7" queryTableFieldId="84" dataDxfId="37"/>
    <tableColumn id="14" uniqueName="14" name="refinancible8" queryTableFieldId="85" dataDxfId="36"/>
    <tableColumn id="15" uniqueName="15" name="refinancible9" queryTableFieldId="86" dataDxfId="35"/>
    <tableColumn id="16" uniqueName="16" name="refinancible10" queryTableFieldId="87" dataDxfId="34"/>
    <tableColumn id="17" uniqueName="17" name="refinancible11" queryTableFieldId="88" dataDxfId="33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CurrentMtgRatesDataTable8252346" displayName="CurrentMtgRatesDataTable8252346" ref="F7:P8" tableType="queryTable" totalsRowShown="0" headerRowDxfId="54">
  <tableColumns count="11">
    <tableColumn id="19" uniqueName="19" name="refinanceible1" queryTableFieldId="90" dataDxfId="32"/>
    <tableColumn id="20" uniqueName="20" name="refinanceible2" queryTableFieldId="91" dataDxfId="31"/>
    <tableColumn id="21" uniqueName="21" name="refinanceible3" queryTableFieldId="92" dataDxfId="30"/>
    <tableColumn id="22" uniqueName="22" name="refinanceible4" queryTableFieldId="93" dataDxfId="29"/>
    <tableColumn id="23" uniqueName="23" name="refinanceible5" queryTableFieldId="94" dataDxfId="28"/>
    <tableColumn id="24" uniqueName="24" name="refinanceible6" queryTableFieldId="95" dataDxfId="27"/>
    <tableColumn id="25" uniqueName="25" name="refinanceible7" queryTableFieldId="96" dataDxfId="26"/>
    <tableColumn id="26" uniqueName="26" name="refinanceible8" queryTableFieldId="97" dataDxfId="25"/>
    <tableColumn id="27" uniqueName="27" name="refinanceible9" queryTableFieldId="98" dataDxfId="24"/>
    <tableColumn id="28" uniqueName="28" name="refinanceible10" queryTableFieldId="99" dataDxfId="23"/>
    <tableColumn id="29" uniqueName="29" name="refinanceible11" queryTableFieldId="100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7" name="CurrentMtgRatesDataTable82523468" displayName="CurrentMtgRatesDataTable82523468" ref="F11:P12" tableType="queryTable" totalsRowShown="0" headerRowDxfId="53">
  <tableColumns count="11">
    <tableColumn id="19" uniqueName="19" name="refinanceible1" queryTableFieldId="90" dataDxfId="21"/>
    <tableColumn id="20" uniqueName="20" name="refinanceible2" queryTableFieldId="91" dataDxfId="20"/>
    <tableColumn id="21" uniqueName="21" name="refinanceible3" queryTableFieldId="92" dataDxfId="19"/>
    <tableColumn id="22" uniqueName="22" name="refinanceible4" queryTableFieldId="93" dataDxfId="18"/>
    <tableColumn id="23" uniqueName="23" name="refinanceible5" queryTableFieldId="94" dataDxfId="17"/>
    <tableColumn id="24" uniqueName="24" name="refinanceible6" queryTableFieldId="95" dataDxfId="16"/>
    <tableColumn id="25" uniqueName="25" name="refinanceible7" queryTableFieldId="96" dataDxfId="15"/>
    <tableColumn id="26" uniqueName="26" name="refinanceible8" queryTableFieldId="97" dataDxfId="14"/>
    <tableColumn id="27" uniqueName="27" name="refinanceible9" queryTableFieldId="98" dataDxfId="13"/>
    <tableColumn id="28" uniqueName="28" name="refinanceible10" queryTableFieldId="99" dataDxfId="12"/>
    <tableColumn id="29" uniqueName="29" name="refinanceible11" queryTableFieldId="100" dataDxfId="1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" name="CurrentMtgRatesDataTable825234682" displayName="CurrentMtgRatesDataTable825234682" ref="F15:P16" tableType="queryTable" totalsRowShown="0" headerRowDxfId="52">
  <tableColumns count="11">
    <tableColumn id="19" uniqueName="19" name="refinanceible1" queryTableFieldId="90" dataDxfId="10"/>
    <tableColumn id="20" uniqueName="20" name="refinanceible2" queryTableFieldId="91" dataDxfId="9"/>
    <tableColumn id="21" uniqueName="21" name="refinanceible3" queryTableFieldId="92" dataDxfId="8"/>
    <tableColumn id="22" uniqueName="22" name="refinanceible4" queryTableFieldId="93" dataDxfId="7"/>
    <tableColumn id="23" uniqueName="23" name="refinanceible5" queryTableFieldId="94" dataDxfId="6"/>
    <tableColumn id="24" uniqueName="24" name="refinanceible6" queryTableFieldId="95" dataDxfId="5"/>
    <tableColumn id="25" uniqueName="25" name="refinanceible7" queryTableFieldId="96" dataDxfId="4"/>
    <tableColumn id="26" uniqueName="26" name="refinanceible8" queryTableFieldId="97" dataDxfId="3"/>
    <tableColumn id="27" uniqueName="27" name="refinanceible9" queryTableFieldId="98" dataDxfId="2"/>
    <tableColumn id="28" uniqueName="28" name="refinanceible10" queryTableFieldId="99" dataDxfId="1"/>
    <tableColumn id="29" uniqueName="29" name="refinanceible11" queryTableFieldId="100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queryTable" Target="../queryTables/queryTable1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E1:AC61"/>
  <sheetViews>
    <sheetView showGridLines="0" tabSelected="1" zoomScaleNormal="100" workbookViewId="0">
      <selection activeCell="H58" sqref="H58"/>
    </sheetView>
  </sheetViews>
  <sheetFormatPr defaultRowHeight="12.75"/>
  <cols>
    <col min="1" max="2" width="9.140625" style="6" customWidth="1"/>
    <col min="3" max="3" width="9.140625" style="6"/>
    <col min="4" max="4" width="8.85546875" style="6" customWidth="1"/>
    <col min="5" max="5" width="11" style="6" customWidth="1"/>
    <col min="6" max="6" width="9.140625" style="6"/>
    <col min="7" max="13" width="10.140625" style="6" customWidth="1"/>
    <col min="14" max="14" width="10.28515625" style="6" customWidth="1"/>
    <col min="15" max="18" width="7.85546875" style="6" customWidth="1"/>
    <col min="19" max="19" width="8.42578125" style="6" bestFit="1" customWidth="1"/>
    <col min="20" max="20" width="7.5703125" style="6" customWidth="1"/>
    <col min="21" max="21" width="5.140625" style="6" customWidth="1"/>
    <col min="22" max="23" width="7.5703125" style="6" customWidth="1"/>
    <col min="24" max="24" width="10.28515625" style="6" customWidth="1"/>
    <col min="25" max="25" width="9.140625" style="6"/>
    <col min="26" max="26" width="14.140625" style="6" customWidth="1"/>
    <col min="27" max="27" width="40.85546875" style="6" bestFit="1" customWidth="1"/>
    <col min="28" max="28" width="14.85546875" style="6" bestFit="1" customWidth="1"/>
    <col min="29" max="16384" width="9.140625" style="6"/>
  </cols>
  <sheetData>
    <row r="1" spans="7:29">
      <c r="Z1" s="2" t="s">
        <v>0</v>
      </c>
      <c r="AA1" s="3" t="s">
        <v>1</v>
      </c>
      <c r="AB1" s="6" t="s">
        <v>2</v>
      </c>
      <c r="AC1" s="3" t="s">
        <v>3</v>
      </c>
    </row>
    <row r="2" spans="7:29">
      <c r="Z2" s="2" t="s">
        <v>4</v>
      </c>
      <c r="AA2" s="4">
        <v>42192</v>
      </c>
    </row>
    <row r="3" spans="7:29">
      <c r="Z3" s="2" t="s">
        <v>10</v>
      </c>
      <c r="AA3" s="16" t="s">
        <v>73</v>
      </c>
    </row>
    <row r="4" spans="7:29">
      <c r="Z4" s="2" t="s">
        <v>5</v>
      </c>
      <c r="AA4" s="3" t="str">
        <f>PDFReportDir&amp;"Refinancible Universe - Media Effect Scenario " &amp; TEXT(CurrentCloseDate, "yyyy-mm-dd") &amp; ".pdf"</f>
        <v>S:\IT\Production\Daily Reports\Primary Market\2015-07\Refinancible Universe - Media Effect Scenario 2015-07-07.pdf</v>
      </c>
    </row>
    <row r="5" spans="7:29">
      <c r="Z5" s="7"/>
    </row>
    <row r="6" spans="7:29">
      <c r="Z6" s="7"/>
    </row>
    <row r="9" spans="7:29" s="8" customFormat="1">
      <c r="G9" s="6"/>
      <c r="H9" s="6"/>
      <c r="I9" s="6"/>
      <c r="J9" s="6"/>
      <c r="K9" s="6"/>
      <c r="L9" s="6"/>
      <c r="M9" s="6"/>
      <c r="N9" s="6"/>
      <c r="R9" s="6"/>
      <c r="S9" s="6"/>
      <c r="T9" s="6"/>
      <c r="U9" s="6"/>
      <c r="V9" s="6"/>
      <c r="W9" s="6"/>
      <c r="X9" s="6"/>
      <c r="Z9" s="8" t="s">
        <v>8</v>
      </c>
      <c r="AA9" s="10">
        <f>IF(DAY(CurrentCloseDate)&lt;0,(CurrentCloseDate-DAY(CurrentCloseDate))-DAY((CurrentCloseDate-DAY(CurrentCloseDate)))+1,CurrentCloseDate-DAY(CurrentCloseDate)+1)</f>
        <v>42186</v>
      </c>
    </row>
    <row r="10" spans="7:29" s="9" customFormat="1">
      <c r="G10" s="6"/>
      <c r="H10" s="6"/>
      <c r="I10" s="6"/>
      <c r="J10" s="6"/>
      <c r="K10" s="6"/>
      <c r="L10" s="6"/>
      <c r="M10" s="6"/>
      <c r="N10" s="6"/>
      <c r="R10" s="6"/>
      <c r="S10" s="6"/>
      <c r="T10" s="6"/>
      <c r="U10" s="6"/>
      <c r="V10" s="6"/>
      <c r="W10" s="6"/>
      <c r="X10" s="6"/>
      <c r="Z10" s="9" t="s">
        <v>9</v>
      </c>
      <c r="AA10" s="11">
        <f>(AA9-1)-DAY((AA9-1))+1</f>
        <v>42156</v>
      </c>
    </row>
    <row r="11" spans="7:29" s="9" customFormat="1">
      <c r="G11" s="6"/>
      <c r="H11" s="6"/>
      <c r="I11" s="6"/>
      <c r="J11" s="6"/>
      <c r="K11" s="6"/>
      <c r="L11" s="6"/>
      <c r="M11" s="6"/>
      <c r="N11" s="6"/>
      <c r="R11" s="6"/>
      <c r="S11" s="6"/>
      <c r="T11" s="6"/>
      <c r="U11" s="6"/>
      <c r="V11" s="6"/>
      <c r="W11" s="6"/>
      <c r="X11" s="6"/>
    </row>
    <row r="12" spans="7:29" s="9" customFormat="1">
      <c r="G12" s="6"/>
      <c r="H12" s="6"/>
      <c r="I12" s="6"/>
      <c r="J12" s="6"/>
      <c r="K12" s="6"/>
      <c r="L12" s="6"/>
      <c r="M12" s="6"/>
      <c r="N12" s="6"/>
      <c r="R12" s="6"/>
      <c r="S12" s="6"/>
      <c r="T12" s="6"/>
      <c r="U12" s="6"/>
      <c r="V12" s="6"/>
      <c r="W12" s="6"/>
      <c r="X12" s="6"/>
      <c r="AA12" s="11"/>
    </row>
    <row r="13" spans="7:29" s="9" customFormat="1">
      <c r="G13" s="6"/>
      <c r="H13" s="6"/>
      <c r="I13" s="6"/>
      <c r="J13" s="6"/>
      <c r="K13" s="6"/>
      <c r="L13" s="6"/>
      <c r="M13" s="6"/>
      <c r="N13" s="6"/>
      <c r="R13" s="6"/>
      <c r="S13" s="6"/>
      <c r="T13" s="6"/>
      <c r="U13" s="6"/>
      <c r="V13" s="6"/>
      <c r="W13" s="6"/>
      <c r="X13" s="6"/>
      <c r="Z13" s="9" t="s">
        <v>23</v>
      </c>
      <c r="AA13" s="11">
        <f>IF(WEEKDAY(CurrentCloseDate,2)&lt;4,CurrentCloseDate-WEEKDAY(CurrentCloseDate,2)-3,CurrentCloseDate-WEEKDAY(CurrentCloseDate,2)+4)</f>
        <v>42187</v>
      </c>
    </row>
    <row r="14" spans="7:29" s="9" customFormat="1">
      <c r="G14" s="6"/>
      <c r="H14" s="6"/>
      <c r="I14" s="6"/>
      <c r="J14" s="6"/>
      <c r="K14" s="6"/>
      <c r="L14" s="6"/>
      <c r="M14" s="6"/>
      <c r="N14" s="6"/>
      <c r="R14" s="6"/>
      <c r="S14" s="6"/>
      <c r="T14" s="6"/>
      <c r="U14" s="6"/>
      <c r="V14" s="6"/>
      <c r="W14" s="6"/>
      <c r="X14" s="6"/>
    </row>
    <row r="15" spans="7:29" s="9" customFormat="1">
      <c r="G15" s="6"/>
      <c r="H15" s="6"/>
      <c r="I15" s="6"/>
      <c r="J15" s="6"/>
      <c r="K15" s="6"/>
      <c r="L15" s="6"/>
      <c r="M15" s="6"/>
      <c r="N15" s="6"/>
      <c r="R15" s="6"/>
      <c r="S15" s="6"/>
      <c r="T15" s="6"/>
      <c r="U15" s="6"/>
      <c r="V15" s="6"/>
      <c r="W15" s="6"/>
      <c r="X15" s="6"/>
    </row>
    <row r="16" spans="7:29" s="9" customFormat="1">
      <c r="G16" s="6"/>
      <c r="H16" s="6"/>
      <c r="I16" s="6"/>
      <c r="J16" s="6"/>
      <c r="K16" s="6"/>
      <c r="L16" s="6"/>
      <c r="M16" s="6"/>
      <c r="N16" s="6"/>
      <c r="R16" s="6"/>
      <c r="S16" s="6"/>
      <c r="T16" s="6"/>
      <c r="U16" s="6"/>
      <c r="V16" s="6"/>
      <c r="W16" s="6"/>
      <c r="X16" s="6"/>
    </row>
    <row r="17" spans="7:24" s="9" customFormat="1">
      <c r="G17" s="6"/>
      <c r="H17" s="6"/>
      <c r="I17" s="6"/>
      <c r="J17" s="6"/>
      <c r="K17" s="6"/>
      <c r="L17" s="6"/>
      <c r="M17" s="6"/>
      <c r="N17" s="6"/>
      <c r="R17" s="6"/>
      <c r="S17" s="6"/>
      <c r="T17" s="6"/>
      <c r="U17" s="6"/>
      <c r="V17" s="6"/>
      <c r="W17" s="6"/>
      <c r="X17" s="6"/>
    </row>
    <row r="18" spans="7:24" s="9" customFormat="1">
      <c r="G18" s="6"/>
      <c r="H18" s="6"/>
      <c r="I18" s="6"/>
      <c r="J18" s="6"/>
      <c r="K18" s="6"/>
      <c r="L18" s="6"/>
      <c r="M18" s="6"/>
      <c r="N18" s="6"/>
      <c r="R18" s="6"/>
      <c r="S18" s="6"/>
      <c r="T18" s="6"/>
      <c r="U18" s="6"/>
      <c r="V18" s="6"/>
      <c r="W18" s="6"/>
      <c r="X18" s="6"/>
    </row>
    <row r="19" spans="7:24" s="9" customFormat="1">
      <c r="G19" s="6"/>
      <c r="H19" s="6"/>
      <c r="I19" s="6"/>
      <c r="J19" s="6"/>
      <c r="K19" s="6"/>
      <c r="L19" s="6"/>
      <c r="M19" s="6"/>
      <c r="N19" s="6"/>
      <c r="R19" s="6"/>
      <c r="S19" s="6"/>
      <c r="T19" s="6"/>
      <c r="U19" s="6"/>
      <c r="V19" s="6"/>
      <c r="W19" s="6"/>
      <c r="X19" s="6"/>
    </row>
    <row r="20" spans="7:24" s="9" customFormat="1">
      <c r="G20" s="6"/>
      <c r="H20" s="6"/>
      <c r="I20" s="6"/>
      <c r="J20" s="6"/>
      <c r="K20" s="6"/>
      <c r="L20" s="6"/>
      <c r="M20" s="6"/>
      <c r="N20" s="6"/>
      <c r="R20" s="6"/>
      <c r="S20" s="6"/>
      <c r="T20" s="6"/>
      <c r="U20" s="6"/>
      <c r="V20" s="6"/>
      <c r="W20" s="6"/>
      <c r="X20" s="6"/>
    </row>
    <row r="21" spans="7:24" s="9" customFormat="1">
      <c r="G21" s="6"/>
      <c r="H21" s="6"/>
      <c r="I21" s="6"/>
      <c r="J21" s="6"/>
      <c r="K21" s="6"/>
      <c r="L21" s="6"/>
      <c r="M21" s="6"/>
      <c r="N21" s="6"/>
      <c r="R21" s="6"/>
      <c r="S21" s="6"/>
      <c r="T21" s="6"/>
      <c r="U21" s="6"/>
      <c r="V21" s="6"/>
      <c r="W21" s="6"/>
      <c r="X21" s="6"/>
    </row>
    <row r="39" spans="5:20" ht="15.75" thickBot="1">
      <c r="E39" s="5" t="s">
        <v>22</v>
      </c>
      <c r="G39" s="17"/>
      <c r="H39" s="18"/>
      <c r="I39"/>
      <c r="J39"/>
      <c r="O39" s="33" t="s">
        <v>63</v>
      </c>
      <c r="P39" s="33"/>
      <c r="Q39" s="34">
        <f>CurrentMtgRatesDataTable82523[SeriesNumValue]</f>
        <v>3.98</v>
      </c>
      <c r="R39" s="35" t="s">
        <v>64</v>
      </c>
      <c r="S39" s="54">
        <f>CurrentMtgRatesDataTable82523[AsOfDate]</f>
        <v>42187</v>
      </c>
    </row>
    <row r="40" spans="5:20" s="27" customFormat="1" ht="13.5" customHeight="1">
      <c r="E40" s="58"/>
      <c r="F40" s="70" t="s">
        <v>70</v>
      </c>
      <c r="G40" s="71"/>
      <c r="H40" s="72"/>
      <c r="I40" s="70" t="s">
        <v>20</v>
      </c>
      <c r="J40" s="71"/>
      <c r="K40" s="72"/>
      <c r="N40" s="45"/>
      <c r="O40" s="70" t="s">
        <v>14</v>
      </c>
      <c r="P40" s="72"/>
      <c r="Q40" s="70" t="s">
        <v>71</v>
      </c>
      <c r="R40" s="72"/>
      <c r="S40" s="70" t="s">
        <v>70</v>
      </c>
      <c r="T40" s="72"/>
    </row>
    <row r="41" spans="5:20" s="27" customFormat="1" ht="13.5" customHeight="1">
      <c r="E41" s="59" t="s">
        <v>21</v>
      </c>
      <c r="F41" s="36" t="s">
        <v>19</v>
      </c>
      <c r="G41" s="20" t="s">
        <v>6</v>
      </c>
      <c r="H41" s="37" t="s">
        <v>7</v>
      </c>
      <c r="I41" s="36" t="s">
        <v>19</v>
      </c>
      <c r="J41" s="20" t="s">
        <v>6</v>
      </c>
      <c r="K41" s="37" t="s">
        <v>7</v>
      </c>
      <c r="N41" s="36" t="s">
        <v>59</v>
      </c>
      <c r="O41" s="36" t="s">
        <v>60</v>
      </c>
      <c r="P41" s="37" t="s">
        <v>61</v>
      </c>
      <c r="Q41" s="36" t="s">
        <v>60</v>
      </c>
      <c r="R41" s="37" t="s">
        <v>61</v>
      </c>
      <c r="S41" s="36" t="s">
        <v>60</v>
      </c>
      <c r="T41" s="37" t="s">
        <v>61</v>
      </c>
    </row>
    <row r="42" spans="5:20" s="27" customFormat="1" ht="13.5" customHeight="1">
      <c r="E42" s="60">
        <f>Query!B3</f>
        <v>42187</v>
      </c>
      <c r="F42" s="62">
        <f>Query!D3</f>
        <v>5.4944560466175651E-4</v>
      </c>
      <c r="G42" s="28">
        <f>Query!D3-Query!D7</f>
        <v>-8.732292350090734E-4</v>
      </c>
      <c r="H42" s="41">
        <f>Query!D3-Query!D16</f>
        <v>-0.16556716890132825</v>
      </c>
      <c r="I42" s="43" t="e">
        <f ca="1">Query!E3</f>
        <v>#N/A</v>
      </c>
      <c r="J42" s="28" t="e">
        <f ca="1">(Query!E3-Query!E7)/Query!E7</f>
        <v>#N/A</v>
      </c>
      <c r="K42" s="41" t="e">
        <f ca="1">(Query!E3-Query!E16)/Query!E16</f>
        <v>#N/A</v>
      </c>
      <c r="N42" s="38" t="s">
        <v>42</v>
      </c>
      <c r="O42" s="48">
        <f>'Function Of Rate'!F$20</f>
        <v>0.65322604072698154</v>
      </c>
      <c r="P42" s="41">
        <f>O42-$O$47</f>
        <v>0.26143180112053604</v>
      </c>
      <c r="Q42" s="48">
        <f>'Function Of Rate'!F21</f>
        <v>0.20232455636978042</v>
      </c>
      <c r="R42" s="41">
        <f>Q42-$Q$47</f>
        <v>0.20232455636978042</v>
      </c>
      <c r="S42" s="48">
        <f>'Function Of Rate'!F22</f>
        <v>0.2139832329806424</v>
      </c>
      <c r="T42" s="41">
        <f>S42-$Q$47</f>
        <v>0.2139832329806424</v>
      </c>
    </row>
    <row r="43" spans="5:20" s="27" customFormat="1" ht="13.5" customHeight="1">
      <c r="E43" s="60">
        <f>Query!B4</f>
        <v>42180</v>
      </c>
      <c r="F43" s="62">
        <f>Query!D4</f>
        <v>6.33970704565231E-4</v>
      </c>
      <c r="G43" s="28">
        <f>Query!D4-Query!D8</f>
        <v>-1.039654450054899E-3</v>
      </c>
      <c r="H43" s="41">
        <f>Query!D4-Query!D17</f>
        <v>-0.16872978320187579</v>
      </c>
      <c r="I43" s="43">
        <f ca="1">Query!E4</f>
        <v>1246.0999999999999</v>
      </c>
      <c r="J43" s="28">
        <f ca="1">(Query!E4-Query!E8)/Query!E8</f>
        <v>9.8873490558390609E-3</v>
      </c>
      <c r="K43" s="41">
        <f ca="1">(Query!E4-Query!E17)/Query!E17</f>
        <v>-0.3582097239390194</v>
      </c>
      <c r="N43" s="38" t="s">
        <v>41</v>
      </c>
      <c r="O43" s="48">
        <f>'Function Of Rate'!G$20</f>
        <v>0.58817030243821822</v>
      </c>
      <c r="P43" s="41">
        <f>O43-$O$47</f>
        <v>0.19637606283177272</v>
      </c>
      <c r="Q43" s="48">
        <f>'Function Of Rate'!G21</f>
        <v>3.4349770113793511E-3</v>
      </c>
      <c r="R43" s="41">
        <f t="shared" ref="R43:T52" si="0">Q43-$Q$47</f>
        <v>3.4349770113793511E-3</v>
      </c>
      <c r="S43" s="48">
        <f>'Function Of Rate'!G22</f>
        <v>0.16891543025300446</v>
      </c>
      <c r="T43" s="41">
        <f t="shared" si="0"/>
        <v>0.16891543025300446</v>
      </c>
    </row>
    <row r="44" spans="5:20" s="27" customFormat="1" ht="13.5" customHeight="1">
      <c r="E44" s="60">
        <f>Query!B5</f>
        <v>42173</v>
      </c>
      <c r="F44" s="62">
        <f>Query!D5</f>
        <v>8.5021725785377989E-4</v>
      </c>
      <c r="G44" s="28">
        <f>Query!D5-Query!D9</f>
        <v>-8.2420657303150014E-4</v>
      </c>
      <c r="H44" s="41">
        <f>Query!D5-Query!D18</f>
        <v>-0.14440143072810221</v>
      </c>
      <c r="I44" s="43">
        <f ca="1">Query!E5</f>
        <v>1318.3</v>
      </c>
      <c r="J44" s="28">
        <f ca="1">(Query!E5-Query!E9)/Query!E9</f>
        <v>-6.3773879696044283E-2</v>
      </c>
      <c r="K44" s="41">
        <f ca="1">(Query!E5-Query!E18)/Query!E18</f>
        <v>-0.29154127257093726</v>
      </c>
      <c r="N44" s="38" t="s">
        <v>40</v>
      </c>
      <c r="O44" s="48">
        <f>'Function Of Rate'!H$20</f>
        <v>0.54816545784289528</v>
      </c>
      <c r="P44" s="41">
        <f>O44-$O$47</f>
        <v>0.15637121823644978</v>
      </c>
      <c r="Q44" s="48">
        <f>'Function Of Rate'!H21</f>
        <v>2.2577961575233258E-3</v>
      </c>
      <c r="R44" s="41">
        <f t="shared" si="0"/>
        <v>2.2577961575233258E-3</v>
      </c>
      <c r="S44" s="48">
        <f>'Function Of Rate'!H22</f>
        <v>6.9002292025201941E-3</v>
      </c>
      <c r="T44" s="41">
        <f t="shared" si="0"/>
        <v>6.9002292025201941E-3</v>
      </c>
    </row>
    <row r="45" spans="5:20" s="27" customFormat="1" ht="13.5" customHeight="1">
      <c r="E45" s="60">
        <f>Query!B6</f>
        <v>42166</v>
      </c>
      <c r="F45" s="62">
        <f>Query!D6</f>
        <v>6.015941023918887E-4</v>
      </c>
      <c r="G45" s="28">
        <f>Query!D6-Query!D10</f>
        <v>-1.731537696710631E-3</v>
      </c>
      <c r="H45" s="41">
        <f>Query!D6-Query!D19</f>
        <v>-0.10911940770363912</v>
      </c>
      <c r="I45" s="43">
        <f ca="1">Query!E6</f>
        <v>1273.4000000000001</v>
      </c>
      <c r="J45" s="28">
        <f ca="1">(Query!E6-Query!E10)/Query!E10</f>
        <v>-0.1210657095527332</v>
      </c>
      <c r="K45" s="41">
        <f ca="1">(Query!E6-Query!E19)/Query!E19</f>
        <v>-0.21569352057156926</v>
      </c>
      <c r="N45" s="38" t="s">
        <v>39</v>
      </c>
      <c r="O45" s="48">
        <f>'Function Of Rate'!I$20</f>
        <v>0.48349467286280118</v>
      </c>
      <c r="P45" s="41">
        <f>O45-$O$47</f>
        <v>9.1700433256355685E-2</v>
      </c>
      <c r="Q45" s="48">
        <f>'Function Of Rate'!I21</f>
        <v>0</v>
      </c>
      <c r="R45" s="41">
        <f t="shared" si="0"/>
        <v>0</v>
      </c>
      <c r="S45" s="48">
        <f>'Function Of Rate'!K22</f>
        <v>4.0102183056688951E-4</v>
      </c>
      <c r="T45" s="41">
        <f t="shared" si="0"/>
        <v>4.0102183056688951E-4</v>
      </c>
    </row>
    <row r="46" spans="5:20" s="27" customFormat="1" ht="13.5" customHeight="1">
      <c r="E46" s="60">
        <f>Query!B7</f>
        <v>42159</v>
      </c>
      <c r="F46" s="62">
        <f>Query!D7</f>
        <v>1.4226748396708299E-3</v>
      </c>
      <c r="G46" s="28">
        <f>Query!D7-Query!D11</f>
        <v>-2.0487700260793402E-3</v>
      </c>
      <c r="H46" s="41">
        <f>Query!D7-Query!D20</f>
        <v>-0.14412131705660419</v>
      </c>
      <c r="I46" s="43">
        <f ca="1">Query!E7</f>
        <v>1342.4</v>
      </c>
      <c r="J46" s="28">
        <f ca="1">(Query!E7-Query!E11)/Query!E11</f>
        <v>-9.1622682365678623E-2</v>
      </c>
      <c r="K46" s="41">
        <f ca="1">(Query!E7-Query!E20)/Query!E20</f>
        <v>-0.20365426825651062</v>
      </c>
      <c r="N46" s="38" t="s">
        <v>38</v>
      </c>
      <c r="O46" s="48">
        <f>'Function Of Rate'!J$20</f>
        <v>0.42269076065729377</v>
      </c>
      <c r="P46" s="41">
        <f>O46-$O$47</f>
        <v>3.089652105084828E-2</v>
      </c>
      <c r="Q46" s="48">
        <f>'Function Of Rate'!J21</f>
        <v>0</v>
      </c>
      <c r="R46" s="41">
        <f t="shared" si="0"/>
        <v>0</v>
      </c>
      <c r="S46" s="48">
        <f>'Function Of Rate'!L22</f>
        <v>1.8547692284359447E-4</v>
      </c>
      <c r="T46" s="41">
        <f t="shared" si="0"/>
        <v>1.8547692284359447E-4</v>
      </c>
    </row>
    <row r="47" spans="5:20" s="27" customFormat="1" ht="13.5" customHeight="1">
      <c r="E47" s="60">
        <f>Query!B8</f>
        <v>42152</v>
      </c>
      <c r="F47" s="62">
        <f>Query!D8</f>
        <v>1.6736251546201301E-3</v>
      </c>
      <c r="G47" s="28">
        <f>Query!D8-Query!D12</f>
        <v>-0.16685830197404186</v>
      </c>
      <c r="H47" s="41">
        <f>Query!D8-Query!D21</f>
        <v>-0.12973519090586386</v>
      </c>
      <c r="I47" s="43">
        <f ca="1">Query!E8</f>
        <v>1233.9000000000001</v>
      </c>
      <c r="J47" s="28">
        <f ca="1">(Query!E8-Query!E12)/Query!E12</f>
        <v>-0.20873412851096573</v>
      </c>
      <c r="K47" s="41">
        <f ca="1">(Query!E8-Query!E21)/Query!E21</f>
        <v>-0.29098431304947414</v>
      </c>
      <c r="N47" s="46">
        <f>'Function Of Rate'!$K$18</f>
        <v>3.98</v>
      </c>
      <c r="O47" s="49">
        <f>'Function Of Rate'!K$20</f>
        <v>0.39179423960644549</v>
      </c>
      <c r="P47" s="47" t="s">
        <v>62</v>
      </c>
      <c r="Q47" s="49">
        <f>'Function Of Rate'!K21</f>
        <v>0</v>
      </c>
      <c r="R47" s="47">
        <f t="shared" si="0"/>
        <v>0</v>
      </c>
      <c r="S47" s="49">
        <f>'Function Of Rate'!M22</f>
        <v>1.1210162748833887E-4</v>
      </c>
      <c r="T47" s="47">
        <f t="shared" si="0"/>
        <v>1.1210162748833887E-4</v>
      </c>
    </row>
    <row r="48" spans="5:20" s="27" customFormat="1" ht="13.5" customHeight="1">
      <c r="E48" s="60">
        <f>Query!B9</f>
        <v>42145</v>
      </c>
      <c r="F48" s="62">
        <f>Query!D9</f>
        <v>1.67442383088528E-3</v>
      </c>
      <c r="G48" s="28">
        <f>Query!D9-Query!D13</f>
        <v>-0.18625633880897172</v>
      </c>
      <c r="H48" s="41">
        <f>Query!D9-Query!D22</f>
        <v>-0.14508469898530071</v>
      </c>
      <c r="I48" s="43">
        <f ca="1">Query!E9</f>
        <v>1408.1</v>
      </c>
      <c r="J48" s="28">
        <f ca="1">(Query!E9-Query!E13)/Query!E13</f>
        <v>-0.18276262333139878</v>
      </c>
      <c r="K48" s="41">
        <f ca="1">(Query!E9-Query!E22)/Query!E22</f>
        <v>-0.17321355175855793</v>
      </c>
      <c r="N48" s="38" t="s">
        <v>43</v>
      </c>
      <c r="O48" s="48">
        <f>'Function Of Rate'!L$20</f>
        <v>0.34065965745166854</v>
      </c>
      <c r="P48" s="41">
        <f>O48-$O$47</f>
        <v>-5.1134582154776953E-2</v>
      </c>
      <c r="Q48" s="48">
        <f>'Function Of Rate'!L21</f>
        <v>0</v>
      </c>
      <c r="R48" s="41">
        <f t="shared" si="0"/>
        <v>0</v>
      </c>
      <c r="S48" s="48">
        <f>'Function Of Rate'!N22</f>
        <v>4.5419169426527346E-5</v>
      </c>
      <c r="T48" s="41">
        <f t="shared" si="0"/>
        <v>4.5419169426527346E-5</v>
      </c>
    </row>
    <row r="49" spans="5:20" s="27" customFormat="1" ht="13.5" customHeight="1">
      <c r="E49" s="60">
        <f>Query!B10</f>
        <v>42138</v>
      </c>
      <c r="F49" s="62">
        <f>Query!D10</f>
        <v>2.3331317991025198E-3</v>
      </c>
      <c r="G49" s="28">
        <f>Query!D10-Query!D14</f>
        <v>-0.16577093305798848</v>
      </c>
      <c r="H49" s="41">
        <f>Query!D10-Query!D23</f>
        <v>-0.17039685054238948</v>
      </c>
      <c r="I49" s="43">
        <f ca="1">Query!E10</f>
        <v>1448.8</v>
      </c>
      <c r="J49" s="28">
        <f ca="1">(Query!E10-Query!E14)/Query!E14</f>
        <v>-0.2026417171161255</v>
      </c>
      <c r="K49" s="41">
        <f ca="1">(Query!E10-Query!E23)/Query!E23</f>
        <v>-0.23915555088751186</v>
      </c>
      <c r="N49" s="38" t="s">
        <v>44</v>
      </c>
      <c r="O49" s="48">
        <f>'Function Of Rate'!M$20</f>
        <v>0.31567526516234673</v>
      </c>
      <c r="P49" s="41">
        <f>O49-$O$47</f>
        <v>-7.6118974444098764E-2</v>
      </c>
      <c r="Q49" s="48">
        <f>'Function Of Rate'!M21</f>
        <v>0</v>
      </c>
      <c r="R49" s="41">
        <f t="shared" si="0"/>
        <v>0</v>
      </c>
      <c r="S49" s="48">
        <f>'Function Of Rate'!O22</f>
        <v>1.259317285017745E-5</v>
      </c>
      <c r="T49" s="41">
        <f t="shared" si="0"/>
        <v>1.259317285017745E-5</v>
      </c>
    </row>
    <row r="50" spans="5:20" s="27" customFormat="1" ht="13.5" customHeight="1">
      <c r="E50" s="60">
        <f>Query!B11</f>
        <v>42131</v>
      </c>
      <c r="F50" s="62">
        <f>Query!D11</f>
        <v>3.4714448657501701E-3</v>
      </c>
      <c r="G50" s="28">
        <f>Query!D11-Query!D15</f>
        <v>-0.18158420461086583</v>
      </c>
      <c r="H50" s="41">
        <f>Query!D11-Query!D24</f>
        <v>-0.18423971237156883</v>
      </c>
      <c r="I50" s="43">
        <f ca="1">Query!E11</f>
        <v>1477.8</v>
      </c>
      <c r="J50" s="28">
        <f ca="1">(Query!E11-Query!E15)/Query!E15</f>
        <v>-0.18109276293915547</v>
      </c>
      <c r="K50" s="41">
        <f ca="1">(Query!E11-Query!E24)/Query!E24</f>
        <v>-0.35503862436171613</v>
      </c>
      <c r="N50" s="38" t="s">
        <v>45</v>
      </c>
      <c r="O50" s="48">
        <f>'Function Of Rate'!N$20</f>
        <v>0.26570559193735022</v>
      </c>
      <c r="P50" s="41">
        <f>O50-$O$47</f>
        <v>-0.12608864766909528</v>
      </c>
      <c r="Q50" s="48">
        <f>'Function Of Rate'!N21</f>
        <v>0</v>
      </c>
      <c r="R50" s="41">
        <f t="shared" si="0"/>
        <v>0</v>
      </c>
      <c r="S50" s="48">
        <f>'Function Of Rate'!P22</f>
        <v>7.0713343533133344E-6</v>
      </c>
      <c r="T50" s="41">
        <f t="shared" si="0"/>
        <v>7.0713343533133344E-6</v>
      </c>
    </row>
    <row r="51" spans="5:20" s="27" customFormat="1" ht="13.5" customHeight="1" thickBot="1">
      <c r="E51" s="61">
        <f>Query!B12</f>
        <v>42124</v>
      </c>
      <c r="F51" s="63">
        <f>Query!D12</f>
        <v>0.168531927128662</v>
      </c>
      <c r="G51" s="40">
        <f>Query!D12-Query!D16</f>
        <v>2.4153126226720001E-3</v>
      </c>
      <c r="H51" s="42">
        <f>Query!D12-Query!D25</f>
        <v>-1.4982491822145005E-2</v>
      </c>
      <c r="I51" s="44">
        <f ca="1">Query!E12</f>
        <v>1559.4</v>
      </c>
      <c r="J51" s="40">
        <f ca="1">(Query!E12-Query!E16)/Query!E16</f>
        <v>-0.15921712406319077</v>
      </c>
      <c r="K51" s="42">
        <f ca="1">(Query!E12-Query!E25)/Query!E25</f>
        <v>-0.39670380687093781</v>
      </c>
      <c r="N51" s="38" t="s">
        <v>46</v>
      </c>
      <c r="O51" s="48">
        <f>'Function Of Rate'!O$20</f>
        <v>0.21407049019105798</v>
      </c>
      <c r="P51" s="41">
        <f>O51-$O$47</f>
        <v>-0.17772374941538752</v>
      </c>
      <c r="Q51" s="48">
        <f>'Function Of Rate'!O21</f>
        <v>0</v>
      </c>
      <c r="R51" s="41">
        <f t="shared" si="0"/>
        <v>0</v>
      </c>
      <c r="S51" s="48">
        <f>'Function Of Rate'!Q22</f>
        <v>0</v>
      </c>
      <c r="T51" s="41">
        <f t="shared" si="0"/>
        <v>0</v>
      </c>
    </row>
    <row r="52" spans="5:20" ht="13.5" customHeight="1" thickBot="1">
      <c r="E52" s="32"/>
      <c r="K52" s="32"/>
      <c r="L52"/>
      <c r="N52" s="39" t="s">
        <v>47</v>
      </c>
      <c r="O52" s="50">
        <f>'Function Of Rate'!P$20</f>
        <v>0.19725786878462545</v>
      </c>
      <c r="P52" s="42">
        <f>O52-$O$47</f>
        <v>-0.19453637082182004</v>
      </c>
      <c r="Q52" s="50">
        <f>'Function Of Rate'!P21</f>
        <v>0</v>
      </c>
      <c r="R52" s="42">
        <f t="shared" si="0"/>
        <v>0</v>
      </c>
      <c r="S52" s="50">
        <f>'Function Of Rate'!R22</f>
        <v>0</v>
      </c>
      <c r="T52" s="42">
        <f t="shared" si="0"/>
        <v>0</v>
      </c>
    </row>
    <row r="53" spans="5:20" ht="12" customHeight="1">
      <c r="E53" s="32"/>
    </row>
    <row r="55" spans="5:20" ht="15">
      <c r="H55"/>
      <c r="I55"/>
      <c r="J55"/>
    </row>
    <row r="56" spans="5:20" ht="15">
      <c r="H56"/>
      <c r="I56"/>
      <c r="J56"/>
    </row>
    <row r="57" spans="5:20" ht="15">
      <c r="H57"/>
      <c r="I57"/>
      <c r="J57"/>
    </row>
    <row r="58" spans="5:20" ht="15">
      <c r="H58"/>
      <c r="I58"/>
      <c r="J58"/>
      <c r="K58" s="14"/>
    </row>
    <row r="59" spans="5:20" ht="15">
      <c r="H59"/>
      <c r="I59"/>
      <c r="J59"/>
    </row>
    <row r="61" spans="5:20">
      <c r="H61" s="12"/>
      <c r="I61" s="13"/>
      <c r="J61" s="13"/>
      <c r="K61" s="14"/>
    </row>
  </sheetData>
  <mergeCells count="5">
    <mergeCell ref="I40:K40"/>
    <mergeCell ref="F40:H40"/>
    <mergeCell ref="Q40:R40"/>
    <mergeCell ref="O40:P40"/>
    <mergeCell ref="S40:T40"/>
  </mergeCells>
  <conditionalFormatting sqref="F42:H51">
    <cfRule type="cellIs" dxfId="80" priority="45" operator="lessThan">
      <formula>0</formula>
    </cfRule>
  </conditionalFormatting>
  <conditionalFormatting sqref="J42:J51">
    <cfRule type="cellIs" dxfId="79" priority="43" operator="lessThan">
      <formula>0</formula>
    </cfRule>
  </conditionalFormatting>
  <conditionalFormatting sqref="K42:K51">
    <cfRule type="cellIs" dxfId="78" priority="41" operator="lessThan">
      <formula>0</formula>
    </cfRule>
  </conditionalFormatting>
  <conditionalFormatting sqref="F42:K51">
    <cfRule type="containsErrors" dxfId="77" priority="39">
      <formula>ISERROR(F42)</formula>
    </cfRule>
    <cfRule type="containsErrors" priority="40">
      <formula>ISERROR(F42)</formula>
    </cfRule>
  </conditionalFormatting>
  <conditionalFormatting sqref="P42:P52">
    <cfRule type="cellIs" dxfId="76" priority="32" operator="lessThan">
      <formula>0</formula>
    </cfRule>
  </conditionalFormatting>
  <conditionalFormatting sqref="P42:P52">
    <cfRule type="containsErrors" dxfId="75" priority="30">
      <formula>ISERROR(P42)</formula>
    </cfRule>
    <cfRule type="containsErrors" priority="31">
      <formula>ISERROR(P42)</formula>
    </cfRule>
  </conditionalFormatting>
  <conditionalFormatting sqref="O42:P42 O43:O52">
    <cfRule type="cellIs" dxfId="74" priority="29" operator="lessThan">
      <formula>0</formula>
    </cfRule>
  </conditionalFormatting>
  <conditionalFormatting sqref="O42:P42 O43:O52">
    <cfRule type="containsErrors" dxfId="73" priority="27">
      <formula>ISERROR(O42)</formula>
    </cfRule>
    <cfRule type="containsErrors" priority="28">
      <formula>ISERROR(O42)</formula>
    </cfRule>
  </conditionalFormatting>
  <conditionalFormatting sqref="F42:F51">
    <cfRule type="cellIs" dxfId="72" priority="26" operator="greaterThan">
      <formula>0.01</formula>
    </cfRule>
  </conditionalFormatting>
  <conditionalFormatting sqref="K42:K50">
    <cfRule type="cellIs" dxfId="71" priority="19" operator="lessThan">
      <formula>0</formula>
    </cfRule>
  </conditionalFormatting>
  <conditionalFormatting sqref="S42:T42 S43:S52">
    <cfRule type="containsErrors" dxfId="70" priority="1">
      <formula>ISERROR(S42)</formula>
    </cfRule>
    <cfRule type="containsErrors" priority="2">
      <formula>ISERROR(S42)</formula>
    </cfRule>
  </conditionalFormatting>
  <conditionalFormatting sqref="T42:T52">
    <cfRule type="cellIs" dxfId="69" priority="6" operator="lessThan">
      <formula>0</formula>
    </cfRule>
  </conditionalFormatting>
  <conditionalFormatting sqref="T42:T52">
    <cfRule type="containsErrors" dxfId="68" priority="4">
      <formula>ISERROR(T42)</formula>
    </cfRule>
    <cfRule type="containsErrors" priority="5">
      <formula>ISERROR(T42)</formula>
    </cfRule>
  </conditionalFormatting>
  <conditionalFormatting sqref="S42:T42 S43:S52">
    <cfRule type="cellIs" dxfId="67" priority="3" operator="lessThan">
      <formula>0</formula>
    </cfRule>
  </conditionalFormatting>
  <conditionalFormatting sqref="R42:R52">
    <cfRule type="cellIs" dxfId="66" priority="12" operator="lessThan">
      <formula>0</formula>
    </cfRule>
  </conditionalFormatting>
  <conditionalFormatting sqref="R42:R52">
    <cfRule type="containsErrors" dxfId="65" priority="10">
      <formula>ISERROR(R42)</formula>
    </cfRule>
    <cfRule type="containsErrors" priority="11">
      <formula>ISERROR(R42)</formula>
    </cfRule>
  </conditionalFormatting>
  <conditionalFormatting sqref="Q42:R42 Q43:Q52">
    <cfRule type="cellIs" dxfId="64" priority="9" operator="lessThan">
      <formula>0</formula>
    </cfRule>
  </conditionalFormatting>
  <conditionalFormatting sqref="Q42:R42 Q43:Q52">
    <cfRule type="containsErrors" dxfId="63" priority="7">
      <formula>ISERROR(Q42)</formula>
    </cfRule>
    <cfRule type="containsErrors" priority="8">
      <formula>ISERROR(Q42)</formula>
    </cfRule>
  </conditionalFormatting>
  <dataValidations disablePrompts="1" count="2">
    <dataValidation type="list" allowBlank="1" showInputMessage="1" showErrorMessage="1" sqref="AC1">
      <formula1>"Yes, No"</formula1>
    </dataValidation>
    <dataValidation type="list" allowBlank="1" showInputMessage="1" showErrorMessage="1" sqref="AA1">
      <formula1>"PROD, DEV"</formula1>
    </dataValidation>
  </dataValidations>
  <pageMargins left="0.25" right="0.25" top="0.255" bottom="0.25" header="0.1" footer="0.1"/>
  <pageSetup scale="74" orientation="landscape" horizontalDpi="1200" verticalDpi="1200" r:id="rId1"/>
  <headerFooter scaleWithDoc="0">
    <oddHeader>&amp;L&amp;G&amp;C&amp;"-,Bold"&amp;10&amp;K2E398A
&amp;15Refinancible Universe - Media Effect Scenario&amp;R&amp;"-,Bold"&amp;10&amp;K2E398A
As of 07/07/2015</oddHeader>
    <oddFooter>&amp;L&amp;10&amp;K2E398AReport created on &amp;D &amp;T&amp;C&amp;G
&amp;8&amp;K2E398APage &amp;P of &amp;N</oddFooter>
  </headerFooter>
  <colBreaks count="1" manualBreakCount="1">
    <brk id="24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241"/>
  <sheetViews>
    <sheetView topLeftCell="J1" zoomScaleNormal="100" workbookViewId="0">
      <selection activeCell="Y245" sqref="Y245"/>
    </sheetView>
  </sheetViews>
  <sheetFormatPr defaultRowHeight="15"/>
  <cols>
    <col min="2" max="2" width="10.42578125" bestFit="1" customWidth="1"/>
    <col min="5" max="5" width="10.7109375" bestFit="1" customWidth="1"/>
    <col min="6" max="6" width="16.42578125" customWidth="1"/>
    <col min="7" max="7" width="10.7109375" bestFit="1" customWidth="1"/>
    <col min="8" max="8" width="12.85546875" bestFit="1" customWidth="1"/>
    <col min="14" max="14" width="10.7109375" bestFit="1" customWidth="1"/>
    <col min="15" max="15" width="12.85546875" bestFit="1" customWidth="1"/>
    <col min="16" max="16" width="11.7109375" bestFit="1" customWidth="1"/>
  </cols>
  <sheetData>
    <row r="1" spans="2:19">
      <c r="B1" t="s">
        <v>17</v>
      </c>
      <c r="G1" t="s">
        <v>14</v>
      </c>
      <c r="J1" t="s">
        <v>24</v>
      </c>
      <c r="N1" t="s">
        <v>66</v>
      </c>
      <c r="R1" t="s">
        <v>67</v>
      </c>
    </row>
    <row r="2" spans="2:19">
      <c r="B2" s="6" t="s">
        <v>11</v>
      </c>
      <c r="C2" s="6" t="s">
        <v>12</v>
      </c>
      <c r="D2" s="6" t="s">
        <v>72</v>
      </c>
      <c r="E2" s="6" t="s">
        <v>65</v>
      </c>
      <c r="G2" t="s">
        <v>11</v>
      </c>
      <c r="H2" t="s">
        <v>13</v>
      </c>
      <c r="N2" t="s">
        <v>11</v>
      </c>
      <c r="O2" t="s">
        <v>13</v>
      </c>
      <c r="R2" s="6" t="s">
        <v>11</v>
      </c>
      <c r="S2" s="6" t="s">
        <v>13</v>
      </c>
    </row>
    <row r="3" spans="2:19">
      <c r="B3" s="15">
        <v>42187</v>
      </c>
      <c r="C3" s="21">
        <v>0.42251540638333057</v>
      </c>
      <c r="D3" s="21">
        <f>VLOOKUP(CurrentMtgRatesDataTable825[[#This Row],[asOfDate]],N:O,2,0)</f>
        <v>5.4944560466175651E-4</v>
      </c>
      <c r="E3" s="25" t="e">
        <f ca="1">VLOOKUP(CurrentMtgRatesDataTable825[[#This Row],[asOfDate]]+1,Bloomberg!B:C,2,0)</f>
        <v>#N/A</v>
      </c>
      <c r="G3" s="1">
        <v>40549</v>
      </c>
      <c r="H3" s="24">
        <v>0.477996028899563</v>
      </c>
      <c r="N3" s="1">
        <v>40549</v>
      </c>
      <c r="O3" s="57">
        <v>3.7596565105309601E-4</v>
      </c>
      <c r="R3" s="15"/>
      <c r="S3" s="22"/>
    </row>
    <row r="4" spans="2:19">
      <c r="B4" s="15">
        <v>42180</v>
      </c>
      <c r="C4" s="21">
        <v>0.44996575693530583</v>
      </c>
      <c r="D4" s="21">
        <f>VLOOKUP(CurrentMtgRatesDataTable825[[#This Row],[asOfDate]],N:O,2,0)</f>
        <v>6.33970704565231E-4</v>
      </c>
      <c r="E4" s="25">
        <f ca="1">VLOOKUP(CurrentMtgRatesDataTable825[[#This Row],[asOfDate]]+1,Bloomberg!B:C,2,0)</f>
        <v>1246.0999999999999</v>
      </c>
      <c r="G4" s="1">
        <v>40556</v>
      </c>
      <c r="H4" s="24">
        <v>0.49650185657562101</v>
      </c>
      <c r="N4" s="1">
        <v>40556</v>
      </c>
      <c r="O4" s="57">
        <v>5.3255518166106497E-4</v>
      </c>
    </row>
    <row r="5" spans="2:19">
      <c r="B5" s="15">
        <v>42173</v>
      </c>
      <c r="C5" s="21">
        <v>0.4660872174903114</v>
      </c>
      <c r="D5" s="21">
        <f>VLOOKUP(CurrentMtgRatesDataTable825[[#This Row],[asOfDate]],N:O,2,0)</f>
        <v>8.5021725785377989E-4</v>
      </c>
      <c r="E5" s="25">
        <f ca="1">VLOOKUP(CurrentMtgRatesDataTable825[[#This Row],[asOfDate]]+1,Bloomberg!B:C,2,0)</f>
        <v>1318.3</v>
      </c>
      <c r="G5" s="1">
        <v>40563</v>
      </c>
      <c r="H5" s="24">
        <v>0.48029569588235599</v>
      </c>
      <c r="N5" s="1">
        <v>40563</v>
      </c>
      <c r="O5" s="57">
        <v>4.2360297628175301E-4</v>
      </c>
    </row>
    <row r="6" spans="2:19">
      <c r="B6" s="15">
        <v>42166</v>
      </c>
      <c r="C6" s="21">
        <v>0.45300783987214877</v>
      </c>
      <c r="D6" s="21">
        <f>VLOOKUP(CurrentMtgRatesDataTable825[[#This Row],[asOfDate]],N:O,2,0)</f>
        <v>6.015941023918887E-4</v>
      </c>
      <c r="E6" s="25">
        <f ca="1">VLOOKUP(CurrentMtgRatesDataTable825[[#This Row],[asOfDate]]+1,Bloomberg!B:C,2,0)</f>
        <v>1273.4000000000001</v>
      </c>
      <c r="G6" s="1">
        <v>40570</v>
      </c>
      <c r="H6" s="24">
        <v>0.47679593730615699</v>
      </c>
      <c r="N6" s="1">
        <v>40570</v>
      </c>
      <c r="O6" s="57">
        <v>2.71872925347238E-4</v>
      </c>
    </row>
    <row r="7" spans="2:19">
      <c r="B7" s="15">
        <v>42159</v>
      </c>
      <c r="C7" s="21">
        <v>0.54050696594977676</v>
      </c>
      <c r="D7" s="21">
        <f>VLOOKUP(CurrentMtgRatesDataTable825[[#This Row],[asOfDate]],N:O,2,0)</f>
        <v>1.4226748396708299E-3</v>
      </c>
      <c r="E7" s="25">
        <f ca="1">VLOOKUP(CurrentMtgRatesDataTable825[[#This Row],[asOfDate]]+1,Bloomberg!B:C,2,0)</f>
        <v>1342.4</v>
      </c>
      <c r="G7" s="1">
        <v>40577</v>
      </c>
      <c r="H7" s="24">
        <v>0.43462013043084002</v>
      </c>
      <c r="N7" s="1">
        <v>40577</v>
      </c>
      <c r="O7" s="57">
        <v>2.0178573468983399E-4</v>
      </c>
    </row>
    <row r="8" spans="2:19">
      <c r="B8" s="15">
        <v>42152</v>
      </c>
      <c r="C8" s="21">
        <v>0.54951676769042945</v>
      </c>
      <c r="D8" s="21">
        <f>VLOOKUP(CurrentMtgRatesDataTable825[[#This Row],[asOfDate]],N:O,2,0)</f>
        <v>1.6736251546201301E-3</v>
      </c>
      <c r="E8" s="25">
        <f ca="1">VLOOKUP(CurrentMtgRatesDataTable825[[#This Row],[asOfDate]]+1,Bloomberg!B:C,2,0)</f>
        <v>1233.9000000000001</v>
      </c>
      <c r="G8" s="1">
        <v>40584</v>
      </c>
      <c r="H8" s="24">
        <v>0.35529176669040102</v>
      </c>
      <c r="N8" s="1">
        <v>40584</v>
      </c>
      <c r="O8" s="57">
        <v>5.20153194974807E-5</v>
      </c>
    </row>
    <row r="9" spans="2:19">
      <c r="B9" s="15">
        <v>42145</v>
      </c>
      <c r="C9" s="21">
        <v>0.55264936292906153</v>
      </c>
      <c r="D9" s="21">
        <f>VLOOKUP(CurrentMtgRatesDataTable825[[#This Row],[asOfDate]],N:O,2,0)</f>
        <v>1.67442383088528E-3</v>
      </c>
      <c r="E9" s="25">
        <f ca="1">VLOOKUP(CurrentMtgRatesDataTable825[[#This Row],[asOfDate]]+1,Bloomberg!B:C,2,0)</f>
        <v>1408.1</v>
      </c>
      <c r="G9" s="1">
        <v>40591</v>
      </c>
      <c r="H9" s="24">
        <v>0.37678804128174298</v>
      </c>
      <c r="N9" s="1">
        <v>40591</v>
      </c>
      <c r="O9" s="57">
        <v>6.2663406645224498E-5</v>
      </c>
    </row>
    <row r="10" spans="2:19">
      <c r="B10" s="15">
        <v>42138</v>
      </c>
      <c r="C10" s="21">
        <v>0.56120232410101856</v>
      </c>
      <c r="D10" s="21">
        <f>VLOOKUP(CurrentMtgRatesDataTable825[[#This Row],[asOfDate]],N:O,2,0)</f>
        <v>2.3331317991025198E-3</v>
      </c>
      <c r="E10" s="25">
        <f ca="1">VLOOKUP(CurrentMtgRatesDataTable825[[#This Row],[asOfDate]]+1,Bloomberg!B:C,2,0)</f>
        <v>1448.8</v>
      </c>
      <c r="G10" s="1">
        <v>40598</v>
      </c>
      <c r="H10" s="24">
        <v>0.41551493659156002</v>
      </c>
      <c r="N10" s="1">
        <v>40598</v>
      </c>
      <c r="O10" s="57">
        <v>1.35954340606731E-4</v>
      </c>
    </row>
    <row r="11" spans="2:19">
      <c r="B11" s="15">
        <v>42131</v>
      </c>
      <c r="C11" s="21">
        <v>0.58097914250817684</v>
      </c>
      <c r="D11" s="21">
        <f>VLOOKUP(CurrentMtgRatesDataTable825[[#This Row],[asOfDate]],N:O,2,0)</f>
        <v>3.4714448657501701E-3</v>
      </c>
      <c r="E11" s="25">
        <f ca="1">VLOOKUP(CurrentMtgRatesDataTable825[[#This Row],[asOfDate]]+1,Bloomberg!B:C,2,0)</f>
        <v>1477.8</v>
      </c>
      <c r="G11" s="1">
        <v>40605</v>
      </c>
      <c r="H11" s="24">
        <v>0.42215163100202302</v>
      </c>
      <c r="N11" s="1">
        <v>40605</v>
      </c>
      <c r="O11" s="57">
        <v>1.96229527460014E-4</v>
      </c>
    </row>
    <row r="12" spans="2:19">
      <c r="B12" s="15">
        <v>42124</v>
      </c>
      <c r="C12" s="21">
        <v>0.63639402671923606</v>
      </c>
      <c r="D12" s="21">
        <f>VLOOKUP(CurrentMtgRatesDataTable825[[#This Row],[asOfDate]],N:O,2,0)</f>
        <v>0.168531927128662</v>
      </c>
      <c r="E12" s="25">
        <f ca="1">VLOOKUP(CurrentMtgRatesDataTable825[[#This Row],[asOfDate]]+1,Bloomberg!B:C,2,0)</f>
        <v>1559.4</v>
      </c>
      <c r="G12" s="1">
        <v>40612</v>
      </c>
      <c r="H12" s="24">
        <v>0.42124985629360401</v>
      </c>
      <c r="N12" s="1">
        <v>40612</v>
      </c>
      <c r="O12" s="57">
        <v>2.4946862835881098E-4</v>
      </c>
    </row>
    <row r="13" spans="2:19">
      <c r="B13" s="15">
        <v>42117</v>
      </c>
      <c r="C13" s="21">
        <v>0.64951370522505292</v>
      </c>
      <c r="D13" s="21">
        <f>VLOOKUP(CurrentMtgRatesDataTable825[[#This Row],[asOfDate]],N:O,2,0)</f>
        <v>0.187930762639857</v>
      </c>
      <c r="E13" s="25">
        <f ca="1">VLOOKUP(CurrentMtgRatesDataTable825[[#This Row],[asOfDate]]+1,Bloomberg!B:C,2,0)</f>
        <v>1723</v>
      </c>
      <c r="G13" s="1">
        <v>40619</v>
      </c>
      <c r="H13" s="24">
        <v>0.46784663358763601</v>
      </c>
      <c r="N13" s="1">
        <v>40619</v>
      </c>
      <c r="O13" s="57">
        <v>1.0337095119414301E-3</v>
      </c>
    </row>
    <row r="14" spans="2:19">
      <c r="B14" s="15">
        <v>42110</v>
      </c>
      <c r="C14" s="21">
        <v>0.63055503904182508</v>
      </c>
      <c r="D14" s="21">
        <f>VLOOKUP(CurrentMtgRatesDataTable825[[#This Row],[asOfDate]],N:O,2,0)</f>
        <v>0.16810406485709101</v>
      </c>
      <c r="E14" s="25">
        <f ca="1">VLOOKUP(CurrentMtgRatesDataTable825[[#This Row],[asOfDate]]+1,Bloomberg!B:C,2,0)</f>
        <v>1817</v>
      </c>
      <c r="G14" s="1">
        <v>40626</v>
      </c>
      <c r="H14" s="24">
        <v>0.450158099668103</v>
      </c>
      <c r="N14" s="1">
        <v>40626</v>
      </c>
      <c r="O14" s="57">
        <v>6.0502769456042399E-4</v>
      </c>
    </row>
    <row r="15" spans="2:19">
      <c r="B15" s="15">
        <v>42103</v>
      </c>
      <c r="C15" s="21">
        <v>0.64459292642165245</v>
      </c>
      <c r="D15" s="21">
        <f>VLOOKUP(CurrentMtgRatesDataTable825[[#This Row],[asOfDate]],N:O,2,0)</f>
        <v>0.18505564947661601</v>
      </c>
      <c r="E15" s="25">
        <f ca="1">VLOOKUP(CurrentMtgRatesDataTable825[[#This Row],[asOfDate]]+1,Bloomberg!B:C,2,0)</f>
        <v>1804.6</v>
      </c>
      <c r="G15" s="1">
        <v>40633</v>
      </c>
      <c r="H15" s="24">
        <v>0.42282958858632702</v>
      </c>
      <c r="N15" s="1">
        <v>40633</v>
      </c>
      <c r="O15" s="57">
        <v>2.5023950479765699E-4</v>
      </c>
    </row>
    <row r="16" spans="2:19">
      <c r="B16" s="15">
        <v>42096</v>
      </c>
      <c r="C16" s="21">
        <v>0.62778439660000751</v>
      </c>
      <c r="D16" s="21">
        <f>VLOOKUP(CurrentMtgRatesDataTable825[[#This Row],[asOfDate]],N:O,2,0)</f>
        <v>0.16611661450599</v>
      </c>
      <c r="E16" s="25">
        <f ca="1">VLOOKUP(CurrentMtgRatesDataTable825[[#This Row],[asOfDate]]+1,Bloomberg!B:C,2,0)</f>
        <v>1854.7</v>
      </c>
      <c r="G16" s="1">
        <v>40640</v>
      </c>
      <c r="H16" s="24">
        <v>0.414778538159287</v>
      </c>
      <c r="N16" s="1">
        <v>40640</v>
      </c>
      <c r="O16" s="57">
        <v>2.4181129106516801E-4</v>
      </c>
    </row>
    <row r="17" spans="2:15">
      <c r="B17" s="15">
        <v>42089</v>
      </c>
      <c r="C17" s="21">
        <v>0.64195316325793905</v>
      </c>
      <c r="D17" s="21">
        <f>VLOOKUP(CurrentMtgRatesDataTable825[[#This Row],[asOfDate]],N:O,2,0)</f>
        <v>0.16936375390644101</v>
      </c>
      <c r="E17" s="25">
        <f ca="1">VLOOKUP(CurrentMtgRatesDataTable825[[#This Row],[asOfDate]]+1,Bloomberg!B:C,2,0)</f>
        <v>1941.6</v>
      </c>
      <c r="G17" s="1">
        <v>40647</v>
      </c>
      <c r="H17" s="24">
        <v>0.41340612440810998</v>
      </c>
      <c r="N17" s="1">
        <v>40647</v>
      </c>
      <c r="O17" s="57">
        <v>3.9614697005304603E-4</v>
      </c>
    </row>
    <row r="18" spans="2:15">
      <c r="B18" s="15">
        <v>42082</v>
      </c>
      <c r="C18" s="21">
        <v>0.60937196228640689</v>
      </c>
      <c r="D18" s="21">
        <f>VLOOKUP(CurrentMtgRatesDataTable825[[#This Row],[asOfDate]],N:O,2,0)</f>
        <v>0.145251647985956</v>
      </c>
      <c r="E18" s="25">
        <f ca="1">VLOOKUP(CurrentMtgRatesDataTable825[[#This Row],[asOfDate]]+1,Bloomberg!B:C,2,0)</f>
        <v>1860.8</v>
      </c>
      <c r="G18" s="1">
        <v>40654</v>
      </c>
      <c r="H18" s="24">
        <v>0.44381782258269298</v>
      </c>
      <c r="N18" s="1">
        <v>40654</v>
      </c>
      <c r="O18" s="57">
        <v>1.12729989415065E-3</v>
      </c>
    </row>
    <row r="19" spans="2:15">
      <c r="B19" s="15">
        <v>42075</v>
      </c>
      <c r="C19" s="21">
        <v>0.57559445438514367</v>
      </c>
      <c r="D19" s="21">
        <f>VLOOKUP(CurrentMtgRatesDataTable825[[#This Row],[asOfDate]],N:O,2,0)</f>
        <v>0.109721001806031</v>
      </c>
      <c r="E19" s="25">
        <f ca="1">VLOOKUP(CurrentMtgRatesDataTable825[[#This Row],[asOfDate]]+1,Bloomberg!B:C,2,0)</f>
        <v>1623.6</v>
      </c>
      <c r="G19" s="1">
        <v>40661</v>
      </c>
      <c r="H19" s="24">
        <v>0.44565511936132601</v>
      </c>
      <c r="N19" s="1">
        <v>40661</v>
      </c>
      <c r="O19" s="57">
        <v>1.13472894544288E-3</v>
      </c>
    </row>
    <row r="20" spans="2:15">
      <c r="B20" s="15">
        <v>42068</v>
      </c>
      <c r="C20" s="21">
        <v>0.61966926616186646</v>
      </c>
      <c r="D20" s="21">
        <f>VLOOKUP(CurrentMtgRatesDataTable825[[#This Row],[asOfDate]],N:O,2,0)</f>
        <v>0.14554399189627501</v>
      </c>
      <c r="E20" s="25">
        <f ca="1">VLOOKUP(CurrentMtgRatesDataTable825[[#This Row],[asOfDate]]+1,Bloomberg!B:C,2,0)</f>
        <v>1685.7</v>
      </c>
      <c r="G20" s="1">
        <v>40668</v>
      </c>
      <c r="H20" s="24">
        <v>0.45891120103405703</v>
      </c>
      <c r="N20" s="1">
        <v>40668</v>
      </c>
      <c r="O20" s="57">
        <v>2.29777756393631E-3</v>
      </c>
    </row>
    <row r="21" spans="2:15">
      <c r="B21" s="15">
        <v>42061</v>
      </c>
      <c r="C21" s="21">
        <v>0.61098575112407738</v>
      </c>
      <c r="D21" s="21">
        <f>VLOOKUP(CurrentMtgRatesDataTable825[[#This Row],[asOfDate]],N:O,2,0)</f>
        <v>0.13140881606048399</v>
      </c>
      <c r="E21" s="25">
        <f ca="1">VLOOKUP(CurrentMtgRatesDataTable825[[#This Row],[asOfDate]]+1,Bloomberg!B:C,2,0)</f>
        <v>1740.3</v>
      </c>
      <c r="G21" s="1">
        <v>40675</v>
      </c>
      <c r="H21" s="24">
        <v>0.50042582297659</v>
      </c>
      <c r="N21" s="1">
        <v>40675</v>
      </c>
      <c r="O21" s="57">
        <v>5.44390325332186E-3</v>
      </c>
    </row>
    <row r="22" spans="2:15">
      <c r="B22" s="15">
        <v>42054</v>
      </c>
      <c r="C22" s="21">
        <v>0.62651628119673453</v>
      </c>
      <c r="D22" s="21">
        <f>VLOOKUP(CurrentMtgRatesDataTable825[[#This Row],[asOfDate]],N:O,2,0)</f>
        <v>0.146759122816186</v>
      </c>
      <c r="E22" s="25">
        <f ca="1">VLOOKUP(CurrentMtgRatesDataTable825[[#This Row],[asOfDate]]+1,Bloomberg!B:C,2,0)</f>
        <v>1703.1</v>
      </c>
      <c r="G22" s="1">
        <v>40682</v>
      </c>
      <c r="H22" s="24">
        <v>0.50447592982476996</v>
      </c>
      <c r="N22" s="1">
        <v>40682</v>
      </c>
      <c r="O22" s="57">
        <v>5.4986490601633296E-3</v>
      </c>
    </row>
    <row r="23" spans="2:15">
      <c r="B23" s="15">
        <v>42047</v>
      </c>
      <c r="C23" s="21">
        <v>0.64890841265420796</v>
      </c>
      <c r="D23" s="21">
        <f>VLOOKUP(CurrentMtgRatesDataTable825[[#This Row],[asOfDate]],N:O,2,0)</f>
        <v>0.17272998234149201</v>
      </c>
      <c r="E23" s="25">
        <f ca="1">VLOOKUP(CurrentMtgRatesDataTable825[[#This Row],[asOfDate]]+1,Bloomberg!B:C,2,0)</f>
        <v>1904.2</v>
      </c>
      <c r="G23" s="1">
        <v>40689</v>
      </c>
      <c r="H23" s="24">
        <v>0.50568534347274297</v>
      </c>
      <c r="N23" s="1">
        <v>40689</v>
      </c>
      <c r="O23" s="57">
        <v>5.5127032061132201E-3</v>
      </c>
    </row>
    <row r="24" spans="2:15">
      <c r="B24" s="15">
        <v>42040</v>
      </c>
      <c r="C24" s="21">
        <v>0.68438167594716182</v>
      </c>
      <c r="D24" s="21">
        <f>VLOOKUP(CurrentMtgRatesDataTable825[[#This Row],[asOfDate]],N:O,2,0)</f>
        <v>0.18771115723731899</v>
      </c>
      <c r="E24" s="25">
        <f ca="1">VLOOKUP(CurrentMtgRatesDataTable825[[#This Row],[asOfDate]]+1,Bloomberg!B:C,2,0)</f>
        <v>2291.3000000000002</v>
      </c>
      <c r="G24" s="1">
        <v>40696</v>
      </c>
      <c r="H24" s="24">
        <v>0.53450860338875705</v>
      </c>
      <c r="N24" s="1">
        <v>40696</v>
      </c>
      <c r="O24" s="57">
        <v>8.68657357338724E-3</v>
      </c>
    </row>
    <row r="25" spans="2:15">
      <c r="B25" s="15">
        <v>42033</v>
      </c>
      <c r="C25" s="21">
        <v>0.66264885680249008</v>
      </c>
      <c r="D25" s="21">
        <f>VLOOKUP(CurrentMtgRatesDataTable825[[#This Row],[asOfDate]],N:O,2,0)</f>
        <v>0.183514418950807</v>
      </c>
      <c r="E25" s="25">
        <f ca="1">VLOOKUP(CurrentMtgRatesDataTable825[[#This Row],[asOfDate]]+1,Bloomberg!B:C,2,0)</f>
        <v>2584.8000000000002</v>
      </c>
      <c r="G25" s="1">
        <v>40703</v>
      </c>
      <c r="H25" s="24">
        <v>0.55556126357331004</v>
      </c>
      <c r="N25" s="1">
        <v>40703</v>
      </c>
      <c r="O25" s="57">
        <v>1.23067584719575E-2</v>
      </c>
    </row>
    <row r="26" spans="2:15">
      <c r="B26" s="15">
        <v>42026</v>
      </c>
      <c r="C26" s="21">
        <v>0.66474126748702123</v>
      </c>
      <c r="D26" s="21">
        <f>VLOOKUP(CurrentMtgRatesDataTable825[[#This Row],[asOfDate]],N:O,2,0)</f>
        <v>0.18606636138555099</v>
      </c>
      <c r="E26" s="25">
        <f ca="1">VLOOKUP(CurrentMtgRatesDataTable825[[#This Row],[asOfDate]]+1,Bloomberg!B:C,2,0)</f>
        <v>2572.3000000000002</v>
      </c>
      <c r="G26" s="1">
        <v>40710</v>
      </c>
      <c r="H26" s="24">
        <v>0.55544034698333999</v>
      </c>
      <c r="N26" s="1">
        <v>40710</v>
      </c>
      <c r="O26" s="57">
        <v>1.23002415872017E-2</v>
      </c>
    </row>
    <row r="27" spans="2:15">
      <c r="B27" s="15">
        <v>42019</v>
      </c>
      <c r="C27" s="21">
        <v>0.66264885680249008</v>
      </c>
      <c r="D27" s="21">
        <f>VLOOKUP(CurrentMtgRatesDataTable825[[#This Row],[asOfDate]],N:O,2,0)</f>
        <v>0.18556389775981899</v>
      </c>
      <c r="E27" s="25">
        <f ca="1">VLOOKUP(CurrentMtgRatesDataTable825[[#This Row],[asOfDate]]+1,Bloomberg!B:C,2,0)</f>
        <v>2799.3</v>
      </c>
      <c r="G27" s="1">
        <v>40717</v>
      </c>
      <c r="H27" s="24">
        <v>0.53450860338875705</v>
      </c>
      <c r="N27" s="1">
        <v>40717</v>
      </c>
      <c r="O27" s="57">
        <v>1.00606573736092E-2</v>
      </c>
    </row>
    <row r="28" spans="2:15">
      <c r="B28" s="15">
        <v>42012</v>
      </c>
      <c r="C28" s="21">
        <v>0.63580141506138355</v>
      </c>
      <c r="D28" s="21">
        <f>VLOOKUP(CurrentMtgRatesDataTable825[[#This Row],[asOfDate]],N:O,2,0)</f>
        <v>0.14791956318824301</v>
      </c>
      <c r="E28" s="25">
        <f ca="1">VLOOKUP(CurrentMtgRatesDataTable825[[#This Row],[asOfDate]]+1,Bloomberg!B:C,2,0)</f>
        <v>2271.5</v>
      </c>
      <c r="G28" s="1">
        <v>40724</v>
      </c>
      <c r="H28" s="24">
        <v>0.55445082777023702</v>
      </c>
      <c r="N28" s="1">
        <v>40724</v>
      </c>
      <c r="O28" s="57">
        <v>1.2160270900161399E-2</v>
      </c>
    </row>
    <row r="29" spans="2:15">
      <c r="B29" s="15">
        <v>42004</v>
      </c>
      <c r="C29" s="21">
        <v>0.59072795930158906</v>
      </c>
      <c r="D29" s="21">
        <f>VLOOKUP(CurrentMtgRatesDataTable825[[#This Row],[asOfDate]],N:O,2,0)</f>
        <v>0.11008343849461499</v>
      </c>
      <c r="E29" s="25">
        <f ca="1">VLOOKUP(CurrentMtgRatesDataTable825[[#This Row],[asOfDate]]+1,Bloomberg!B:C,2,0)</f>
        <v>1347.6</v>
      </c>
      <c r="G29" s="1">
        <v>40731</v>
      </c>
      <c r="H29" s="24">
        <v>0.49771283747510803</v>
      </c>
      <c r="N29" s="1">
        <v>40731</v>
      </c>
      <c r="O29" s="57">
        <v>7.4617374953439E-3</v>
      </c>
    </row>
    <row r="30" spans="2:15">
      <c r="B30" s="15">
        <v>41997</v>
      </c>
      <c r="C30" s="21">
        <v>0.60574636223541978</v>
      </c>
      <c r="D30" s="21">
        <f>VLOOKUP(CurrentMtgRatesDataTable825[[#This Row],[asOfDate]],N:O,2,0)</f>
        <v>0.128936720795501</v>
      </c>
      <c r="E30" s="25">
        <f ca="1">VLOOKUP(CurrentMtgRatesDataTable825[[#This Row],[asOfDate]]+1,Bloomberg!B:C,2,0)</f>
        <v>1164.2</v>
      </c>
      <c r="G30" s="1">
        <v>40738</v>
      </c>
      <c r="H30" s="24">
        <v>0.55014388201104203</v>
      </c>
      <c r="N30" s="1">
        <v>40738</v>
      </c>
      <c r="O30" s="57">
        <v>1.3388573483630799E-2</v>
      </c>
    </row>
    <row r="31" spans="2:15">
      <c r="B31" s="15">
        <v>41991</v>
      </c>
      <c r="C31" s="21">
        <v>0.6155496963810797</v>
      </c>
      <c r="D31" s="21">
        <f>VLOOKUP(CurrentMtgRatesDataTable825[[#This Row],[asOfDate]],N:O,2,0)</f>
        <v>0.13100701570916601</v>
      </c>
      <c r="E31" s="25">
        <f ca="1">VLOOKUP(CurrentMtgRatesDataTable825[[#This Row],[asOfDate]]+1,Bloomberg!B:C,2,0)</f>
        <v>1538.7</v>
      </c>
      <c r="G31" s="1">
        <v>40745</v>
      </c>
      <c r="H31" s="24">
        <v>0.53018048409344898</v>
      </c>
      <c r="N31" s="1">
        <v>40745</v>
      </c>
      <c r="O31" s="57">
        <v>1.04315971858071E-2</v>
      </c>
    </row>
    <row r="32" spans="2:15">
      <c r="B32" s="15">
        <v>41984</v>
      </c>
      <c r="C32" s="21">
        <v>0.5786710507683992</v>
      </c>
      <c r="D32" s="21">
        <f>VLOOKUP(CurrentMtgRatesDataTable825[[#This Row],[asOfDate]],N:O,2,0)</f>
        <v>0.108243403634791</v>
      </c>
      <c r="E32" s="25">
        <f ca="1">VLOOKUP(CurrentMtgRatesDataTable825[[#This Row],[asOfDate]]+1,Bloomberg!B:C,2,0)</f>
        <v>1518.8</v>
      </c>
      <c r="G32" s="1">
        <v>40752</v>
      </c>
      <c r="H32" s="24">
        <v>0.52333294764067595</v>
      </c>
      <c r="N32" s="1">
        <v>40752</v>
      </c>
      <c r="O32" s="57">
        <v>9.9907247032366194E-3</v>
      </c>
    </row>
    <row r="33" spans="2:15">
      <c r="B33" s="15">
        <v>41977</v>
      </c>
      <c r="C33" s="21">
        <v>0.59279776197128353</v>
      </c>
      <c r="D33" s="21">
        <f>VLOOKUP(CurrentMtgRatesDataTable825[[#This Row],[asOfDate]],N:O,2,0)</f>
        <v>0.10843983316764801</v>
      </c>
      <c r="E33" s="25">
        <f ca="1">VLOOKUP(CurrentMtgRatesDataTable825[[#This Row],[asOfDate]]+1,Bloomberg!B:C,2,0)</f>
        <v>1548.6</v>
      </c>
      <c r="G33" s="1">
        <v>40759</v>
      </c>
      <c r="H33" s="24">
        <v>0.59636201439054404</v>
      </c>
      <c r="N33" s="1">
        <v>40759</v>
      </c>
      <c r="O33" s="57">
        <v>0.59586208852897005</v>
      </c>
    </row>
    <row r="34" spans="2:15">
      <c r="B34" s="15">
        <v>41969</v>
      </c>
      <c r="C34" s="21">
        <v>0.57290983086857539</v>
      </c>
      <c r="D34" s="21">
        <f>VLOOKUP(CurrentMtgRatesDataTable825[[#This Row],[asOfDate]],N:O,2,0)</f>
        <v>9.3998413556807103E-2</v>
      </c>
      <c r="E34" s="25" t="e">
        <f ca="1">VLOOKUP(CurrentMtgRatesDataTable825[[#This Row],[asOfDate]]+1,Bloomberg!B:C,2,0)</f>
        <v>#N/A</v>
      </c>
      <c r="G34" s="1">
        <v>40766</v>
      </c>
      <c r="H34" s="24">
        <v>0.68796050816059295</v>
      </c>
      <c r="N34" s="1">
        <v>40766</v>
      </c>
      <c r="O34" s="57">
        <v>0.68802315917174295</v>
      </c>
    </row>
    <row r="35" spans="2:15">
      <c r="B35" s="15">
        <v>41963</v>
      </c>
      <c r="C35" s="21">
        <v>0.56606721089043732</v>
      </c>
      <c r="D35" s="21">
        <f>VLOOKUP(CurrentMtgRatesDataTable825[[#This Row],[asOfDate]],N:O,2,0)</f>
        <v>9.2759285706895706E-2</v>
      </c>
      <c r="E35" s="25">
        <f ca="1">VLOOKUP(CurrentMtgRatesDataTable825[[#This Row],[asOfDate]]+1,Bloomberg!B:C,2,0)</f>
        <v>1547.9</v>
      </c>
      <c r="G35" s="1">
        <v>40773</v>
      </c>
      <c r="H35" s="24">
        <v>0.76968967049094095</v>
      </c>
      <c r="N35" s="1">
        <v>40773</v>
      </c>
      <c r="O35" s="57">
        <v>0.76977670194978398</v>
      </c>
    </row>
    <row r="36" spans="2:15">
      <c r="B36" s="15">
        <v>41956</v>
      </c>
      <c r="C36" s="21">
        <v>0.55497671209744126</v>
      </c>
      <c r="D36" s="21">
        <f>VLOOKUP(CurrentMtgRatesDataTable825[[#This Row],[asOfDate]],N:O,2,0)</f>
        <v>7.4888854290669493E-2</v>
      </c>
      <c r="E36" s="25">
        <f ca="1">VLOOKUP(CurrentMtgRatesDataTable825[[#This Row],[asOfDate]]+1,Bloomberg!B:C,2,0)</f>
        <v>1563.2</v>
      </c>
      <c r="G36" s="1">
        <v>40780</v>
      </c>
      <c r="H36" s="24">
        <v>0.73013076231760698</v>
      </c>
      <c r="N36" s="1">
        <v>40780</v>
      </c>
      <c r="O36" s="57">
        <v>0.73020380506198002</v>
      </c>
    </row>
    <row r="37" spans="2:15">
      <c r="B37" s="15">
        <v>41949</v>
      </c>
      <c r="C37" s="21">
        <v>0.54857982917990311</v>
      </c>
      <c r="D37" s="21">
        <f>VLOOKUP(CurrentMtgRatesDataTable825[[#This Row],[asOfDate]],N:O,2,0)</f>
        <v>7.3307962083476605E-2</v>
      </c>
      <c r="E37" s="25">
        <f ca="1">VLOOKUP(CurrentMtgRatesDataTable825[[#This Row],[asOfDate]]+1,Bloomberg!B:C,2,0)</f>
        <v>1565.3</v>
      </c>
      <c r="G37" s="1">
        <v>40787</v>
      </c>
      <c r="H37" s="24">
        <v>0.72518805605942505</v>
      </c>
      <c r="N37" s="1">
        <v>40787</v>
      </c>
      <c r="O37" s="57">
        <v>0.72380364081501802</v>
      </c>
    </row>
    <row r="38" spans="2:15">
      <c r="B38" s="15">
        <v>41942</v>
      </c>
      <c r="C38" s="21">
        <v>0.57181297396619646</v>
      </c>
      <c r="D38" s="21">
        <f>VLOOKUP(CurrentMtgRatesDataTable825[[#This Row],[asOfDate]],N:O,2,0)</f>
        <v>9.2355670832085193E-2</v>
      </c>
      <c r="E38" s="25">
        <f ca="1">VLOOKUP(CurrentMtgRatesDataTable825[[#This Row],[asOfDate]]+1,Bloomberg!B:C,2,0)</f>
        <v>1604.8</v>
      </c>
      <c r="G38" s="1">
        <v>40794</v>
      </c>
      <c r="H38" s="24">
        <v>0.78586619764471199</v>
      </c>
      <c r="N38" s="1">
        <v>40794</v>
      </c>
      <c r="O38" s="57">
        <v>0.786160649616369</v>
      </c>
    </row>
    <row r="39" spans="2:15">
      <c r="B39" s="15">
        <v>41935</v>
      </c>
      <c r="C39" s="21">
        <v>0.58745733896979668</v>
      </c>
      <c r="D39" s="21">
        <f>VLOOKUP(CurrentMtgRatesDataTable825[[#This Row],[asOfDate]],N:O,2,0)</f>
        <v>0.105678643107878</v>
      </c>
      <c r="E39" s="25">
        <f ca="1">VLOOKUP(CurrentMtgRatesDataTable825[[#This Row],[asOfDate]]+1,Bloomberg!B:C,2,0)</f>
        <v>1713.6</v>
      </c>
      <c r="G39" s="1">
        <v>40801</v>
      </c>
      <c r="H39" s="24">
        <v>0.78804143101353397</v>
      </c>
      <c r="N39" s="1">
        <v>40801</v>
      </c>
      <c r="O39" s="57">
        <v>0.78833832359916201</v>
      </c>
    </row>
    <row r="40" spans="2:15">
      <c r="B40" s="15">
        <v>41928</v>
      </c>
      <c r="C40" s="21">
        <v>0.57517284737260799</v>
      </c>
      <c r="D40" s="21">
        <f>VLOOKUP(CurrentMtgRatesDataTable825[[#This Row],[asOfDate]],N:O,2,0)</f>
        <v>9.2515921347387203E-2</v>
      </c>
      <c r="E40" s="25">
        <f ca="1">VLOOKUP(CurrentMtgRatesDataTable825[[#This Row],[asOfDate]]+1,Bloomberg!B:C,2,0)</f>
        <v>1898.2</v>
      </c>
      <c r="G40" s="1">
        <v>40808</v>
      </c>
      <c r="H40" s="24">
        <v>0.78804143101353397</v>
      </c>
      <c r="N40" s="1">
        <v>40808</v>
      </c>
      <c r="O40" s="57">
        <v>0.78833832359916201</v>
      </c>
    </row>
    <row r="41" spans="2:15">
      <c r="B41" s="15">
        <v>41921</v>
      </c>
      <c r="C41" s="21">
        <v>0.47165449273347226</v>
      </c>
      <c r="D41" s="21">
        <f>VLOOKUP(CurrentMtgRatesDataTable825[[#This Row],[asOfDate]],N:O,2,0)</f>
        <v>5.7460081272162802E-2</v>
      </c>
      <c r="E41" s="25">
        <f ca="1">VLOOKUP(CurrentMtgRatesDataTable825[[#This Row],[asOfDate]]+1,Bloomberg!B:C,2,0)</f>
        <v>1560.6</v>
      </c>
      <c r="G41" s="1">
        <v>40815</v>
      </c>
      <c r="H41" s="24">
        <v>0.83535228019697605</v>
      </c>
      <c r="N41" s="1">
        <v>40815</v>
      </c>
      <c r="O41" s="57">
        <v>0.83561176946303795</v>
      </c>
    </row>
    <row r="42" spans="2:15">
      <c r="B42" s="15">
        <v>41914</v>
      </c>
      <c r="C42" s="21">
        <v>0.43232059685066798</v>
      </c>
      <c r="D42" s="21">
        <f>VLOOKUP(CurrentMtgRatesDataTable825[[#This Row],[asOfDate]],N:O,2,0)</f>
        <v>5.78845043705907E-3</v>
      </c>
      <c r="E42" s="25">
        <f ca="1">VLOOKUP(CurrentMtgRatesDataTable825[[#This Row],[asOfDate]]+1,Bloomberg!B:C,2,0)</f>
        <v>1387.1</v>
      </c>
      <c r="G42" s="1">
        <v>40822</v>
      </c>
      <c r="H42" s="24">
        <v>0.82324225699227804</v>
      </c>
      <c r="N42" s="1">
        <v>40822</v>
      </c>
      <c r="O42" s="57">
        <v>0.82194247765297301</v>
      </c>
    </row>
    <row r="43" spans="2:15">
      <c r="B43" s="15">
        <v>41907</v>
      </c>
      <c r="C43" s="21">
        <v>0.41373230170663788</v>
      </c>
      <c r="D43" s="21">
        <f>VLOOKUP(CurrentMtgRatesDataTable825[[#This Row],[asOfDate]],N:O,2,0)</f>
        <v>2.1899499180467298E-3</v>
      </c>
      <c r="E43" s="25">
        <f ca="1">VLOOKUP(CurrentMtgRatesDataTable825[[#This Row],[asOfDate]]+1,Bloomberg!B:C,2,0)</f>
        <v>1326.2</v>
      </c>
      <c r="G43" s="1">
        <v>40829</v>
      </c>
      <c r="H43" s="24">
        <v>0.75043074974252599</v>
      </c>
      <c r="N43" s="1">
        <v>40829</v>
      </c>
      <c r="O43" s="57">
        <v>0.75098159830325395</v>
      </c>
    </row>
    <row r="44" spans="2:15">
      <c r="B44" s="15">
        <v>41900</v>
      </c>
      <c r="C44" s="21">
        <v>0.3981672862675662</v>
      </c>
      <c r="D44" s="21">
        <f>VLOOKUP(CurrentMtgRatesDataTable825[[#This Row],[asOfDate]],N:O,2,0)</f>
        <v>2.1801779477546102E-3</v>
      </c>
      <c r="E44" s="25">
        <f ca="1">VLOOKUP(CurrentMtgRatesDataTable825[[#This Row],[asOfDate]]+1,Bloomberg!B:C,2,0)</f>
        <v>1335.1</v>
      </c>
      <c r="G44" s="1">
        <v>40836</v>
      </c>
      <c r="H44" s="24">
        <v>0.76889855223368597</v>
      </c>
      <c r="N44" s="1">
        <v>40836</v>
      </c>
      <c r="O44" s="57">
        <v>0.76945479185077703</v>
      </c>
    </row>
    <row r="45" spans="2:15">
      <c r="B45" s="15">
        <v>41893</v>
      </c>
      <c r="C45" s="21">
        <v>0.4741591952243816</v>
      </c>
      <c r="D45" s="21">
        <f>VLOOKUP(CurrentMtgRatesDataTable825[[#This Row],[asOfDate]],N:O,2,0)</f>
        <v>5.6963722019140399E-2</v>
      </c>
      <c r="E45" s="25">
        <f ca="1">VLOOKUP(CurrentMtgRatesDataTable825[[#This Row],[asOfDate]]+1,Bloomberg!B:C,2,0)</f>
        <v>1398.4</v>
      </c>
      <c r="G45" s="1">
        <v>40843</v>
      </c>
      <c r="H45" s="24">
        <v>0.77033919514702098</v>
      </c>
      <c r="N45" s="1">
        <v>40843</v>
      </c>
      <c r="O45" s="57">
        <v>0.77089716807818798</v>
      </c>
    </row>
    <row r="46" spans="2:15">
      <c r="B46" s="15">
        <v>41886</v>
      </c>
      <c r="C46" s="21">
        <v>0.4873264191007175</v>
      </c>
      <c r="D46" s="21">
        <f>VLOOKUP(CurrentMtgRatesDataTable825[[#This Row],[asOfDate]],N:O,2,0)</f>
        <v>5.6843667888921999E-2</v>
      </c>
      <c r="E46" s="25">
        <f ca="1">VLOOKUP(CurrentMtgRatesDataTable825[[#This Row],[asOfDate]]+1,Bloomberg!B:C,2,0)</f>
        <v>1275.8</v>
      </c>
      <c r="G46" s="1">
        <v>40850</v>
      </c>
      <c r="H46" s="24">
        <v>0.80719780316763601</v>
      </c>
      <c r="N46" s="1">
        <v>40850</v>
      </c>
      <c r="O46" s="57">
        <v>0.80648126550350197</v>
      </c>
    </row>
    <row r="47" spans="2:15">
      <c r="B47" s="15">
        <v>41879</v>
      </c>
      <c r="C47" s="21">
        <v>0.49084413664233395</v>
      </c>
      <c r="D47" s="21">
        <f>VLOOKUP(CurrentMtgRatesDataTable825[[#This Row],[asOfDate]],N:O,2,0)</f>
        <v>5.5210302843546E-2</v>
      </c>
      <c r="E47" s="25">
        <f ca="1">VLOOKUP(CurrentMtgRatesDataTable825[[#This Row],[asOfDate]]+1,Bloomberg!B:C,2,0)</f>
        <v>1436</v>
      </c>
      <c r="G47" s="1">
        <v>40857</v>
      </c>
      <c r="H47" s="24">
        <v>0.80724570771905702</v>
      </c>
      <c r="N47" s="1">
        <v>40857</v>
      </c>
      <c r="O47" s="57">
        <v>0.80740872054840995</v>
      </c>
    </row>
    <row r="48" spans="2:15">
      <c r="B48" s="15">
        <v>41872</v>
      </c>
      <c r="C48" s="21">
        <v>0.49084413664233395</v>
      </c>
      <c r="D48" s="21">
        <f>VLOOKUP(CurrentMtgRatesDataTable825[[#This Row],[asOfDate]],N:O,2,0)</f>
        <v>5.5733257120455203E-2</v>
      </c>
      <c r="E48" s="25">
        <f ca="1">VLOOKUP(CurrentMtgRatesDataTable825[[#This Row],[asOfDate]]+1,Bloomberg!B:C,2,0)</f>
        <v>1439.4</v>
      </c>
      <c r="G48" s="1">
        <v>40864</v>
      </c>
      <c r="H48" s="24">
        <v>0.80719780316763601</v>
      </c>
      <c r="N48" s="1">
        <v>40864</v>
      </c>
      <c r="O48" s="57">
        <v>0.807360764605215</v>
      </c>
    </row>
    <row r="49" spans="2:15">
      <c r="B49" s="15">
        <v>41865</v>
      </c>
      <c r="C49" s="21">
        <v>0.45575254137027688</v>
      </c>
      <c r="D49" s="21">
        <f>VLOOKUP(CurrentMtgRatesDataTable825[[#This Row],[asOfDate]],N:O,2,0)</f>
        <v>4.0576469480246402E-2</v>
      </c>
      <c r="E49" s="25">
        <f ca="1">VLOOKUP(CurrentMtgRatesDataTable825[[#This Row],[asOfDate]]+1,Bloomberg!B:C,2,0)</f>
        <v>1404.9</v>
      </c>
      <c r="G49" s="1">
        <v>40870</v>
      </c>
      <c r="H49" s="24">
        <v>0.80850149462655696</v>
      </c>
      <c r="N49" s="1">
        <v>40870</v>
      </c>
      <c r="O49" s="57">
        <v>0.80866545886582697</v>
      </c>
    </row>
    <row r="50" spans="2:15">
      <c r="B50" s="15">
        <v>41858</v>
      </c>
      <c r="C50" s="21">
        <v>0.42413376349642812</v>
      </c>
      <c r="D50" s="21">
        <f>VLOOKUP(CurrentMtgRatesDataTable825[[#This Row],[asOfDate]],N:O,2,0)</f>
        <v>2.98931442613069E-2</v>
      </c>
      <c r="E50" s="25">
        <f ca="1">VLOOKUP(CurrentMtgRatesDataTable825[[#This Row],[asOfDate]]+1,Bloomberg!B:C,2,0)</f>
        <v>1342.6</v>
      </c>
      <c r="G50" s="1">
        <v>40878</v>
      </c>
      <c r="H50" s="24">
        <v>0.79441104681633201</v>
      </c>
      <c r="N50" s="1">
        <v>40878</v>
      </c>
      <c r="O50" s="57">
        <v>0.79395979394243599</v>
      </c>
    </row>
    <row r="51" spans="2:15">
      <c r="B51" s="15">
        <v>41851</v>
      </c>
      <c r="C51" s="21">
        <v>0.45923072088835232</v>
      </c>
      <c r="D51" s="21">
        <f>VLOOKUP(CurrentMtgRatesDataTable825[[#This Row],[asOfDate]],N:O,2,0)</f>
        <v>3.8081960412189197E-2</v>
      </c>
      <c r="E51" s="25">
        <f ca="1">VLOOKUP(CurrentMtgRatesDataTable825[[#This Row],[asOfDate]]+1,Bloomberg!B:C,2,0)</f>
        <v>1373.9</v>
      </c>
      <c r="G51" s="1">
        <v>40885</v>
      </c>
      <c r="H51" s="24">
        <v>0.79445840936885304</v>
      </c>
      <c r="N51" s="1">
        <v>40885</v>
      </c>
      <c r="O51" s="57">
        <v>0.79468507896195895</v>
      </c>
    </row>
    <row r="52" spans="2:15">
      <c r="B52" s="15">
        <v>41844</v>
      </c>
      <c r="C52" s="21">
        <v>0.45155296827836544</v>
      </c>
      <c r="D52" s="21">
        <f>VLOOKUP(CurrentMtgRatesDataTable825[[#This Row],[asOfDate]],N:O,2,0)</f>
        <v>3.6985472623473202E-2</v>
      </c>
      <c r="E52" s="25">
        <f ca="1">VLOOKUP(CurrentMtgRatesDataTable825[[#This Row],[asOfDate]]+1,Bloomberg!B:C,2,0)</f>
        <v>1327.5</v>
      </c>
      <c r="G52" s="1">
        <v>40892</v>
      </c>
      <c r="H52" s="24">
        <v>0.79646175435893696</v>
      </c>
      <c r="N52" s="1">
        <v>40892</v>
      </c>
      <c r="O52" s="57">
        <v>0.79669049657242397</v>
      </c>
    </row>
    <row r="53" spans="2:15">
      <c r="B53" s="15">
        <v>41837</v>
      </c>
      <c r="C53" s="21">
        <v>0.45155296827836544</v>
      </c>
      <c r="D53" s="21">
        <f>VLOOKUP(CurrentMtgRatesDataTable825[[#This Row],[asOfDate]],N:O,2,0)</f>
        <v>3.6985472623473202E-2</v>
      </c>
      <c r="E53" s="25">
        <f ca="1">VLOOKUP(CurrentMtgRatesDataTable825[[#This Row],[asOfDate]]+1,Bloomberg!B:C,2,0)</f>
        <v>1400.7</v>
      </c>
      <c r="G53" s="1">
        <v>40899</v>
      </c>
      <c r="H53" s="24">
        <v>0.82537040355923197</v>
      </c>
      <c r="N53" s="1">
        <v>40899</v>
      </c>
      <c r="O53" s="57">
        <v>0.82559057548597004</v>
      </c>
    </row>
    <row r="54" spans="2:15">
      <c r="B54" s="15">
        <v>41830</v>
      </c>
      <c r="C54" s="21">
        <v>0.42147742037560049</v>
      </c>
      <c r="D54" s="21">
        <f>VLOOKUP(CurrentMtgRatesDataTable825[[#This Row],[asOfDate]],N:O,2,0)</f>
        <v>2.8091291880043799E-2</v>
      </c>
      <c r="E54" s="25">
        <f ca="1">VLOOKUP(CurrentMtgRatesDataTable825[[#This Row],[asOfDate]]+1,Bloomberg!B:C,2,0)</f>
        <v>1329.7</v>
      </c>
      <c r="G54" s="1">
        <v>40906</v>
      </c>
      <c r="H54" s="24">
        <v>0.81734633197465201</v>
      </c>
      <c r="N54" s="1">
        <v>40906</v>
      </c>
      <c r="O54" s="57">
        <v>0.817559292303353</v>
      </c>
    </row>
    <row r="55" spans="2:15">
      <c r="B55" s="15">
        <v>41823</v>
      </c>
      <c r="C55" s="21">
        <v>0.48178321750260522</v>
      </c>
      <c r="D55" s="21">
        <f>VLOOKUP(CurrentMtgRatesDataTable825[[#This Row],[asOfDate]],N:O,2,0)</f>
        <v>5.0464297832893801E-2</v>
      </c>
      <c r="E55" s="25">
        <f ca="1">VLOOKUP(CurrentMtgRatesDataTable825[[#This Row],[asOfDate]]+1,Bloomberg!B:C,2,0)</f>
        <v>1346.8</v>
      </c>
      <c r="G55" s="1">
        <v>40913</v>
      </c>
      <c r="H55" s="24">
        <v>0.80629912189469399</v>
      </c>
      <c r="N55" s="1">
        <v>40913</v>
      </c>
      <c r="O55" s="57">
        <v>0.80565650657334698</v>
      </c>
    </row>
    <row r="56" spans="2:15">
      <c r="B56" s="15">
        <v>41816</v>
      </c>
      <c r="C56" s="21">
        <v>0.46847875373528863</v>
      </c>
      <c r="D56" s="21">
        <f>VLOOKUP(CurrentMtgRatesDataTable825[[#This Row],[asOfDate]],N:O,2,0)</f>
        <v>3.4895003086718203E-2</v>
      </c>
      <c r="E56" s="25">
        <f ca="1">VLOOKUP(CurrentMtgRatesDataTable825[[#This Row],[asOfDate]]+1,Bloomberg!B:C,2,0)</f>
        <v>1341.8</v>
      </c>
      <c r="G56" s="1">
        <v>40920</v>
      </c>
      <c r="H56" s="24">
        <v>0.81626218699844599</v>
      </c>
      <c r="N56" s="1">
        <v>40920</v>
      </c>
      <c r="O56" s="57">
        <v>0.81663205917875104</v>
      </c>
    </row>
    <row r="57" spans="2:15">
      <c r="B57" s="15">
        <v>41809</v>
      </c>
      <c r="C57" s="21">
        <v>0.42635938692148717</v>
      </c>
      <c r="D57" s="21">
        <f>VLOOKUP(CurrentMtgRatesDataTable825[[#This Row],[asOfDate]],N:O,2,0)</f>
        <v>2.6288769130428501E-2</v>
      </c>
      <c r="E57" s="25">
        <f ca="1">VLOOKUP(CurrentMtgRatesDataTable825[[#This Row],[asOfDate]]+1,Bloomberg!B:C,2,0)</f>
        <v>1333.5</v>
      </c>
      <c r="G57" s="1">
        <v>40927</v>
      </c>
      <c r="H57" s="24">
        <v>0.81461584859780101</v>
      </c>
      <c r="N57" s="1">
        <v>40927</v>
      </c>
      <c r="O57" s="57">
        <v>0.81498439857814597</v>
      </c>
    </row>
    <row r="58" spans="2:15">
      <c r="B58" s="15">
        <v>41802</v>
      </c>
      <c r="C58" s="21">
        <v>0.41096738430920449</v>
      </c>
      <c r="D58" s="21">
        <f>VLOOKUP(CurrentMtgRatesDataTable825[[#This Row],[asOfDate]],N:O,2,0)</f>
        <v>2.57985966584953E-2</v>
      </c>
      <c r="E58" s="25">
        <f ca="1">VLOOKUP(CurrentMtgRatesDataTable825[[#This Row],[asOfDate]]+1,Bloomberg!B:C,2,0)</f>
        <v>1321.3</v>
      </c>
      <c r="G58" s="1">
        <v>40934</v>
      </c>
      <c r="H58" s="24">
        <v>0.78339393568549298</v>
      </c>
      <c r="N58" s="1">
        <v>40934</v>
      </c>
      <c r="O58" s="57">
        <v>0.78374402567192103</v>
      </c>
    </row>
    <row r="59" spans="2:15">
      <c r="B59" s="15">
        <v>41795</v>
      </c>
      <c r="C59" s="21">
        <v>0.46847875373528863</v>
      </c>
      <c r="D59" s="21">
        <f>VLOOKUP(CurrentMtgRatesDataTable825[[#This Row],[asOfDate]],N:O,2,0)</f>
        <v>3.39392972413807E-2</v>
      </c>
      <c r="E59" s="25">
        <f ca="1">VLOOKUP(CurrentMtgRatesDataTable825[[#This Row],[asOfDate]]+1,Bloomberg!B:C,2,0)</f>
        <v>1516.9</v>
      </c>
      <c r="G59" s="1">
        <v>40941</v>
      </c>
      <c r="H59" s="24">
        <v>0.79842547980239797</v>
      </c>
      <c r="N59" s="1">
        <v>40941</v>
      </c>
      <c r="O59" s="57">
        <v>0.79845513778799804</v>
      </c>
    </row>
    <row r="60" spans="2:15">
      <c r="B60" s="15">
        <v>41788</v>
      </c>
      <c r="C60" s="21">
        <v>0.46362020494951672</v>
      </c>
      <c r="D60" s="21">
        <f>VLOOKUP(CurrentMtgRatesDataTable825[[#This Row],[asOfDate]],N:O,2,0)</f>
        <v>2.9521653233466699E-2</v>
      </c>
      <c r="E60" s="25">
        <f ca="1">VLOOKUP(CurrentMtgRatesDataTable825[[#This Row],[asOfDate]]+1,Bloomberg!B:C,2,0)</f>
        <v>1382.6</v>
      </c>
      <c r="G60" s="1">
        <v>40948</v>
      </c>
      <c r="H60" s="24">
        <v>0.79842547980239797</v>
      </c>
      <c r="N60" s="1">
        <v>40948</v>
      </c>
      <c r="O60" s="57">
        <v>0.79921379703908202</v>
      </c>
    </row>
    <row r="61" spans="2:15">
      <c r="B61" s="15">
        <v>41781</v>
      </c>
      <c r="C61" s="21">
        <v>0.44799454346559853</v>
      </c>
      <c r="D61" s="21">
        <f>VLOOKUP(CurrentMtgRatesDataTable825[[#This Row],[asOfDate]],N:O,2,0)</f>
        <v>2.8653101671392602E-2</v>
      </c>
      <c r="E61" s="25">
        <f ca="1">VLOOKUP(CurrentMtgRatesDataTable825[[#This Row],[asOfDate]]+1,Bloomberg!B:C,2,0)</f>
        <v>1453.4</v>
      </c>
      <c r="G61" s="1">
        <v>40955</v>
      </c>
      <c r="H61" s="24">
        <v>0.79842547980239797</v>
      </c>
      <c r="N61" s="1">
        <v>40955</v>
      </c>
      <c r="O61" s="57">
        <v>0.79921379703908202</v>
      </c>
    </row>
    <row r="62" spans="2:15">
      <c r="B62" s="15">
        <v>41774</v>
      </c>
      <c r="C62" s="21">
        <v>0.4132153406951769</v>
      </c>
      <c r="D62" s="21">
        <f>VLOOKUP(CurrentMtgRatesDataTable825[[#This Row],[asOfDate]],N:O,2,0)</f>
        <v>2.2126974140678001E-2</v>
      </c>
      <c r="E62" s="25">
        <f ca="1">VLOOKUP(CurrentMtgRatesDataTable825[[#This Row],[asOfDate]]+1,Bloomberg!B:C,2,0)</f>
        <v>1460.6</v>
      </c>
      <c r="G62" s="1">
        <v>40962</v>
      </c>
      <c r="H62" s="24">
        <v>0.76669716579457303</v>
      </c>
      <c r="N62" s="1">
        <v>40962</v>
      </c>
      <c r="O62" s="57">
        <v>0.76744855177879401</v>
      </c>
    </row>
    <row r="63" spans="2:15">
      <c r="B63" s="15">
        <v>41767</v>
      </c>
      <c r="C63" s="21">
        <v>0.40975674753773905</v>
      </c>
      <c r="D63" s="21">
        <f>VLOOKUP(CurrentMtgRatesDataTable825[[#This Row],[asOfDate]],N:O,2,0)</f>
        <v>2.2073656709097101E-2</v>
      </c>
      <c r="E63" s="25">
        <f ca="1">VLOOKUP(CurrentMtgRatesDataTable825[[#This Row],[asOfDate]]+1,Bloomberg!B:C,2,0)</f>
        <v>1400.9</v>
      </c>
      <c r="G63" s="1">
        <v>40969</v>
      </c>
      <c r="H63" s="24">
        <v>0.77480777056815697</v>
      </c>
      <c r="N63" s="1">
        <v>40969</v>
      </c>
      <c r="O63" s="57">
        <v>0.775278844773303</v>
      </c>
    </row>
    <row r="64" spans="2:15">
      <c r="B64" s="15">
        <v>41760</v>
      </c>
      <c r="C64" s="21">
        <v>0.37360583835556432</v>
      </c>
      <c r="D64" s="21">
        <f>VLOOKUP(CurrentMtgRatesDataTable825[[#This Row],[asOfDate]],N:O,2,0)</f>
        <v>9.8642663465764498E-3</v>
      </c>
      <c r="E64" s="25">
        <f ca="1">VLOOKUP(CurrentMtgRatesDataTable825[[#This Row],[asOfDate]]+1,Bloomberg!B:C,2,0)</f>
        <v>1323.9</v>
      </c>
      <c r="G64" s="1">
        <v>40976</v>
      </c>
      <c r="H64" s="24">
        <v>0.78283886771012201</v>
      </c>
      <c r="N64" s="1">
        <v>40976</v>
      </c>
      <c r="O64" s="57">
        <v>0.78407944596061996</v>
      </c>
    </row>
    <row r="65" spans="2:15">
      <c r="B65" s="15">
        <v>41753</v>
      </c>
      <c r="C65" s="21">
        <v>0.37393962817107157</v>
      </c>
      <c r="D65" s="21">
        <f>VLOOKUP(CurrentMtgRatesDataTable825[[#This Row],[asOfDate]],N:O,2,0)</f>
        <v>5.3403429564292202E-3</v>
      </c>
      <c r="E65" s="25">
        <f ca="1">VLOOKUP(CurrentMtgRatesDataTable825[[#This Row],[asOfDate]]+1,Bloomberg!B:C,2,0)</f>
        <v>1298.0999999999999</v>
      </c>
      <c r="G65" s="1">
        <v>40983</v>
      </c>
      <c r="H65" s="24">
        <v>0.77421402081353796</v>
      </c>
      <c r="N65" s="1">
        <v>40983</v>
      </c>
      <c r="O65" s="57">
        <v>0.77543640291465299</v>
      </c>
    </row>
    <row r="66" spans="2:15">
      <c r="B66" s="15">
        <v>41746</v>
      </c>
      <c r="C66" s="21">
        <v>0.38166972699665563</v>
      </c>
      <c r="D66" s="21">
        <f>VLOOKUP(CurrentMtgRatesDataTable825[[#This Row],[asOfDate]],N:O,2,0)</f>
        <v>9.0367181357990708E-3</v>
      </c>
      <c r="E66" s="25">
        <f ca="1">VLOOKUP(CurrentMtgRatesDataTable825[[#This Row],[asOfDate]]+1,Bloomberg!B:C,2,0)</f>
        <v>1370.9</v>
      </c>
      <c r="G66" s="1">
        <v>40990</v>
      </c>
      <c r="H66" s="24">
        <v>0.69937061468571404</v>
      </c>
      <c r="N66" s="1">
        <v>40990</v>
      </c>
      <c r="O66" s="57">
        <v>1.02306018328437E-3</v>
      </c>
    </row>
    <row r="67" spans="2:15">
      <c r="B67" s="15">
        <v>41739</v>
      </c>
      <c r="C67" s="21">
        <v>0.36683376695248865</v>
      </c>
      <c r="D67" s="21">
        <f>VLOOKUP(CurrentMtgRatesDataTable825[[#This Row],[asOfDate]],N:O,2,0)</f>
        <v>3.4890800072405899E-3</v>
      </c>
      <c r="E67" s="25">
        <f ca="1">VLOOKUP(CurrentMtgRatesDataTable825[[#This Row],[asOfDate]]+1,Bloomberg!B:C,2,0)</f>
        <v>1429.9</v>
      </c>
      <c r="G67" s="1">
        <v>40997</v>
      </c>
      <c r="H67" s="24">
        <v>0.749723434167341</v>
      </c>
      <c r="N67" s="1">
        <v>40997</v>
      </c>
      <c r="O67" s="57">
        <v>2.0359348143069401E-3</v>
      </c>
    </row>
    <row r="68" spans="2:15">
      <c r="B68" s="15">
        <v>41732</v>
      </c>
      <c r="C68" s="21">
        <v>0.35521926568999218</v>
      </c>
      <c r="D68" s="21">
        <f>VLOOKUP(CurrentMtgRatesDataTable825[[#This Row],[asOfDate]],N:O,2,0)</f>
        <v>1.48737291930596E-3</v>
      </c>
      <c r="E68" s="25">
        <f ca="1">VLOOKUP(CurrentMtgRatesDataTable825[[#This Row],[asOfDate]]+1,Bloomberg!B:C,2,0)</f>
        <v>1324.7</v>
      </c>
      <c r="G68" s="1">
        <v>41004</v>
      </c>
      <c r="H68" s="24">
        <v>0.75253147533014197</v>
      </c>
      <c r="N68" s="1">
        <v>41004</v>
      </c>
      <c r="O68" s="57">
        <v>2.3931530313827699E-3</v>
      </c>
    </row>
    <row r="69" spans="2:15">
      <c r="B69" s="15">
        <v>41725</v>
      </c>
      <c r="C69" s="21">
        <v>0.36565400061256043</v>
      </c>
      <c r="D69" s="21">
        <f>VLOOKUP(CurrentMtgRatesDataTable825[[#This Row],[asOfDate]],N:O,2,0)</f>
        <v>2.5391137542070102E-3</v>
      </c>
      <c r="E69" s="25">
        <f ca="1">VLOOKUP(CurrentMtgRatesDataTable825[[#This Row],[asOfDate]]+1,Bloomberg!B:C,2,0)</f>
        <v>1383.5</v>
      </c>
      <c r="G69" s="1">
        <v>41011</v>
      </c>
      <c r="H69" s="24">
        <v>0.80193881910043296</v>
      </c>
      <c r="N69" s="1">
        <v>41011</v>
      </c>
      <c r="O69" s="57">
        <v>0.80265108338267499</v>
      </c>
    </row>
    <row r="70" spans="2:15">
      <c r="B70" s="15">
        <v>41718</v>
      </c>
      <c r="C70" s="21">
        <v>0.38030249532079374</v>
      </c>
      <c r="D70" s="21">
        <f>VLOOKUP(CurrentMtgRatesDataTable825[[#This Row],[asOfDate]],N:O,2,0)</f>
        <v>6.7470837053240302E-3</v>
      </c>
      <c r="E70" s="25">
        <f ca="1">VLOOKUP(CurrentMtgRatesDataTable825[[#This Row],[asOfDate]]+1,Bloomberg!B:C,2,0)</f>
        <v>1426.3</v>
      </c>
      <c r="G70" s="1">
        <v>41018</v>
      </c>
      <c r="H70" s="24">
        <v>0.77781138796328697</v>
      </c>
      <c r="N70" s="1">
        <v>41018</v>
      </c>
      <c r="O70" s="57">
        <v>0.77849897612614904</v>
      </c>
    </row>
    <row r="71" spans="2:15">
      <c r="B71" s="15">
        <v>41711</v>
      </c>
      <c r="C71" s="21">
        <v>0.36933430427665681</v>
      </c>
      <c r="D71" s="21">
        <f>VLOOKUP(CurrentMtgRatesDataTable825[[#This Row],[asOfDate]],N:O,2,0)</f>
        <v>2.5606168679182602E-3</v>
      </c>
      <c r="E71" s="25">
        <f ca="1">VLOOKUP(CurrentMtgRatesDataTable825[[#This Row],[asOfDate]]+1,Bloomberg!B:C,2,0)</f>
        <v>1552.1</v>
      </c>
      <c r="G71" s="1">
        <v>41025</v>
      </c>
      <c r="H71" s="24">
        <v>0.80193881910043296</v>
      </c>
      <c r="N71" s="1">
        <v>41025</v>
      </c>
      <c r="O71" s="57">
        <v>0.80265108338267499</v>
      </c>
    </row>
    <row r="72" spans="2:15">
      <c r="B72" s="15">
        <v>41704</v>
      </c>
      <c r="C72" s="21">
        <v>0.38316963725836589</v>
      </c>
      <c r="D72" s="21">
        <f>VLOOKUP(CurrentMtgRatesDataTable825[[#This Row],[asOfDate]],N:O,2,0)</f>
        <v>6.3681225023528298E-3</v>
      </c>
      <c r="E72" s="25">
        <f ca="1">VLOOKUP(CurrentMtgRatesDataTable825[[#This Row],[asOfDate]]+1,Bloomberg!B:C,2,0)</f>
        <v>1528</v>
      </c>
      <c r="G72" s="1">
        <v>41032</v>
      </c>
      <c r="H72" s="24">
        <v>0.80437080516661097</v>
      </c>
      <c r="N72" s="1">
        <v>41032</v>
      </c>
      <c r="O72" s="57">
        <v>0.80415566862182497</v>
      </c>
    </row>
    <row r="73" spans="2:15">
      <c r="B73" s="15">
        <v>41697</v>
      </c>
      <c r="C73" s="21">
        <v>0.36967404481869215</v>
      </c>
      <c r="D73" s="21">
        <f>VLOOKUP(CurrentMtgRatesDataTable825[[#This Row],[asOfDate]],N:O,2,0)</f>
        <v>2.0311520591881401E-3</v>
      </c>
      <c r="E73" s="25">
        <f ca="1">VLOOKUP(CurrentMtgRatesDataTable825[[#This Row],[asOfDate]]+1,Bloomberg!B:C,2,0)</f>
        <v>1600.6</v>
      </c>
      <c r="G73" s="1">
        <v>41039</v>
      </c>
      <c r="H73" s="24">
        <v>0.807152941952609</v>
      </c>
      <c r="N73" s="1">
        <v>41039</v>
      </c>
      <c r="O73" s="57">
        <v>0.80754152596055995</v>
      </c>
    </row>
    <row r="74" spans="2:15">
      <c r="B74" s="15">
        <v>41690</v>
      </c>
      <c r="C74" s="21">
        <v>0.3755719775185945</v>
      </c>
      <c r="D74" s="21">
        <f>VLOOKUP(CurrentMtgRatesDataTable825[[#This Row],[asOfDate]],N:O,2,0)</f>
        <v>3.7079476145124701E-3</v>
      </c>
      <c r="E74" s="25">
        <f ca="1">VLOOKUP(CurrentMtgRatesDataTable825[[#This Row],[asOfDate]]+1,Bloomberg!B:C,2,0)</f>
        <v>1442.3</v>
      </c>
      <c r="G74" s="1">
        <v>41046</v>
      </c>
      <c r="H74" s="24">
        <v>0.83152220645888697</v>
      </c>
      <c r="N74" s="1">
        <v>41046</v>
      </c>
      <c r="O74" s="57">
        <v>0.831927164274886</v>
      </c>
    </row>
    <row r="75" spans="2:15">
      <c r="B75" s="15">
        <v>41683</v>
      </c>
      <c r="C75" s="21">
        <v>0.38532630107916044</v>
      </c>
      <c r="D75" s="21">
        <f>VLOOKUP(CurrentMtgRatesDataTable825[[#This Row],[asOfDate]],N:O,2,0)</f>
        <v>5.9474577791092101E-3</v>
      </c>
      <c r="E75" s="25">
        <f ca="1">VLOOKUP(CurrentMtgRatesDataTable825[[#This Row],[asOfDate]]+1,Bloomberg!B:C,2,0)</f>
        <v>1650.6</v>
      </c>
      <c r="G75" s="1">
        <v>41053</v>
      </c>
      <c r="H75" s="24">
        <v>0.82948257912141399</v>
      </c>
      <c r="N75" s="1">
        <v>41053</v>
      </c>
      <c r="O75" s="57">
        <v>0.82988569781951205</v>
      </c>
    </row>
    <row r="76" spans="2:15">
      <c r="B76" s="15">
        <v>41676</v>
      </c>
      <c r="C76" s="21">
        <v>0.40068103493110224</v>
      </c>
      <c r="D76" s="21">
        <f>VLOOKUP(CurrentMtgRatesDataTable825[[#This Row],[asOfDate]],N:O,2,0)</f>
        <v>7.21546546831584E-3</v>
      </c>
      <c r="E76" s="25">
        <f ca="1">VLOOKUP(CurrentMtgRatesDataTable825[[#This Row],[asOfDate]]+1,Bloomberg!B:C,2,0)</f>
        <v>1674.2</v>
      </c>
      <c r="G76" s="1">
        <v>41060</v>
      </c>
      <c r="H76" s="24">
        <v>0.83268888035603505</v>
      </c>
      <c r="N76" s="1">
        <v>41060</v>
      </c>
      <c r="O76" s="57">
        <v>0.83309495413351498</v>
      </c>
    </row>
    <row r="77" spans="2:15">
      <c r="B77" s="15">
        <v>41669</v>
      </c>
      <c r="C77" s="21">
        <v>0.38160196936392621</v>
      </c>
      <c r="D77" s="21">
        <f>VLOOKUP(CurrentMtgRatesDataTable825[[#This Row],[asOfDate]],N:O,2,0)</f>
        <v>4.8506682686177702E-3</v>
      </c>
      <c r="E77" s="25">
        <f ca="1">VLOOKUP(CurrentMtgRatesDataTable825[[#This Row],[asOfDate]]+1,Bloomberg!B:C,2,0)</f>
        <v>1667.5</v>
      </c>
      <c r="G77" s="1">
        <v>41067</v>
      </c>
      <c r="H77" s="24">
        <v>0.86243439572202496</v>
      </c>
      <c r="N77" s="1">
        <v>41067</v>
      </c>
      <c r="O77" s="57">
        <v>0.86123151402869003</v>
      </c>
    </row>
    <row r="78" spans="2:15">
      <c r="B78" s="15">
        <v>41662</v>
      </c>
      <c r="C78" s="21">
        <v>0.37084428304329614</v>
      </c>
      <c r="D78" s="21">
        <f>VLOOKUP(CurrentMtgRatesDataTable825[[#This Row],[asOfDate]],N:O,2,0)</f>
        <v>2.2673030698720899E-3</v>
      </c>
      <c r="E78" s="25">
        <f ca="1">VLOOKUP(CurrentMtgRatesDataTable825[[#This Row],[asOfDate]]+1,Bloomberg!B:C,2,0)</f>
        <v>1601.2</v>
      </c>
      <c r="G78" s="1">
        <v>41074</v>
      </c>
      <c r="H78" s="24">
        <v>0.84549296973434196</v>
      </c>
      <c r="N78" s="1">
        <v>41074</v>
      </c>
      <c r="O78" s="57">
        <v>0.84598502966079503</v>
      </c>
    </row>
    <row r="79" spans="2:15">
      <c r="B79" s="15">
        <v>41655</v>
      </c>
      <c r="C79" s="21">
        <v>0.36774882579493112</v>
      </c>
      <c r="D79" s="21">
        <f>VLOOKUP(CurrentMtgRatesDataTable825[[#This Row],[asOfDate]],N:O,2,0)</f>
        <v>2.0703667546944798E-3</v>
      </c>
      <c r="E79" s="25">
        <f ca="1">VLOOKUP(CurrentMtgRatesDataTable825[[#This Row],[asOfDate]]+1,Bloomberg!B:C,2,0)</f>
        <v>1675.8</v>
      </c>
      <c r="G79" s="1">
        <v>41081</v>
      </c>
      <c r="H79" s="24">
        <v>0.86306170802286497</v>
      </c>
      <c r="N79" s="1">
        <v>41081</v>
      </c>
      <c r="O79" s="57">
        <v>0.86355719580735102</v>
      </c>
    </row>
    <row r="80" spans="2:15">
      <c r="B80" s="15">
        <v>41648</v>
      </c>
      <c r="C80" s="21">
        <v>0.2902260049252946</v>
      </c>
      <c r="D80" s="21">
        <f>VLOOKUP(CurrentMtgRatesDataTable825[[#This Row],[asOfDate]],N:O,2,0)</f>
        <v>7.2807678642524602E-4</v>
      </c>
      <c r="E80" s="25">
        <f ca="1">VLOOKUP(CurrentMtgRatesDataTable825[[#This Row],[asOfDate]]+1,Bloomberg!B:C,2,0)</f>
        <v>1507</v>
      </c>
      <c r="G80" s="1">
        <v>41088</v>
      </c>
      <c r="H80" s="24">
        <v>0.86306170802286497</v>
      </c>
      <c r="N80" s="1">
        <v>41088</v>
      </c>
      <c r="O80" s="57">
        <v>0.86355719580735102</v>
      </c>
    </row>
    <row r="81" spans="2:15">
      <c r="B81" s="15">
        <v>41641</v>
      </c>
      <c r="C81" s="21">
        <v>0.26212623729092371</v>
      </c>
      <c r="D81" s="21">
        <f>VLOOKUP(CurrentMtgRatesDataTable825[[#This Row],[asOfDate]],N:O,2,0)</f>
        <v>3.6503917074256998E-4</v>
      </c>
      <c r="E81" s="25">
        <f ca="1">VLOOKUP(CurrentMtgRatesDataTable825[[#This Row],[asOfDate]]+1,Bloomberg!B:C,2,0)</f>
        <v>1352.7</v>
      </c>
      <c r="G81" s="1">
        <v>41095</v>
      </c>
      <c r="H81" s="24">
        <v>0.85531584833132801</v>
      </c>
      <c r="N81" s="1">
        <v>41095</v>
      </c>
      <c r="O81" s="57">
        <v>0.85480310148891403</v>
      </c>
    </row>
    <row r="82" spans="2:15">
      <c r="B82" s="15">
        <v>41634</v>
      </c>
      <c r="C82" s="21">
        <v>0.33029809597210952</v>
      </c>
      <c r="D82" s="21">
        <f>VLOOKUP(CurrentMtgRatesDataTable825[[#This Row],[asOfDate]],N:O,2,0)</f>
        <v>7.6921873800145097E-4</v>
      </c>
      <c r="E82" s="25">
        <f ca="1">VLOOKUP(CurrentMtgRatesDataTable825[[#This Row],[asOfDate]]+1,Bloomberg!B:C,2,0)</f>
        <v>1277.8</v>
      </c>
      <c r="G82" s="1">
        <v>41102</v>
      </c>
      <c r="H82" s="24">
        <v>0.88265848165302496</v>
      </c>
      <c r="N82" s="1">
        <v>41102</v>
      </c>
      <c r="O82" s="57">
        <v>0.88306588959651799</v>
      </c>
    </row>
    <row r="83" spans="2:15">
      <c r="B83" s="15">
        <v>41627</v>
      </c>
      <c r="C83" s="21">
        <v>0.33974567777608206</v>
      </c>
      <c r="D83" s="21">
        <f>VLOOKUP(CurrentMtgRatesDataTable825[[#This Row],[asOfDate]],N:O,2,0)</f>
        <v>9.4800641267841503E-4</v>
      </c>
      <c r="E83" s="25">
        <f ca="1">VLOOKUP(CurrentMtgRatesDataTable825[[#This Row],[asOfDate]]+1,Bloomberg!B:C,2,0)</f>
        <v>1426.7</v>
      </c>
      <c r="G83" s="1">
        <v>41109</v>
      </c>
      <c r="H83" s="24">
        <v>0.88516739973977598</v>
      </c>
      <c r="N83" s="1">
        <v>41109</v>
      </c>
      <c r="O83" s="57">
        <v>0.88557582733423201</v>
      </c>
    </row>
    <row r="84" spans="2:15">
      <c r="B84" s="15">
        <v>41620</v>
      </c>
      <c r="C84" s="21">
        <v>0.3707206267478419</v>
      </c>
      <c r="D84" s="21">
        <f>VLOOKUP(CurrentMtgRatesDataTable825[[#This Row],[asOfDate]],N:O,2,0)</f>
        <v>1.7289463930776701E-3</v>
      </c>
      <c r="E84" s="25">
        <f ca="1">VLOOKUP(CurrentMtgRatesDataTable825[[#This Row],[asOfDate]]+1,Bloomberg!B:C,2,0)</f>
        <v>1529.8</v>
      </c>
      <c r="G84" s="1">
        <v>41116</v>
      </c>
      <c r="H84" s="24">
        <v>0.89814744996460805</v>
      </c>
      <c r="N84" s="1">
        <v>41116</v>
      </c>
      <c r="O84" s="57">
        <v>0.89854811201564799</v>
      </c>
    </row>
    <row r="85" spans="2:15">
      <c r="B85" s="15">
        <v>41613</v>
      </c>
      <c r="C85" s="21">
        <v>0.37338021104571051</v>
      </c>
      <c r="D85" s="21">
        <f>VLOOKUP(CurrentMtgRatesDataTable825[[#This Row],[asOfDate]],N:O,2,0)</f>
        <v>1.5682869089664699E-3</v>
      </c>
      <c r="E85" s="25">
        <f ca="1">VLOOKUP(CurrentMtgRatesDataTable825[[#This Row],[asOfDate]]+1,Bloomberg!B:C,2,0)</f>
        <v>1599.4</v>
      </c>
      <c r="G85" s="1">
        <v>41123</v>
      </c>
      <c r="H85" s="24">
        <v>0.86768818253450297</v>
      </c>
      <c r="N85" s="1">
        <v>41123</v>
      </c>
      <c r="O85" s="57">
        <v>0.86721057119503697</v>
      </c>
    </row>
    <row r="86" spans="2:15">
      <c r="B86" s="15">
        <v>41605</v>
      </c>
      <c r="C86" s="21">
        <v>0.3969981593322805</v>
      </c>
      <c r="D86" s="21">
        <f>VLOOKUP(CurrentMtgRatesDataTable825[[#This Row],[asOfDate]],N:O,2,0)</f>
        <v>3.7093838786239901E-3</v>
      </c>
      <c r="E86" s="25" t="e">
        <f ca="1">VLOOKUP(CurrentMtgRatesDataTable825[[#This Row],[asOfDate]]+1,Bloomberg!B:C,2,0)</f>
        <v>#N/A</v>
      </c>
      <c r="G86" s="1">
        <v>41130</v>
      </c>
      <c r="H86" s="24">
        <v>0.86745968477328095</v>
      </c>
      <c r="N86" s="1">
        <v>41130</v>
      </c>
      <c r="O86" s="57">
        <v>0.86873710574149099</v>
      </c>
    </row>
    <row r="87" spans="2:15">
      <c r="B87" s="15">
        <v>41599</v>
      </c>
      <c r="C87" s="21">
        <v>0.41410653536495057</v>
      </c>
      <c r="D87" s="21">
        <f>VLOOKUP(CurrentMtgRatesDataTable825[[#This Row],[asOfDate]],N:O,2,0)</f>
        <v>5.1057108713702896E-3</v>
      </c>
      <c r="E87" s="25">
        <f ca="1">VLOOKUP(CurrentMtgRatesDataTable825[[#This Row],[asOfDate]]+1,Bloomberg!B:C,2,0)</f>
        <v>1917.2</v>
      </c>
      <c r="G87" s="1">
        <v>41137</v>
      </c>
      <c r="H87" s="24">
        <v>0.85198632502448901</v>
      </c>
      <c r="N87" s="1">
        <v>41137</v>
      </c>
      <c r="O87" s="57">
        <v>0.85326106113769395</v>
      </c>
    </row>
    <row r="88" spans="2:15">
      <c r="B88" s="15">
        <v>41592</v>
      </c>
      <c r="C88" s="21">
        <v>0.38756459325455095</v>
      </c>
      <c r="D88" s="21">
        <f>VLOOKUP(CurrentMtgRatesDataTable825[[#This Row],[asOfDate]],N:O,2,0)</f>
        <v>2.3059610467440102E-3</v>
      </c>
      <c r="E88" s="25">
        <f ca="1">VLOOKUP(CurrentMtgRatesDataTable825[[#This Row],[asOfDate]]+1,Bloomberg!B:C,2,0)</f>
        <v>1903.5</v>
      </c>
      <c r="G88" s="1">
        <v>41144</v>
      </c>
      <c r="H88" s="24">
        <v>0.83819941388679298</v>
      </c>
      <c r="N88" s="1">
        <v>41144</v>
      </c>
      <c r="O88" s="57">
        <v>0.83946291551948105</v>
      </c>
    </row>
    <row r="89" spans="2:15">
      <c r="B89" s="15">
        <v>41585</v>
      </c>
      <c r="C89" s="21">
        <v>0.42159370418067171</v>
      </c>
      <c r="D89" s="21">
        <f>VLOOKUP(CurrentMtgRatesDataTable825[[#This Row],[asOfDate]],N:O,2,0)</f>
        <v>5.9142756056665803E-3</v>
      </c>
      <c r="E89" s="25">
        <f ca="1">VLOOKUP(CurrentMtgRatesDataTable825[[#This Row],[asOfDate]]+1,Bloomberg!B:C,2,0)</f>
        <v>2056.9</v>
      </c>
      <c r="G89" s="1">
        <v>41151</v>
      </c>
      <c r="H89" s="24">
        <v>0.86745968477328095</v>
      </c>
      <c r="N89" s="1">
        <v>41151</v>
      </c>
      <c r="O89" s="57">
        <v>0.86873710574149099</v>
      </c>
    </row>
    <row r="90" spans="2:15">
      <c r="B90" s="15">
        <v>41578</v>
      </c>
      <c r="C90" s="21">
        <v>0.4605405147219428</v>
      </c>
      <c r="D90" s="21">
        <f>VLOOKUP(CurrentMtgRatesDataTable825[[#This Row],[asOfDate]],N:O,2,0)</f>
        <v>6.6622111195612701E-3</v>
      </c>
      <c r="E90" s="25">
        <f ca="1">VLOOKUP(CurrentMtgRatesDataTable825[[#This Row],[asOfDate]]+1,Bloomberg!B:C,2,0)</f>
        <v>2105.6</v>
      </c>
      <c r="G90" s="1">
        <v>41158</v>
      </c>
      <c r="H90" s="24">
        <v>0.854493626143913</v>
      </c>
      <c r="N90" s="1">
        <v>41158</v>
      </c>
      <c r="O90" s="57">
        <v>0.85389897885032495</v>
      </c>
    </row>
    <row r="91" spans="2:15">
      <c r="B91" s="15">
        <v>41571</v>
      </c>
      <c r="C91" s="21">
        <v>0.43156912924668556</v>
      </c>
      <c r="D91" s="21">
        <f>VLOOKUP(CurrentMtgRatesDataTable825[[#This Row],[asOfDate]],N:O,2,0)</f>
        <v>5.1244395463538699E-3</v>
      </c>
      <c r="E91" s="25">
        <f ca="1">VLOOKUP(CurrentMtgRatesDataTable825[[#This Row],[asOfDate]]+1,Bloomberg!B:C,2,0)</f>
        <v>2211.8000000000002</v>
      </c>
      <c r="G91" s="1">
        <v>41165</v>
      </c>
      <c r="H91" s="24">
        <v>0.85731125996939705</v>
      </c>
      <c r="N91" s="1">
        <v>41165</v>
      </c>
      <c r="O91" s="57">
        <v>0.85777100850024601</v>
      </c>
    </row>
    <row r="92" spans="2:15">
      <c r="B92" s="15">
        <v>41564</v>
      </c>
      <c r="C92" s="21">
        <v>0.40232481590336117</v>
      </c>
      <c r="D92" s="21">
        <f>VLOOKUP(CurrentMtgRatesDataTable825[[#This Row],[asOfDate]],N:O,2,0)</f>
        <v>2.1912087808184902E-3</v>
      </c>
      <c r="E92" s="25">
        <f ca="1">VLOOKUP(CurrentMtgRatesDataTable825[[#This Row],[asOfDate]]+1,Bloomberg!B:C,2,0)</f>
        <v>2033.7</v>
      </c>
      <c r="G92" s="1">
        <v>41172</v>
      </c>
      <c r="H92" s="24">
        <v>0.87344930653794395</v>
      </c>
      <c r="N92" s="1">
        <v>41172</v>
      </c>
      <c r="O92" s="57">
        <v>0.87391634150534703</v>
      </c>
    </row>
    <row r="93" spans="2:15">
      <c r="B93" s="15">
        <v>41557</v>
      </c>
      <c r="C93" s="21">
        <v>0.41314719259777027</v>
      </c>
      <c r="D93" s="21">
        <f>VLOOKUP(CurrentMtgRatesDataTable825[[#This Row],[asOfDate]],N:O,2,0)</f>
        <v>2.9998090771003101E-3</v>
      </c>
      <c r="E93" s="25">
        <f ca="1">VLOOKUP(CurrentMtgRatesDataTable825[[#This Row],[asOfDate]]+1,Bloomberg!B:C,2,0)</f>
        <v>2102.6999999999998</v>
      </c>
      <c r="G93" s="1">
        <v>41179</v>
      </c>
      <c r="H93" s="24">
        <v>0.91259028169208301</v>
      </c>
      <c r="N93" s="1">
        <v>41179</v>
      </c>
      <c r="O93" s="57">
        <v>0.91307424668051995</v>
      </c>
    </row>
    <row r="94" spans="2:15">
      <c r="B94" s="15">
        <v>41550</v>
      </c>
      <c r="C94" s="21">
        <v>0.41528178559290679</v>
      </c>
      <c r="D94" s="21">
        <f>VLOOKUP(CurrentMtgRatesDataTable825[[#This Row],[asOfDate]],N:O,2,0)</f>
        <v>2.1705397754131698E-3</v>
      </c>
      <c r="E94" s="25">
        <f ca="1">VLOOKUP(CurrentMtgRatesDataTable825[[#This Row],[asOfDate]]+1,Bloomberg!B:C,2,0)</f>
        <v>2025.3</v>
      </c>
      <c r="G94" s="1">
        <v>41186</v>
      </c>
      <c r="H94" s="24">
        <v>0.89522709255279198</v>
      </c>
      <c r="N94" s="1">
        <v>41186</v>
      </c>
      <c r="O94" s="57">
        <v>0.89337068210282</v>
      </c>
    </row>
    <row r="95" spans="2:15">
      <c r="B95" s="15">
        <v>41543</v>
      </c>
      <c r="C95" s="21">
        <v>0.40445747526612724</v>
      </c>
      <c r="D95" s="21">
        <f>VLOOKUP(CurrentMtgRatesDataTable825[[#This Row],[asOfDate]],N:O,2,0)</f>
        <v>1.1254799612103201E-3</v>
      </c>
      <c r="E95" s="25">
        <f ca="1">VLOOKUP(CurrentMtgRatesDataTable825[[#This Row],[asOfDate]]+1,Bloomberg!B:C,2,0)</f>
        <v>1956.6</v>
      </c>
      <c r="G95" s="1">
        <v>41193</v>
      </c>
      <c r="H95" s="24">
        <v>0.87811016351224602</v>
      </c>
      <c r="N95" s="1">
        <v>41193</v>
      </c>
      <c r="O95" s="57">
        <v>0.87893796322118301</v>
      </c>
    </row>
    <row r="96" spans="2:15">
      <c r="B96" s="15">
        <v>41536</v>
      </c>
      <c r="C96" s="21">
        <v>0.33277831045649614</v>
      </c>
      <c r="D96" s="21">
        <f>VLOOKUP(CurrentMtgRatesDataTable825[[#This Row],[asOfDate]],N:O,2,0)</f>
        <v>2.8613116476948101E-4</v>
      </c>
      <c r="E96" s="25">
        <f ca="1">VLOOKUP(CurrentMtgRatesDataTable825[[#This Row],[asOfDate]]+1,Bloomberg!B:C,2,0)</f>
        <v>1922.9</v>
      </c>
      <c r="G96" s="1">
        <v>41200</v>
      </c>
      <c r="H96" s="24">
        <v>0.89368551357821302</v>
      </c>
      <c r="N96" s="1">
        <v>41200</v>
      </c>
      <c r="O96" s="57">
        <v>0.89451035602650197</v>
      </c>
    </row>
    <row r="97" spans="2:15">
      <c r="B97" s="15">
        <v>41529</v>
      </c>
      <c r="C97" s="21">
        <v>0.27463010199382165</v>
      </c>
      <c r="D97" s="21">
        <f>VLOOKUP(CurrentMtgRatesDataTable825[[#This Row],[asOfDate]],N:O,2,0)</f>
        <v>1.28166724373324E-4</v>
      </c>
      <c r="E97" s="25">
        <f ca="1">VLOOKUP(CurrentMtgRatesDataTable825[[#This Row],[asOfDate]]+1,Bloomberg!B:C,2,0)</f>
        <v>1814</v>
      </c>
      <c r="G97" s="1">
        <v>41207</v>
      </c>
      <c r="H97" s="24">
        <v>0.87683234085301398</v>
      </c>
      <c r="N97" s="1">
        <v>41207</v>
      </c>
      <c r="O97" s="57">
        <v>0.87765828155593195</v>
      </c>
    </row>
    <row r="98" spans="2:15">
      <c r="B98" s="15">
        <v>41522</v>
      </c>
      <c r="C98" s="21">
        <v>0.2818649256036454</v>
      </c>
      <c r="D98" s="21">
        <f>VLOOKUP(CurrentMtgRatesDataTable825[[#This Row],[asOfDate]],N:O,2,0)</f>
        <v>1.38137801233605E-4</v>
      </c>
      <c r="E98" s="25">
        <f ca="1">VLOOKUP(CurrentMtgRatesDataTable825[[#This Row],[asOfDate]]+1,Bloomberg!B:C,2,0)</f>
        <v>1512.9</v>
      </c>
      <c r="G98" s="1">
        <v>41214</v>
      </c>
      <c r="H98" s="24">
        <v>0.85225052894835196</v>
      </c>
      <c r="N98" s="1">
        <v>41214</v>
      </c>
      <c r="O98" s="57">
        <v>0.85025958001434099</v>
      </c>
    </row>
    <row r="99" spans="2:15">
      <c r="B99" s="15">
        <v>41515</v>
      </c>
      <c r="C99" s="21">
        <v>0.32707732602530493</v>
      </c>
      <c r="D99" s="21">
        <f>VLOOKUP(CurrentMtgRatesDataTable825[[#This Row],[asOfDate]],N:O,2,0)</f>
        <v>7.0808320685095995E-5</v>
      </c>
      <c r="E99" s="25">
        <f ca="1">VLOOKUP(CurrentMtgRatesDataTable825[[#This Row],[asOfDate]]+1,Bloomberg!B:C,2,0)</f>
        <v>1909</v>
      </c>
      <c r="G99" s="1">
        <v>41221</v>
      </c>
      <c r="H99" s="24">
        <v>0.85194480836680198</v>
      </c>
      <c r="N99" s="1">
        <v>41221</v>
      </c>
      <c r="O99" s="57">
        <v>0.85294848165289106</v>
      </c>
    </row>
    <row r="100" spans="2:15">
      <c r="B100" s="15">
        <v>41508</v>
      </c>
      <c r="C100" s="21">
        <v>0.28211495793674252</v>
      </c>
      <c r="D100" s="21">
        <f>VLOOKUP(CurrentMtgRatesDataTable825[[#This Row],[asOfDate]],N:O,2,0)</f>
        <v>5.14127448459894E-5</v>
      </c>
      <c r="E100" s="25">
        <f ca="1">VLOOKUP(CurrentMtgRatesDataTable825[[#This Row],[asOfDate]]+1,Bloomberg!B:C,2,0)</f>
        <v>1842.6</v>
      </c>
      <c r="G100" s="1">
        <v>41228</v>
      </c>
      <c r="H100" s="24">
        <v>0.86999483052125803</v>
      </c>
      <c r="N100" s="1">
        <v>41228</v>
      </c>
      <c r="O100" s="57">
        <v>0.87099758649899595</v>
      </c>
    </row>
    <row r="101" spans="2:15">
      <c r="B101" s="15">
        <v>41501</v>
      </c>
      <c r="C101" s="21">
        <v>0.40797811985401045</v>
      </c>
      <c r="D101" s="21">
        <f>VLOOKUP(CurrentMtgRatesDataTable825[[#This Row],[asOfDate]],N:O,2,0)</f>
        <v>1.09727944241163E-4</v>
      </c>
      <c r="E101" s="25">
        <f ca="1">VLOOKUP(CurrentMtgRatesDataTable825[[#This Row],[asOfDate]]+1,Bloomberg!B:C,2,0)</f>
        <v>1935.1</v>
      </c>
      <c r="G101" s="1">
        <v>41234</v>
      </c>
      <c r="H101" s="24">
        <v>0.88773399472374204</v>
      </c>
      <c r="N101" s="1">
        <v>41234</v>
      </c>
      <c r="O101" s="57">
        <v>0.88870182147749199</v>
      </c>
    </row>
    <row r="102" spans="2:15">
      <c r="B102" s="15">
        <v>41494</v>
      </c>
      <c r="C102" s="21">
        <v>0.40797811985401045</v>
      </c>
      <c r="D102" s="21">
        <f>VLOOKUP(CurrentMtgRatesDataTable825[[#This Row],[asOfDate]],N:O,2,0)</f>
        <v>1.8981164598661E-4</v>
      </c>
      <c r="E102" s="25">
        <f ca="1">VLOOKUP(CurrentMtgRatesDataTable825[[#This Row],[asOfDate]]+1,Bloomberg!B:C,2,0)</f>
        <v>2110.6</v>
      </c>
      <c r="G102" s="1">
        <v>41242</v>
      </c>
      <c r="H102" s="24">
        <v>0.86996445945149903</v>
      </c>
      <c r="N102" s="1">
        <v>41242</v>
      </c>
      <c r="O102" s="57">
        <v>0.87096715032167604</v>
      </c>
    </row>
    <row r="103" spans="2:15">
      <c r="B103" s="15">
        <v>41487</v>
      </c>
      <c r="C103" s="21">
        <v>0.40917398895537016</v>
      </c>
      <c r="D103" s="21">
        <f>VLOOKUP(CurrentMtgRatesDataTable825[[#This Row],[asOfDate]],N:O,2,0)</f>
        <v>1.2656752123026201E-4</v>
      </c>
      <c r="E103" s="25">
        <f ca="1">VLOOKUP(CurrentMtgRatesDataTable825[[#This Row],[asOfDate]]+1,Bloomberg!B:C,2,0)</f>
        <v>2228.9</v>
      </c>
      <c r="G103" s="1">
        <v>41249</v>
      </c>
      <c r="H103" s="24">
        <v>0.85662578219432695</v>
      </c>
      <c r="N103" s="1">
        <v>41249</v>
      </c>
      <c r="O103" s="57">
        <v>0.85552701758194905</v>
      </c>
    </row>
    <row r="104" spans="2:15">
      <c r="B104" s="15">
        <v>41480</v>
      </c>
      <c r="C104" s="21">
        <v>0.42922629610906576</v>
      </c>
      <c r="D104" s="21">
        <f>VLOOKUP(CurrentMtgRatesDataTable825[[#This Row],[asOfDate]],N:O,2,0)</f>
        <v>7.7705125163761099E-5</v>
      </c>
      <c r="E104" s="25">
        <f ca="1">VLOOKUP(CurrentMtgRatesDataTable825[[#This Row],[asOfDate]]+1,Bloomberg!B:C,2,0)</f>
        <v>2218.3000000000002</v>
      </c>
      <c r="G104" s="1">
        <v>41256</v>
      </c>
      <c r="H104" s="24">
        <v>0.87412257034895602</v>
      </c>
      <c r="N104" s="1">
        <v>41256</v>
      </c>
      <c r="O104" s="57">
        <v>0.87441718771065802</v>
      </c>
    </row>
    <row r="105" spans="2:15">
      <c r="B105" s="15">
        <v>41473</v>
      </c>
      <c r="C105" s="21">
        <v>0.42624975952077765</v>
      </c>
      <c r="D105" s="21">
        <f>VLOOKUP(CurrentMtgRatesDataTable825[[#This Row],[asOfDate]],N:O,2,0)</f>
        <v>7.7260015377096707E-5</v>
      </c>
      <c r="E105" s="25">
        <f ca="1">VLOOKUP(CurrentMtgRatesDataTable825[[#This Row],[asOfDate]]+1,Bloomberg!B:C,2,0)</f>
        <v>2288</v>
      </c>
      <c r="G105" s="1">
        <v>41263</v>
      </c>
      <c r="H105" s="24">
        <v>0.85522983991809798</v>
      </c>
      <c r="N105" s="1">
        <v>41263</v>
      </c>
      <c r="O105" s="57">
        <v>0.85553537746283803</v>
      </c>
    </row>
    <row r="106" spans="2:15">
      <c r="B106" s="15">
        <v>41466</v>
      </c>
      <c r="C106" s="21">
        <v>0.31856955774356621</v>
      </c>
      <c r="D106" s="21">
        <f>VLOOKUP(CurrentMtgRatesDataTable825[[#This Row],[asOfDate]],N:O,2,0)</f>
        <v>6.2349917608853304E-5</v>
      </c>
      <c r="E106" s="25">
        <f ca="1">VLOOKUP(CurrentMtgRatesDataTable825[[#This Row],[asOfDate]]+1,Bloomberg!B:C,2,0)</f>
        <v>2242.1999999999998</v>
      </c>
      <c r="G106" s="1">
        <v>41270</v>
      </c>
      <c r="H106" s="24">
        <v>0.85626060279274896</v>
      </c>
      <c r="N106" s="1">
        <v>41270</v>
      </c>
      <c r="O106" s="57">
        <v>0.85656729506407103</v>
      </c>
    </row>
    <row r="107" spans="2:15">
      <c r="B107" s="15">
        <v>41458</v>
      </c>
      <c r="C107" s="21">
        <v>0.4330864642120939</v>
      </c>
      <c r="D107" s="21">
        <f>VLOOKUP(CurrentMtgRatesDataTable825[[#This Row],[asOfDate]],N:O,2,0)</f>
        <v>2.0890509018574801E-4</v>
      </c>
      <c r="E107" s="25" t="e">
        <f ca="1">VLOOKUP(CurrentMtgRatesDataTable825[[#This Row],[asOfDate]]+1,Bloomberg!B:C,2,0)</f>
        <v>#N/A</v>
      </c>
      <c r="G107" s="1">
        <v>41277</v>
      </c>
      <c r="H107" s="24">
        <v>0.83696581575361895</v>
      </c>
      <c r="N107" s="1">
        <v>41277</v>
      </c>
      <c r="O107" s="57">
        <v>0.836402700195363</v>
      </c>
    </row>
    <row r="108" spans="2:15">
      <c r="B108" s="15">
        <v>41452</v>
      </c>
      <c r="C108" s="21">
        <v>0.39082116641682313</v>
      </c>
      <c r="D108" s="21">
        <f>VLOOKUP(CurrentMtgRatesDataTable825[[#This Row],[asOfDate]],N:O,2,0)</f>
        <v>1.18085120456235E-4</v>
      </c>
      <c r="E108" s="25">
        <f ca="1">VLOOKUP(CurrentMtgRatesDataTable825[[#This Row],[asOfDate]]+1,Bloomberg!B:C,2,0)</f>
        <v>2573.4</v>
      </c>
      <c r="G108" s="1">
        <v>41284</v>
      </c>
      <c r="H108" s="24">
        <v>0.81798384699460103</v>
      </c>
      <c r="N108" s="1">
        <v>41284</v>
      </c>
      <c r="O108" s="57">
        <v>6.3649104803575E-3</v>
      </c>
    </row>
    <row r="109" spans="2:15">
      <c r="B109" s="15">
        <v>41445</v>
      </c>
      <c r="C109" s="21">
        <v>0.58795254732817659</v>
      </c>
      <c r="D109" s="21">
        <f>VLOOKUP(CurrentMtgRatesDataTable825[[#This Row],[asOfDate]],N:O,2,0)</f>
        <v>4.5721700980804099E-4</v>
      </c>
      <c r="E109" s="25">
        <f ca="1">VLOOKUP(CurrentMtgRatesDataTable825[[#This Row],[asOfDate]]+1,Bloomberg!B:C,2,0)</f>
        <v>3040.1</v>
      </c>
      <c r="G109" s="1">
        <v>41291</v>
      </c>
      <c r="H109" s="24">
        <v>0.83503612629874802</v>
      </c>
      <c r="N109" s="1">
        <v>41291</v>
      </c>
      <c r="O109" s="57">
        <v>0.83579303387112303</v>
      </c>
    </row>
    <row r="110" spans="2:15">
      <c r="B110" s="15">
        <v>41438</v>
      </c>
      <c r="C110" s="21">
        <v>0.57343184072471942</v>
      </c>
      <c r="D110" s="21">
        <f>VLOOKUP(CurrentMtgRatesDataTable825[[#This Row],[asOfDate]],N:O,2,0)</f>
        <v>4.4853144090145001E-4</v>
      </c>
      <c r="E110" s="25">
        <f ca="1">VLOOKUP(CurrentMtgRatesDataTable825[[#This Row],[asOfDate]]+1,Bloomberg!B:C,2,0)</f>
        <v>3214.4</v>
      </c>
      <c r="G110" s="1">
        <v>41298</v>
      </c>
      <c r="H110" s="24">
        <v>0.81634992305868503</v>
      </c>
      <c r="N110" s="1">
        <v>41298</v>
      </c>
      <c r="O110" s="57">
        <v>6.31365338468388E-3</v>
      </c>
    </row>
    <row r="111" spans="2:15">
      <c r="B111" s="15">
        <v>41431</v>
      </c>
      <c r="C111" s="21">
        <v>0.60569175356282723</v>
      </c>
      <c r="D111" s="21">
        <f>VLOOKUP(CurrentMtgRatesDataTable825[[#This Row],[asOfDate]],N:O,2,0)</f>
        <v>5.1111206075067303E-4</v>
      </c>
      <c r="E111" s="25">
        <f ca="1">VLOOKUP(CurrentMtgRatesDataTable825[[#This Row],[asOfDate]]+1,Bloomberg!B:C,2,0)</f>
        <v>3339.8</v>
      </c>
      <c r="G111" s="1">
        <v>41305</v>
      </c>
      <c r="H111" s="24">
        <v>0.77322369572310801</v>
      </c>
      <c r="N111" s="1">
        <v>41305</v>
      </c>
      <c r="O111" s="57">
        <v>1.5724025040129101E-3</v>
      </c>
    </row>
    <row r="112" spans="2:15">
      <c r="B112" s="15">
        <v>41424</v>
      </c>
      <c r="C112" s="21">
        <v>0.63267241864898449</v>
      </c>
      <c r="D112" s="21">
        <f>VLOOKUP(CurrentMtgRatesDataTable825[[#This Row],[asOfDate]],N:O,2,0)</f>
        <v>7.23006593961598E-4</v>
      </c>
      <c r="E112" s="25">
        <f ca="1">VLOOKUP(CurrentMtgRatesDataTable825[[#This Row],[asOfDate]]+1,Bloomberg!B:C,2,0)</f>
        <v>3163.6</v>
      </c>
      <c r="G112" s="1">
        <v>41312</v>
      </c>
      <c r="H112" s="24">
        <v>0.75155379277106704</v>
      </c>
      <c r="N112" s="1">
        <v>41312</v>
      </c>
      <c r="O112" s="57">
        <v>1.8805301659143899E-3</v>
      </c>
    </row>
    <row r="113" spans="2:15">
      <c r="B113" s="15">
        <v>41417</v>
      </c>
      <c r="C113" s="21">
        <v>0.69528028144531095</v>
      </c>
      <c r="D113" s="21">
        <f>VLOOKUP(CurrentMtgRatesDataTable825[[#This Row],[asOfDate]],N:O,2,0)</f>
        <v>3.24861882666854E-3</v>
      </c>
      <c r="E113" s="25">
        <f ca="1">VLOOKUP(CurrentMtgRatesDataTable825[[#This Row],[asOfDate]]+1,Bloomberg!B:C,2,0)</f>
        <v>3709.4</v>
      </c>
      <c r="G113" s="1">
        <v>41319</v>
      </c>
      <c r="H113" s="24">
        <v>0.75155379277106704</v>
      </c>
      <c r="N113" s="1">
        <v>41319</v>
      </c>
      <c r="O113" s="57">
        <v>2.4304666853394601E-3</v>
      </c>
    </row>
    <row r="114" spans="2:15">
      <c r="B114" s="15">
        <v>41410</v>
      </c>
      <c r="C114" s="21">
        <v>0.77783403735744605</v>
      </c>
      <c r="D114" s="21">
        <f>VLOOKUP(CurrentMtgRatesDataTable825[[#This Row],[asOfDate]],N:O,2,0)</f>
        <v>8.3805961025081796E-3</v>
      </c>
      <c r="E114" s="25">
        <f ca="1">VLOOKUP(CurrentMtgRatesDataTable825[[#This Row],[asOfDate]]+1,Bloomberg!B:C,2,0)</f>
        <v>4241.5</v>
      </c>
      <c r="G114" s="1">
        <v>41326</v>
      </c>
      <c r="H114" s="24">
        <v>0.73462902469773095</v>
      </c>
      <c r="N114" s="1">
        <v>41326</v>
      </c>
      <c r="O114" s="57">
        <v>1.6769000092261E-3</v>
      </c>
    </row>
    <row r="115" spans="2:15">
      <c r="B115" s="15">
        <v>41403</v>
      </c>
      <c r="C115" s="21">
        <v>0.80807149473903783</v>
      </c>
      <c r="D115" s="21">
        <f>VLOOKUP(CurrentMtgRatesDataTable825[[#This Row],[asOfDate]],N:O,2,0)</f>
        <v>1.43811701784358E-2</v>
      </c>
      <c r="E115" s="25">
        <f ca="1">VLOOKUP(CurrentMtgRatesDataTable825[[#This Row],[asOfDate]]+1,Bloomberg!B:C,2,0)</f>
        <v>4797.2</v>
      </c>
      <c r="G115" s="1">
        <v>41333</v>
      </c>
      <c r="H115" s="24">
        <v>0.75332777657917305</v>
      </c>
      <c r="N115" s="1">
        <v>41333</v>
      </c>
      <c r="O115" s="57">
        <v>2.4413028764475298E-3</v>
      </c>
    </row>
    <row r="116" spans="2:15">
      <c r="B116" s="15">
        <v>41396</v>
      </c>
      <c r="C116" s="21">
        <v>0.81686282095814366</v>
      </c>
      <c r="D116" s="21">
        <f>VLOOKUP(CurrentMtgRatesDataTable825[[#This Row],[asOfDate]],N:O,2,0)</f>
        <v>0.77278468829226099</v>
      </c>
      <c r="E116" s="25">
        <f ca="1">VLOOKUP(CurrentMtgRatesDataTable825[[#This Row],[asOfDate]]+1,Bloomberg!B:C,2,0)</f>
        <v>5279.9</v>
      </c>
      <c r="G116" s="1">
        <v>41340</v>
      </c>
      <c r="H116" s="24">
        <v>0.731898053840778</v>
      </c>
      <c r="N116" s="1">
        <v>41340</v>
      </c>
      <c r="O116" s="57">
        <v>2.7765010532729102E-3</v>
      </c>
    </row>
    <row r="117" spans="2:15">
      <c r="B117" s="15">
        <v>41389</v>
      </c>
      <c r="C117" s="21">
        <v>0.82478602429419701</v>
      </c>
      <c r="D117" s="21">
        <f>VLOOKUP(CurrentMtgRatesDataTable825[[#This Row],[asOfDate]],N:O,2,0)</f>
        <v>9.5307583692172005E-3</v>
      </c>
      <c r="E117" s="25">
        <f ca="1">VLOOKUP(CurrentMtgRatesDataTable825[[#This Row],[asOfDate]]+1,Bloomberg!B:C,2,0)</f>
        <v>4854.1000000000004</v>
      </c>
      <c r="G117" s="1">
        <v>41347</v>
      </c>
      <c r="H117" s="24">
        <v>0.69793386100167498</v>
      </c>
      <c r="N117" s="1">
        <v>41347</v>
      </c>
      <c r="O117" s="57">
        <v>1.16383571386427E-3</v>
      </c>
    </row>
    <row r="118" spans="2:15">
      <c r="B118" s="15">
        <v>41382</v>
      </c>
      <c r="C118" s="21">
        <v>0.8263799320049966</v>
      </c>
      <c r="D118" s="21">
        <f>VLOOKUP(CurrentMtgRatesDataTable825[[#This Row],[asOfDate]],N:O,2,0)</f>
        <v>1.3563295142313201E-2</v>
      </c>
      <c r="E118" s="25">
        <f ca="1">VLOOKUP(CurrentMtgRatesDataTable825[[#This Row],[asOfDate]]+1,Bloomberg!B:C,2,0)</f>
        <v>4672.1000000000004</v>
      </c>
      <c r="G118" s="1">
        <v>41354</v>
      </c>
      <c r="H118" s="24">
        <v>0.72870485724391698</v>
      </c>
      <c r="N118" s="1">
        <v>41354</v>
      </c>
      <c r="O118" s="57">
        <v>2.2270412887641501E-3</v>
      </c>
    </row>
    <row r="119" spans="2:15">
      <c r="B119" s="15">
        <v>41375</v>
      </c>
      <c r="C119" s="21">
        <v>0.81951890925716175</v>
      </c>
      <c r="D119" s="21">
        <f>VLOOKUP(CurrentMtgRatesDataTable825[[#This Row],[asOfDate]],N:O,2,0)</f>
        <v>6.9694981086310098E-3</v>
      </c>
      <c r="E119" s="25">
        <f ca="1">VLOOKUP(CurrentMtgRatesDataTable825[[#This Row],[asOfDate]]+1,Bloomberg!B:C,2,0)</f>
        <v>4726.8999999999996</v>
      </c>
      <c r="G119" s="1">
        <v>41361</v>
      </c>
      <c r="H119" s="24">
        <v>0.712062870316722</v>
      </c>
      <c r="N119" s="1">
        <v>41361</v>
      </c>
      <c r="O119" s="57">
        <v>1.5814373541439301E-3</v>
      </c>
    </row>
    <row r="120" spans="2:15">
      <c r="B120" s="15">
        <v>41368</v>
      </c>
      <c r="C120" s="21">
        <v>0.74812714109915845</v>
      </c>
      <c r="D120" s="21">
        <f>VLOOKUP(CurrentMtgRatesDataTable825[[#This Row],[asOfDate]],N:O,2,0)</f>
        <v>2.9231505873714399E-3</v>
      </c>
      <c r="E120" s="25">
        <f ca="1">VLOOKUP(CurrentMtgRatesDataTable825[[#This Row],[asOfDate]]+1,Bloomberg!B:C,2,0)</f>
        <v>4528.8999999999996</v>
      </c>
      <c r="G120" s="1">
        <v>41368</v>
      </c>
      <c r="H120" s="24">
        <v>0.71361316522728502</v>
      </c>
      <c r="N120" s="1">
        <v>41368</v>
      </c>
      <c r="O120" s="57">
        <v>2.9231505873714399E-3</v>
      </c>
    </row>
    <row r="121" spans="2:15">
      <c r="B121" s="15">
        <v>41361</v>
      </c>
      <c r="C121" s="21">
        <v>0.73085022058809757</v>
      </c>
      <c r="D121" s="21">
        <f>VLOOKUP(CurrentMtgRatesDataTable825[[#This Row],[asOfDate]],N:O,2,0)</f>
        <v>1.5814373541439301E-3</v>
      </c>
      <c r="E121" s="25">
        <f ca="1">VLOOKUP(CurrentMtgRatesDataTable825[[#This Row],[asOfDate]]+1,Bloomberg!B:C,2,0)</f>
        <v>4119.2</v>
      </c>
      <c r="G121" s="1">
        <v>41375</v>
      </c>
      <c r="H121" s="24">
        <v>0.73719138808657003</v>
      </c>
      <c r="N121" s="1">
        <v>41375</v>
      </c>
      <c r="O121" s="57">
        <v>6.9694981086310098E-3</v>
      </c>
    </row>
    <row r="122" spans="2:15">
      <c r="B122" s="15">
        <v>41354</v>
      </c>
      <c r="C122" s="21">
        <v>0.76832708554350626</v>
      </c>
      <c r="D122" s="21">
        <f>VLOOKUP(CurrentMtgRatesDataTable825[[#This Row],[asOfDate]],N:O,2,0)</f>
        <v>2.2270412887641501E-3</v>
      </c>
      <c r="E122" s="25">
        <f ca="1">VLOOKUP(CurrentMtgRatesDataTable825[[#This Row],[asOfDate]]+1,Bloomberg!B:C,2,0)</f>
        <v>4412.8999999999996</v>
      </c>
      <c r="G122" s="1">
        <v>41382</v>
      </c>
      <c r="H122" s="24">
        <v>0.76108985756873504</v>
      </c>
      <c r="N122" s="1">
        <v>41382</v>
      </c>
      <c r="O122" s="57">
        <v>1.3563295142313201E-2</v>
      </c>
    </row>
    <row r="123" spans="2:15">
      <c r="B123" s="15">
        <v>41347</v>
      </c>
      <c r="C123" s="21">
        <v>0.70260073761186825</v>
      </c>
      <c r="D123" s="21">
        <f>VLOOKUP(CurrentMtgRatesDataTable825[[#This Row],[asOfDate]],N:O,2,0)</f>
        <v>1.16383571386427E-3</v>
      </c>
      <c r="E123" s="25">
        <f ca="1">VLOOKUP(CurrentMtgRatesDataTable825[[#This Row],[asOfDate]]+1,Bloomberg!B:C,2,0)</f>
        <v>4111.3</v>
      </c>
      <c r="G123" s="1">
        <v>41389</v>
      </c>
      <c r="H123" s="24">
        <v>0.759939269856726</v>
      </c>
      <c r="N123" s="1">
        <v>41389</v>
      </c>
      <c r="O123" s="57">
        <v>9.5307583692172005E-3</v>
      </c>
    </row>
    <row r="124" spans="2:15">
      <c r="B124" s="15">
        <v>41340</v>
      </c>
      <c r="C124" s="21">
        <v>0.81254588826988361</v>
      </c>
      <c r="D124" s="21">
        <f>VLOOKUP(CurrentMtgRatesDataTable825[[#This Row],[asOfDate]],N:O,2,0)</f>
        <v>2.7765010532729102E-3</v>
      </c>
      <c r="E124" s="25">
        <f ca="1">VLOOKUP(CurrentMtgRatesDataTable825[[#This Row],[asOfDate]]+1,Bloomberg!B:C,2,0)</f>
        <v>4485.2</v>
      </c>
      <c r="G124" s="1">
        <v>41396</v>
      </c>
      <c r="H124" s="24">
        <v>0.77520531199879605</v>
      </c>
      <c r="N124" s="1">
        <v>41396</v>
      </c>
      <c r="O124" s="57">
        <v>0.77278468829226099</v>
      </c>
    </row>
    <row r="125" spans="2:15">
      <c r="B125" s="15">
        <v>41333</v>
      </c>
      <c r="C125" s="21">
        <v>0.81599621049204552</v>
      </c>
      <c r="D125" s="21">
        <f>VLOOKUP(CurrentMtgRatesDataTable825[[#This Row],[asOfDate]],N:O,2,0)</f>
        <v>2.4413028764475298E-3</v>
      </c>
      <c r="E125" s="25">
        <f ca="1">VLOOKUP(CurrentMtgRatesDataTable825[[#This Row],[asOfDate]]+1,Bloomberg!B:C,2,0)</f>
        <v>4724.8999999999996</v>
      </c>
      <c r="G125" s="1">
        <v>41403</v>
      </c>
      <c r="H125" s="24">
        <v>0.75094523370436095</v>
      </c>
      <c r="N125" s="1">
        <v>41403</v>
      </c>
      <c r="O125" s="57">
        <v>1.43811701784358E-2</v>
      </c>
    </row>
    <row r="126" spans="2:15">
      <c r="B126" s="15">
        <v>41326</v>
      </c>
      <c r="C126" s="21">
        <v>0.75767121274967097</v>
      </c>
      <c r="D126" s="21">
        <f>VLOOKUP(CurrentMtgRatesDataTable825[[#This Row],[asOfDate]],N:O,2,0)</f>
        <v>1.6769000092261E-3</v>
      </c>
      <c r="E126" s="25">
        <f ca="1">VLOOKUP(CurrentMtgRatesDataTable825[[#This Row],[asOfDate]]+1,Bloomberg!B:C,2,0)</f>
        <v>4136.3</v>
      </c>
      <c r="G126" s="1">
        <v>41410</v>
      </c>
      <c r="H126" s="24">
        <v>0.72159050384319001</v>
      </c>
      <c r="N126" s="1">
        <v>41410</v>
      </c>
      <c r="O126" s="57">
        <v>8.3805961025081796E-3</v>
      </c>
    </row>
    <row r="127" spans="2:15">
      <c r="B127" s="15">
        <v>41319</v>
      </c>
      <c r="C127" s="21">
        <v>0.79744674672768578</v>
      </c>
      <c r="D127" s="21">
        <f>VLOOKUP(CurrentMtgRatesDataTable825[[#This Row],[asOfDate]],N:O,2,0)</f>
        <v>2.4304666853394601E-3</v>
      </c>
      <c r="E127" s="25">
        <f ca="1">VLOOKUP(CurrentMtgRatesDataTable825[[#This Row],[asOfDate]]+1,Bloomberg!B:C,2,0)</f>
        <v>4261.8</v>
      </c>
      <c r="G127" s="1">
        <v>41417</v>
      </c>
      <c r="H127" s="24">
        <v>0.68530860108825797</v>
      </c>
      <c r="N127" s="1">
        <v>41417</v>
      </c>
      <c r="O127" s="57">
        <v>3.24861882666854E-3</v>
      </c>
    </row>
    <row r="128" spans="2:15">
      <c r="B128" s="15">
        <v>41312</v>
      </c>
      <c r="C128" s="21">
        <v>0.79744674672768578</v>
      </c>
      <c r="D128" s="21">
        <f>VLOOKUP(CurrentMtgRatesDataTable825[[#This Row],[asOfDate]],N:O,2,0)</f>
        <v>1.8805301659143899E-3</v>
      </c>
      <c r="E128" s="25">
        <f ca="1">VLOOKUP(CurrentMtgRatesDataTable825[[#This Row],[asOfDate]]+1,Bloomberg!B:C,2,0)</f>
        <v>4284.3</v>
      </c>
      <c r="G128" s="1">
        <v>41424</v>
      </c>
      <c r="H128" s="24">
        <v>0.61546645850988302</v>
      </c>
      <c r="N128" s="1">
        <v>41424</v>
      </c>
      <c r="O128" s="57">
        <v>7.23006593961598E-4</v>
      </c>
    </row>
    <row r="129" spans="2:15">
      <c r="B129" s="15">
        <v>41305</v>
      </c>
      <c r="C129" s="21">
        <v>0.84748759806752005</v>
      </c>
      <c r="D129" s="21">
        <f>VLOOKUP(CurrentMtgRatesDataTable825[[#This Row],[asOfDate]],N:O,2,0)</f>
        <v>1.5724025040129101E-3</v>
      </c>
      <c r="E129" s="25">
        <f ca="1">VLOOKUP(CurrentMtgRatesDataTable825[[#This Row],[asOfDate]]+1,Bloomberg!B:C,2,0)</f>
        <v>4579</v>
      </c>
      <c r="G129" s="1">
        <v>41431</v>
      </c>
      <c r="H129" s="24">
        <v>0.57861777554698002</v>
      </c>
      <c r="N129" s="1">
        <v>41431</v>
      </c>
      <c r="O129" s="57">
        <v>5.1111206075067303E-4</v>
      </c>
    </row>
    <row r="130" spans="2:15">
      <c r="B130" s="15">
        <v>41298</v>
      </c>
      <c r="C130" s="21">
        <v>0.88379536104531342</v>
      </c>
      <c r="D130" s="21">
        <f>VLOOKUP(CurrentMtgRatesDataTable825[[#This Row],[asOfDate]],N:O,2,0)</f>
        <v>6.31365338468388E-3</v>
      </c>
      <c r="E130" s="25">
        <f ca="1">VLOOKUP(CurrentMtgRatesDataTable825[[#This Row],[asOfDate]]+1,Bloomberg!B:C,2,0)</f>
        <v>4433.6000000000004</v>
      </c>
      <c r="G130" s="1">
        <v>41438</v>
      </c>
      <c r="H130" s="24">
        <v>0.55842108987699401</v>
      </c>
      <c r="N130" s="1">
        <v>41438</v>
      </c>
      <c r="O130" s="57">
        <v>4.4853144090145001E-4</v>
      </c>
    </row>
    <row r="131" spans="2:15">
      <c r="B131" s="15">
        <v>41291</v>
      </c>
      <c r="C131" s="21">
        <v>0.88631407683414742</v>
      </c>
      <c r="D131" s="21">
        <f>VLOOKUP(CurrentMtgRatesDataTable825[[#This Row],[asOfDate]],N:O,2,0)</f>
        <v>0.83579303387112303</v>
      </c>
      <c r="E131" s="25">
        <f ca="1">VLOOKUP(CurrentMtgRatesDataTable825[[#This Row],[asOfDate]]+1,Bloomberg!B:C,2,0)</f>
        <v>4937.3999999999996</v>
      </c>
      <c r="G131" s="1">
        <v>41445</v>
      </c>
      <c r="H131" s="24">
        <v>0.55919632116239604</v>
      </c>
      <c r="N131" s="1">
        <v>41445</v>
      </c>
      <c r="O131" s="57">
        <v>4.5721700980804099E-4</v>
      </c>
    </row>
    <row r="132" spans="2:15">
      <c r="B132" s="15">
        <v>41284</v>
      </c>
      <c r="C132" s="21">
        <v>0.88507237465236011</v>
      </c>
      <c r="D132" s="21">
        <f>VLOOKUP(CurrentMtgRatesDataTable825[[#This Row],[asOfDate]],N:O,2,0)</f>
        <v>6.3649104803575E-3</v>
      </c>
      <c r="E132" s="25">
        <f ca="1">VLOOKUP(CurrentMtgRatesDataTable825[[#This Row],[asOfDate]]+1,Bloomberg!B:C,2,0)</f>
        <v>4554.3999999999996</v>
      </c>
      <c r="G132" s="1">
        <v>41452</v>
      </c>
      <c r="H132" s="24">
        <v>0.35042164075900101</v>
      </c>
      <c r="N132" s="1">
        <v>41452</v>
      </c>
      <c r="O132" s="57">
        <v>1.18085120456235E-4</v>
      </c>
    </row>
    <row r="133" spans="2:15">
      <c r="B133" s="15">
        <v>41277</v>
      </c>
      <c r="C133" s="21">
        <v>0.88829814088555981</v>
      </c>
      <c r="D133" s="21">
        <f>VLOOKUP(CurrentMtgRatesDataTable825[[#This Row],[asOfDate]],N:O,2,0)</f>
        <v>0.836402700195363</v>
      </c>
      <c r="E133" s="25">
        <f ca="1">VLOOKUP(CurrentMtgRatesDataTable825[[#This Row],[asOfDate]]+1,Bloomberg!B:C,2,0)</f>
        <v>3896.4</v>
      </c>
      <c r="G133" s="1">
        <v>41458</v>
      </c>
      <c r="H133" s="24">
        <v>0.439218479739446</v>
      </c>
      <c r="N133" s="1">
        <v>41458</v>
      </c>
      <c r="O133" s="57">
        <v>2.0890509018574801E-4</v>
      </c>
    </row>
    <row r="134" spans="2:15">
      <c r="B134" s="15">
        <v>41270</v>
      </c>
      <c r="C134" s="21">
        <v>0.91018597538933266</v>
      </c>
      <c r="D134" s="21">
        <f>VLOOKUP(CurrentMtgRatesDataTable825[[#This Row],[asOfDate]],N:O,2,0)</f>
        <v>0.85656729506407103</v>
      </c>
      <c r="E134" s="25">
        <f ca="1">VLOOKUP(CurrentMtgRatesDataTable825[[#This Row],[asOfDate]]+1,Bloomberg!B:C,2,0)</f>
        <v>3488.9</v>
      </c>
      <c r="G134" s="1">
        <v>41466</v>
      </c>
      <c r="H134" s="24">
        <v>0.32003461094412999</v>
      </c>
      <c r="N134" s="1">
        <v>41466</v>
      </c>
      <c r="O134" s="57">
        <v>6.2349917608853304E-5</v>
      </c>
    </row>
    <row r="135" spans="2:15">
      <c r="B135" s="15">
        <v>41263</v>
      </c>
      <c r="C135" s="21">
        <v>0.90965157918840345</v>
      </c>
      <c r="D135" s="21">
        <f>VLOOKUP(CurrentMtgRatesDataTable825[[#This Row],[asOfDate]],N:O,2,0)</f>
        <v>0.85553537746283803</v>
      </c>
      <c r="E135" s="25">
        <f ca="1">VLOOKUP(CurrentMtgRatesDataTable825[[#This Row],[asOfDate]]+1,Bloomberg!B:C,2,0)</f>
        <v>3983.2</v>
      </c>
      <c r="G135" s="1">
        <v>41473</v>
      </c>
      <c r="H135" s="24">
        <v>0.407195502334876</v>
      </c>
      <c r="N135" s="1">
        <v>41473</v>
      </c>
      <c r="O135" s="57">
        <v>7.7260015377096707E-5</v>
      </c>
    </row>
    <row r="136" spans="2:15">
      <c r="B136" s="15">
        <v>41256</v>
      </c>
      <c r="C136" s="21">
        <v>0.9126136851792267</v>
      </c>
      <c r="D136" s="21">
        <f>VLOOKUP(CurrentMtgRatesDataTable825[[#This Row],[asOfDate]],N:O,2,0)</f>
        <v>0.87441718771065802</v>
      </c>
      <c r="E136" s="25">
        <f ca="1">VLOOKUP(CurrentMtgRatesDataTable825[[#This Row],[asOfDate]]+1,Bloomberg!B:C,2,0)</f>
        <v>4564.3999999999996</v>
      </c>
      <c r="G136" s="1">
        <v>41480</v>
      </c>
      <c r="H136" s="24">
        <v>0.40895553727695599</v>
      </c>
      <c r="N136" s="1">
        <v>41480</v>
      </c>
      <c r="O136" s="57">
        <v>7.7705125163761099E-5</v>
      </c>
    </row>
    <row r="137" spans="2:15">
      <c r="B137" s="15">
        <v>41249</v>
      </c>
      <c r="C137" s="21">
        <v>0.9105479087849232</v>
      </c>
      <c r="D137" s="21">
        <f>VLOOKUP(CurrentMtgRatesDataTable825[[#This Row],[asOfDate]],N:O,2,0)</f>
        <v>0.85552701758194905</v>
      </c>
      <c r="E137" s="25">
        <f ca="1">VLOOKUP(CurrentMtgRatesDataTable825[[#This Row],[asOfDate]]+1,Bloomberg!B:C,2,0)</f>
        <v>5368.1</v>
      </c>
      <c r="G137" s="1">
        <v>41487</v>
      </c>
      <c r="H137" s="24">
        <v>0.36357930006355599</v>
      </c>
      <c r="N137" s="1">
        <v>41487</v>
      </c>
      <c r="O137" s="57">
        <v>1.2656752123026201E-4</v>
      </c>
    </row>
    <row r="138" spans="2:15">
      <c r="B138" s="15">
        <v>41242</v>
      </c>
      <c r="C138" s="21">
        <v>0.92756020040727527</v>
      </c>
      <c r="D138" s="21">
        <f>VLOOKUP(CurrentMtgRatesDataTable825[[#This Row],[asOfDate]],N:O,2,0)</f>
        <v>0.87096715032167604</v>
      </c>
      <c r="E138" s="25">
        <f ca="1">VLOOKUP(CurrentMtgRatesDataTable825[[#This Row],[asOfDate]]+1,Bloomberg!B:C,2,0)</f>
        <v>4943</v>
      </c>
      <c r="G138" s="1">
        <v>41494</v>
      </c>
      <c r="H138" s="24">
        <v>0.36292296585782302</v>
      </c>
      <c r="N138" s="1">
        <v>41494</v>
      </c>
      <c r="O138" s="57">
        <v>1.8981164598661E-4</v>
      </c>
    </row>
    <row r="139" spans="2:15">
      <c r="B139" s="15">
        <v>41234</v>
      </c>
      <c r="C139" s="21">
        <v>0.9299301195282087</v>
      </c>
      <c r="D139" s="21">
        <f>VLOOKUP(CurrentMtgRatesDataTable825[[#This Row],[asOfDate]],N:O,2,0)</f>
        <v>0.88870182147749199</v>
      </c>
      <c r="E139" s="25" t="e">
        <f ca="1">VLOOKUP(CurrentMtgRatesDataTable825[[#This Row],[asOfDate]]+1,Bloomberg!B:C,2,0)</f>
        <v>#N/A</v>
      </c>
      <c r="G139" s="1">
        <v>41501</v>
      </c>
      <c r="H139" s="24">
        <v>0.36292296585782302</v>
      </c>
      <c r="N139" s="1">
        <v>41501</v>
      </c>
      <c r="O139" s="57">
        <v>1.09727944241163E-4</v>
      </c>
    </row>
    <row r="140" spans="2:15">
      <c r="B140" s="15">
        <v>41228</v>
      </c>
      <c r="C140" s="21">
        <v>0.92772026190850965</v>
      </c>
      <c r="D140" s="21">
        <f>VLOOKUP(CurrentMtgRatesDataTable825[[#This Row],[asOfDate]],N:O,2,0)</f>
        <v>0.87099758649899595</v>
      </c>
      <c r="E140" s="25">
        <f ca="1">VLOOKUP(CurrentMtgRatesDataTable825[[#This Row],[asOfDate]]+1,Bloomberg!B:C,2,0)</f>
        <v>4702.3999999999996</v>
      </c>
      <c r="G140" s="1">
        <v>41508</v>
      </c>
      <c r="H140" s="24">
        <v>0.28848466841060699</v>
      </c>
      <c r="N140" s="1">
        <v>41508</v>
      </c>
      <c r="O140" s="57">
        <v>5.14127448459894E-5</v>
      </c>
    </row>
    <row r="141" spans="2:15">
      <c r="B141" s="15">
        <v>41221</v>
      </c>
      <c r="C141" s="21">
        <v>0.9252942527060104</v>
      </c>
      <c r="D141" s="21">
        <f>VLOOKUP(CurrentMtgRatesDataTable825[[#This Row],[asOfDate]],N:O,2,0)</f>
        <v>0.85294848165289106</v>
      </c>
      <c r="E141" s="25">
        <f ca="1">VLOOKUP(CurrentMtgRatesDataTable825[[#This Row],[asOfDate]]+1,Bloomberg!B:C,2,0)</f>
        <v>4856.1000000000004</v>
      </c>
      <c r="G141" s="1">
        <v>41515</v>
      </c>
      <c r="H141" s="24">
        <v>0.32738957382411199</v>
      </c>
      <c r="N141" s="1">
        <v>41515</v>
      </c>
      <c r="O141" s="57">
        <v>7.0808320685095995E-5</v>
      </c>
    </row>
    <row r="142" spans="2:15">
      <c r="B142" s="15">
        <v>41214</v>
      </c>
      <c r="C142" s="21">
        <v>0.92571311512973709</v>
      </c>
      <c r="D142" s="21">
        <f>VLOOKUP(CurrentMtgRatesDataTable825[[#This Row],[asOfDate]],N:O,2,0)</f>
        <v>0.85025958001434099</v>
      </c>
      <c r="E142" s="25">
        <f ca="1">VLOOKUP(CurrentMtgRatesDataTable825[[#This Row],[asOfDate]]+1,Bloomberg!B:C,2,0)</f>
        <v>4297.7</v>
      </c>
      <c r="G142" s="1">
        <v>41522</v>
      </c>
      <c r="H142" s="24">
        <v>0.29894428975906101</v>
      </c>
      <c r="N142" s="1">
        <v>41522</v>
      </c>
      <c r="O142" s="57">
        <v>1.38137801233605E-4</v>
      </c>
    </row>
    <row r="143" spans="2:15">
      <c r="B143" s="15">
        <v>41207</v>
      </c>
      <c r="C143" s="21">
        <v>0.95079229345734595</v>
      </c>
      <c r="D143" s="21">
        <f>VLOOKUP(CurrentMtgRatesDataTable825[[#This Row],[asOfDate]],N:O,2,0)</f>
        <v>0.87765828155593195</v>
      </c>
      <c r="E143" s="25">
        <f ca="1">VLOOKUP(CurrentMtgRatesDataTable825[[#This Row],[asOfDate]]+1,Bloomberg!B:C,2,0)</f>
        <v>4550.7</v>
      </c>
      <c r="G143" s="1">
        <v>41529</v>
      </c>
      <c r="H143" s="24">
        <v>0.28251411119681702</v>
      </c>
      <c r="N143" s="1">
        <v>41529</v>
      </c>
      <c r="O143" s="57">
        <v>1.28166724373324E-4</v>
      </c>
    </row>
    <row r="144" spans="2:15">
      <c r="B144" s="15">
        <v>41200</v>
      </c>
      <c r="C144" s="21">
        <v>0.95277295236812309</v>
      </c>
      <c r="D144" s="21">
        <f>VLOOKUP(CurrentMtgRatesDataTable825[[#This Row],[asOfDate]],N:O,2,0)</f>
        <v>0.89451035602650197</v>
      </c>
      <c r="E144" s="25">
        <f ca="1">VLOOKUP(CurrentMtgRatesDataTable825[[#This Row],[asOfDate]]+1,Bloomberg!B:C,2,0)</f>
        <v>4847.2</v>
      </c>
      <c r="G144" s="1">
        <v>41536</v>
      </c>
      <c r="H144" s="24">
        <v>0.32091811677951898</v>
      </c>
      <c r="N144" s="1">
        <v>41536</v>
      </c>
      <c r="O144" s="57">
        <v>2.8613116476948101E-4</v>
      </c>
    </row>
    <row r="145" spans="2:15">
      <c r="B145" s="15">
        <v>41193</v>
      </c>
      <c r="C145" s="21">
        <v>0.95159604304738465</v>
      </c>
      <c r="D145" s="21">
        <f>VLOOKUP(CurrentMtgRatesDataTable825[[#This Row],[asOfDate]],N:O,2,0)</f>
        <v>0.87893796322118301</v>
      </c>
      <c r="E145" s="25">
        <f ca="1">VLOOKUP(CurrentMtgRatesDataTable825[[#This Row],[asOfDate]]+1,Bloomberg!B:C,2,0)</f>
        <v>5572.2</v>
      </c>
      <c r="G145" s="1">
        <v>41543</v>
      </c>
      <c r="H145" s="24">
        <v>0.41607421536967498</v>
      </c>
      <c r="N145" s="1">
        <v>41543</v>
      </c>
      <c r="O145" s="57">
        <v>1.1254799612103201E-3</v>
      </c>
    </row>
    <row r="146" spans="2:15">
      <c r="B146" s="15">
        <v>41186</v>
      </c>
      <c r="C146" s="21">
        <v>0.95362908529618629</v>
      </c>
      <c r="D146" s="21">
        <f>VLOOKUP(CurrentMtgRatesDataTable825[[#This Row],[asOfDate]],N:O,2,0)</f>
        <v>0.89337068210282</v>
      </c>
      <c r="E146" s="25">
        <f ca="1">VLOOKUP(CurrentMtgRatesDataTable825[[#This Row],[asOfDate]]+1,Bloomberg!B:C,2,0)</f>
        <v>5892.5</v>
      </c>
      <c r="G146" s="1">
        <v>41550</v>
      </c>
      <c r="H146" s="24">
        <v>0.43751781158176101</v>
      </c>
      <c r="N146" s="1">
        <v>41550</v>
      </c>
      <c r="O146" s="57">
        <v>2.1705397754131698E-3</v>
      </c>
    </row>
    <row r="147" spans="2:15">
      <c r="B147" s="15">
        <v>41179</v>
      </c>
      <c r="C147" s="21">
        <v>0.96459917415866681</v>
      </c>
      <c r="D147" s="21">
        <f>VLOOKUP(CurrentMtgRatesDataTable825[[#This Row],[asOfDate]],N:O,2,0)</f>
        <v>0.91307424668051995</v>
      </c>
      <c r="E147" s="25">
        <f ca="1">VLOOKUP(CurrentMtgRatesDataTable825[[#This Row],[asOfDate]]+1,Bloomberg!B:C,2,0)</f>
        <v>5965.5</v>
      </c>
      <c r="G147" s="1">
        <v>41557</v>
      </c>
      <c r="H147" s="24">
        <v>0.43701315967767701</v>
      </c>
      <c r="N147" s="1">
        <v>41557</v>
      </c>
      <c r="O147" s="57">
        <v>2.9998090771003101E-3</v>
      </c>
    </row>
    <row r="148" spans="2:15">
      <c r="B148" s="15">
        <v>41172</v>
      </c>
      <c r="C148" s="21">
        <v>0.95891425076544745</v>
      </c>
      <c r="D148" s="21">
        <f>VLOOKUP(CurrentMtgRatesDataTable825[[#This Row],[asOfDate]],N:O,2,0)</f>
        <v>0.87391634150534703</v>
      </c>
      <c r="E148" s="25">
        <f ca="1">VLOOKUP(CurrentMtgRatesDataTable825[[#This Row],[asOfDate]]+1,Bloomberg!B:C,2,0)</f>
        <v>4979</v>
      </c>
      <c r="G148" s="1">
        <v>41564</v>
      </c>
      <c r="H148" s="24">
        <v>0.40902347477168999</v>
      </c>
      <c r="N148" s="1">
        <v>41564</v>
      </c>
      <c r="O148" s="57">
        <v>2.1912087808184902E-3</v>
      </c>
    </row>
    <row r="149" spans="2:15">
      <c r="B149" s="15">
        <v>41165</v>
      </c>
      <c r="C149" s="21">
        <v>0.94047646256577366</v>
      </c>
      <c r="D149" s="21">
        <f>VLOOKUP(CurrentMtgRatesDataTable825[[#This Row],[asOfDate]],N:O,2,0)</f>
        <v>0.85777100850024601</v>
      </c>
      <c r="E149" s="25">
        <f ca="1">VLOOKUP(CurrentMtgRatesDataTable825[[#This Row],[asOfDate]]+1,Bloomberg!B:C,2,0)</f>
        <v>4823.3</v>
      </c>
      <c r="G149" s="1">
        <v>41571</v>
      </c>
      <c r="H149" s="24">
        <v>0.45648777309490202</v>
      </c>
      <c r="N149" s="1">
        <v>41571</v>
      </c>
      <c r="O149" s="57">
        <v>5.1244395463538699E-3</v>
      </c>
    </row>
    <row r="150" spans="2:15">
      <c r="B150" s="15">
        <v>41158</v>
      </c>
      <c r="C150" s="21">
        <v>0.91761037893987563</v>
      </c>
      <c r="D150" s="21">
        <f>VLOOKUP(CurrentMtgRatesDataTable825[[#This Row],[asOfDate]],N:O,2,0)</f>
        <v>0.85389897885032495</v>
      </c>
      <c r="E150" s="25">
        <f ca="1">VLOOKUP(CurrentMtgRatesDataTable825[[#This Row],[asOfDate]]+1,Bloomberg!B:C,2,0)</f>
        <v>4779.1000000000004</v>
      </c>
      <c r="G150" s="1">
        <v>41578</v>
      </c>
      <c r="H150" s="24">
        <v>0.47501022290439499</v>
      </c>
      <c r="N150" s="1">
        <v>41578</v>
      </c>
      <c r="O150" s="57">
        <v>6.6622111195612701E-3</v>
      </c>
    </row>
    <row r="151" spans="2:15">
      <c r="B151" s="15">
        <v>41151</v>
      </c>
      <c r="C151" s="21">
        <v>0.92408794393225557</v>
      </c>
      <c r="D151" s="21">
        <f>VLOOKUP(CurrentMtgRatesDataTable825[[#This Row],[asOfDate]],N:O,2,0)</f>
        <v>0.86873710574149099</v>
      </c>
      <c r="E151" s="25">
        <f ca="1">VLOOKUP(CurrentMtgRatesDataTable825[[#This Row],[asOfDate]]+1,Bloomberg!B:C,2,0)</f>
        <v>4274.8</v>
      </c>
      <c r="G151" s="1">
        <v>41585</v>
      </c>
      <c r="H151" s="24">
        <v>0.44788779304034998</v>
      </c>
      <c r="N151" s="1">
        <v>41585</v>
      </c>
      <c r="O151" s="57">
        <v>5.9142756056665803E-3</v>
      </c>
    </row>
    <row r="152" spans="2:15">
      <c r="B152" s="15">
        <v>41144</v>
      </c>
      <c r="C152" s="21">
        <v>0.85694996797233836</v>
      </c>
      <c r="D152" s="21">
        <f>VLOOKUP(CurrentMtgRatesDataTable825[[#This Row],[asOfDate]],N:O,2,0)</f>
        <v>0.83946291551948105</v>
      </c>
      <c r="E152" s="25">
        <f ca="1">VLOOKUP(CurrentMtgRatesDataTable825[[#This Row],[asOfDate]]+1,Bloomberg!B:C,2,0)</f>
        <v>4414.6000000000004</v>
      </c>
      <c r="G152" s="1">
        <v>41592</v>
      </c>
      <c r="H152" s="24">
        <v>0.37120289750535601</v>
      </c>
      <c r="N152" s="1">
        <v>41592</v>
      </c>
      <c r="O152" s="57">
        <v>2.3059610467440102E-3</v>
      </c>
    </row>
    <row r="153" spans="2:15">
      <c r="B153" s="15">
        <v>41137</v>
      </c>
      <c r="C153" s="21">
        <v>0.88445471641937157</v>
      </c>
      <c r="D153" s="21">
        <f>VLOOKUP(CurrentMtgRatesDataTable825[[#This Row],[asOfDate]],N:O,2,0)</f>
        <v>0.85326106113769395</v>
      </c>
      <c r="E153" s="25">
        <f ca="1">VLOOKUP(CurrentMtgRatesDataTable825[[#This Row],[asOfDate]]+1,Bloomberg!B:C,2,0)</f>
        <v>4671.1000000000004</v>
      </c>
      <c r="G153" s="1">
        <v>41599</v>
      </c>
      <c r="H153" s="24">
        <v>0.42989701258795199</v>
      </c>
      <c r="N153" s="1">
        <v>41599</v>
      </c>
      <c r="O153" s="57">
        <v>5.1057108713702896E-3</v>
      </c>
    </row>
    <row r="154" spans="2:15">
      <c r="B154" s="15">
        <v>41130</v>
      </c>
      <c r="C154" s="21">
        <v>0.92408794393225557</v>
      </c>
      <c r="D154" s="21">
        <f>VLOOKUP(CurrentMtgRatesDataTable825[[#This Row],[asOfDate]],N:O,2,0)</f>
        <v>0.86873710574149099</v>
      </c>
      <c r="E154" s="25">
        <f ca="1">VLOOKUP(CurrentMtgRatesDataTable825[[#This Row],[asOfDate]]+1,Bloomberg!B:C,2,0)</f>
        <v>5172.2</v>
      </c>
      <c r="G154" s="1">
        <v>41605</v>
      </c>
      <c r="H154" s="24">
        <v>0.401262959025458</v>
      </c>
      <c r="N154" s="1">
        <v>41605</v>
      </c>
      <c r="O154" s="57">
        <v>3.7093838786239901E-3</v>
      </c>
    </row>
    <row r="155" spans="2:15">
      <c r="B155" s="15">
        <v>41123</v>
      </c>
      <c r="C155" s="21">
        <v>0.9385222539497815</v>
      </c>
      <c r="D155" s="21">
        <f>VLOOKUP(CurrentMtgRatesDataTable825[[#This Row],[asOfDate]],N:O,2,0)</f>
        <v>0.86721057119503697</v>
      </c>
      <c r="E155" s="25">
        <f ca="1">VLOOKUP(CurrentMtgRatesDataTable825[[#This Row],[asOfDate]]+1,Bloomberg!B:C,2,0)</f>
        <v>5444.3</v>
      </c>
      <c r="G155" s="1">
        <v>41613</v>
      </c>
      <c r="H155" s="24">
        <v>0.331227934580689</v>
      </c>
      <c r="N155" s="1">
        <v>41613</v>
      </c>
      <c r="O155" s="57">
        <v>1.5682869089664699E-3</v>
      </c>
    </row>
    <row r="156" spans="2:15">
      <c r="B156" s="15">
        <v>41116</v>
      </c>
      <c r="C156" s="21">
        <v>0.98451993370244106</v>
      </c>
      <c r="D156" s="21">
        <f>VLOOKUP(CurrentMtgRatesDataTable825[[#This Row],[asOfDate]],N:O,2,0)</f>
        <v>0.89854811201564799</v>
      </c>
      <c r="E156" s="25">
        <f ca="1">VLOOKUP(CurrentMtgRatesDataTable825[[#This Row],[asOfDate]]+1,Bloomberg!B:C,2,0)</f>
        <v>5492.1</v>
      </c>
      <c r="G156" s="1">
        <v>41620</v>
      </c>
      <c r="H156" s="24">
        <v>0.33082970500556302</v>
      </c>
      <c r="N156" s="1">
        <v>41620</v>
      </c>
      <c r="O156" s="57">
        <v>1.7289463930776701E-3</v>
      </c>
    </row>
    <row r="157" spans="2:15">
      <c r="B157" s="15">
        <v>41109</v>
      </c>
      <c r="C157" s="21">
        <v>0.97186924857158052</v>
      </c>
      <c r="D157" s="21">
        <f>VLOOKUP(CurrentMtgRatesDataTable825[[#This Row],[asOfDate]],N:O,2,0)</f>
        <v>0.88557582733423201</v>
      </c>
      <c r="E157" s="25">
        <f ca="1">VLOOKUP(CurrentMtgRatesDataTable825[[#This Row],[asOfDate]]+1,Bloomberg!B:C,2,0)</f>
        <v>5383.1</v>
      </c>
      <c r="G157" s="1">
        <v>41627</v>
      </c>
      <c r="H157" s="24">
        <v>0.29198850689481598</v>
      </c>
      <c r="N157" s="1">
        <v>41627</v>
      </c>
      <c r="O157" s="57">
        <v>9.4800641267841503E-4</v>
      </c>
    </row>
    <row r="158" spans="2:15">
      <c r="B158" s="15">
        <v>41102</v>
      </c>
      <c r="C158" s="21">
        <v>0.94551237246929465</v>
      </c>
      <c r="D158" s="21">
        <f>VLOOKUP(CurrentMtgRatesDataTable825[[#This Row],[asOfDate]],N:O,2,0)</f>
        <v>0.88306588959651799</v>
      </c>
      <c r="E158" s="25">
        <f ca="1">VLOOKUP(CurrentMtgRatesDataTable825[[#This Row],[asOfDate]]+1,Bloomberg!B:C,2,0)</f>
        <v>5246.8</v>
      </c>
      <c r="G158" s="1">
        <v>41634</v>
      </c>
      <c r="H158" s="24">
        <v>0.29162362501885603</v>
      </c>
      <c r="N158" s="1">
        <v>41634</v>
      </c>
      <c r="O158" s="57">
        <v>7.6921873800145097E-4</v>
      </c>
    </row>
    <row r="159" spans="2:15">
      <c r="B159" s="15">
        <v>41095</v>
      </c>
      <c r="C159" s="21">
        <v>0.8819114104860859</v>
      </c>
      <c r="D159" s="21">
        <f>VLOOKUP(CurrentMtgRatesDataTable825[[#This Row],[asOfDate]],N:O,2,0)</f>
        <v>0.85480310148891403</v>
      </c>
      <c r="E159" s="25">
        <f ca="1">VLOOKUP(CurrentMtgRatesDataTable825[[#This Row],[asOfDate]]+1,Bloomberg!B:C,2,0)</f>
        <v>4267.8999999999996</v>
      </c>
      <c r="G159" s="1">
        <v>41641</v>
      </c>
      <c r="H159" s="24">
        <v>0.265306805945277</v>
      </c>
      <c r="N159" s="1">
        <v>41641</v>
      </c>
      <c r="O159" s="57">
        <v>3.6503917074256998E-4</v>
      </c>
    </row>
    <row r="160" spans="2:15">
      <c r="B160" s="15">
        <v>41088</v>
      </c>
      <c r="C160" s="21">
        <v>0.89407594990163874</v>
      </c>
      <c r="D160" s="21">
        <f>VLOOKUP(CurrentMtgRatesDataTable825[[#This Row],[asOfDate]],N:O,2,0)</f>
        <v>0.86355719580735102</v>
      </c>
      <c r="E160" s="25">
        <f ca="1">VLOOKUP(CurrentMtgRatesDataTable825[[#This Row],[asOfDate]]+1,Bloomberg!B:C,2,0)</f>
        <v>4372.2</v>
      </c>
      <c r="G160" s="1">
        <v>41648</v>
      </c>
      <c r="H160" s="24">
        <v>0.29015447722721099</v>
      </c>
      <c r="N160" s="1">
        <v>41648</v>
      </c>
      <c r="O160" s="57">
        <v>7.2807678642524602E-4</v>
      </c>
    </row>
    <row r="161" spans="2:15">
      <c r="B161" s="15">
        <v>41081</v>
      </c>
      <c r="C161" s="21">
        <v>0.89407594990163874</v>
      </c>
      <c r="D161" s="21">
        <f>VLOOKUP(CurrentMtgRatesDataTable825[[#This Row],[asOfDate]],N:O,2,0)</f>
        <v>0.86355719580735102</v>
      </c>
      <c r="E161" s="25">
        <f ca="1">VLOOKUP(CurrentMtgRatesDataTable825[[#This Row],[asOfDate]]+1,Bloomberg!B:C,2,0)</f>
        <v>4585.8</v>
      </c>
      <c r="G161" s="1">
        <v>41655</v>
      </c>
      <c r="H161" s="24">
        <v>0.32467403778332998</v>
      </c>
      <c r="N161" s="1">
        <v>41655</v>
      </c>
      <c r="O161" s="57">
        <v>2.0703667546944798E-3</v>
      </c>
    </row>
    <row r="162" spans="2:15">
      <c r="B162" s="15">
        <v>41074</v>
      </c>
      <c r="C162" s="21">
        <v>0.88667449797815956</v>
      </c>
      <c r="D162" s="21">
        <f>VLOOKUP(CurrentMtgRatesDataTable825[[#This Row],[asOfDate]],N:O,2,0)</f>
        <v>0.84598502966079503</v>
      </c>
      <c r="E162" s="25">
        <f ca="1">VLOOKUP(CurrentMtgRatesDataTable825[[#This Row],[asOfDate]]+1,Bloomberg!B:C,2,0)</f>
        <v>4719.6000000000004</v>
      </c>
      <c r="G162" s="1">
        <v>41662</v>
      </c>
      <c r="H162" s="24">
        <v>0.32547727058860199</v>
      </c>
      <c r="N162" s="1">
        <v>41662</v>
      </c>
      <c r="O162" s="57">
        <v>2.2673030698720899E-3</v>
      </c>
    </row>
    <row r="163" spans="2:15">
      <c r="B163" s="15">
        <v>41067</v>
      </c>
      <c r="C163" s="21">
        <v>0.8920195449585564</v>
      </c>
      <c r="D163" s="21">
        <f>VLOOKUP(CurrentMtgRatesDataTable825[[#This Row],[asOfDate]],N:O,2,0)</f>
        <v>0.86123151402869003</v>
      </c>
      <c r="E163" s="25">
        <f ca="1">VLOOKUP(CurrentMtgRatesDataTable825[[#This Row],[asOfDate]]+1,Bloomberg!B:C,2,0)</f>
        <v>5590</v>
      </c>
      <c r="G163" s="1">
        <v>41669</v>
      </c>
      <c r="H163" s="24">
        <v>0.38449844249950499</v>
      </c>
      <c r="N163" s="1">
        <v>41669</v>
      </c>
      <c r="O163" s="57">
        <v>4.8506682686177702E-3</v>
      </c>
    </row>
    <row r="164" spans="2:15">
      <c r="B164" s="15">
        <v>41060</v>
      </c>
      <c r="C164" s="21">
        <v>0.89512122084695944</v>
      </c>
      <c r="D164" s="21">
        <f>VLOOKUP(CurrentMtgRatesDataTable825[[#This Row],[asOfDate]],N:O,2,0)</f>
        <v>0.83309495413351498</v>
      </c>
      <c r="E164" s="25">
        <f ca="1">VLOOKUP(CurrentMtgRatesDataTable825[[#This Row],[asOfDate]]+1,Bloomberg!B:C,2,0)</f>
        <v>4736</v>
      </c>
      <c r="G164" s="1">
        <v>41676</v>
      </c>
      <c r="H164" s="24">
        <v>0.407383000493176</v>
      </c>
      <c r="N164" s="1">
        <v>41676</v>
      </c>
      <c r="O164" s="57">
        <v>7.21546546831584E-3</v>
      </c>
    </row>
    <row r="165" spans="2:15">
      <c r="B165" s="15">
        <v>41053</v>
      </c>
      <c r="C165" s="21">
        <v>0.89443957907281746</v>
      </c>
      <c r="D165" s="21">
        <f>VLOOKUP(CurrentMtgRatesDataTable825[[#This Row],[asOfDate]],N:O,2,0)</f>
        <v>0.82988569781951205</v>
      </c>
      <c r="E165" s="25">
        <f ca="1">VLOOKUP(CurrentMtgRatesDataTable825[[#This Row],[asOfDate]]+1,Bloomberg!B:C,2,0)</f>
        <v>4675.8999999999996</v>
      </c>
      <c r="G165" s="1">
        <v>41683</v>
      </c>
      <c r="H165" s="24">
        <v>0.380280894786581</v>
      </c>
      <c r="N165" s="1">
        <v>41683</v>
      </c>
      <c r="O165" s="57">
        <v>5.9474577791092101E-3</v>
      </c>
    </row>
    <row r="166" spans="2:15">
      <c r="B166" s="15">
        <v>41046</v>
      </c>
      <c r="C166" s="21">
        <v>0.8948997967143093</v>
      </c>
      <c r="D166" s="21">
        <f>VLOOKUP(CurrentMtgRatesDataTable825[[#This Row],[asOfDate]],N:O,2,0)</f>
        <v>0.831927164274886</v>
      </c>
      <c r="E166" s="25">
        <f ca="1">VLOOKUP(CurrentMtgRatesDataTable825[[#This Row],[asOfDate]]+1,Bloomberg!B:C,2,0)</f>
        <v>4732</v>
      </c>
      <c r="G166" s="1">
        <v>41690</v>
      </c>
      <c r="H166" s="24">
        <v>0.35043602810261099</v>
      </c>
      <c r="N166" s="1">
        <v>41690</v>
      </c>
      <c r="O166" s="57">
        <v>3.7079476145124701E-3</v>
      </c>
    </row>
    <row r="167" spans="2:15">
      <c r="B167" s="15">
        <v>41039</v>
      </c>
      <c r="C167" s="21">
        <v>0.89337268606647302</v>
      </c>
      <c r="D167" s="21">
        <f>VLOOKUP(CurrentMtgRatesDataTable825[[#This Row],[asOfDate]],N:O,2,0)</f>
        <v>0.80754152596055995</v>
      </c>
      <c r="E167" s="25">
        <f ca="1">VLOOKUP(CurrentMtgRatesDataTable825[[#This Row],[asOfDate]]+1,Bloomberg!B:C,2,0)</f>
        <v>4482</v>
      </c>
      <c r="G167" s="1">
        <v>41697</v>
      </c>
      <c r="H167" s="24">
        <v>0.34853875137296803</v>
      </c>
      <c r="N167" s="1">
        <v>41697</v>
      </c>
      <c r="O167" s="57">
        <v>2.0311520591881401E-3</v>
      </c>
    </row>
    <row r="168" spans="2:15">
      <c r="B168" s="15">
        <v>41032</v>
      </c>
      <c r="C168" s="21">
        <v>0.89225108632442729</v>
      </c>
      <c r="D168" s="21">
        <f>VLOOKUP(CurrentMtgRatesDataTable825[[#This Row],[asOfDate]],N:O,2,0)</f>
        <v>0.80415566862182497</v>
      </c>
      <c r="E168" s="25">
        <f ca="1">VLOOKUP(CurrentMtgRatesDataTable825[[#This Row],[asOfDate]]+1,Bloomberg!B:C,2,0)</f>
        <v>3924.4</v>
      </c>
      <c r="G168" s="1">
        <v>41704</v>
      </c>
      <c r="H168" s="24">
        <v>0.37584545219724702</v>
      </c>
      <c r="N168" s="1">
        <v>41704</v>
      </c>
      <c r="O168" s="57">
        <v>6.3681225023528298E-3</v>
      </c>
    </row>
    <row r="169" spans="2:15">
      <c r="B169" s="15">
        <v>41025</v>
      </c>
      <c r="C169" s="21">
        <v>0.90849340717481886</v>
      </c>
      <c r="D169" s="21">
        <f>VLOOKUP(CurrentMtgRatesDataTable825[[#This Row],[asOfDate]],N:O,2,0)</f>
        <v>0.80265108338267499</v>
      </c>
      <c r="E169" s="25">
        <f ca="1">VLOOKUP(CurrentMtgRatesDataTable825[[#This Row],[asOfDate]]+1,Bloomberg!B:C,2,0)</f>
        <v>3856</v>
      </c>
      <c r="G169" s="1">
        <v>41711</v>
      </c>
      <c r="H169" s="24">
        <v>0.34537825411835699</v>
      </c>
      <c r="N169" s="1">
        <v>41711</v>
      </c>
      <c r="O169" s="57">
        <v>2.5606168679182602E-3</v>
      </c>
    </row>
    <row r="170" spans="2:15">
      <c r="B170" s="15">
        <v>41018</v>
      </c>
      <c r="C170" s="21">
        <v>0.9034983903169389</v>
      </c>
      <c r="D170" s="21">
        <f>VLOOKUP(CurrentMtgRatesDataTable825[[#This Row],[asOfDate]],N:O,2,0)</f>
        <v>0.77849897612614904</v>
      </c>
      <c r="E170" s="25">
        <f ca="1">VLOOKUP(CurrentMtgRatesDataTable825[[#This Row],[asOfDate]]+1,Bloomberg!B:C,2,0)</f>
        <v>3892.2</v>
      </c>
      <c r="G170" s="1">
        <v>41718</v>
      </c>
      <c r="H170" s="24">
        <v>0.37475184713589199</v>
      </c>
      <c r="N170" s="1">
        <v>41718</v>
      </c>
      <c r="O170" s="57">
        <v>6.7470837053240302E-3</v>
      </c>
    </row>
    <row r="171" spans="2:15">
      <c r="B171" s="15">
        <v>41011</v>
      </c>
      <c r="C171" s="21">
        <v>0.90849340717481886</v>
      </c>
      <c r="D171" s="21">
        <f>VLOOKUP(CurrentMtgRatesDataTable825[[#This Row],[asOfDate]],N:O,2,0)</f>
        <v>0.80265108338267499</v>
      </c>
      <c r="E171" s="25">
        <f ca="1">VLOOKUP(CurrentMtgRatesDataTable825[[#This Row],[asOfDate]]+1,Bloomberg!B:C,2,0)</f>
        <v>4144.3</v>
      </c>
      <c r="G171" s="1">
        <v>41725</v>
      </c>
      <c r="H171" s="24">
        <v>0.34373332978073601</v>
      </c>
      <c r="N171" s="1">
        <v>41725</v>
      </c>
      <c r="O171" s="57">
        <v>2.5391137542070102E-3</v>
      </c>
    </row>
    <row r="172" spans="2:15">
      <c r="B172" s="15">
        <v>41004</v>
      </c>
      <c r="C172" s="21">
        <v>0.86928745494692716</v>
      </c>
      <c r="D172" s="21">
        <f>VLOOKUP(CurrentMtgRatesDataTable825[[#This Row],[asOfDate]],N:O,2,0)</f>
        <v>2.3931530313827699E-3</v>
      </c>
      <c r="E172" s="25">
        <f ca="1">VLOOKUP(CurrentMtgRatesDataTable825[[#This Row],[asOfDate]]+1,Bloomberg!B:C,2,0)</f>
        <v>3549.3</v>
      </c>
      <c r="G172" s="1">
        <v>41732</v>
      </c>
      <c r="H172" s="24">
        <v>0.31383635422742501</v>
      </c>
      <c r="N172" s="1">
        <v>41732</v>
      </c>
      <c r="O172" s="57">
        <v>1.48737291930596E-3</v>
      </c>
    </row>
    <row r="173" spans="2:15">
      <c r="B173" s="15">
        <v>40997</v>
      </c>
      <c r="C173" s="21">
        <v>0.87490910290764468</v>
      </c>
      <c r="D173" s="21">
        <f>VLOOKUP(CurrentMtgRatesDataTable825[[#This Row],[asOfDate]],N:O,2,0)</f>
        <v>2.0359348143069401E-3</v>
      </c>
      <c r="E173" s="25">
        <f ca="1">VLOOKUP(CurrentMtgRatesDataTable825[[#This Row],[asOfDate]]+1,Bloomberg!B:C,2,0)</f>
        <v>3699.5</v>
      </c>
      <c r="G173" s="1">
        <v>41739</v>
      </c>
      <c r="H173" s="24">
        <v>0.34451093908200903</v>
      </c>
      <c r="N173" s="1">
        <v>41739</v>
      </c>
      <c r="O173" s="57">
        <v>3.4890800072405899E-3</v>
      </c>
    </row>
    <row r="174" spans="2:15">
      <c r="B174" s="15">
        <v>40990</v>
      </c>
      <c r="C174" s="21">
        <v>0.78959380464288376</v>
      </c>
      <c r="D174" s="21">
        <f>VLOOKUP(CurrentMtgRatesDataTable825[[#This Row],[asOfDate]],N:O,2,0)</f>
        <v>1.02306018328437E-3</v>
      </c>
      <c r="E174" s="25">
        <f ca="1">VLOOKUP(CurrentMtgRatesDataTable825[[#This Row],[asOfDate]]+1,Bloomberg!B:C,2,0)</f>
        <v>3588.4</v>
      </c>
      <c r="G174" s="1">
        <v>41746</v>
      </c>
      <c r="H174" s="24">
        <v>0.37550642358643799</v>
      </c>
      <c r="N174" s="1">
        <v>41746</v>
      </c>
      <c r="O174" s="57">
        <v>9.0367181357990708E-3</v>
      </c>
    </row>
    <row r="175" spans="2:15">
      <c r="B175" s="15">
        <v>40983</v>
      </c>
      <c r="C175" s="21">
        <v>0.90514599034862198</v>
      </c>
      <c r="D175" s="21">
        <f>VLOOKUP(CurrentMtgRatesDataTable825[[#This Row],[asOfDate]],N:O,2,0)</f>
        <v>0.77543640291465299</v>
      </c>
      <c r="E175" s="25">
        <f ca="1">VLOOKUP(CurrentMtgRatesDataTable825[[#This Row],[asOfDate]]+1,Bloomberg!B:C,2,0)</f>
        <v>3715.2</v>
      </c>
      <c r="G175" s="1">
        <v>41753</v>
      </c>
      <c r="H175" s="24">
        <v>0.37394334466633</v>
      </c>
      <c r="N175" s="1">
        <v>41753</v>
      </c>
      <c r="O175" s="57">
        <v>5.3403429564292202E-3</v>
      </c>
    </row>
    <row r="176" spans="2:15">
      <c r="B176" s="15">
        <v>40976</v>
      </c>
      <c r="C176" s="21">
        <v>0.91902765125865959</v>
      </c>
      <c r="D176" s="21">
        <f>VLOOKUP(CurrentMtgRatesDataTable825[[#This Row],[asOfDate]],N:O,2,0)</f>
        <v>0.78407944596061996</v>
      </c>
      <c r="E176" s="25">
        <f ca="1">VLOOKUP(CurrentMtgRatesDataTable825[[#This Row],[asOfDate]]+1,Bloomberg!B:C,2,0)</f>
        <v>4063.4</v>
      </c>
      <c r="G176" s="1">
        <v>41760</v>
      </c>
      <c r="H176" s="24">
        <v>0.37348002875422498</v>
      </c>
      <c r="N176" s="1">
        <v>41760</v>
      </c>
      <c r="O176" s="57">
        <v>9.8642663465764498E-3</v>
      </c>
    </row>
    <row r="177" spans="2:15">
      <c r="B177" s="15">
        <v>40969</v>
      </c>
      <c r="C177" s="21">
        <v>0.91584710240533518</v>
      </c>
      <c r="D177" s="21">
        <f>VLOOKUP(CurrentMtgRatesDataTable825[[#This Row],[asOfDate]],N:O,2,0)</f>
        <v>0.775278844773303</v>
      </c>
      <c r="E177" s="25">
        <f ca="1">VLOOKUP(CurrentMtgRatesDataTable825[[#This Row],[asOfDate]]+1,Bloomberg!B:C,2,0)</f>
        <v>4277.6000000000004</v>
      </c>
      <c r="G177" s="1">
        <v>41767</v>
      </c>
      <c r="H177" s="24">
        <v>0.42315654967107302</v>
      </c>
      <c r="N177" s="1">
        <v>41767</v>
      </c>
      <c r="O177" s="57">
        <v>2.2073656709097101E-2</v>
      </c>
    </row>
    <row r="178" spans="2:15">
      <c r="B178" s="15">
        <v>40962</v>
      </c>
      <c r="C178" s="21">
        <v>0.90921329115869776</v>
      </c>
      <c r="D178" s="21">
        <f>VLOOKUP(CurrentMtgRatesDataTable825[[#This Row],[asOfDate]],N:O,2,0)</f>
        <v>0.76744855177879401</v>
      </c>
      <c r="E178" s="25">
        <f ca="1">VLOOKUP(CurrentMtgRatesDataTable825[[#This Row],[asOfDate]]+1,Bloomberg!B:C,2,0)</f>
        <v>4379.1000000000004</v>
      </c>
      <c r="G178" s="1">
        <v>41774</v>
      </c>
      <c r="H178" s="24">
        <v>0.42349289634896597</v>
      </c>
      <c r="N178" s="1">
        <v>41774</v>
      </c>
      <c r="O178" s="57">
        <v>2.2126974140678001E-2</v>
      </c>
    </row>
    <row r="179" spans="2:15">
      <c r="B179" s="15">
        <v>40955</v>
      </c>
      <c r="C179" s="21">
        <v>0.94107838104995334</v>
      </c>
      <c r="D179" s="21">
        <f>VLOOKUP(CurrentMtgRatesDataTable825[[#This Row],[asOfDate]],N:O,2,0)</f>
        <v>0.79921379703908202</v>
      </c>
      <c r="E179" s="25">
        <f ca="1">VLOOKUP(CurrentMtgRatesDataTable825[[#This Row],[asOfDate]]+1,Bloomberg!B:C,2,0)</f>
        <v>4466.8999999999996</v>
      </c>
      <c r="G179" s="1">
        <v>41781</v>
      </c>
      <c r="H179" s="24">
        <v>0.44562837110466802</v>
      </c>
      <c r="N179" s="1">
        <v>41781</v>
      </c>
      <c r="O179" s="57">
        <v>2.8653101671392602E-2</v>
      </c>
    </row>
    <row r="180" spans="2:15">
      <c r="B180" s="15">
        <v>40948</v>
      </c>
      <c r="C180" s="21">
        <v>0.94107838104995334</v>
      </c>
      <c r="D180" s="21">
        <f>VLOOKUP(CurrentMtgRatesDataTable825[[#This Row],[asOfDate]],N:O,2,0)</f>
        <v>0.79921379703908202</v>
      </c>
      <c r="E180" s="25">
        <f ca="1">VLOOKUP(CurrentMtgRatesDataTable825[[#This Row],[asOfDate]]+1,Bloomberg!B:C,2,0)</f>
        <v>4716.1000000000004</v>
      </c>
      <c r="G180" s="1">
        <v>41788</v>
      </c>
      <c r="H180" s="24">
        <v>0.44740081291084099</v>
      </c>
      <c r="N180" s="1">
        <v>41788</v>
      </c>
      <c r="O180" s="57">
        <v>2.9521653233466699E-2</v>
      </c>
    </row>
    <row r="181" spans="2:15">
      <c r="B181" s="15">
        <v>40941</v>
      </c>
      <c r="C181" s="21">
        <v>0.94107838104995334</v>
      </c>
      <c r="D181" s="21">
        <f>VLOOKUP(CurrentMtgRatesDataTable825[[#This Row],[asOfDate]],N:O,2,0)</f>
        <v>0.79845513778799804</v>
      </c>
      <c r="E181" s="25">
        <f ca="1">VLOOKUP(CurrentMtgRatesDataTable825[[#This Row],[asOfDate]]+1,Bloomberg!B:C,2,0)</f>
        <v>4617.1000000000004</v>
      </c>
      <c r="G181" s="1">
        <v>41795</v>
      </c>
      <c r="H181" s="24">
        <v>0.447997908024105</v>
      </c>
      <c r="N181" s="1">
        <v>41795</v>
      </c>
      <c r="O181" s="57">
        <v>3.39392972413807E-2</v>
      </c>
    </row>
    <row r="182" spans="2:15">
      <c r="B182" s="15">
        <v>40934</v>
      </c>
      <c r="C182" s="21">
        <v>0.91861521434498927</v>
      </c>
      <c r="D182" s="21">
        <f>VLOOKUP(CurrentMtgRatesDataTable825[[#This Row],[asOfDate]],N:O,2,0)</f>
        <v>0.78374402567192103</v>
      </c>
      <c r="E182" s="25">
        <f ca="1">VLOOKUP(CurrentMtgRatesDataTable825[[#This Row],[asOfDate]]+1,Bloomberg!B:C,2,0)</f>
        <v>4184.3</v>
      </c>
      <c r="G182" s="1">
        <v>41802</v>
      </c>
      <c r="H182" s="24">
        <v>0.42258598579352902</v>
      </c>
      <c r="N182" s="1">
        <v>41802</v>
      </c>
      <c r="O182" s="57">
        <v>2.57985966584953E-2</v>
      </c>
    </row>
    <row r="183" spans="2:15">
      <c r="B183" s="15">
        <v>40927</v>
      </c>
      <c r="C183" s="21">
        <v>0.95182771809710431</v>
      </c>
      <c r="D183" s="21">
        <f>VLOOKUP(CurrentMtgRatesDataTable825[[#This Row],[asOfDate]],N:O,2,0)</f>
        <v>0.81498439857814597</v>
      </c>
      <c r="E183" s="25">
        <f ca="1">VLOOKUP(CurrentMtgRatesDataTable825[[#This Row],[asOfDate]]+1,Bloomberg!B:C,2,0)</f>
        <v>4326.3999999999996</v>
      </c>
      <c r="G183" s="1">
        <v>41809</v>
      </c>
      <c r="H183" s="24">
        <v>0.42434402519227898</v>
      </c>
      <c r="N183" s="1">
        <v>41809</v>
      </c>
      <c r="O183" s="57">
        <v>2.6288769130428501E-2</v>
      </c>
    </row>
    <row r="184" spans="2:15">
      <c r="B184" s="15">
        <v>40920</v>
      </c>
      <c r="C184" s="21">
        <v>0.95320351892281485</v>
      </c>
      <c r="D184" s="21">
        <f>VLOOKUP(CurrentMtgRatesDataTable825[[#This Row],[asOfDate]],N:O,2,0)</f>
        <v>0.81663205917875104</v>
      </c>
      <c r="E184" s="25">
        <f ca="1">VLOOKUP(CurrentMtgRatesDataTable825[[#This Row],[asOfDate]]+1,Bloomberg!B:C,2,0)</f>
        <v>4626.5</v>
      </c>
      <c r="G184" s="1">
        <v>41816</v>
      </c>
      <c r="H184" s="24">
        <v>0.447997908024105</v>
      </c>
      <c r="N184" s="1">
        <v>41816</v>
      </c>
      <c r="O184" s="57">
        <v>3.4895003086718203E-2</v>
      </c>
    </row>
    <row r="185" spans="2:15">
      <c r="B185" s="15">
        <v>40913</v>
      </c>
      <c r="C185" s="21">
        <v>0.94481773750585774</v>
      </c>
      <c r="D185" s="21">
        <f>VLOOKUP(CurrentMtgRatesDataTable825[[#This Row],[asOfDate]],N:O,2,0)</f>
        <v>0.80565650657334698</v>
      </c>
      <c r="E185" s="25">
        <f ca="1">VLOOKUP(CurrentMtgRatesDataTable825[[#This Row],[asOfDate]]+1,Bloomberg!B:C,2,0)</f>
        <v>3668.3</v>
      </c>
      <c r="G185" s="1">
        <v>41823</v>
      </c>
      <c r="H185" s="24">
        <v>0.47241973099249801</v>
      </c>
      <c r="N185" s="1">
        <v>41823</v>
      </c>
      <c r="O185" s="57">
        <v>5.0464297832893801E-2</v>
      </c>
    </row>
    <row r="186" spans="2:15">
      <c r="B186" s="15">
        <v>40906</v>
      </c>
      <c r="C186" s="21">
        <v>0.94762260030460288</v>
      </c>
      <c r="D186" s="21">
        <f>VLOOKUP(CurrentMtgRatesDataTable825[[#This Row],[asOfDate]],N:O,2,0)</f>
        <v>0.817559292303353</v>
      </c>
      <c r="E186" s="25">
        <f ca="1">VLOOKUP(CurrentMtgRatesDataTable825[[#This Row],[asOfDate]]+1,Bloomberg!B:C,2,0)</f>
        <v>3608.1</v>
      </c>
      <c r="G186" s="1">
        <v>41830</v>
      </c>
      <c r="H186" s="24">
        <v>0.41926854513922601</v>
      </c>
      <c r="N186" s="1">
        <v>41830</v>
      </c>
      <c r="O186" s="57">
        <v>2.8091291880043799E-2</v>
      </c>
    </row>
    <row r="187" spans="2:15">
      <c r="B187" s="15">
        <v>40899</v>
      </c>
      <c r="C187" s="21">
        <v>0.9601958662364245</v>
      </c>
      <c r="D187" s="21">
        <f>VLOOKUP(CurrentMtgRatesDataTable825[[#This Row],[asOfDate]],N:O,2,0)</f>
        <v>0.82559057548597004</v>
      </c>
      <c r="E187" s="25">
        <f ca="1">VLOOKUP(CurrentMtgRatesDataTable825[[#This Row],[asOfDate]]+1,Bloomberg!B:C,2,0)</f>
        <v>3684.5</v>
      </c>
      <c r="G187" s="1">
        <v>41837</v>
      </c>
      <c r="H187" s="24">
        <v>0.44241787954298001</v>
      </c>
      <c r="N187" s="1">
        <v>41837</v>
      </c>
      <c r="O187" s="57">
        <v>3.6985472623473202E-2</v>
      </c>
    </row>
    <row r="188" spans="2:15">
      <c r="B188" s="15">
        <v>40892</v>
      </c>
      <c r="C188" s="21">
        <v>0.93969161247928745</v>
      </c>
      <c r="D188" s="21">
        <f>VLOOKUP(CurrentMtgRatesDataTable825[[#This Row],[asOfDate]],N:O,2,0)</f>
        <v>0.79669049657242397</v>
      </c>
      <c r="E188" s="25">
        <f ca="1">VLOOKUP(CurrentMtgRatesDataTable825[[#This Row],[asOfDate]]+1,Bloomberg!B:C,2,0)</f>
        <v>3676.1</v>
      </c>
      <c r="G188" s="1">
        <v>41844</v>
      </c>
      <c r="H188" s="24">
        <v>0.44241787954298001</v>
      </c>
      <c r="N188" s="1">
        <v>41844</v>
      </c>
      <c r="O188" s="57">
        <v>3.6985472623473202E-2</v>
      </c>
    </row>
    <row r="189" spans="2:15">
      <c r="B189" s="15">
        <v>40885</v>
      </c>
      <c r="C189" s="21">
        <v>0.9248746068169833</v>
      </c>
      <c r="D189" s="21">
        <f>VLOOKUP(CurrentMtgRatesDataTable825[[#This Row],[asOfDate]],N:O,2,0)</f>
        <v>0.79468507896195895</v>
      </c>
      <c r="E189" s="25">
        <f ca="1">VLOOKUP(CurrentMtgRatesDataTable825[[#This Row],[asOfDate]]+1,Bloomberg!B:C,2,0)</f>
        <v>3708.6</v>
      </c>
      <c r="G189" s="1">
        <v>41851</v>
      </c>
      <c r="H189" s="24">
        <v>0.44366576481104603</v>
      </c>
      <c r="N189" s="1">
        <v>41851</v>
      </c>
      <c r="O189" s="57">
        <v>3.8081960412189197E-2</v>
      </c>
    </row>
    <row r="190" spans="2:15">
      <c r="B190" s="15">
        <v>40878</v>
      </c>
      <c r="C190" s="21">
        <v>0.91542628506626045</v>
      </c>
      <c r="D190" s="21">
        <f>VLOOKUP(CurrentMtgRatesDataTable825[[#This Row],[asOfDate]],N:O,2,0)</f>
        <v>0.79395979394243599</v>
      </c>
      <c r="E190" s="25">
        <f ca="1">VLOOKUP(CurrentMtgRatesDataTable825[[#This Row],[asOfDate]]+1,Bloomberg!B:C,2,0)</f>
        <v>3394.7</v>
      </c>
      <c r="G190" s="1">
        <v>41858</v>
      </c>
      <c r="H190" s="24">
        <v>0.41284557270170602</v>
      </c>
      <c r="N190" s="1">
        <v>41858</v>
      </c>
      <c r="O190" s="57">
        <v>2.98931442613069E-2</v>
      </c>
    </row>
    <row r="191" spans="2:15">
      <c r="B191" s="15">
        <v>40870</v>
      </c>
      <c r="C191" s="21">
        <v>0.94997170807452469</v>
      </c>
      <c r="D191" s="21">
        <f>VLOOKUP(CurrentMtgRatesDataTable825[[#This Row],[asOfDate]],N:O,2,0)</f>
        <v>0.80866545886582697</v>
      </c>
      <c r="E191" s="25" t="e">
        <f ca="1">VLOOKUP(CurrentMtgRatesDataTable825[[#This Row],[asOfDate]]+1,Bloomberg!B:C,2,0)</f>
        <v>#N/A</v>
      </c>
      <c r="G191" s="1">
        <v>41865</v>
      </c>
      <c r="H191" s="24">
        <v>0.437009219217877</v>
      </c>
      <c r="N191" s="1">
        <v>41865</v>
      </c>
      <c r="O191" s="57">
        <v>4.0576469480246402E-2</v>
      </c>
    </row>
    <row r="192" spans="2:15">
      <c r="B192" s="15">
        <v>40864</v>
      </c>
      <c r="C192" s="21">
        <v>0.93485323798856346</v>
      </c>
      <c r="D192" s="21">
        <f>VLOOKUP(CurrentMtgRatesDataTable825[[#This Row],[asOfDate]],N:O,2,0)</f>
        <v>0.807360764605215</v>
      </c>
      <c r="E192" s="25">
        <f ca="1">VLOOKUP(CurrentMtgRatesDataTable825[[#This Row],[asOfDate]]+1,Bloomberg!B:C,2,0)</f>
        <v>3466.8</v>
      </c>
      <c r="G192" s="1">
        <v>41872</v>
      </c>
      <c r="H192" s="24">
        <v>0.46725416935729103</v>
      </c>
      <c r="N192" s="1">
        <v>41872</v>
      </c>
      <c r="O192" s="57">
        <v>5.5733257120455203E-2</v>
      </c>
    </row>
    <row r="193" spans="2:15">
      <c r="B193" s="15">
        <v>40857</v>
      </c>
      <c r="C193" s="21">
        <v>0.94404770550683115</v>
      </c>
      <c r="D193" s="21">
        <f>VLOOKUP(CurrentMtgRatesDataTable825[[#This Row],[asOfDate]],N:O,2,0)</f>
        <v>0.80740872054840995</v>
      </c>
      <c r="E193" s="25">
        <f ca="1">VLOOKUP(CurrentMtgRatesDataTable825[[#This Row],[asOfDate]]+1,Bloomberg!B:C,2,0)</f>
        <v>3664.5</v>
      </c>
      <c r="G193" s="1">
        <v>41879</v>
      </c>
      <c r="H193" s="24">
        <v>0.46725416935729103</v>
      </c>
      <c r="N193" s="1">
        <v>41879</v>
      </c>
      <c r="O193" s="57">
        <v>5.5210302843546E-2</v>
      </c>
    </row>
    <row r="194" spans="2:15">
      <c r="B194" s="15">
        <v>40850</v>
      </c>
      <c r="C194" s="21">
        <v>0.93485323798856346</v>
      </c>
      <c r="D194" s="21">
        <f>VLOOKUP(CurrentMtgRatesDataTable825[[#This Row],[asOfDate]],N:O,2,0)</f>
        <v>0.80648126550350197</v>
      </c>
      <c r="E194" s="25">
        <f ca="1">VLOOKUP(CurrentMtgRatesDataTable825[[#This Row],[asOfDate]]+1,Bloomberg!B:C,2,0)</f>
        <v>4137.6000000000004</v>
      </c>
      <c r="G194" s="1">
        <v>41886</v>
      </c>
      <c r="H194" s="24">
        <v>0.46145357757128402</v>
      </c>
      <c r="N194" s="1">
        <v>41886</v>
      </c>
      <c r="O194" s="57">
        <v>5.6843667888921999E-2</v>
      </c>
    </row>
    <row r="195" spans="2:15">
      <c r="B195" s="15">
        <v>40843</v>
      </c>
      <c r="C195" s="21">
        <v>0.86512672485653175</v>
      </c>
      <c r="D195" s="21">
        <f>VLOOKUP(CurrentMtgRatesDataTable825[[#This Row],[asOfDate]],N:O,2,0)</f>
        <v>0.77089716807818798</v>
      </c>
      <c r="E195" s="25">
        <f ca="1">VLOOKUP(CurrentMtgRatesDataTable825[[#This Row],[asOfDate]]+1,Bloomberg!B:C,2,0)</f>
        <v>3695</v>
      </c>
      <c r="G195" s="1">
        <v>41893</v>
      </c>
      <c r="H195" s="24">
        <v>0.45995272695767497</v>
      </c>
      <c r="N195" s="1">
        <v>41893</v>
      </c>
      <c r="O195" s="57">
        <v>5.6963722019140399E-2</v>
      </c>
    </row>
    <row r="196" spans="2:15">
      <c r="B196" s="15">
        <v>40836</v>
      </c>
      <c r="C196" s="21">
        <v>0.85635864773186432</v>
      </c>
      <c r="D196" s="21">
        <f>VLOOKUP(CurrentMtgRatesDataTable825[[#This Row],[asOfDate]],N:O,2,0)</f>
        <v>0.76945479185077703</v>
      </c>
      <c r="E196" s="25">
        <f ca="1">VLOOKUP(CurrentMtgRatesDataTable825[[#This Row],[asOfDate]]+1,Bloomberg!B:C,2,0)</f>
        <v>3719.3</v>
      </c>
      <c r="G196" s="1">
        <v>41900</v>
      </c>
      <c r="H196" s="24">
        <v>0.403775681059653</v>
      </c>
      <c r="N196" s="1">
        <v>41900</v>
      </c>
      <c r="O196" s="57">
        <v>2.1801779477546102E-3</v>
      </c>
    </row>
    <row r="197" spans="2:15">
      <c r="B197" s="15">
        <v>40829</v>
      </c>
      <c r="C197" s="21">
        <v>0.84917694017596268</v>
      </c>
      <c r="D197" s="21">
        <f>VLOOKUP(CurrentMtgRatesDataTable825[[#This Row],[asOfDate]],N:O,2,0)</f>
        <v>0.75098159830325395</v>
      </c>
      <c r="E197" s="25">
        <f ca="1">VLOOKUP(CurrentMtgRatesDataTable825[[#This Row],[asOfDate]]+1,Bloomberg!B:C,2,0)</f>
        <v>3553.2</v>
      </c>
      <c r="G197" s="1">
        <v>41907</v>
      </c>
      <c r="H197" s="24">
        <v>0.40569534905697002</v>
      </c>
      <c r="N197" s="1">
        <v>41907</v>
      </c>
      <c r="O197" s="57">
        <v>2.1899499180467298E-3</v>
      </c>
    </row>
    <row r="198" spans="2:15">
      <c r="B198" s="15">
        <v>40822</v>
      </c>
      <c r="C198" s="21">
        <v>0.96725200604215567</v>
      </c>
      <c r="D198" s="21">
        <f>VLOOKUP(CurrentMtgRatesDataTable825[[#This Row],[asOfDate]],N:O,2,0)</f>
        <v>0.82194247765297301</v>
      </c>
      <c r="E198" s="25">
        <f ca="1">VLOOKUP(CurrentMtgRatesDataTable825[[#This Row],[asOfDate]]+1,Bloomberg!B:C,2,0)</f>
        <v>4251.1000000000004</v>
      </c>
      <c r="G198" s="1">
        <v>41914</v>
      </c>
      <c r="H198" s="24">
        <v>0.419925946793896</v>
      </c>
      <c r="N198" s="1">
        <v>41914</v>
      </c>
      <c r="O198" s="57">
        <v>5.78845043705907E-3</v>
      </c>
    </row>
    <row r="199" spans="2:15">
      <c r="B199" s="15">
        <v>40815</v>
      </c>
      <c r="C199" s="21">
        <v>0.94644262124543443</v>
      </c>
      <c r="D199" s="21">
        <f>VLOOKUP(CurrentMtgRatesDataTable825[[#This Row],[asOfDate]],N:O,2,0)</f>
        <v>0.83561176946303795</v>
      </c>
      <c r="E199" s="25">
        <f ca="1">VLOOKUP(CurrentMtgRatesDataTable825[[#This Row],[asOfDate]]+1,Bloomberg!B:C,2,0)</f>
        <v>4241.8</v>
      </c>
      <c r="G199" s="1">
        <v>41921</v>
      </c>
      <c r="H199" s="24">
        <v>0.45168042618119703</v>
      </c>
      <c r="N199" s="1">
        <v>41921</v>
      </c>
      <c r="O199" s="57">
        <v>5.7460081272162802E-2</v>
      </c>
    </row>
    <row r="200" spans="2:15">
      <c r="B200" s="15">
        <v>40808</v>
      </c>
      <c r="C200" s="21">
        <v>0.90242289630359074</v>
      </c>
      <c r="D200" s="21">
        <f>VLOOKUP(CurrentMtgRatesDataTable825[[#This Row],[asOfDate]],N:O,2,0)</f>
        <v>0.78833832359916201</v>
      </c>
      <c r="E200" s="25">
        <f ca="1">VLOOKUP(CurrentMtgRatesDataTable825[[#This Row],[asOfDate]]+1,Bloomberg!B:C,2,0)</f>
        <v>4512.1000000000004</v>
      </c>
      <c r="G200" s="1">
        <v>41928</v>
      </c>
      <c r="H200" s="24">
        <v>0.51982909302980596</v>
      </c>
      <c r="N200" s="1">
        <v>41928</v>
      </c>
      <c r="O200" s="57">
        <v>9.2515921347387203E-2</v>
      </c>
    </row>
    <row r="201" spans="2:15">
      <c r="B201" s="15">
        <v>40801</v>
      </c>
      <c r="C201" s="21">
        <v>0.90242289630359074</v>
      </c>
      <c r="D201" s="21">
        <f>VLOOKUP(CurrentMtgRatesDataTable825[[#This Row],[asOfDate]],N:O,2,0)</f>
        <v>0.78833832359916201</v>
      </c>
      <c r="E201" s="25">
        <f ca="1">VLOOKUP(CurrentMtgRatesDataTable825[[#This Row],[asOfDate]]+1,Bloomberg!B:C,2,0)</f>
        <v>4033.8</v>
      </c>
      <c r="G201" s="1">
        <v>41935</v>
      </c>
      <c r="H201" s="24">
        <v>0.54838604953283498</v>
      </c>
      <c r="N201" s="1">
        <v>41935</v>
      </c>
      <c r="O201" s="57">
        <v>0.105678643107878</v>
      </c>
    </row>
    <row r="202" spans="2:15">
      <c r="B202" s="15">
        <v>40794</v>
      </c>
      <c r="C202" s="21">
        <v>0.87859103936280614</v>
      </c>
      <c r="D202" s="21">
        <f>VLOOKUP(CurrentMtgRatesDataTable825[[#This Row],[asOfDate]],N:O,2,0)</f>
        <v>0.786160649616369</v>
      </c>
      <c r="E202" s="25">
        <f ca="1">VLOOKUP(CurrentMtgRatesDataTable825[[#This Row],[asOfDate]]+1,Bloomberg!B:C,2,0)</f>
        <v>3571.7</v>
      </c>
      <c r="G202" s="1">
        <v>41942</v>
      </c>
      <c r="H202" s="24">
        <v>0.519221652370358</v>
      </c>
      <c r="N202" s="1">
        <v>41942</v>
      </c>
      <c r="O202" s="57">
        <v>9.2355670832085193E-2</v>
      </c>
    </row>
    <row r="203" spans="2:15">
      <c r="B203" s="15">
        <v>40787</v>
      </c>
      <c r="C203" s="21">
        <v>0.84129278814437181</v>
      </c>
      <c r="D203" s="21">
        <f>VLOOKUP(CurrentMtgRatesDataTable825[[#This Row],[asOfDate]],N:O,2,0)</f>
        <v>0.72380364081501802</v>
      </c>
      <c r="E203" s="25">
        <f ca="1">VLOOKUP(CurrentMtgRatesDataTable825[[#This Row],[asOfDate]]+1,Bloomberg!B:C,2,0)</f>
        <v>3372</v>
      </c>
      <c r="G203" s="1">
        <v>41949</v>
      </c>
      <c r="H203" s="24">
        <v>0.47679161148246502</v>
      </c>
      <c r="N203" s="1">
        <v>41949</v>
      </c>
      <c r="O203" s="57">
        <v>7.3307962083476605E-2</v>
      </c>
    </row>
    <row r="204" spans="2:15">
      <c r="B204" s="15">
        <v>40780</v>
      </c>
      <c r="C204" s="21">
        <v>0.84714025108084823</v>
      </c>
      <c r="D204" s="21">
        <f>VLOOKUP(CurrentMtgRatesDataTable825[[#This Row],[asOfDate]],N:O,2,0)</f>
        <v>0.73020380506198002</v>
      </c>
      <c r="E204" s="25">
        <f ca="1">VLOOKUP(CurrentMtgRatesDataTable825[[#This Row],[asOfDate]]+1,Bloomberg!B:C,2,0)</f>
        <v>3601.3</v>
      </c>
      <c r="G204" s="1">
        <v>41956</v>
      </c>
      <c r="H204" s="24">
        <v>0.47696082053878203</v>
      </c>
      <c r="N204" s="1">
        <v>41956</v>
      </c>
      <c r="O204" s="57">
        <v>7.4888854290669493E-2</v>
      </c>
    </row>
    <row r="205" spans="2:15">
      <c r="B205" s="15">
        <v>40773</v>
      </c>
      <c r="C205" s="21">
        <v>0.86117434904403212</v>
      </c>
      <c r="D205" s="21">
        <f>VLOOKUP(CurrentMtgRatesDataTable825[[#This Row],[asOfDate]],N:O,2,0)</f>
        <v>0.76977670194978398</v>
      </c>
      <c r="E205" s="25">
        <f ca="1">VLOOKUP(CurrentMtgRatesDataTable825[[#This Row],[asOfDate]]+1,Bloomberg!B:C,2,0)</f>
        <v>4110.8</v>
      </c>
      <c r="G205" s="1">
        <v>41963</v>
      </c>
      <c r="H205" s="24">
        <v>0.51126312077979097</v>
      </c>
      <c r="N205" s="1">
        <v>41963</v>
      </c>
      <c r="O205" s="57">
        <v>9.2759285706895706E-2</v>
      </c>
    </row>
    <row r="206" spans="2:15">
      <c r="B206" s="15">
        <v>40766</v>
      </c>
      <c r="C206" s="21">
        <v>0.83404184296119399</v>
      </c>
      <c r="D206" s="21">
        <f>VLOOKUP(CurrentMtgRatesDataTable825[[#This Row],[asOfDate]],N:O,2,0)</f>
        <v>0.68802315917174295</v>
      </c>
      <c r="E206" s="25">
        <f ca="1">VLOOKUP(CurrentMtgRatesDataTable825[[#This Row],[asOfDate]]+1,Bloomberg!B:C,2,0)</f>
        <v>4184.3999999999996</v>
      </c>
      <c r="G206" s="1">
        <v>41969</v>
      </c>
      <c r="H206" s="24">
        <v>0.51222876537846296</v>
      </c>
      <c r="N206" s="1">
        <v>41969</v>
      </c>
      <c r="O206" s="57">
        <v>9.3998413556807103E-2</v>
      </c>
    </row>
    <row r="207" spans="2:15">
      <c r="B207" s="15">
        <v>40759</v>
      </c>
      <c r="C207" s="21">
        <v>0.81803711941746404</v>
      </c>
      <c r="D207" s="21">
        <f>VLOOKUP(CurrentMtgRatesDataTable825[[#This Row],[asOfDate]],N:O,2,0)</f>
        <v>0.59586208852897005</v>
      </c>
      <c r="E207" s="25">
        <f ca="1">VLOOKUP(CurrentMtgRatesDataTable825[[#This Row],[asOfDate]]+1,Bloomberg!B:C,2,0)</f>
        <v>3880.9</v>
      </c>
      <c r="G207" s="1">
        <v>41977</v>
      </c>
      <c r="H207" s="24">
        <v>0.53685925114667898</v>
      </c>
      <c r="N207" s="1">
        <v>41977</v>
      </c>
      <c r="O207" s="57">
        <v>0.10843983316764801</v>
      </c>
    </row>
    <row r="208" spans="2:15">
      <c r="B208" s="15">
        <v>40752</v>
      </c>
      <c r="C208" s="21">
        <v>0.61660059317974736</v>
      </c>
      <c r="D208" s="21">
        <f>VLOOKUP(CurrentMtgRatesDataTable825[[#This Row],[asOfDate]],N:O,2,0)</f>
        <v>9.9907247032366194E-3</v>
      </c>
      <c r="E208" s="25">
        <f ca="1">VLOOKUP(CurrentMtgRatesDataTable825[[#This Row],[asOfDate]]+1,Bloomberg!B:C,2,0)</f>
        <v>2974.1</v>
      </c>
      <c r="G208" s="1">
        <v>41984</v>
      </c>
      <c r="H208" s="24">
        <v>0.53353274326337596</v>
      </c>
      <c r="N208" s="1">
        <v>41984</v>
      </c>
      <c r="O208" s="57">
        <v>0.108243403634791</v>
      </c>
    </row>
    <row r="209" spans="2:15">
      <c r="B209" s="15">
        <v>40745</v>
      </c>
      <c r="C209" s="21">
        <v>0.66675683999516944</v>
      </c>
      <c r="D209" s="21">
        <f>VLOOKUP(CurrentMtgRatesDataTable825[[#This Row],[asOfDate]],N:O,2,0)</f>
        <v>1.04315971858071E-2</v>
      </c>
      <c r="E209" s="25">
        <f ca="1">VLOOKUP(CurrentMtgRatesDataTable825[[#This Row],[asOfDate]]+1,Bloomberg!B:C,2,0)</f>
        <v>2769.6</v>
      </c>
      <c r="G209" s="1">
        <v>41991</v>
      </c>
      <c r="H209" s="24">
        <v>0.57447022909045797</v>
      </c>
      <c r="N209" s="1">
        <v>41991</v>
      </c>
      <c r="O209" s="57">
        <v>0.13100701570916601</v>
      </c>
    </row>
    <row r="210" spans="2:15">
      <c r="B210" s="15">
        <v>40738</v>
      </c>
      <c r="C210" s="21">
        <v>0.684475421712615</v>
      </c>
      <c r="D210" s="21">
        <f>VLOOKUP(CurrentMtgRatesDataTable825[[#This Row],[asOfDate]],N:O,2,0)</f>
        <v>1.3388573483630799E-2</v>
      </c>
      <c r="E210" s="25">
        <f ca="1">VLOOKUP(CurrentMtgRatesDataTable825[[#This Row],[asOfDate]]+1,Bloomberg!B:C,2,0)</f>
        <v>2923.8</v>
      </c>
      <c r="G210" s="1">
        <v>41997</v>
      </c>
      <c r="H210" s="24">
        <v>0.57166642614489205</v>
      </c>
      <c r="N210" s="1">
        <v>41997</v>
      </c>
      <c r="O210" s="57">
        <v>0.128936720795501</v>
      </c>
    </row>
    <row r="211" spans="2:15">
      <c r="B211" s="15">
        <v>40731</v>
      </c>
      <c r="C211" s="21">
        <v>0.60410549631050647</v>
      </c>
      <c r="D211" s="21">
        <f>VLOOKUP(CurrentMtgRatesDataTable825[[#This Row],[asOfDate]],N:O,2,0)</f>
        <v>7.4617374953439E-3</v>
      </c>
      <c r="E211" s="25">
        <f ca="1">VLOOKUP(CurrentMtgRatesDataTable825[[#This Row],[asOfDate]]+1,Bloomberg!B:C,2,0)</f>
        <v>2362.6999999999998</v>
      </c>
      <c r="G211" s="1">
        <v>42004</v>
      </c>
      <c r="H211" s="24">
        <v>0.53680415412734395</v>
      </c>
      <c r="N211" s="1">
        <v>42004</v>
      </c>
      <c r="O211" s="57">
        <v>0.11008343849461499</v>
      </c>
    </row>
    <row r="212" spans="2:15">
      <c r="B212" s="15">
        <v>40724</v>
      </c>
      <c r="C212" s="21">
        <v>0.69050447134038251</v>
      </c>
      <c r="D212" s="21">
        <f>VLOOKUP(CurrentMtgRatesDataTable825[[#This Row],[asOfDate]],N:O,2,0)</f>
        <v>1.2160270900161399E-2</v>
      </c>
      <c r="E212" s="25">
        <f ca="1">VLOOKUP(CurrentMtgRatesDataTable825[[#This Row],[asOfDate]]+1,Bloomberg!B:C,2,0)</f>
        <v>2527.5</v>
      </c>
      <c r="G212" s="1">
        <v>42012</v>
      </c>
      <c r="H212" s="24">
        <v>0.59931706558407905</v>
      </c>
      <c r="N212" s="1">
        <v>42012</v>
      </c>
      <c r="O212" s="57">
        <v>0.14791956318824301</v>
      </c>
    </row>
    <row r="213" spans="2:15">
      <c r="B213" s="15">
        <v>40717</v>
      </c>
      <c r="C213" s="21">
        <v>0.66311590107349083</v>
      </c>
      <c r="D213" s="21">
        <f>VLOOKUP(CurrentMtgRatesDataTable825[[#This Row],[asOfDate]],N:O,2,0)</f>
        <v>1.00606573736092E-2</v>
      </c>
      <c r="E213" s="25">
        <f ca="1">VLOOKUP(CurrentMtgRatesDataTable825[[#This Row],[asOfDate]]+1,Bloomberg!B:C,2,0)</f>
        <v>2809.5</v>
      </c>
      <c r="G213" s="1">
        <v>42019</v>
      </c>
      <c r="H213" s="24">
        <v>0.65582330233583797</v>
      </c>
      <c r="N213" s="1">
        <v>42019</v>
      </c>
      <c r="O213" s="57">
        <v>0.18556389775981899</v>
      </c>
    </row>
    <row r="214" spans="2:15">
      <c r="B214" s="15">
        <v>40710</v>
      </c>
      <c r="C214" s="21">
        <v>0.72397022872334449</v>
      </c>
      <c r="D214" s="21">
        <f>VLOOKUP(CurrentMtgRatesDataTable825[[#This Row],[asOfDate]],N:O,2,0)</f>
        <v>1.23002415872017E-2</v>
      </c>
      <c r="E214" s="25">
        <f ca="1">VLOOKUP(CurrentMtgRatesDataTable825[[#This Row],[asOfDate]]+1,Bloomberg!B:C,2,0)</f>
        <v>2857.9</v>
      </c>
      <c r="G214" s="1">
        <v>42026</v>
      </c>
      <c r="H214" s="24">
        <v>0.65720471867066899</v>
      </c>
      <c r="N214" s="1">
        <v>42026</v>
      </c>
      <c r="O214" s="57">
        <v>0.18606636138555099</v>
      </c>
    </row>
    <row r="215" spans="2:15">
      <c r="B215" s="15">
        <v>40703</v>
      </c>
      <c r="C215" s="21">
        <v>0.74517189360077984</v>
      </c>
      <c r="D215" s="21">
        <f>VLOOKUP(CurrentMtgRatesDataTable825[[#This Row],[asOfDate]],N:O,2,0)</f>
        <v>1.23067584719575E-2</v>
      </c>
      <c r="E215" s="25">
        <f ca="1">VLOOKUP(CurrentMtgRatesDataTable825[[#This Row],[asOfDate]]+1,Bloomberg!B:C,2,0)</f>
        <v>3101.7</v>
      </c>
      <c r="G215" s="1">
        <v>42033</v>
      </c>
      <c r="H215" s="24">
        <v>0.65582330233583797</v>
      </c>
      <c r="N215" s="1">
        <v>42033</v>
      </c>
      <c r="O215" s="57">
        <v>0.183514418950807</v>
      </c>
    </row>
    <row r="216" spans="2:15">
      <c r="B216" s="15">
        <v>40696</v>
      </c>
      <c r="C216" s="21">
        <v>0.66311590107349083</v>
      </c>
      <c r="D216" s="21">
        <f>VLOOKUP(CurrentMtgRatesDataTable825[[#This Row],[asOfDate]],N:O,2,0)</f>
        <v>8.68657357338724E-3</v>
      </c>
      <c r="E216" s="25">
        <f ca="1">VLOOKUP(CurrentMtgRatesDataTable825[[#This Row],[asOfDate]]+1,Bloomberg!B:C,2,0)</f>
        <v>2648</v>
      </c>
      <c r="G216" s="1">
        <v>42040</v>
      </c>
      <c r="H216" s="24">
        <v>0.65455905311871299</v>
      </c>
      <c r="N216" s="1">
        <v>42040</v>
      </c>
      <c r="O216" s="57">
        <v>0.18771115723731899</v>
      </c>
    </row>
    <row r="217" spans="2:15">
      <c r="B217" s="15">
        <v>40689</v>
      </c>
      <c r="C217" s="21">
        <v>0.61599363608099678</v>
      </c>
      <c r="D217" s="21">
        <f>VLOOKUP(CurrentMtgRatesDataTable825[[#This Row],[asOfDate]],N:O,2,0)</f>
        <v>5.5127032061132201E-3</v>
      </c>
      <c r="E217" s="25">
        <f ca="1">VLOOKUP(CurrentMtgRatesDataTable825[[#This Row],[asOfDate]]+1,Bloomberg!B:C,2,0)</f>
        <v>2619.6999999999998</v>
      </c>
      <c r="G217" s="1">
        <v>42047</v>
      </c>
      <c r="H217" s="24">
        <v>0.62719075850631201</v>
      </c>
      <c r="N217" s="1">
        <v>42047</v>
      </c>
      <c r="O217" s="57">
        <v>0.17272998234149201</v>
      </c>
    </row>
    <row r="218" spans="2:15">
      <c r="B218" s="15">
        <v>40682</v>
      </c>
      <c r="C218" s="21">
        <v>0.61264076908113763</v>
      </c>
      <c r="D218" s="21">
        <f>VLOOKUP(CurrentMtgRatesDataTable825[[#This Row],[asOfDate]],N:O,2,0)</f>
        <v>5.4986490601633296E-3</v>
      </c>
      <c r="E218" s="25">
        <f ca="1">VLOOKUP(CurrentMtgRatesDataTable825[[#This Row],[asOfDate]]+1,Bloomberg!B:C,2,0)</f>
        <v>2764.6</v>
      </c>
      <c r="G218" s="1">
        <v>42054</v>
      </c>
      <c r="H218" s="24">
        <v>0.59003468905342005</v>
      </c>
      <c r="N218" s="1">
        <v>42054</v>
      </c>
      <c r="O218" s="57">
        <v>0.146759122816186</v>
      </c>
    </row>
    <row r="219" spans="2:15">
      <c r="B219" s="15">
        <v>40675</v>
      </c>
      <c r="C219" s="21">
        <v>0.60662155942020002</v>
      </c>
      <c r="D219" s="21">
        <f>VLOOKUP(CurrentMtgRatesDataTable825[[#This Row],[asOfDate]],N:O,2,0)</f>
        <v>5.44390325332186E-3</v>
      </c>
      <c r="E219" s="25">
        <f ca="1">VLOOKUP(CurrentMtgRatesDataTable825[[#This Row],[asOfDate]]+1,Bloomberg!B:C,2,0)</f>
        <v>2742.2</v>
      </c>
      <c r="G219" s="1">
        <v>42061</v>
      </c>
      <c r="H219" s="24">
        <v>0.56144623129586702</v>
      </c>
      <c r="N219" s="1">
        <v>42061</v>
      </c>
      <c r="O219" s="57">
        <v>0.13140881606048399</v>
      </c>
    </row>
    <row r="220" spans="2:15">
      <c r="B220" s="15">
        <v>40668</v>
      </c>
      <c r="C220" s="21">
        <v>0.59391131067456038</v>
      </c>
      <c r="D220" s="21">
        <f>VLOOKUP(CurrentMtgRatesDataTable825[[#This Row],[asOfDate]],N:O,2,0)</f>
        <v>2.29777756393631E-3</v>
      </c>
      <c r="E220" s="25">
        <f ca="1">VLOOKUP(CurrentMtgRatesDataTable825[[#This Row],[asOfDate]]+1,Bloomberg!B:C,2,0)</f>
        <v>2414.9</v>
      </c>
      <c r="G220" s="1">
        <v>42068</v>
      </c>
      <c r="H220" s="24">
        <v>0.58384753948448997</v>
      </c>
      <c r="N220" s="1">
        <v>42068</v>
      </c>
      <c r="O220" s="57">
        <v>0.14554399189627501</v>
      </c>
    </row>
    <row r="221" spans="2:15">
      <c r="B221" s="15">
        <v>40661</v>
      </c>
      <c r="C221" s="21">
        <v>0.59445921362542997</v>
      </c>
      <c r="D221" s="21">
        <f>VLOOKUP(CurrentMtgRatesDataTable825[[#This Row],[asOfDate]],N:O,2,0)</f>
        <v>1.13472894544288E-3</v>
      </c>
      <c r="E221" s="25">
        <f ca="1">VLOOKUP(CurrentMtgRatesDataTable825[[#This Row],[asOfDate]]+1,Bloomberg!B:C,2,0)</f>
        <v>2220.1</v>
      </c>
      <c r="G221" s="1">
        <v>42075</v>
      </c>
      <c r="H221" s="24">
        <v>0.51703371456013503</v>
      </c>
      <c r="N221" s="1">
        <v>42075</v>
      </c>
      <c r="O221" s="57">
        <v>0.109721001806031</v>
      </c>
    </row>
    <row r="222" spans="2:15">
      <c r="B222" s="15">
        <v>40654</v>
      </c>
      <c r="C222" s="21">
        <v>0.59356262313394537</v>
      </c>
      <c r="D222" s="21">
        <f>VLOOKUP(CurrentMtgRatesDataTable825[[#This Row],[asOfDate]],N:O,2,0)</f>
        <v>1.12729989415065E-3</v>
      </c>
      <c r="E222" s="25">
        <f ca="1">VLOOKUP(CurrentMtgRatesDataTable825[[#This Row],[asOfDate]]+1,Bloomberg!B:C,2,0)</f>
        <v>2091.4</v>
      </c>
      <c r="G222" s="1">
        <v>42082</v>
      </c>
      <c r="H222" s="24">
        <v>0.58146564562660097</v>
      </c>
      <c r="N222" s="1">
        <v>42082</v>
      </c>
      <c r="O222" s="57">
        <v>0.145251647985956</v>
      </c>
    </row>
    <row r="223" spans="2:15">
      <c r="B223" s="15">
        <v>40647</v>
      </c>
      <c r="C223" s="21">
        <v>0.58155199492979581</v>
      </c>
      <c r="D223" s="21">
        <f>VLOOKUP(CurrentMtgRatesDataTable825[[#This Row],[asOfDate]],N:O,2,0)</f>
        <v>3.9614697005304603E-4</v>
      </c>
      <c r="E223" s="25">
        <f ca="1">VLOOKUP(CurrentMtgRatesDataTable825[[#This Row],[asOfDate]]+1,Bloomberg!B:C,2,0)</f>
        <v>2065.3000000000002</v>
      </c>
      <c r="G223" s="1">
        <v>42089</v>
      </c>
      <c r="H223" s="24">
        <v>0.61985540937113104</v>
      </c>
      <c r="N223" s="1">
        <v>42089</v>
      </c>
      <c r="O223" s="57">
        <v>0.16936375390644101</v>
      </c>
    </row>
    <row r="224" spans="2:15">
      <c r="B224" s="15">
        <v>40640</v>
      </c>
      <c r="C224" s="21">
        <v>0.58542144661011908</v>
      </c>
      <c r="D224" s="21">
        <f>VLOOKUP(CurrentMtgRatesDataTable825[[#This Row],[asOfDate]],N:O,2,0)</f>
        <v>2.4181129106516801E-4</v>
      </c>
      <c r="E224" s="25">
        <f ca="1">VLOOKUP(CurrentMtgRatesDataTable825[[#This Row],[asOfDate]]+1,Bloomberg!B:C,2,0)</f>
        <v>2010.6</v>
      </c>
      <c r="G224" s="1">
        <v>42096</v>
      </c>
      <c r="H224" s="24">
        <v>0.60618674833379105</v>
      </c>
      <c r="N224" s="1">
        <v>42096</v>
      </c>
      <c r="O224" s="57">
        <v>0.16611661450599</v>
      </c>
    </row>
    <row r="225" spans="2:15">
      <c r="B225" s="15">
        <v>40633</v>
      </c>
      <c r="C225" s="21">
        <v>0.593225708201635</v>
      </c>
      <c r="D225" s="21">
        <f>VLOOKUP(CurrentMtgRatesDataTable825[[#This Row],[asOfDate]],N:O,2,0)</f>
        <v>2.5023950479765699E-4</v>
      </c>
      <c r="E225" s="25">
        <f ca="1">VLOOKUP(CurrentMtgRatesDataTable825[[#This Row],[asOfDate]]+1,Bloomberg!B:C,2,0)</f>
        <v>2194.4</v>
      </c>
      <c r="G225" s="1">
        <v>42103</v>
      </c>
      <c r="H225" s="24">
        <v>0.63179874985391804</v>
      </c>
      <c r="N225" s="1">
        <v>42103</v>
      </c>
      <c r="O225" s="57">
        <v>0.18505564947661601</v>
      </c>
    </row>
    <row r="226" spans="2:15">
      <c r="B226" s="15">
        <v>40626</v>
      </c>
      <c r="C226" s="21">
        <v>0.59950595681897523</v>
      </c>
      <c r="D226" s="21">
        <f>VLOOKUP(CurrentMtgRatesDataTable825[[#This Row],[asOfDate]],N:O,2,0)</f>
        <v>6.0502769456042399E-4</v>
      </c>
      <c r="E226" s="25">
        <f ca="1">VLOOKUP(CurrentMtgRatesDataTable825[[#This Row],[asOfDate]]+1,Bloomberg!B:C,2,0)</f>
        <v>2350.6999999999998</v>
      </c>
      <c r="G226" s="1">
        <v>42110</v>
      </c>
      <c r="H226" s="24">
        <v>0.60745911385405604</v>
      </c>
      <c r="N226" s="1">
        <v>42110</v>
      </c>
      <c r="O226" s="57">
        <v>0.16810406485709101</v>
      </c>
    </row>
    <row r="227" spans="2:15">
      <c r="B227" s="15">
        <v>40619</v>
      </c>
      <c r="C227" s="21">
        <v>0.60261779474869925</v>
      </c>
      <c r="D227" s="21">
        <f>VLOOKUP(CurrentMtgRatesDataTable825[[#This Row],[asOfDate]],N:O,2,0)</f>
        <v>1.0337095119414301E-3</v>
      </c>
      <c r="E227" s="25">
        <f ca="1">VLOOKUP(CurrentMtgRatesDataTable825[[#This Row],[asOfDate]]+1,Bloomberg!B:C,2,0)</f>
        <v>2620.8000000000002</v>
      </c>
      <c r="G227" s="1">
        <v>42117</v>
      </c>
      <c r="H227" s="24">
        <v>0.63350921207897204</v>
      </c>
      <c r="N227" s="1">
        <v>42117</v>
      </c>
      <c r="O227" s="57">
        <v>0.187930762639857</v>
      </c>
    </row>
    <row r="228" spans="2:15">
      <c r="B228" s="15">
        <v>40612</v>
      </c>
      <c r="C228" s="22">
        <v>0.59090570789662444</v>
      </c>
      <c r="D228" s="22">
        <f>VLOOKUP(CurrentMtgRatesDataTable825[[#This Row],[asOfDate]],N:O,2,0)</f>
        <v>2.4946862835881098E-4</v>
      </c>
      <c r="E228" s="26">
        <f ca="1">VLOOKUP(CurrentMtgRatesDataTable825[[#This Row],[asOfDate]]+1,Bloomberg!B:C,2,0)</f>
        <v>2563.6</v>
      </c>
      <c r="G228" s="1">
        <v>42124</v>
      </c>
      <c r="H228" s="24">
        <v>0.608876308109219</v>
      </c>
      <c r="N228" s="1">
        <v>42124</v>
      </c>
      <c r="O228" s="57">
        <v>0.168531927128662</v>
      </c>
    </row>
    <row r="229" spans="2:15">
      <c r="B229" s="15">
        <v>40605</v>
      </c>
      <c r="C229" s="22">
        <v>0.59224775585706535</v>
      </c>
      <c r="D229" s="22">
        <f>VLOOKUP(CurrentMtgRatesDataTable825[[#This Row],[asOfDate]],N:O,2,0)</f>
        <v>1.96229527460014E-4</v>
      </c>
      <c r="E229" s="26">
        <f ca="1">VLOOKUP(CurrentMtgRatesDataTable825[[#This Row],[asOfDate]]+1,Bloomberg!B:C,2,0)</f>
        <v>2539.4</v>
      </c>
      <c r="G229" s="1">
        <v>42131</v>
      </c>
      <c r="H229" s="24">
        <v>0.53238458781035902</v>
      </c>
      <c r="N229" s="1">
        <v>42131</v>
      </c>
      <c r="O229" s="57">
        <v>3.4714448657501701E-3</v>
      </c>
    </row>
    <row r="230" spans="2:15">
      <c r="B230" s="15">
        <v>40598</v>
      </c>
      <c r="C230" s="22">
        <v>0.57709503787578109</v>
      </c>
      <c r="D230" s="22">
        <f>VLOOKUP(CurrentMtgRatesDataTable825[[#This Row],[asOfDate]],N:O,2,0)</f>
        <v>1.35954340606731E-4</v>
      </c>
      <c r="E230" s="26">
        <f ca="1">VLOOKUP(CurrentMtgRatesDataTable825[[#This Row],[asOfDate]]+1,Bloomberg!B:C,2,0)</f>
        <v>2155.5</v>
      </c>
      <c r="G230" s="1">
        <v>42138</v>
      </c>
      <c r="H230" s="24">
        <v>0.52626041924754496</v>
      </c>
      <c r="N230" s="1">
        <v>42138</v>
      </c>
      <c r="O230" s="57">
        <v>2.3331317991025198E-3</v>
      </c>
    </row>
    <row r="231" spans="2:15">
      <c r="B231" s="15">
        <v>40591</v>
      </c>
      <c r="C231" s="22">
        <v>0.52965901814335548</v>
      </c>
      <c r="D231" s="22">
        <f>VLOOKUP(CurrentMtgRatesDataTable825[[#This Row],[asOfDate]],N:O,2,0)</f>
        <v>6.2663406645224498E-5</v>
      </c>
      <c r="E231" s="26">
        <f ca="1">VLOOKUP(CurrentMtgRatesDataTable825[[#This Row],[asOfDate]]+1,Bloomberg!B:C,2,0)</f>
        <v>2325.3000000000002</v>
      </c>
      <c r="G231" s="1">
        <v>42145</v>
      </c>
      <c r="H231" s="24">
        <v>0.49530657385961702</v>
      </c>
      <c r="N231" s="1">
        <v>42145</v>
      </c>
      <c r="O231" s="57">
        <v>1.67442383088528E-3</v>
      </c>
    </row>
    <row r="232" spans="2:15">
      <c r="B232" s="15">
        <v>40584</v>
      </c>
      <c r="C232" s="22">
        <v>0.50868797673712363</v>
      </c>
      <c r="D232" s="22">
        <f>VLOOKUP(CurrentMtgRatesDataTable825[[#This Row],[asOfDate]],N:O,2,0)</f>
        <v>5.20153194974807E-5</v>
      </c>
      <c r="E232" s="26">
        <f ca="1">VLOOKUP(CurrentMtgRatesDataTable825[[#This Row],[asOfDate]]+1,Bloomberg!B:C,2,0)</f>
        <v>1953.2</v>
      </c>
      <c r="G232" s="19">
        <v>42152</v>
      </c>
      <c r="H232" s="23">
        <v>0.49518214427458052</v>
      </c>
      <c r="N232" s="1">
        <v>42152</v>
      </c>
      <c r="O232" s="57">
        <v>1.6736251546201301E-3</v>
      </c>
    </row>
    <row r="233" spans="2:15">
      <c r="B233" s="15">
        <v>40577</v>
      </c>
      <c r="C233" s="22">
        <v>0.60653142223595213</v>
      </c>
      <c r="D233" s="22">
        <f>VLOOKUP(CurrentMtgRatesDataTable825[[#This Row],[asOfDate]],N:O,2,0)</f>
        <v>2.0178573468983399E-4</v>
      </c>
      <c r="E233" s="26">
        <f ca="1">VLOOKUP(CurrentMtgRatesDataTable825[[#This Row],[asOfDate]]+1,Bloomberg!B:C,2,0)</f>
        <v>2190.4</v>
      </c>
      <c r="G233" s="19">
        <v>42159</v>
      </c>
      <c r="H233" s="23">
        <v>0.49151040605794738</v>
      </c>
      <c r="N233" s="1">
        <v>42159</v>
      </c>
      <c r="O233" s="57">
        <v>1.4226748396708299E-3</v>
      </c>
    </row>
    <row r="234" spans="2:15">
      <c r="B234" s="51">
        <v>40570</v>
      </c>
      <c r="C234" s="52">
        <v>0.62392159162868732</v>
      </c>
      <c r="D234" s="52">
        <f>VLOOKUP(CurrentMtgRatesDataTable825[[#This Row],[asOfDate]],N:O,2,0)</f>
        <v>2.71872925347238E-4</v>
      </c>
      <c r="E234" s="53">
        <f ca="1">VLOOKUP(CurrentMtgRatesDataTable825[[#This Row],[asOfDate]]+1,Bloomberg!B:C,2,0)</f>
        <v>2371.1</v>
      </c>
      <c r="G234" s="19">
        <v>42166</v>
      </c>
      <c r="H234" s="23">
        <v>0.39779633268543002</v>
      </c>
      <c r="N234" s="19">
        <v>42166</v>
      </c>
      <c r="O234" s="23">
        <v>6.015941023918887E-4</v>
      </c>
    </row>
    <row r="235" spans="2:15">
      <c r="B235" s="15">
        <v>40563</v>
      </c>
      <c r="C235" s="22">
        <v>0.62597730951219899</v>
      </c>
      <c r="D235" s="22">
        <f>VLOOKUP(CurrentMtgRatesDataTable825[[#This Row],[asOfDate]],N:O,2,0)</f>
        <v>4.2360297628175301E-4</v>
      </c>
      <c r="E235" s="26">
        <f ca="1">VLOOKUP(CurrentMtgRatesDataTable825[[#This Row],[asOfDate]]+1,Bloomberg!B:C,2,0)</f>
        <v>2129.6999999999998</v>
      </c>
      <c r="G235" s="19"/>
      <c r="H235" s="23"/>
      <c r="N235" s="19">
        <v>42173</v>
      </c>
      <c r="O235" s="23">
        <v>8.5021725785377989E-4</v>
      </c>
    </row>
    <row r="236" spans="2:15">
      <c r="B236" s="64">
        <v>40556</v>
      </c>
      <c r="C236" s="65">
        <v>0.62817294477626939</v>
      </c>
      <c r="D236" s="65">
        <f>VLOOKUP(CurrentMtgRatesDataTable825[[#This Row],[asOfDate]],N:O,2,0)</f>
        <v>5.3255518166106497E-4</v>
      </c>
      <c r="E236" s="66">
        <f ca="1">VLOOKUP(CurrentMtgRatesDataTable825[[#This Row],[asOfDate]]+1,Bloomberg!B:C,2,0)</f>
        <v>2528.6999999999998</v>
      </c>
      <c r="N236" s="19">
        <v>42180</v>
      </c>
      <c r="O236" s="23">
        <v>6.33970704565231E-4</v>
      </c>
    </row>
    <row r="237" spans="2:15">
      <c r="B237" s="67">
        <v>40549</v>
      </c>
      <c r="C237" s="68">
        <v>0.62402170072443153</v>
      </c>
      <c r="D237" s="68">
        <f>VLOOKUP(CurrentMtgRatesDataTable825[[#This Row],[asOfDate]],N:O,2,0)</f>
        <v>3.7596565105309601E-4</v>
      </c>
      <c r="E237" s="69">
        <f ca="1">VLOOKUP(CurrentMtgRatesDataTable825[[#This Row],[asOfDate]]+1,Bloomberg!B:C,2,0)</f>
        <v>2344.3000000000002</v>
      </c>
      <c r="N237" s="19">
        <v>42187</v>
      </c>
      <c r="O237" s="23">
        <v>5.4944560466175651E-4</v>
      </c>
    </row>
    <row r="238" spans="2:15">
      <c r="N238" s="19"/>
      <c r="O238" s="23"/>
    </row>
    <row r="239" spans="2:15">
      <c r="N239" s="19"/>
      <c r="O239" s="23"/>
    </row>
    <row r="240" spans="2:15">
      <c r="N240" s="19"/>
      <c r="O240" s="23"/>
    </row>
    <row r="241" spans="14:15">
      <c r="N241" s="19"/>
      <c r="O241" s="23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434"/>
  <sheetViews>
    <sheetView topLeftCell="A367" workbookViewId="0">
      <selection activeCell="G410" sqref="G410"/>
    </sheetView>
  </sheetViews>
  <sheetFormatPr defaultRowHeight="15"/>
  <cols>
    <col min="2" max="2" width="16.28515625" customWidth="1"/>
  </cols>
  <sheetData>
    <row r="1" spans="2:3">
      <c r="C1" t="s">
        <v>18</v>
      </c>
    </row>
    <row r="2" spans="2:3">
      <c r="B2" s="1" t="e">
        <f ca="1">_xll.BDH("MBAVCMRS Index","PX LAST","8/10/07",TODAY(),"cols=2;rows=402")</f>
        <v>#NAME?</v>
      </c>
      <c r="C2">
        <v>2104.1</v>
      </c>
    </row>
    <row r="3" spans="2:3">
      <c r="B3" s="1">
        <v>39311</v>
      </c>
      <c r="C3">
        <v>1960.1</v>
      </c>
    </row>
    <row r="4" spans="2:3">
      <c r="B4" s="1">
        <v>39318</v>
      </c>
      <c r="C4">
        <v>1871.4</v>
      </c>
    </row>
    <row r="5" spans="2:3">
      <c r="B5" s="1">
        <v>39325</v>
      </c>
      <c r="C5">
        <v>1892.3</v>
      </c>
    </row>
    <row r="6" spans="2:3">
      <c r="B6" s="1">
        <v>39332</v>
      </c>
      <c r="C6">
        <v>2009.3</v>
      </c>
    </row>
    <row r="7" spans="2:3">
      <c r="B7" s="1">
        <v>39339</v>
      </c>
      <c r="C7">
        <v>2091.1</v>
      </c>
    </row>
    <row r="8" spans="2:3">
      <c r="B8" s="1">
        <v>39346</v>
      </c>
      <c r="C8">
        <v>2172.5</v>
      </c>
    </row>
    <row r="9" spans="2:3">
      <c r="B9" s="1">
        <v>39353</v>
      </c>
      <c r="C9">
        <v>2065.6999999999998</v>
      </c>
    </row>
    <row r="10" spans="2:3">
      <c r="B10" s="1">
        <v>39360</v>
      </c>
      <c r="C10">
        <v>2153.3000000000002</v>
      </c>
    </row>
    <row r="11" spans="2:3">
      <c r="B11" s="1">
        <v>39367</v>
      </c>
      <c r="C11">
        <v>2116.6</v>
      </c>
    </row>
    <row r="12" spans="2:3">
      <c r="B12" s="1">
        <v>39374</v>
      </c>
      <c r="C12">
        <v>2221.1</v>
      </c>
    </row>
    <row r="13" spans="2:3">
      <c r="B13" s="1">
        <v>39381</v>
      </c>
      <c r="C13">
        <v>2433.1999999999998</v>
      </c>
    </row>
    <row r="14" spans="2:3">
      <c r="B14" s="1">
        <v>39388</v>
      </c>
      <c r="C14">
        <v>2336.1999999999998</v>
      </c>
    </row>
    <row r="15" spans="2:3">
      <c r="B15" s="1">
        <v>39395</v>
      </c>
      <c r="C15">
        <v>2503.6</v>
      </c>
    </row>
    <row r="16" spans="2:3">
      <c r="B16" s="1">
        <v>39402</v>
      </c>
      <c r="C16">
        <v>2371.1</v>
      </c>
    </row>
    <row r="17" spans="2:3">
      <c r="B17" s="1">
        <v>39409</v>
      </c>
      <c r="C17">
        <v>2283.3000000000002</v>
      </c>
    </row>
    <row r="18" spans="2:3">
      <c r="B18" s="1">
        <v>39416</v>
      </c>
      <c r="C18">
        <v>3006.1</v>
      </c>
    </row>
    <row r="19" spans="2:3">
      <c r="B19" s="1">
        <v>39423</v>
      </c>
      <c r="C19">
        <v>3158.8</v>
      </c>
    </row>
    <row r="20" spans="2:3">
      <c r="B20" s="1">
        <v>39430</v>
      </c>
      <c r="C20">
        <v>2253.1</v>
      </c>
    </row>
    <row r="21" spans="2:3">
      <c r="B21" s="1">
        <v>39437</v>
      </c>
      <c r="C21">
        <v>2066.3000000000002</v>
      </c>
    </row>
    <row r="22" spans="2:3">
      <c r="B22" s="1">
        <v>39444</v>
      </c>
      <c r="C22">
        <v>1732.7</v>
      </c>
    </row>
    <row r="23" spans="2:3">
      <c r="B23" s="1">
        <v>39451</v>
      </c>
      <c r="C23">
        <v>2729.3</v>
      </c>
    </row>
    <row r="24" spans="2:3">
      <c r="B24" s="1">
        <v>39458</v>
      </c>
      <c r="C24">
        <v>3923.5</v>
      </c>
    </row>
    <row r="25" spans="2:3">
      <c r="B25" s="1">
        <v>39465</v>
      </c>
      <c r="C25">
        <v>4588.3999999999996</v>
      </c>
    </row>
    <row r="26" spans="2:3">
      <c r="B26" s="1">
        <v>39472</v>
      </c>
      <c r="C26">
        <v>5682.2</v>
      </c>
    </row>
    <row r="27" spans="2:3">
      <c r="B27" s="1">
        <v>39479</v>
      </c>
      <c r="C27">
        <v>5523.9</v>
      </c>
    </row>
    <row r="28" spans="2:3">
      <c r="B28" s="1">
        <v>39486</v>
      </c>
      <c r="C28">
        <v>5362.6</v>
      </c>
    </row>
    <row r="29" spans="2:3">
      <c r="B29" s="1">
        <v>39493</v>
      </c>
      <c r="C29">
        <v>3784.1</v>
      </c>
    </row>
    <row r="30" spans="2:3">
      <c r="B30" s="1">
        <v>39500</v>
      </c>
      <c r="C30">
        <v>2571.6</v>
      </c>
    </row>
    <row r="31" spans="2:3">
      <c r="B31" s="1">
        <v>39507</v>
      </c>
      <c r="C31">
        <v>2667.8</v>
      </c>
    </row>
    <row r="32" spans="2:3">
      <c r="B32" s="1">
        <v>39514</v>
      </c>
      <c r="C32">
        <v>2519.4</v>
      </c>
    </row>
    <row r="33" spans="2:3">
      <c r="B33" s="1">
        <v>39521</v>
      </c>
      <c r="C33">
        <v>2338.8000000000002</v>
      </c>
    </row>
    <row r="34" spans="2:3">
      <c r="B34" s="1">
        <v>39528</v>
      </c>
      <c r="C34">
        <v>4468.3999999999996</v>
      </c>
    </row>
    <row r="35" spans="2:3">
      <c r="B35" s="1">
        <v>39535</v>
      </c>
      <c r="C35">
        <v>2653.2</v>
      </c>
    </row>
    <row r="36" spans="2:3">
      <c r="B36" s="1">
        <v>39542</v>
      </c>
      <c r="C36">
        <v>2709.1</v>
      </c>
    </row>
    <row r="37" spans="2:3">
      <c r="B37" s="1">
        <v>39549</v>
      </c>
      <c r="C37">
        <v>2880.7</v>
      </c>
    </row>
    <row r="38" spans="2:3">
      <c r="B38" s="1">
        <v>39556</v>
      </c>
      <c r="C38">
        <v>2215.6999999999998</v>
      </c>
    </row>
    <row r="39" spans="2:3">
      <c r="B39" s="1">
        <v>39563</v>
      </c>
      <c r="C39">
        <v>1809.5</v>
      </c>
    </row>
    <row r="40" spans="2:3">
      <c r="B40" s="1">
        <v>39570</v>
      </c>
      <c r="C40">
        <v>2195</v>
      </c>
    </row>
    <row r="41" spans="2:3">
      <c r="B41" s="1">
        <v>39577</v>
      </c>
      <c r="C41">
        <v>2388.8000000000002</v>
      </c>
    </row>
    <row r="42" spans="2:3">
      <c r="B42" s="1">
        <v>39584</v>
      </c>
      <c r="C42">
        <v>2135.8000000000002</v>
      </c>
    </row>
    <row r="43" spans="2:3">
      <c r="B43" s="1">
        <v>39591</v>
      </c>
      <c r="C43">
        <v>1930.4</v>
      </c>
    </row>
    <row r="44" spans="2:3">
      <c r="B44" s="1">
        <v>39598</v>
      </c>
      <c r="C44">
        <v>1387.8</v>
      </c>
    </row>
    <row r="45" spans="2:3">
      <c r="B45" s="1">
        <v>39605</v>
      </c>
      <c r="C45">
        <v>1477.5</v>
      </c>
    </row>
    <row r="46" spans="2:3">
      <c r="B46" s="1">
        <v>39612</v>
      </c>
      <c r="C46">
        <v>1219.7</v>
      </c>
    </row>
    <row r="47" spans="2:3">
      <c r="B47" s="1">
        <v>39619</v>
      </c>
      <c r="C47">
        <v>1044.5999999999999</v>
      </c>
    </row>
    <row r="48" spans="2:3">
      <c r="B48" s="1">
        <v>39626</v>
      </c>
      <c r="C48">
        <v>1111.3</v>
      </c>
    </row>
    <row r="49" spans="2:3">
      <c r="B49" s="1">
        <v>39633</v>
      </c>
      <c r="C49">
        <v>1166.5</v>
      </c>
    </row>
    <row r="50" spans="2:3">
      <c r="B50" s="1">
        <v>39640</v>
      </c>
      <c r="C50">
        <v>1270.5999999999999</v>
      </c>
    </row>
    <row r="51" spans="2:3">
      <c r="B51" s="1">
        <v>39647</v>
      </c>
      <c r="C51">
        <v>1213.9000000000001</v>
      </c>
    </row>
    <row r="52" spans="2:3">
      <c r="B52" s="1">
        <v>39654</v>
      </c>
      <c r="C52">
        <v>874.1</v>
      </c>
    </row>
    <row r="53" spans="2:3">
      <c r="B53" s="1">
        <v>39661</v>
      </c>
      <c r="C53">
        <v>897.7</v>
      </c>
    </row>
    <row r="54" spans="2:3">
      <c r="B54" s="1">
        <v>39668</v>
      </c>
      <c r="C54">
        <v>853.1</v>
      </c>
    </row>
    <row r="55" spans="2:3">
      <c r="B55" s="1">
        <v>39675</v>
      </c>
      <c r="C55">
        <v>815.2</v>
      </c>
    </row>
    <row r="56" spans="2:3">
      <c r="B56" s="1">
        <v>39682</v>
      </c>
      <c r="C56">
        <v>793.9</v>
      </c>
    </row>
    <row r="57" spans="2:3">
      <c r="B57" s="1">
        <v>39689</v>
      </c>
      <c r="C57">
        <v>825</v>
      </c>
    </row>
    <row r="58" spans="2:3">
      <c r="B58" s="1">
        <v>39696</v>
      </c>
      <c r="C58">
        <v>998.3</v>
      </c>
    </row>
    <row r="59" spans="2:3">
      <c r="B59" s="1">
        <v>39703</v>
      </c>
      <c r="C59">
        <v>2068.5</v>
      </c>
    </row>
    <row r="60" spans="2:3">
      <c r="B60" s="1">
        <v>39710</v>
      </c>
      <c r="C60">
        <v>1756.8</v>
      </c>
    </row>
    <row r="61" spans="2:3">
      <c r="B61" s="1">
        <v>39717</v>
      </c>
      <c r="C61">
        <v>1026</v>
      </c>
    </row>
    <row r="62" spans="2:3">
      <c r="B62" s="1">
        <v>39724</v>
      </c>
      <c r="C62">
        <v>999.6</v>
      </c>
    </row>
    <row r="63" spans="2:3">
      <c r="B63" s="1">
        <v>39731</v>
      </c>
      <c r="C63">
        <v>1190.8</v>
      </c>
    </row>
    <row r="64" spans="2:3">
      <c r="B64" s="1">
        <v>39738</v>
      </c>
      <c r="C64">
        <v>798</v>
      </c>
    </row>
    <row r="65" spans="2:3">
      <c r="B65" s="1">
        <v>39745</v>
      </c>
      <c r="C65">
        <v>1135.5999999999999</v>
      </c>
    </row>
    <row r="66" spans="2:3">
      <c r="B66" s="1">
        <v>39752</v>
      </c>
      <c r="C66">
        <v>688.8</v>
      </c>
    </row>
    <row r="67" spans="2:3">
      <c r="B67" s="1">
        <v>39759</v>
      </c>
      <c r="C67">
        <v>907.7</v>
      </c>
    </row>
    <row r="68" spans="2:3">
      <c r="B68" s="1">
        <v>39766</v>
      </c>
      <c r="C68">
        <v>927.3</v>
      </c>
    </row>
    <row r="69" spans="2:3">
      <c r="B69" s="1">
        <v>39773</v>
      </c>
      <c r="C69">
        <v>896.8</v>
      </c>
    </row>
    <row r="70" spans="2:3">
      <c r="B70" s="1">
        <v>39780</v>
      </c>
      <c r="C70">
        <v>3552.9</v>
      </c>
    </row>
    <row r="71" spans="2:3">
      <c r="B71" s="1">
        <v>39787</v>
      </c>
      <c r="C71">
        <v>3746.9</v>
      </c>
    </row>
    <row r="72" spans="2:3">
      <c r="B72" s="1">
        <v>39794</v>
      </c>
      <c r="C72">
        <v>4013.2</v>
      </c>
    </row>
    <row r="73" spans="2:3">
      <c r="B73" s="1">
        <v>39801</v>
      </c>
      <c r="C73">
        <v>7098.9</v>
      </c>
    </row>
    <row r="74" spans="2:3">
      <c r="B74" s="1">
        <v>39808</v>
      </c>
      <c r="C74">
        <v>7132.7</v>
      </c>
    </row>
    <row r="75" spans="2:3">
      <c r="B75" s="1">
        <v>39815</v>
      </c>
      <c r="C75">
        <v>6060.5</v>
      </c>
    </row>
    <row r="76" spans="2:3">
      <c r="B76" s="1">
        <v>39822</v>
      </c>
      <c r="C76">
        <v>7842.7</v>
      </c>
    </row>
    <row r="77" spans="2:3">
      <c r="B77" s="1">
        <v>39829</v>
      </c>
      <c r="C77">
        <v>6768.6</v>
      </c>
    </row>
    <row r="78" spans="2:3">
      <c r="B78" s="1">
        <v>39836</v>
      </c>
      <c r="C78">
        <v>3300.6</v>
      </c>
    </row>
    <row r="79" spans="2:3">
      <c r="B79" s="1">
        <v>39843</v>
      </c>
      <c r="C79">
        <v>3871.3</v>
      </c>
    </row>
    <row r="80" spans="2:3">
      <c r="B80" s="1">
        <v>39850</v>
      </c>
      <c r="C80">
        <v>2611.1</v>
      </c>
    </row>
    <row r="81" spans="2:3">
      <c r="B81" s="1">
        <v>39857</v>
      </c>
      <c r="C81">
        <v>4564.5</v>
      </c>
    </row>
    <row r="82" spans="2:3">
      <c r="B82" s="1">
        <v>39864</v>
      </c>
      <c r="C82">
        <v>3531.5</v>
      </c>
    </row>
    <row r="83" spans="2:3">
      <c r="B83" s="1">
        <v>39871</v>
      </c>
      <c r="C83">
        <v>2945.5</v>
      </c>
    </row>
    <row r="84" spans="2:3">
      <c r="B84" s="1">
        <v>39878</v>
      </c>
      <c r="C84">
        <v>3352.8</v>
      </c>
    </row>
    <row r="85" spans="2:3">
      <c r="B85" s="1">
        <v>39885</v>
      </c>
      <c r="C85">
        <v>4428.1000000000004</v>
      </c>
    </row>
    <row r="86" spans="2:3">
      <c r="B86" s="1">
        <v>39892</v>
      </c>
      <c r="C86">
        <v>6374.7</v>
      </c>
    </row>
    <row r="87" spans="2:3">
      <c r="B87" s="1">
        <v>39899</v>
      </c>
      <c r="C87">
        <v>6522</v>
      </c>
    </row>
    <row r="88" spans="2:3">
      <c r="B88" s="1">
        <v>39906</v>
      </c>
      <c r="C88">
        <v>6734.2</v>
      </c>
    </row>
    <row r="89" spans="2:3">
      <c r="B89" s="1">
        <v>39913</v>
      </c>
      <c r="C89">
        <v>6127.3</v>
      </c>
    </row>
    <row r="90" spans="2:3">
      <c r="B90" s="1">
        <v>39920</v>
      </c>
      <c r="C90">
        <v>6547.2</v>
      </c>
    </row>
    <row r="91" spans="2:3">
      <c r="B91" s="1">
        <v>39927</v>
      </c>
      <c r="C91">
        <v>4957.8999999999996</v>
      </c>
    </row>
    <row r="92" spans="2:3">
      <c r="B92" s="1">
        <v>39934</v>
      </c>
      <c r="C92">
        <v>5084.2</v>
      </c>
    </row>
    <row r="93" spans="2:3">
      <c r="B93" s="1">
        <v>39941</v>
      </c>
      <c r="C93">
        <v>4353.1000000000004</v>
      </c>
    </row>
    <row r="94" spans="2:3">
      <c r="B94" s="1">
        <v>39948</v>
      </c>
      <c r="C94">
        <v>4586.2</v>
      </c>
    </row>
    <row r="95" spans="2:3">
      <c r="B95" s="1">
        <v>39955</v>
      </c>
      <c r="C95">
        <v>3590.1</v>
      </c>
    </row>
    <row r="96" spans="2:3">
      <c r="B96" s="1">
        <v>39962</v>
      </c>
      <c r="C96">
        <v>2583</v>
      </c>
    </row>
    <row r="97" spans="2:3">
      <c r="B97" s="1">
        <v>39969</v>
      </c>
      <c r="C97">
        <v>2156.5</v>
      </c>
    </row>
    <row r="98" spans="2:3">
      <c r="B98" s="1">
        <v>39976</v>
      </c>
      <c r="C98">
        <v>1482.7</v>
      </c>
    </row>
    <row r="99" spans="2:3">
      <c r="B99" s="1">
        <v>39983</v>
      </c>
      <c r="C99">
        <v>1504.6</v>
      </c>
    </row>
    <row r="100" spans="2:3">
      <c r="B100" s="1">
        <v>39990</v>
      </c>
      <c r="C100">
        <v>1328.1</v>
      </c>
    </row>
    <row r="101" spans="2:3">
      <c r="B101" s="1">
        <v>39997</v>
      </c>
      <c r="C101">
        <v>1583.5</v>
      </c>
    </row>
    <row r="102" spans="2:3">
      <c r="B102" s="1">
        <v>40004</v>
      </c>
      <c r="C102">
        <v>1915.5</v>
      </c>
    </row>
    <row r="103" spans="2:3">
      <c r="B103" s="1">
        <v>40011</v>
      </c>
      <c r="C103">
        <v>1982.8</v>
      </c>
    </row>
    <row r="104" spans="2:3">
      <c r="B104" s="1">
        <v>40018</v>
      </c>
      <c r="C104">
        <v>1702.7</v>
      </c>
    </row>
    <row r="105" spans="2:3">
      <c r="B105" s="1">
        <v>40025</v>
      </c>
      <c r="C105">
        <v>1826</v>
      </c>
    </row>
    <row r="106" spans="2:3">
      <c r="B106" s="1">
        <v>40032</v>
      </c>
      <c r="C106">
        <v>1659.1</v>
      </c>
    </row>
    <row r="107" spans="2:3">
      <c r="B107" s="1">
        <v>40039</v>
      </c>
      <c r="C107">
        <v>1782.2</v>
      </c>
    </row>
    <row r="108" spans="2:3">
      <c r="B108" s="1">
        <v>40046</v>
      </c>
      <c r="C108">
        <v>1983.2</v>
      </c>
    </row>
    <row r="109" spans="2:3">
      <c r="B109" s="1">
        <v>40053</v>
      </c>
      <c r="C109">
        <v>1955.9</v>
      </c>
    </row>
    <row r="110" spans="2:3">
      <c r="B110" s="1">
        <v>40060</v>
      </c>
      <c r="C110">
        <v>2383.6999999999998</v>
      </c>
    </row>
    <row r="111" spans="2:3">
      <c r="B111" s="1">
        <v>40067</v>
      </c>
      <c r="C111">
        <v>2216.3000000000002</v>
      </c>
    </row>
    <row r="112" spans="2:3">
      <c r="B112" s="1">
        <v>40074</v>
      </c>
      <c r="C112">
        <v>2632.2</v>
      </c>
    </row>
    <row r="113" spans="2:3">
      <c r="B113" s="1">
        <v>40081</v>
      </c>
      <c r="C113">
        <v>2655.8</v>
      </c>
    </row>
    <row r="114" spans="2:3">
      <c r="B114" s="1">
        <v>40088</v>
      </c>
      <c r="C114">
        <v>3230.9</v>
      </c>
    </row>
    <row r="115" spans="2:3">
      <c r="B115" s="1">
        <v>40095</v>
      </c>
      <c r="C115">
        <v>3280.3</v>
      </c>
    </row>
    <row r="116" spans="2:3">
      <c r="B116" s="1">
        <v>40102</v>
      </c>
      <c r="C116">
        <v>2774.7</v>
      </c>
    </row>
    <row r="117" spans="2:3">
      <c r="B117" s="1">
        <v>40109</v>
      </c>
      <c r="C117">
        <v>2304</v>
      </c>
    </row>
    <row r="118" spans="2:3">
      <c r="B118" s="1">
        <v>40116</v>
      </c>
      <c r="C118">
        <v>2715.2</v>
      </c>
    </row>
    <row r="119" spans="2:3">
      <c r="B119" s="1">
        <v>40123</v>
      </c>
      <c r="C119">
        <v>2996</v>
      </c>
    </row>
    <row r="120" spans="2:3">
      <c r="B120" s="1">
        <v>40130</v>
      </c>
      <c r="C120">
        <v>3117</v>
      </c>
    </row>
    <row r="121" spans="2:3">
      <c r="B121" s="1">
        <v>40137</v>
      </c>
      <c r="C121">
        <v>2815.1</v>
      </c>
    </row>
    <row r="122" spans="2:3">
      <c r="B122" s="1">
        <v>40144</v>
      </c>
      <c r="C122">
        <v>2958.4</v>
      </c>
    </row>
    <row r="123" spans="2:3">
      <c r="B123" s="1">
        <v>40151</v>
      </c>
      <c r="C123">
        <v>3312.7</v>
      </c>
    </row>
    <row r="124" spans="2:3">
      <c r="B124" s="1">
        <v>40158</v>
      </c>
      <c r="C124">
        <v>3354</v>
      </c>
    </row>
    <row r="125" spans="2:3">
      <c r="B125" s="1">
        <v>40165</v>
      </c>
      <c r="C125">
        <v>2988.7</v>
      </c>
    </row>
    <row r="126" spans="2:3">
      <c r="B126" s="1">
        <v>40172</v>
      </c>
      <c r="C126">
        <v>2038.4</v>
      </c>
    </row>
    <row r="127" spans="2:3">
      <c r="B127" s="1">
        <v>40179</v>
      </c>
      <c r="C127">
        <v>2021.1</v>
      </c>
    </row>
    <row r="128" spans="2:3">
      <c r="B128" s="1">
        <v>40186</v>
      </c>
      <c r="C128">
        <v>2430</v>
      </c>
    </row>
    <row r="129" spans="2:3">
      <c r="B129" s="1">
        <v>40193</v>
      </c>
      <c r="C129">
        <v>2638.2</v>
      </c>
    </row>
    <row r="130" spans="2:3">
      <c r="B130" s="1">
        <v>40200</v>
      </c>
      <c r="C130">
        <v>2192.1</v>
      </c>
    </row>
    <row r="131" spans="2:3">
      <c r="B131" s="1">
        <v>40207</v>
      </c>
      <c r="C131">
        <v>2763.6</v>
      </c>
    </row>
    <row r="132" spans="2:3">
      <c r="B132" s="1">
        <v>40214</v>
      </c>
      <c r="C132">
        <v>2807.8</v>
      </c>
    </row>
    <row r="133" spans="2:3">
      <c r="B133" s="1">
        <v>40221</v>
      </c>
      <c r="C133">
        <v>2781.2</v>
      </c>
    </row>
    <row r="134" spans="2:3">
      <c r="B134" s="1">
        <v>40228</v>
      </c>
      <c r="C134">
        <v>2474.9</v>
      </c>
    </row>
    <row r="135" spans="2:3">
      <c r="B135" s="1">
        <v>40235</v>
      </c>
      <c r="C135">
        <v>2971.5</v>
      </c>
    </row>
    <row r="136" spans="2:3">
      <c r="B136" s="1">
        <v>40242</v>
      </c>
      <c r="C136">
        <v>2937.6</v>
      </c>
    </row>
    <row r="137" spans="2:3">
      <c r="B137" s="1">
        <v>40249</v>
      </c>
      <c r="C137">
        <v>2847.2</v>
      </c>
    </row>
    <row r="138" spans="2:3">
      <c r="B138" s="1">
        <v>40256</v>
      </c>
      <c r="C138">
        <v>2617.6999999999998</v>
      </c>
    </row>
    <row r="139" spans="2:3">
      <c r="B139" s="1">
        <v>40263</v>
      </c>
      <c r="C139">
        <v>2577.1999999999998</v>
      </c>
    </row>
    <row r="140" spans="2:3">
      <c r="B140" s="1">
        <v>40270</v>
      </c>
      <c r="C140">
        <v>2051.3000000000002</v>
      </c>
    </row>
    <row r="141" spans="2:3">
      <c r="B141" s="1">
        <v>40277</v>
      </c>
      <c r="C141">
        <v>1892.5</v>
      </c>
    </row>
    <row r="142" spans="2:3">
      <c r="B142" s="1">
        <v>40284</v>
      </c>
      <c r="C142">
        <v>2217</v>
      </c>
    </row>
    <row r="143" spans="2:3">
      <c r="B143" s="1">
        <v>40291</v>
      </c>
      <c r="C143">
        <v>1984.5</v>
      </c>
    </row>
    <row r="144" spans="2:3">
      <c r="B144" s="1">
        <v>40298</v>
      </c>
      <c r="C144">
        <v>1953.3</v>
      </c>
    </row>
    <row r="145" spans="2:3">
      <c r="B145" s="1">
        <v>40305</v>
      </c>
      <c r="C145">
        <v>2303.6</v>
      </c>
    </row>
    <row r="146" spans="2:3">
      <c r="B146" s="1">
        <v>40312</v>
      </c>
      <c r="C146">
        <v>2668.6</v>
      </c>
    </row>
    <row r="147" spans="2:3">
      <c r="B147" s="1">
        <v>40319</v>
      </c>
      <c r="C147">
        <v>3154.9</v>
      </c>
    </row>
    <row r="148" spans="2:3">
      <c r="B148" s="1">
        <v>40326</v>
      </c>
      <c r="C148">
        <v>3239.2</v>
      </c>
    </row>
    <row r="149" spans="2:3">
      <c r="B149" s="1">
        <v>40333</v>
      </c>
      <c r="C149">
        <v>2781.6</v>
      </c>
    </row>
    <row r="150" spans="2:3">
      <c r="B150" s="1">
        <v>40340</v>
      </c>
      <c r="C150">
        <v>3387.8</v>
      </c>
    </row>
    <row r="151" spans="2:3">
      <c r="B151" s="1">
        <v>40347</v>
      </c>
      <c r="C151">
        <v>3107.1</v>
      </c>
    </row>
    <row r="152" spans="2:3">
      <c r="B152" s="1">
        <v>40354</v>
      </c>
      <c r="C152">
        <v>3546.2</v>
      </c>
    </row>
    <row r="153" spans="2:3">
      <c r="B153" s="1">
        <v>40361</v>
      </c>
      <c r="C153">
        <v>3925.9</v>
      </c>
    </row>
    <row r="154" spans="2:3">
      <c r="B154" s="1">
        <v>40368</v>
      </c>
      <c r="C154">
        <v>3925.8</v>
      </c>
    </row>
    <row r="155" spans="2:3">
      <c r="B155" s="1">
        <v>40375</v>
      </c>
      <c r="C155">
        <v>4345.3999999999996</v>
      </c>
    </row>
    <row r="156" spans="2:3">
      <c r="B156" s="1">
        <v>40382</v>
      </c>
      <c r="C156">
        <v>4097.3</v>
      </c>
    </row>
    <row r="157" spans="2:3">
      <c r="B157" s="1">
        <v>40389</v>
      </c>
      <c r="C157">
        <v>4155.5</v>
      </c>
    </row>
    <row r="158" spans="2:3">
      <c r="B158" s="1">
        <v>40396</v>
      </c>
      <c r="C158">
        <v>4147.1000000000004</v>
      </c>
    </row>
    <row r="159" spans="2:3">
      <c r="B159" s="1">
        <v>40403</v>
      </c>
      <c r="C159">
        <v>4940.8999999999996</v>
      </c>
    </row>
    <row r="160" spans="2:3">
      <c r="B160" s="1">
        <v>40410</v>
      </c>
      <c r="C160">
        <v>5260.7</v>
      </c>
    </row>
    <row r="161" spans="2:3">
      <c r="B161" s="1">
        <v>40417</v>
      </c>
      <c r="C161">
        <v>5431.5</v>
      </c>
    </row>
    <row r="162" spans="2:3">
      <c r="B162" s="1">
        <v>40424</v>
      </c>
      <c r="C162">
        <v>5214.6000000000004</v>
      </c>
    </row>
    <row r="163" spans="2:3">
      <c r="B163" s="1">
        <v>40431</v>
      </c>
      <c r="C163">
        <v>4663.8</v>
      </c>
    </row>
    <row r="164" spans="2:3">
      <c r="B164" s="1">
        <v>40438</v>
      </c>
      <c r="C164">
        <v>4624.6000000000004</v>
      </c>
    </row>
    <row r="165" spans="2:3">
      <c r="B165" s="1">
        <v>40445</v>
      </c>
      <c r="C165">
        <v>4549.3</v>
      </c>
    </row>
    <row r="166" spans="2:3">
      <c r="B166" s="1">
        <v>40452</v>
      </c>
      <c r="C166">
        <v>4395.5</v>
      </c>
    </row>
    <row r="167" spans="2:3">
      <c r="B167" s="1">
        <v>40459</v>
      </c>
      <c r="C167">
        <v>5455.4</v>
      </c>
    </row>
    <row r="168" spans="2:3">
      <c r="B168" s="1">
        <v>40466</v>
      </c>
      <c r="C168">
        <v>4768.6000000000004</v>
      </c>
    </row>
    <row r="169" spans="2:3">
      <c r="B169" s="1">
        <v>40473</v>
      </c>
      <c r="C169">
        <v>4904.2</v>
      </c>
    </row>
    <row r="170" spans="2:3">
      <c r="B170" s="1">
        <v>40480</v>
      </c>
      <c r="C170">
        <v>4568.1000000000004</v>
      </c>
    </row>
    <row r="171" spans="2:3">
      <c r="B171" s="1">
        <v>40487</v>
      </c>
      <c r="C171">
        <v>4836.3999999999996</v>
      </c>
    </row>
    <row r="172" spans="2:3">
      <c r="B172" s="1">
        <v>40494</v>
      </c>
      <c r="C172">
        <v>4015.2</v>
      </c>
    </row>
    <row r="173" spans="2:3">
      <c r="B173" s="1">
        <v>40501</v>
      </c>
      <c r="C173">
        <v>4009.2</v>
      </c>
    </row>
    <row r="174" spans="2:3">
      <c r="B174" s="1">
        <v>40508</v>
      </c>
      <c r="C174">
        <v>3151.8</v>
      </c>
    </row>
    <row r="175" spans="2:3">
      <c r="B175" s="1">
        <v>40515</v>
      </c>
      <c r="C175">
        <v>3066.2</v>
      </c>
    </row>
    <row r="176" spans="2:3">
      <c r="B176" s="1">
        <v>40522</v>
      </c>
      <c r="C176">
        <v>3067.3</v>
      </c>
    </row>
    <row r="177" spans="2:3">
      <c r="B177" s="1">
        <v>40529</v>
      </c>
      <c r="C177">
        <v>2319.9</v>
      </c>
    </row>
    <row r="178" spans="2:3">
      <c r="B178" s="1">
        <v>40536</v>
      </c>
      <c r="C178">
        <v>2185.5</v>
      </c>
    </row>
    <row r="179" spans="2:3">
      <c r="B179" s="1">
        <v>40543</v>
      </c>
      <c r="C179">
        <v>2249.6</v>
      </c>
    </row>
    <row r="180" spans="2:3">
      <c r="B180" s="1">
        <v>40550</v>
      </c>
      <c r="C180">
        <v>2344.3000000000002</v>
      </c>
    </row>
    <row r="181" spans="2:3">
      <c r="B181" s="1">
        <v>40557</v>
      </c>
      <c r="C181">
        <v>2528.6999999999998</v>
      </c>
    </row>
    <row r="182" spans="2:3">
      <c r="B182" s="1">
        <v>40564</v>
      </c>
      <c r="C182">
        <v>2129.6999999999998</v>
      </c>
    </row>
    <row r="183" spans="2:3">
      <c r="B183" s="1">
        <v>40571</v>
      </c>
      <c r="C183">
        <v>2371.1</v>
      </c>
    </row>
    <row r="184" spans="2:3">
      <c r="B184" s="1">
        <v>40578</v>
      </c>
      <c r="C184">
        <v>2190.4</v>
      </c>
    </row>
    <row r="185" spans="2:3">
      <c r="B185" s="1">
        <v>40585</v>
      </c>
      <c r="C185">
        <v>1953.2</v>
      </c>
    </row>
    <row r="186" spans="2:3">
      <c r="B186" s="1">
        <v>40592</v>
      </c>
      <c r="C186">
        <v>2325.3000000000002</v>
      </c>
    </row>
    <row r="187" spans="2:3">
      <c r="B187" s="1">
        <v>40599</v>
      </c>
      <c r="C187">
        <v>2155.5</v>
      </c>
    </row>
    <row r="188" spans="2:3">
      <c r="B188" s="1">
        <v>40606</v>
      </c>
      <c r="C188">
        <v>2539.4</v>
      </c>
    </row>
    <row r="189" spans="2:3">
      <c r="B189" s="1">
        <v>40613</v>
      </c>
      <c r="C189">
        <v>2563.6</v>
      </c>
    </row>
    <row r="190" spans="2:3">
      <c r="B190" s="1">
        <v>40620</v>
      </c>
      <c r="C190">
        <v>2620.8000000000002</v>
      </c>
    </row>
    <row r="191" spans="2:3">
      <c r="B191" s="1">
        <v>40627</v>
      </c>
      <c r="C191">
        <v>2350.6999999999998</v>
      </c>
    </row>
    <row r="192" spans="2:3">
      <c r="B192" s="1">
        <v>40634</v>
      </c>
      <c r="C192">
        <v>2194.4</v>
      </c>
    </row>
    <row r="193" spans="2:3">
      <c r="B193" s="1">
        <v>40641</v>
      </c>
      <c r="C193">
        <v>2010.6</v>
      </c>
    </row>
    <row r="194" spans="2:3">
      <c r="B194" s="1">
        <v>40648</v>
      </c>
      <c r="C194">
        <v>2065.3000000000002</v>
      </c>
    </row>
    <row r="195" spans="2:3">
      <c r="B195" s="1">
        <v>40655</v>
      </c>
      <c r="C195">
        <v>2091.4</v>
      </c>
    </row>
    <row r="196" spans="2:3">
      <c r="B196" s="1">
        <v>40662</v>
      </c>
      <c r="C196">
        <v>2220.1</v>
      </c>
    </row>
    <row r="197" spans="2:3">
      <c r="B197" s="1">
        <v>40669</v>
      </c>
      <c r="C197">
        <v>2414.9</v>
      </c>
    </row>
    <row r="198" spans="2:3">
      <c r="B198" s="1">
        <v>40676</v>
      </c>
      <c r="C198">
        <v>2742.2</v>
      </c>
    </row>
    <row r="199" spans="2:3">
      <c r="B199" s="1">
        <v>40683</v>
      </c>
      <c r="C199">
        <v>2764.6</v>
      </c>
    </row>
    <row r="200" spans="2:3">
      <c r="B200" s="1">
        <v>40690</v>
      </c>
      <c r="C200">
        <v>2619.6999999999998</v>
      </c>
    </row>
    <row r="201" spans="2:3">
      <c r="B201" s="1">
        <v>40697</v>
      </c>
      <c r="C201">
        <v>2648</v>
      </c>
    </row>
    <row r="202" spans="2:3">
      <c r="B202" s="1">
        <v>40704</v>
      </c>
      <c r="C202">
        <v>3101.7</v>
      </c>
    </row>
    <row r="203" spans="2:3">
      <c r="B203" s="1">
        <v>40711</v>
      </c>
      <c r="C203">
        <v>2857.9</v>
      </c>
    </row>
    <row r="204" spans="2:3">
      <c r="B204" s="1">
        <v>40718</v>
      </c>
      <c r="C204">
        <v>2809.5</v>
      </c>
    </row>
    <row r="205" spans="2:3">
      <c r="B205" s="1">
        <v>40725</v>
      </c>
      <c r="C205">
        <v>2527.5</v>
      </c>
    </row>
    <row r="206" spans="2:3">
      <c r="B206" s="1">
        <v>40732</v>
      </c>
      <c r="C206">
        <v>2362.6999999999998</v>
      </c>
    </row>
    <row r="207" spans="2:3">
      <c r="B207" s="1">
        <v>40739</v>
      </c>
      <c r="C207">
        <v>2923.8</v>
      </c>
    </row>
    <row r="208" spans="2:3">
      <c r="B208" s="1">
        <v>40746</v>
      </c>
      <c r="C208">
        <v>2769.6</v>
      </c>
    </row>
    <row r="209" spans="2:3">
      <c r="B209" s="1">
        <v>40753</v>
      </c>
      <c r="C209">
        <v>2974.1</v>
      </c>
    </row>
    <row r="210" spans="2:3">
      <c r="B210" s="1">
        <v>40760</v>
      </c>
      <c r="C210">
        <v>3880.9</v>
      </c>
    </row>
    <row r="211" spans="2:3">
      <c r="B211" s="1">
        <v>40767</v>
      </c>
      <c r="C211">
        <v>4184.3999999999996</v>
      </c>
    </row>
    <row r="212" spans="2:3">
      <c r="B212" s="1">
        <v>40774</v>
      </c>
      <c r="C212">
        <v>4110.8</v>
      </c>
    </row>
    <row r="213" spans="2:3">
      <c r="B213" s="1">
        <v>40781</v>
      </c>
      <c r="C213">
        <v>3601.3</v>
      </c>
    </row>
    <row r="214" spans="2:3">
      <c r="B214" s="1">
        <v>40788</v>
      </c>
      <c r="C214">
        <v>3372</v>
      </c>
    </row>
    <row r="215" spans="2:3">
      <c r="B215" s="1">
        <v>40795</v>
      </c>
      <c r="C215">
        <v>3571.7</v>
      </c>
    </row>
    <row r="216" spans="2:3">
      <c r="B216" s="1">
        <v>40802</v>
      </c>
      <c r="C216">
        <v>4033.8</v>
      </c>
    </row>
    <row r="217" spans="2:3">
      <c r="B217" s="1">
        <v>40809</v>
      </c>
      <c r="C217">
        <v>4512.1000000000004</v>
      </c>
    </row>
    <row r="218" spans="2:3">
      <c r="B218" s="1">
        <v>40816</v>
      </c>
      <c r="C218">
        <v>4241.8</v>
      </c>
    </row>
    <row r="219" spans="2:3">
      <c r="B219" s="1">
        <v>40823</v>
      </c>
      <c r="C219">
        <v>4251.1000000000004</v>
      </c>
    </row>
    <row r="220" spans="2:3">
      <c r="B220" s="1">
        <v>40830</v>
      </c>
      <c r="C220">
        <v>3553.2</v>
      </c>
    </row>
    <row r="221" spans="2:3">
      <c r="B221" s="1">
        <v>40837</v>
      </c>
      <c r="C221">
        <v>3719.3</v>
      </c>
    </row>
    <row r="222" spans="2:3">
      <c r="B222" s="1">
        <v>40844</v>
      </c>
      <c r="C222">
        <v>3695</v>
      </c>
    </row>
    <row r="223" spans="2:3">
      <c r="B223" s="1">
        <v>40851</v>
      </c>
      <c r="C223">
        <v>4137.6000000000004</v>
      </c>
    </row>
    <row r="224" spans="2:3">
      <c r="B224" s="1">
        <v>40858</v>
      </c>
      <c r="C224">
        <v>3664.5</v>
      </c>
    </row>
    <row r="225" spans="2:3">
      <c r="B225" s="1">
        <v>40865</v>
      </c>
      <c r="C225">
        <v>3466.8</v>
      </c>
    </row>
    <row r="226" spans="2:3">
      <c r="B226" s="1">
        <v>40872</v>
      </c>
      <c r="C226">
        <v>2941.3</v>
      </c>
    </row>
    <row r="227" spans="2:3">
      <c r="B227" s="1">
        <v>40879</v>
      </c>
      <c r="C227">
        <v>3394.7</v>
      </c>
    </row>
    <row r="228" spans="2:3">
      <c r="B228" s="1">
        <v>40886</v>
      </c>
      <c r="C228">
        <v>3708.6</v>
      </c>
    </row>
    <row r="229" spans="2:3">
      <c r="B229" s="1">
        <v>40893</v>
      </c>
      <c r="C229">
        <v>3676.1</v>
      </c>
    </row>
    <row r="230" spans="2:3">
      <c r="B230" s="1">
        <v>40900</v>
      </c>
      <c r="C230">
        <v>3684.5</v>
      </c>
    </row>
    <row r="231" spans="2:3">
      <c r="B231" s="1">
        <v>40907</v>
      </c>
      <c r="C231">
        <v>3608.1</v>
      </c>
    </row>
    <row r="232" spans="2:3">
      <c r="B232" s="1">
        <v>40914</v>
      </c>
      <c r="C232">
        <v>3668.3</v>
      </c>
    </row>
    <row r="233" spans="2:3">
      <c r="B233" s="1">
        <v>40921</v>
      </c>
      <c r="C233">
        <v>4626.5</v>
      </c>
    </row>
    <row r="234" spans="2:3">
      <c r="B234" s="1">
        <v>40928</v>
      </c>
      <c r="C234">
        <v>4326.3999999999996</v>
      </c>
    </row>
    <row r="235" spans="2:3">
      <c r="B235" s="1">
        <v>40935</v>
      </c>
      <c r="C235">
        <v>4184.3</v>
      </c>
    </row>
    <row r="236" spans="2:3">
      <c r="B236" s="1">
        <v>40942</v>
      </c>
      <c r="C236">
        <v>4617.1000000000004</v>
      </c>
    </row>
    <row r="237" spans="2:3">
      <c r="B237" s="1">
        <v>40949</v>
      </c>
      <c r="C237">
        <v>4716.1000000000004</v>
      </c>
    </row>
    <row r="238" spans="2:3">
      <c r="B238" s="1">
        <v>40956</v>
      </c>
      <c r="C238">
        <v>4466.8999999999996</v>
      </c>
    </row>
    <row r="239" spans="2:3">
      <c r="B239" s="1">
        <v>40963</v>
      </c>
      <c r="C239">
        <v>4379.1000000000004</v>
      </c>
    </row>
    <row r="240" spans="2:3">
      <c r="B240" s="1">
        <v>40970</v>
      </c>
      <c r="C240">
        <v>4277.6000000000004</v>
      </c>
    </row>
    <row r="241" spans="2:3">
      <c r="B241" s="1">
        <v>40977</v>
      </c>
      <c r="C241">
        <v>4063.4</v>
      </c>
    </row>
    <row r="242" spans="2:3">
      <c r="B242" s="1">
        <v>40984</v>
      </c>
      <c r="C242">
        <v>3715.2</v>
      </c>
    </row>
    <row r="243" spans="2:3">
      <c r="B243" s="1">
        <v>40991</v>
      </c>
      <c r="C243">
        <v>3588.4</v>
      </c>
    </row>
    <row r="244" spans="2:3">
      <c r="B244" s="1">
        <v>40998</v>
      </c>
      <c r="C244">
        <v>3699.5</v>
      </c>
    </row>
    <row r="245" spans="2:3">
      <c r="B245" s="1">
        <v>41005</v>
      </c>
      <c r="C245">
        <v>3549.3</v>
      </c>
    </row>
    <row r="246" spans="2:3">
      <c r="B246" s="1">
        <v>41012</v>
      </c>
      <c r="C246">
        <v>4144.3</v>
      </c>
    </row>
    <row r="247" spans="2:3">
      <c r="B247" s="1">
        <v>41019</v>
      </c>
      <c r="C247">
        <v>3892.2</v>
      </c>
    </row>
    <row r="248" spans="2:3">
      <c r="B248" s="1">
        <v>41026</v>
      </c>
      <c r="C248">
        <v>3856</v>
      </c>
    </row>
    <row r="249" spans="2:3">
      <c r="B249" s="1">
        <v>41033</v>
      </c>
      <c r="C249">
        <v>3924.4</v>
      </c>
    </row>
    <row r="250" spans="2:3">
      <c r="B250" s="1">
        <v>41040</v>
      </c>
      <c r="C250">
        <v>4482</v>
      </c>
    </row>
    <row r="251" spans="2:3">
      <c r="B251" s="1">
        <v>41047</v>
      </c>
      <c r="C251">
        <v>4732</v>
      </c>
    </row>
    <row r="252" spans="2:3">
      <c r="B252" s="1">
        <v>41054</v>
      </c>
      <c r="C252">
        <v>4675.8999999999996</v>
      </c>
    </row>
    <row r="253" spans="2:3">
      <c r="B253" s="1">
        <v>41061</v>
      </c>
      <c r="C253">
        <v>4736</v>
      </c>
    </row>
    <row r="254" spans="2:3">
      <c r="B254" s="1">
        <v>41068</v>
      </c>
      <c r="C254">
        <v>5590</v>
      </c>
    </row>
    <row r="255" spans="2:3">
      <c r="B255" s="1">
        <v>41075</v>
      </c>
      <c r="C255">
        <v>4719.6000000000004</v>
      </c>
    </row>
    <row r="256" spans="2:3">
      <c r="B256" s="1">
        <v>41082</v>
      </c>
      <c r="C256">
        <v>4585.8</v>
      </c>
    </row>
    <row r="257" spans="2:3">
      <c r="B257" s="1">
        <v>41089</v>
      </c>
      <c r="C257">
        <v>4372.2</v>
      </c>
    </row>
    <row r="258" spans="2:3">
      <c r="B258" s="1">
        <v>41096</v>
      </c>
      <c r="C258">
        <v>4267.8999999999996</v>
      </c>
    </row>
    <row r="259" spans="2:3">
      <c r="B259" s="1">
        <v>41103</v>
      </c>
      <c r="C259">
        <v>5246.8</v>
      </c>
    </row>
    <row r="260" spans="2:3">
      <c r="B260" s="1">
        <v>41110</v>
      </c>
      <c r="C260">
        <v>5383.1</v>
      </c>
    </row>
    <row r="261" spans="2:3">
      <c r="B261" s="1">
        <v>41117</v>
      </c>
      <c r="C261">
        <v>5492.1</v>
      </c>
    </row>
    <row r="262" spans="2:3">
      <c r="B262" s="1">
        <v>41124</v>
      </c>
      <c r="C262">
        <v>5444.3</v>
      </c>
    </row>
    <row r="263" spans="2:3">
      <c r="B263" s="1">
        <v>41131</v>
      </c>
      <c r="C263">
        <v>5172.2</v>
      </c>
    </row>
    <row r="264" spans="2:3">
      <c r="B264" s="1">
        <v>41138</v>
      </c>
      <c r="C264">
        <v>4671.1000000000004</v>
      </c>
    </row>
    <row r="265" spans="2:3">
      <c r="B265" s="1">
        <v>41145</v>
      </c>
      <c r="C265">
        <v>4414.6000000000004</v>
      </c>
    </row>
    <row r="266" spans="2:3">
      <c r="B266" s="1">
        <v>41152</v>
      </c>
      <c r="C266">
        <v>4274.8</v>
      </c>
    </row>
    <row r="267" spans="2:3">
      <c r="B267" s="1">
        <v>41159</v>
      </c>
      <c r="C267">
        <v>4779.1000000000004</v>
      </c>
    </row>
    <row r="268" spans="2:3">
      <c r="B268" s="1">
        <v>41166</v>
      </c>
      <c r="C268">
        <v>4823.3</v>
      </c>
    </row>
    <row r="269" spans="2:3">
      <c r="B269" s="1">
        <v>41173</v>
      </c>
      <c r="C269">
        <v>4979</v>
      </c>
    </row>
    <row r="270" spans="2:3">
      <c r="B270" s="1">
        <v>41180</v>
      </c>
      <c r="C270">
        <v>5965.5</v>
      </c>
    </row>
    <row r="271" spans="2:3">
      <c r="B271" s="1">
        <v>41187</v>
      </c>
      <c r="C271">
        <v>5892.5</v>
      </c>
    </row>
    <row r="272" spans="2:3">
      <c r="B272" s="1">
        <v>41194</v>
      </c>
      <c r="C272">
        <v>5572.2</v>
      </c>
    </row>
    <row r="273" spans="2:3">
      <c r="B273" s="1">
        <v>41201</v>
      </c>
      <c r="C273">
        <v>4847.2</v>
      </c>
    </row>
    <row r="274" spans="2:3">
      <c r="B274" s="1">
        <v>41208</v>
      </c>
      <c r="C274">
        <v>4550.7</v>
      </c>
    </row>
    <row r="275" spans="2:3">
      <c r="B275" s="1">
        <v>41215</v>
      </c>
      <c r="C275">
        <v>4297.7</v>
      </c>
    </row>
    <row r="276" spans="2:3">
      <c r="B276" s="1">
        <v>41222</v>
      </c>
      <c r="C276">
        <v>4856.1000000000004</v>
      </c>
    </row>
    <row r="277" spans="2:3">
      <c r="B277" s="1">
        <v>41229</v>
      </c>
      <c r="C277">
        <v>4702.3999999999996</v>
      </c>
    </row>
    <row r="278" spans="2:3">
      <c r="B278" s="1">
        <v>41236</v>
      </c>
      <c r="C278">
        <v>4666.8</v>
      </c>
    </row>
    <row r="279" spans="2:3">
      <c r="B279" s="1">
        <v>41243</v>
      </c>
      <c r="C279">
        <v>4943</v>
      </c>
    </row>
    <row r="280" spans="2:3">
      <c r="B280" s="1">
        <v>41250</v>
      </c>
      <c r="C280">
        <v>5368.1</v>
      </c>
    </row>
    <row r="281" spans="2:3">
      <c r="B281" s="1">
        <v>41257</v>
      </c>
      <c r="C281">
        <v>4564.3999999999996</v>
      </c>
    </row>
    <row r="282" spans="2:3">
      <c r="B282" s="1">
        <v>41264</v>
      </c>
      <c r="C282">
        <v>3983.2</v>
      </c>
    </row>
    <row r="283" spans="2:3">
      <c r="B283" s="1">
        <v>41271</v>
      </c>
      <c r="C283">
        <v>3488.9</v>
      </c>
    </row>
    <row r="284" spans="2:3">
      <c r="B284" s="1">
        <v>41278</v>
      </c>
      <c r="C284">
        <v>3896.4</v>
      </c>
    </row>
    <row r="285" spans="2:3">
      <c r="B285" s="1">
        <v>41285</v>
      </c>
      <c r="C285">
        <v>4554.3999999999996</v>
      </c>
    </row>
    <row r="286" spans="2:3">
      <c r="B286" s="1">
        <v>41292</v>
      </c>
      <c r="C286">
        <v>4937.3999999999996</v>
      </c>
    </row>
    <row r="287" spans="2:3">
      <c r="B287" s="1">
        <v>41299</v>
      </c>
      <c r="C287">
        <v>4433.6000000000004</v>
      </c>
    </row>
    <row r="288" spans="2:3">
      <c r="B288" s="1">
        <v>41306</v>
      </c>
      <c r="C288">
        <v>4579</v>
      </c>
    </row>
    <row r="289" spans="2:3">
      <c r="B289" s="1">
        <v>41313</v>
      </c>
      <c r="C289">
        <v>4284.3</v>
      </c>
    </row>
    <row r="290" spans="2:3">
      <c r="B290" s="1">
        <v>41320</v>
      </c>
      <c r="C290">
        <v>4261.8</v>
      </c>
    </row>
    <row r="291" spans="2:3">
      <c r="B291" s="1">
        <v>41327</v>
      </c>
      <c r="C291">
        <v>4136.3</v>
      </c>
    </row>
    <row r="292" spans="2:3">
      <c r="B292" s="1">
        <v>41334</v>
      </c>
      <c r="C292">
        <v>4724.8999999999996</v>
      </c>
    </row>
    <row r="293" spans="2:3">
      <c r="B293" s="1">
        <v>41341</v>
      </c>
      <c r="C293">
        <v>4485.2</v>
      </c>
    </row>
    <row r="294" spans="2:3">
      <c r="B294" s="1">
        <v>41348</v>
      </c>
      <c r="C294">
        <v>4111.3</v>
      </c>
    </row>
    <row r="295" spans="2:3">
      <c r="B295" s="1">
        <v>41355</v>
      </c>
      <c r="C295">
        <v>4412.8999999999996</v>
      </c>
    </row>
    <row r="296" spans="2:3">
      <c r="B296" s="1">
        <v>41362</v>
      </c>
      <c r="C296">
        <v>4119.2</v>
      </c>
    </row>
    <row r="297" spans="2:3">
      <c r="B297" s="1">
        <v>41369</v>
      </c>
      <c r="C297">
        <v>4528.8999999999996</v>
      </c>
    </row>
    <row r="298" spans="2:3">
      <c r="B298" s="1">
        <v>41376</v>
      </c>
      <c r="C298">
        <v>4726.8999999999996</v>
      </c>
    </row>
    <row r="299" spans="2:3">
      <c r="B299" s="1">
        <v>41383</v>
      </c>
      <c r="C299">
        <v>4672.1000000000004</v>
      </c>
    </row>
    <row r="300" spans="2:3">
      <c r="B300" s="1">
        <v>41390</v>
      </c>
      <c r="C300">
        <v>4854.1000000000004</v>
      </c>
    </row>
    <row r="301" spans="2:3">
      <c r="B301" s="1">
        <v>41397</v>
      </c>
      <c r="C301">
        <v>5279.9</v>
      </c>
    </row>
    <row r="302" spans="2:3">
      <c r="B302" s="1">
        <v>41404</v>
      </c>
      <c r="C302">
        <v>4797.2</v>
      </c>
    </row>
    <row r="303" spans="2:3">
      <c r="B303" s="1">
        <v>41411</v>
      </c>
      <c r="C303">
        <v>4241.5</v>
      </c>
    </row>
    <row r="304" spans="2:3">
      <c r="B304" s="1">
        <v>41418</v>
      </c>
      <c r="C304">
        <v>3709.4</v>
      </c>
    </row>
    <row r="305" spans="2:3">
      <c r="B305" s="1">
        <v>41425</v>
      </c>
      <c r="C305">
        <v>3163.6</v>
      </c>
    </row>
    <row r="306" spans="2:3">
      <c r="B306" s="1">
        <v>41432</v>
      </c>
      <c r="C306">
        <v>3339.8</v>
      </c>
    </row>
    <row r="307" spans="2:3">
      <c r="B307" s="1">
        <v>41439</v>
      </c>
      <c r="C307">
        <v>3214.4</v>
      </c>
    </row>
    <row r="308" spans="2:3">
      <c r="B308" s="1">
        <v>41446</v>
      </c>
      <c r="C308">
        <v>3040.1</v>
      </c>
    </row>
    <row r="309" spans="2:3">
      <c r="B309" s="1">
        <v>41453</v>
      </c>
      <c r="C309">
        <v>2573.4</v>
      </c>
    </row>
    <row r="310" spans="2:3">
      <c r="B310" s="1">
        <v>41460</v>
      </c>
      <c r="C310">
        <v>2417.8000000000002</v>
      </c>
    </row>
    <row r="311" spans="2:3">
      <c r="B311" s="1">
        <v>41467</v>
      </c>
      <c r="C311">
        <v>2242.1999999999998</v>
      </c>
    </row>
    <row r="312" spans="2:3">
      <c r="B312" s="1">
        <v>41474</v>
      </c>
      <c r="C312">
        <v>2288</v>
      </c>
    </row>
    <row r="313" spans="2:3">
      <c r="B313" s="1">
        <v>41481</v>
      </c>
      <c r="C313">
        <v>2218.3000000000002</v>
      </c>
    </row>
    <row r="314" spans="2:3">
      <c r="B314" s="1">
        <v>41488</v>
      </c>
      <c r="C314">
        <v>2228.9</v>
      </c>
    </row>
    <row r="315" spans="2:3">
      <c r="B315" s="1">
        <v>41495</v>
      </c>
      <c r="C315">
        <v>2110.6</v>
      </c>
    </row>
    <row r="316" spans="2:3">
      <c r="B316" s="1">
        <v>41502</v>
      </c>
      <c r="C316">
        <v>1935.1</v>
      </c>
    </row>
    <row r="317" spans="2:3">
      <c r="B317" s="1">
        <v>41509</v>
      </c>
      <c r="C317">
        <v>1842.6</v>
      </c>
    </row>
    <row r="318" spans="2:3">
      <c r="B318" s="1">
        <v>41516</v>
      </c>
      <c r="C318">
        <v>1909</v>
      </c>
    </row>
    <row r="319" spans="2:3">
      <c r="B319" s="1">
        <v>41523</v>
      </c>
      <c r="C319">
        <v>1512.9</v>
      </c>
    </row>
    <row r="320" spans="2:3">
      <c r="B320" s="1">
        <v>41530</v>
      </c>
      <c r="C320">
        <v>1814</v>
      </c>
    </row>
    <row r="321" spans="2:3">
      <c r="B321" s="1">
        <v>41537</v>
      </c>
      <c r="C321">
        <v>1922.9</v>
      </c>
    </row>
    <row r="322" spans="2:3">
      <c r="B322" s="1">
        <v>41544</v>
      </c>
      <c r="C322">
        <v>1956.6</v>
      </c>
    </row>
    <row r="323" spans="2:3">
      <c r="B323" s="1">
        <v>41551</v>
      </c>
      <c r="C323">
        <v>2025.3</v>
      </c>
    </row>
    <row r="324" spans="2:3">
      <c r="B324" s="1">
        <v>41558</v>
      </c>
      <c r="C324">
        <v>2102.6999999999998</v>
      </c>
    </row>
    <row r="325" spans="2:3">
      <c r="B325" s="1">
        <v>41565</v>
      </c>
      <c r="C325">
        <v>2033.7</v>
      </c>
    </row>
    <row r="326" spans="2:3">
      <c r="B326" s="1">
        <v>41572</v>
      </c>
      <c r="C326">
        <v>2211.8000000000002</v>
      </c>
    </row>
    <row r="327" spans="2:3">
      <c r="B327" s="1">
        <v>41579</v>
      </c>
      <c r="C327">
        <v>2105.6</v>
      </c>
    </row>
    <row r="328" spans="2:3">
      <c r="B328" s="1">
        <v>41586</v>
      </c>
      <c r="C328">
        <v>2056.9</v>
      </c>
    </row>
    <row r="329" spans="2:3">
      <c r="B329" s="1">
        <v>41593</v>
      </c>
      <c r="C329">
        <v>1903.5</v>
      </c>
    </row>
    <row r="330" spans="2:3">
      <c r="B330" s="1">
        <v>41600</v>
      </c>
      <c r="C330">
        <v>1917.2</v>
      </c>
    </row>
    <row r="331" spans="2:3">
      <c r="B331" s="1">
        <v>41607</v>
      </c>
      <c r="C331">
        <v>1561.6</v>
      </c>
    </row>
    <row r="332" spans="2:3">
      <c r="B332" s="1">
        <v>41614</v>
      </c>
      <c r="C332">
        <v>1599.4</v>
      </c>
    </row>
    <row r="333" spans="2:3">
      <c r="B333" s="1">
        <v>41621</v>
      </c>
      <c r="C333">
        <v>1529.8</v>
      </c>
    </row>
    <row r="334" spans="2:3">
      <c r="B334" s="1">
        <v>41628</v>
      </c>
      <c r="C334">
        <v>1426.7</v>
      </c>
    </row>
    <row r="335" spans="2:3">
      <c r="B335" s="1">
        <v>41635</v>
      </c>
      <c r="C335">
        <v>1277.8</v>
      </c>
    </row>
    <row r="336" spans="2:3">
      <c r="B336" s="1">
        <v>41642</v>
      </c>
      <c r="C336">
        <v>1352.7</v>
      </c>
    </row>
    <row r="337" spans="2:3">
      <c r="B337" s="1">
        <v>41649</v>
      </c>
      <c r="C337">
        <v>1507</v>
      </c>
    </row>
    <row r="338" spans="2:3">
      <c r="B338" s="1">
        <v>41656</v>
      </c>
      <c r="C338">
        <v>1675.8</v>
      </c>
    </row>
    <row r="339" spans="2:3">
      <c r="B339" s="1">
        <v>41663</v>
      </c>
      <c r="C339">
        <v>1601.2</v>
      </c>
    </row>
    <row r="340" spans="2:3">
      <c r="B340" s="1">
        <v>41670</v>
      </c>
      <c r="C340">
        <v>1667.5</v>
      </c>
    </row>
    <row r="341" spans="2:3">
      <c r="B341" s="1">
        <v>41677</v>
      </c>
      <c r="C341">
        <v>1674.2</v>
      </c>
    </row>
    <row r="342" spans="2:3">
      <c r="B342" s="1">
        <v>41684</v>
      </c>
      <c r="C342">
        <v>1650.6</v>
      </c>
    </row>
    <row r="343" spans="2:3">
      <c r="B343" s="1">
        <v>41691</v>
      </c>
      <c r="C343">
        <v>1442.3</v>
      </c>
    </row>
    <row r="344" spans="2:3">
      <c r="B344" s="1">
        <v>41698</v>
      </c>
      <c r="C344">
        <v>1600.6</v>
      </c>
    </row>
    <row r="345" spans="2:3">
      <c r="B345" s="1">
        <v>41705</v>
      </c>
      <c r="C345">
        <v>1528</v>
      </c>
    </row>
    <row r="346" spans="2:3">
      <c r="B346" s="1">
        <v>41712</v>
      </c>
      <c r="C346">
        <v>1552.1</v>
      </c>
    </row>
    <row r="347" spans="2:3">
      <c r="B347" s="1">
        <v>41719</v>
      </c>
      <c r="C347">
        <v>1426.3</v>
      </c>
    </row>
    <row r="348" spans="2:3">
      <c r="B348" s="1">
        <v>41726</v>
      </c>
      <c r="C348">
        <v>1383.5</v>
      </c>
    </row>
    <row r="349" spans="2:3">
      <c r="B349" s="1">
        <v>41733</v>
      </c>
      <c r="C349">
        <v>1324.7</v>
      </c>
    </row>
    <row r="350" spans="2:3">
      <c r="B350" s="1">
        <v>41740</v>
      </c>
      <c r="C350">
        <v>1429.9</v>
      </c>
    </row>
    <row r="351" spans="2:3">
      <c r="B351" s="1">
        <v>41747</v>
      </c>
      <c r="C351">
        <v>1370.9</v>
      </c>
    </row>
    <row r="352" spans="2:3">
      <c r="B352" s="1">
        <v>41754</v>
      </c>
      <c r="C352">
        <v>1298.0999999999999</v>
      </c>
    </row>
    <row r="353" spans="2:3">
      <c r="B353" s="1">
        <v>41761</v>
      </c>
      <c r="C353">
        <v>1323.9</v>
      </c>
    </row>
    <row r="354" spans="2:3">
      <c r="B354" s="1">
        <v>41768</v>
      </c>
      <c r="C354">
        <v>1400.9</v>
      </c>
    </row>
    <row r="355" spans="2:3">
      <c r="B355" s="1">
        <v>41775</v>
      </c>
      <c r="C355">
        <v>1460.6</v>
      </c>
    </row>
    <row r="356" spans="2:3">
      <c r="B356" s="1">
        <v>41782</v>
      </c>
      <c r="C356">
        <v>1453.4</v>
      </c>
    </row>
    <row r="357" spans="2:3">
      <c r="B357" s="1">
        <v>41789</v>
      </c>
      <c r="C357">
        <v>1382.6</v>
      </c>
    </row>
    <row r="358" spans="2:3">
      <c r="B358" s="1">
        <v>41796</v>
      </c>
      <c r="C358">
        <v>1516.9</v>
      </c>
    </row>
    <row r="359" spans="2:3">
      <c r="B359" s="1">
        <v>41803</v>
      </c>
      <c r="C359">
        <v>1321.3</v>
      </c>
    </row>
    <row r="360" spans="2:3">
      <c r="B360" s="1">
        <v>41810</v>
      </c>
      <c r="C360">
        <v>1333.5</v>
      </c>
    </row>
    <row r="361" spans="2:3">
      <c r="B361" s="1">
        <v>41817</v>
      </c>
      <c r="C361">
        <v>1341.8</v>
      </c>
    </row>
    <row r="362" spans="2:3">
      <c r="B362" s="1">
        <v>41824</v>
      </c>
      <c r="C362">
        <v>1346.8</v>
      </c>
    </row>
    <row r="363" spans="2:3">
      <c r="B363" s="1">
        <v>41831</v>
      </c>
      <c r="C363">
        <v>1329.7</v>
      </c>
    </row>
    <row r="364" spans="2:3">
      <c r="B364" s="1">
        <v>41838</v>
      </c>
      <c r="C364">
        <v>1400.7</v>
      </c>
    </row>
    <row r="365" spans="2:3">
      <c r="B365" s="1">
        <v>41845</v>
      </c>
      <c r="C365">
        <v>1327.5</v>
      </c>
    </row>
    <row r="366" spans="2:3">
      <c r="B366" s="1">
        <v>41852</v>
      </c>
      <c r="C366">
        <v>1373.9</v>
      </c>
    </row>
    <row r="367" spans="2:3">
      <c r="B367" s="1">
        <v>41859</v>
      </c>
      <c r="C367">
        <v>1342.6</v>
      </c>
    </row>
    <row r="368" spans="2:3">
      <c r="B368" s="1">
        <v>41866</v>
      </c>
      <c r="C368">
        <v>1404.9</v>
      </c>
    </row>
    <row r="369" spans="2:3">
      <c r="B369" s="1">
        <v>41873</v>
      </c>
      <c r="C369">
        <v>1439.4</v>
      </c>
    </row>
    <row r="370" spans="2:3">
      <c r="B370" s="1">
        <v>41880</v>
      </c>
      <c r="C370">
        <v>1436</v>
      </c>
    </row>
    <row r="371" spans="2:3">
      <c r="B371" s="1">
        <v>41887</v>
      </c>
      <c r="C371">
        <v>1275.8</v>
      </c>
    </row>
    <row r="372" spans="2:3">
      <c r="B372" s="1">
        <v>41894</v>
      </c>
      <c r="C372">
        <v>1398.4</v>
      </c>
    </row>
    <row r="373" spans="2:3">
      <c r="B373" s="1">
        <v>41901</v>
      </c>
      <c r="C373">
        <v>1335.1</v>
      </c>
    </row>
    <row r="374" spans="2:3">
      <c r="B374" s="1">
        <v>41908</v>
      </c>
      <c r="C374">
        <v>1326.2</v>
      </c>
    </row>
    <row r="375" spans="2:3">
      <c r="B375" s="1">
        <v>41915</v>
      </c>
      <c r="C375">
        <v>1387.1</v>
      </c>
    </row>
    <row r="376" spans="2:3">
      <c r="B376" s="1">
        <v>41922</v>
      </c>
      <c r="C376">
        <v>1560.6</v>
      </c>
    </row>
    <row r="377" spans="2:3">
      <c r="B377" s="1">
        <v>41929</v>
      </c>
      <c r="C377">
        <v>1898.2</v>
      </c>
    </row>
    <row r="378" spans="2:3">
      <c r="B378" s="1">
        <v>41936</v>
      </c>
      <c r="C378">
        <v>1713.6</v>
      </c>
    </row>
    <row r="379" spans="2:3">
      <c r="B379" s="1">
        <v>41943</v>
      </c>
      <c r="C379">
        <v>1604.8</v>
      </c>
    </row>
    <row r="380" spans="2:3">
      <c r="B380" s="1">
        <v>41950</v>
      </c>
      <c r="C380">
        <v>1565.3</v>
      </c>
    </row>
    <row r="381" spans="2:3">
      <c r="B381" s="1">
        <v>41957</v>
      </c>
      <c r="C381">
        <v>1563.2</v>
      </c>
    </row>
    <row r="382" spans="2:3">
      <c r="B382" s="1">
        <v>41964</v>
      </c>
      <c r="C382">
        <v>1547.9</v>
      </c>
    </row>
    <row r="383" spans="2:3">
      <c r="B383" s="1">
        <v>41971</v>
      </c>
      <c r="C383">
        <v>1366.6</v>
      </c>
    </row>
    <row r="384" spans="2:3">
      <c r="B384" s="1">
        <v>41978</v>
      </c>
      <c r="C384">
        <v>1548.6</v>
      </c>
    </row>
    <row r="385" spans="2:3">
      <c r="B385" s="1">
        <v>41985</v>
      </c>
      <c r="C385">
        <v>1518.8</v>
      </c>
    </row>
    <row r="386" spans="2:3">
      <c r="B386" s="1">
        <v>41992</v>
      </c>
      <c r="C386">
        <v>1538.7</v>
      </c>
    </row>
    <row r="387" spans="2:3">
      <c r="B387" s="1">
        <v>41998</v>
      </c>
      <c r="C387">
        <v>1164.2</v>
      </c>
    </row>
    <row r="388" spans="2:3">
      <c r="B388" s="1">
        <v>42005</v>
      </c>
      <c r="C388">
        <v>1347.6</v>
      </c>
    </row>
    <row r="389" spans="2:3">
      <c r="B389" s="1">
        <v>42013</v>
      </c>
      <c r="C389">
        <v>2271.5</v>
      </c>
    </row>
    <row r="390" spans="2:3">
      <c r="B390" s="1">
        <v>42020</v>
      </c>
      <c r="C390">
        <v>2799.3</v>
      </c>
    </row>
    <row r="391" spans="2:3">
      <c r="B391" s="1">
        <v>42027</v>
      </c>
      <c r="C391">
        <v>2572.3000000000002</v>
      </c>
    </row>
    <row r="392" spans="2:3">
      <c r="B392" s="1">
        <v>42034</v>
      </c>
      <c r="C392">
        <v>2584.8000000000002</v>
      </c>
    </row>
    <row r="393" spans="2:3">
      <c r="B393" s="1">
        <v>42041</v>
      </c>
      <c r="C393">
        <v>2291.3000000000002</v>
      </c>
    </row>
    <row r="394" spans="2:3">
      <c r="B394" s="1">
        <v>42048</v>
      </c>
      <c r="C394">
        <v>1904.2</v>
      </c>
    </row>
    <row r="395" spans="2:3">
      <c r="B395" s="1">
        <v>42055</v>
      </c>
      <c r="C395">
        <v>1703.1</v>
      </c>
    </row>
    <row r="396" spans="2:3">
      <c r="B396" s="1">
        <v>42062</v>
      </c>
      <c r="C396">
        <v>1740.3</v>
      </c>
    </row>
    <row r="397" spans="2:3">
      <c r="B397" s="1">
        <v>42069</v>
      </c>
      <c r="C397">
        <v>1685.7</v>
      </c>
    </row>
    <row r="398" spans="2:3">
      <c r="B398" s="1">
        <v>42076</v>
      </c>
      <c r="C398">
        <v>1623.6</v>
      </c>
    </row>
    <row r="399" spans="2:3">
      <c r="B399" s="1">
        <v>42083</v>
      </c>
      <c r="C399">
        <v>1860.8</v>
      </c>
    </row>
    <row r="400" spans="2:3">
      <c r="B400" s="1">
        <v>42090</v>
      </c>
      <c r="C400">
        <v>1941.6</v>
      </c>
    </row>
    <row r="401" spans="2:3">
      <c r="B401" s="1">
        <v>42097</v>
      </c>
      <c r="C401">
        <v>1854.7</v>
      </c>
    </row>
    <row r="402" spans="2:3">
      <c r="B402" s="1">
        <v>42104</v>
      </c>
      <c r="C402">
        <v>1804.6</v>
      </c>
    </row>
    <row r="403" spans="2:3">
      <c r="B403" s="1">
        <v>42111</v>
      </c>
      <c r="C403">
        <v>1817</v>
      </c>
    </row>
    <row r="404" spans="2:3">
      <c r="B404" s="1">
        <v>42118</v>
      </c>
      <c r="C404">
        <v>1723</v>
      </c>
    </row>
    <row r="405" spans="2:3">
      <c r="B405" s="1">
        <v>42125</v>
      </c>
      <c r="C405">
        <v>1559.4</v>
      </c>
    </row>
    <row r="406" spans="2:3">
      <c r="B406" s="1">
        <v>42132</v>
      </c>
      <c r="C406">
        <v>1477.8</v>
      </c>
    </row>
    <row r="407" spans="2:3">
      <c r="B407" s="1">
        <v>42139</v>
      </c>
      <c r="C407">
        <v>1448.8</v>
      </c>
    </row>
    <row r="408" spans="2:3">
      <c r="B408" s="1">
        <v>42146</v>
      </c>
      <c r="C408">
        <v>1408.1</v>
      </c>
    </row>
    <row r="409" spans="2:3">
      <c r="B409" s="1">
        <v>42153</v>
      </c>
      <c r="C409">
        <v>1233.9000000000001</v>
      </c>
    </row>
    <row r="410" spans="2:3">
      <c r="B410" s="1">
        <v>42160</v>
      </c>
      <c r="C410">
        <v>1342.4</v>
      </c>
    </row>
    <row r="411" spans="2:3">
      <c r="B411" s="1">
        <v>42167</v>
      </c>
      <c r="C411">
        <v>1273.4000000000001</v>
      </c>
    </row>
    <row r="412" spans="2:3">
      <c r="B412" s="1">
        <v>42174</v>
      </c>
      <c r="C412">
        <v>1318.3</v>
      </c>
    </row>
    <row r="413" spans="2:3">
      <c r="B413" s="1">
        <v>42181</v>
      </c>
      <c r="C413">
        <v>1246.0999999999999</v>
      </c>
    </row>
    <row r="414" spans="2:3">
      <c r="B414" s="1"/>
    </row>
    <row r="415" spans="2:3">
      <c r="B415" s="1"/>
    </row>
    <row r="416" spans="2:3">
      <c r="B416" s="1"/>
    </row>
    <row r="417" spans="2:13">
      <c r="B417" s="1"/>
      <c r="J417" s="1"/>
      <c r="K417" s="55"/>
      <c r="L417" s="55"/>
      <c r="M417" s="56"/>
    </row>
    <row r="418" spans="2:13">
      <c r="B418" s="1"/>
    </row>
    <row r="419" spans="2:13">
      <c r="B419" s="1"/>
    </row>
    <row r="420" spans="2:13">
      <c r="B420" s="1"/>
    </row>
    <row r="421" spans="2:13">
      <c r="B421" s="1"/>
    </row>
    <row r="422" spans="2:13">
      <c r="B422" s="1"/>
    </row>
    <row r="423" spans="2:13">
      <c r="B423" s="1"/>
    </row>
    <row r="424" spans="2:13">
      <c r="B424" s="1"/>
    </row>
    <row r="425" spans="2:13">
      <c r="B425" s="1"/>
    </row>
    <row r="426" spans="2:13">
      <c r="B426" s="1"/>
    </row>
    <row r="427" spans="2:13">
      <c r="B427" s="1"/>
    </row>
    <row r="428" spans="2:13">
      <c r="B428" s="1"/>
    </row>
    <row r="429" spans="2:13">
      <c r="B429" s="1"/>
    </row>
    <row r="430" spans="2:13">
      <c r="B430" s="1"/>
    </row>
    <row r="431" spans="2:13">
      <c r="B431" s="1"/>
    </row>
    <row r="432" spans="2:13">
      <c r="B432" s="1"/>
    </row>
    <row r="433" spans="2:2">
      <c r="B433" s="1"/>
    </row>
    <row r="434" spans="2:2">
      <c r="B43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B36"/>
  <sheetViews>
    <sheetView workbookViewId="0">
      <selection activeCell="F16" sqref="F16:P16"/>
    </sheetView>
  </sheetViews>
  <sheetFormatPr defaultRowHeight="15"/>
  <cols>
    <col min="18" max="28" width="12" bestFit="1" customWidth="1"/>
  </cols>
  <sheetData>
    <row r="1" spans="2:16">
      <c r="F1" t="s">
        <v>15</v>
      </c>
    </row>
    <row r="2" spans="2:16">
      <c r="B2" s="6" t="s">
        <v>25</v>
      </c>
      <c r="C2" s="6" t="s">
        <v>26</v>
      </c>
      <c r="F2" s="6" t="s">
        <v>27</v>
      </c>
      <c r="G2" s="6" t="s">
        <v>28</v>
      </c>
      <c r="H2" s="6" t="s">
        <v>29</v>
      </c>
      <c r="I2" s="6" t="s">
        <v>30</v>
      </c>
      <c r="J2" s="6" t="s">
        <v>31</v>
      </c>
      <c r="K2" s="6" t="s">
        <v>32</v>
      </c>
      <c r="L2" s="6" t="s">
        <v>33</v>
      </c>
      <c r="M2" s="6" t="s">
        <v>34</v>
      </c>
      <c r="N2" s="6" t="s">
        <v>35</v>
      </c>
      <c r="O2" s="6" t="s">
        <v>36</v>
      </c>
      <c r="P2" s="6" t="s">
        <v>37</v>
      </c>
    </row>
    <row r="3" spans="2:16">
      <c r="B3" s="15">
        <v>42187</v>
      </c>
      <c r="C3" s="26">
        <v>3.98</v>
      </c>
      <c r="F3" s="24">
        <v>0.70155928770275799</v>
      </c>
      <c r="G3" s="24">
        <v>0.62110846368229555</v>
      </c>
      <c r="H3" s="24">
        <v>0.5798421378528682</v>
      </c>
      <c r="I3" s="24">
        <v>0.5359253070054012</v>
      </c>
      <c r="J3" s="24">
        <v>0.49912270122048025</v>
      </c>
      <c r="K3" s="24">
        <v>0.42691007799753877</v>
      </c>
      <c r="L3" s="24">
        <v>0.35647252702006821</v>
      </c>
      <c r="M3" s="24">
        <v>0.30807676089248354</v>
      </c>
      <c r="N3" s="24">
        <v>0.27972336937143999</v>
      </c>
      <c r="O3" s="24">
        <v>0.25172361965750895</v>
      </c>
      <c r="P3" s="24">
        <v>0.18645108077885422</v>
      </c>
    </row>
    <row r="5" spans="2:16">
      <c r="B5" s="1">
        <f>CurrentMtgRatesDataTable82523[AsOfDate]</f>
        <v>42187</v>
      </c>
      <c r="C5">
        <f>CurrentMtgRatesDataTable82523[SeriesNumValue]</f>
        <v>3.98</v>
      </c>
    </row>
    <row r="6" spans="2:16">
      <c r="F6" t="s">
        <v>16</v>
      </c>
    </row>
    <row r="7" spans="2:16">
      <c r="F7" s="6" t="s">
        <v>48</v>
      </c>
      <c r="G7" s="6" t="s">
        <v>49</v>
      </c>
      <c r="H7" s="6" t="s">
        <v>50</v>
      </c>
      <c r="I7" s="6" t="s">
        <v>51</v>
      </c>
      <c r="J7" s="6" t="s">
        <v>52</v>
      </c>
      <c r="K7" s="6" t="s">
        <v>53</v>
      </c>
      <c r="L7" s="6" t="s">
        <v>54</v>
      </c>
      <c r="M7" s="6" t="s">
        <v>55</v>
      </c>
      <c r="N7" s="6" t="s">
        <v>56</v>
      </c>
      <c r="O7" s="6" t="s">
        <v>57</v>
      </c>
      <c r="P7" s="6" t="s">
        <v>58</v>
      </c>
    </row>
    <row r="8" spans="2:16">
      <c r="F8" s="24">
        <v>0.65322604072698154</v>
      </c>
      <c r="G8" s="24">
        <v>0.58817030243821822</v>
      </c>
      <c r="H8" s="24">
        <v>0.54816545784289528</v>
      </c>
      <c r="I8" s="24">
        <v>0.48349467286280118</v>
      </c>
      <c r="J8" s="24">
        <v>0.42269076065729377</v>
      </c>
      <c r="K8" s="24">
        <v>0.39179423960644549</v>
      </c>
      <c r="L8" s="24">
        <v>0.34065965745166854</v>
      </c>
      <c r="M8" s="24">
        <v>0.31567526516234673</v>
      </c>
      <c r="N8" s="24">
        <v>0.26570559193735022</v>
      </c>
      <c r="O8" s="24">
        <v>0.21407049019105798</v>
      </c>
      <c r="P8" s="24">
        <v>0.19725786878462545</v>
      </c>
    </row>
    <row r="10" spans="2:16">
      <c r="F10" t="s">
        <v>69</v>
      </c>
    </row>
    <row r="11" spans="2:16">
      <c r="F11" s="6" t="s">
        <v>48</v>
      </c>
      <c r="G11" s="6" t="s">
        <v>49</v>
      </c>
      <c r="H11" s="6" t="s">
        <v>50</v>
      </c>
      <c r="I11" s="6" t="s">
        <v>51</v>
      </c>
      <c r="J11" s="6" t="s">
        <v>52</v>
      </c>
      <c r="K11" s="6" t="s">
        <v>53</v>
      </c>
      <c r="L11" s="6" t="s">
        <v>54</v>
      </c>
      <c r="M11" s="6" t="s">
        <v>55</v>
      </c>
      <c r="N11" s="6" t="s">
        <v>56</v>
      </c>
      <c r="O11" s="6" t="s">
        <v>57</v>
      </c>
      <c r="P11" s="6" t="s">
        <v>58</v>
      </c>
    </row>
    <row r="12" spans="2:16">
      <c r="F12" s="24">
        <v>0.20232455636978042</v>
      </c>
      <c r="G12" s="24">
        <v>3.4349770113793511E-3</v>
      </c>
      <c r="H12" s="24">
        <v>2.2577961575233258E-3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</row>
    <row r="14" spans="2:16">
      <c r="F14" t="s">
        <v>70</v>
      </c>
    </row>
    <row r="15" spans="2:16">
      <c r="F15" s="6" t="s">
        <v>48</v>
      </c>
      <c r="G15" s="6" t="s">
        <v>49</v>
      </c>
      <c r="H15" s="6" t="s">
        <v>50</v>
      </c>
      <c r="I15" s="6" t="s">
        <v>51</v>
      </c>
      <c r="J15" s="6" t="s">
        <v>52</v>
      </c>
      <c r="K15" s="6" t="s">
        <v>53</v>
      </c>
      <c r="L15" s="6" t="s">
        <v>54</v>
      </c>
      <c r="M15" s="6" t="s">
        <v>55</v>
      </c>
      <c r="N15" s="6" t="s">
        <v>56</v>
      </c>
      <c r="O15" s="6" t="s">
        <v>57</v>
      </c>
      <c r="P15" s="6" t="s">
        <v>58</v>
      </c>
    </row>
    <row r="16" spans="2:16">
      <c r="F16" s="24">
        <v>0.2139832329806424</v>
      </c>
      <c r="G16" s="24">
        <v>0.16891543025300446</v>
      </c>
      <c r="H16" s="24">
        <v>6.9002292025201941E-3</v>
      </c>
      <c r="I16" s="24">
        <v>1.8741090827335694E-3</v>
      </c>
      <c r="J16" s="24">
        <v>9.8602933182377899E-4</v>
      </c>
      <c r="K16" s="24">
        <v>4.0102183056688951E-4</v>
      </c>
      <c r="L16" s="24">
        <v>1.8547692284359447E-4</v>
      </c>
      <c r="M16" s="24">
        <v>1.1210162748833887E-4</v>
      </c>
      <c r="N16" s="24">
        <v>4.5419169426527346E-5</v>
      </c>
      <c r="O16" s="24">
        <v>1.259317285017745E-5</v>
      </c>
      <c r="P16" s="24">
        <v>7.0713343533133344E-6</v>
      </c>
    </row>
    <row r="18" spans="5:16">
      <c r="E18" s="20"/>
      <c r="F18" s="20" t="s">
        <v>42</v>
      </c>
      <c r="G18" s="20" t="s">
        <v>41</v>
      </c>
      <c r="H18" s="20" t="s">
        <v>40</v>
      </c>
      <c r="I18" s="20" t="s">
        <v>39</v>
      </c>
      <c r="J18" s="20" t="s">
        <v>38</v>
      </c>
      <c r="K18" s="31">
        <f>CurrentRate1</f>
        <v>3.98</v>
      </c>
      <c r="L18" s="20" t="s">
        <v>43</v>
      </c>
      <c r="M18" s="20" t="s">
        <v>44</v>
      </c>
      <c r="N18" s="20" t="s">
        <v>45</v>
      </c>
      <c r="O18" s="20" t="s">
        <v>46</v>
      </c>
      <c r="P18" s="20" t="s">
        <v>47</v>
      </c>
    </row>
    <row r="19" spans="5:16">
      <c r="E19" s="29" t="s">
        <v>17</v>
      </c>
      <c r="F19" s="30">
        <f>CurrentMtgRatesDataTable825234[refinancible1]</f>
        <v>0.70155928770275799</v>
      </c>
      <c r="G19" s="30">
        <f>CurrentMtgRatesDataTable825234[refinancible2]</f>
        <v>0.62110846368229555</v>
      </c>
      <c r="H19" s="30">
        <f>CurrentMtgRatesDataTable825234[refinancible3]</f>
        <v>0.5798421378528682</v>
      </c>
      <c r="I19" s="30">
        <f>CurrentMtgRatesDataTable825234[refinancible4]</f>
        <v>0.5359253070054012</v>
      </c>
      <c r="J19" s="30">
        <f>CurrentMtgRatesDataTable825234[refinancible5]</f>
        <v>0.49912270122048025</v>
      </c>
      <c r="K19" s="30">
        <f>CurrentMtgRatesDataTable825234[refinancible6]</f>
        <v>0.42691007799753877</v>
      </c>
      <c r="L19" s="30">
        <f>CurrentMtgRatesDataTable825234[refinancible7]</f>
        <v>0.35647252702006821</v>
      </c>
      <c r="M19" s="30">
        <f>CurrentMtgRatesDataTable825234[refinancible8]</f>
        <v>0.30807676089248354</v>
      </c>
      <c r="N19" s="30">
        <f>CurrentMtgRatesDataTable825234[refinancible9]</f>
        <v>0.27972336937143999</v>
      </c>
      <c r="O19" s="30">
        <f>CurrentMtgRatesDataTable825234[refinancible10]</f>
        <v>0.25172361965750895</v>
      </c>
      <c r="P19" s="30">
        <f>CurrentMtgRatesDataTable825234[refinancible11]</f>
        <v>0.18645108077885422</v>
      </c>
    </row>
    <row r="20" spans="5:16">
      <c r="E20" s="29" t="s">
        <v>14</v>
      </c>
      <c r="F20" s="30">
        <f>CurrentMtgRatesDataTable8252346[refinanceible1]</f>
        <v>0.65322604072698154</v>
      </c>
      <c r="G20" s="30">
        <f>CurrentMtgRatesDataTable8252346[refinanceible2]</f>
        <v>0.58817030243821822</v>
      </c>
      <c r="H20" s="30">
        <f>CurrentMtgRatesDataTable8252346[refinanceible3]</f>
        <v>0.54816545784289528</v>
      </c>
      <c r="I20" s="30">
        <f>CurrentMtgRatesDataTable8252346[refinanceible4]</f>
        <v>0.48349467286280118</v>
      </c>
      <c r="J20" s="30">
        <f>CurrentMtgRatesDataTable8252346[refinanceible5]</f>
        <v>0.42269076065729377</v>
      </c>
      <c r="K20" s="30">
        <f>CurrentMtgRatesDataTable8252346[refinanceible6]</f>
        <v>0.39179423960644549</v>
      </c>
      <c r="L20" s="30">
        <f>CurrentMtgRatesDataTable8252346[refinanceible7]</f>
        <v>0.34065965745166854</v>
      </c>
      <c r="M20" s="30">
        <f>CurrentMtgRatesDataTable8252346[refinanceible8]</f>
        <v>0.31567526516234673</v>
      </c>
      <c r="N20" s="30">
        <f>CurrentMtgRatesDataTable8252346[refinanceible9]</f>
        <v>0.26570559193735022</v>
      </c>
      <c r="O20" s="30">
        <f>CurrentMtgRatesDataTable8252346[refinanceible10]</f>
        <v>0.21407049019105798</v>
      </c>
      <c r="P20" s="30">
        <f>CurrentMtgRatesDataTable8252346[refinanceible11]</f>
        <v>0.19725786878462545</v>
      </c>
    </row>
    <row r="21" spans="5:16">
      <c r="E21" s="29" t="s">
        <v>68</v>
      </c>
      <c r="F21" s="30">
        <f>CurrentMtgRatesDataTable82523468[refinanceible1]</f>
        <v>0.20232455636978042</v>
      </c>
      <c r="G21" s="30">
        <f>CurrentMtgRatesDataTable82523468[refinanceible2]</f>
        <v>3.4349770113793511E-3</v>
      </c>
      <c r="H21" s="30">
        <f>CurrentMtgRatesDataTable82523468[refinanceible3]</f>
        <v>2.2577961575233258E-3</v>
      </c>
      <c r="I21" s="30">
        <f>CurrentMtgRatesDataTable82523468[refinanceible4]</f>
        <v>0</v>
      </c>
      <c r="J21" s="30">
        <f>CurrentMtgRatesDataTable82523468[refinanceible5]</f>
        <v>0</v>
      </c>
      <c r="K21" s="30">
        <f>CurrentMtgRatesDataTable82523468[refinanceible6]</f>
        <v>0</v>
      </c>
      <c r="L21" s="30">
        <f>CurrentMtgRatesDataTable82523468[refinanceible7]</f>
        <v>0</v>
      </c>
      <c r="M21" s="30">
        <f>CurrentMtgRatesDataTable82523468[refinanceible8]</f>
        <v>0</v>
      </c>
      <c r="N21" s="30">
        <f>CurrentMtgRatesDataTable82523468[refinanceible9]</f>
        <v>0</v>
      </c>
      <c r="O21" s="30">
        <f>CurrentMtgRatesDataTable82523468[refinanceible10]</f>
        <v>0</v>
      </c>
      <c r="P21" s="30">
        <f>CurrentMtgRatesDataTable82523468[refinanceible11]</f>
        <v>0</v>
      </c>
    </row>
    <row r="22" spans="5:16">
      <c r="E22" s="29" t="s">
        <v>70</v>
      </c>
      <c r="F22" s="30">
        <f>CurrentMtgRatesDataTable825234682[refinanceible1]</f>
        <v>0.2139832329806424</v>
      </c>
      <c r="G22" s="30">
        <f>CurrentMtgRatesDataTable825234682[refinanceible2]</f>
        <v>0.16891543025300446</v>
      </c>
      <c r="H22" s="30">
        <f>CurrentMtgRatesDataTable825234682[refinanceible3]</f>
        <v>6.9002292025201941E-3</v>
      </c>
      <c r="I22" s="30">
        <f>CurrentMtgRatesDataTable825234682[refinanceible4]</f>
        <v>1.8741090827335694E-3</v>
      </c>
      <c r="J22" s="30">
        <f>CurrentMtgRatesDataTable825234682[refinanceible5]</f>
        <v>9.8602933182377899E-4</v>
      </c>
      <c r="K22" s="30">
        <f>CurrentMtgRatesDataTable825234682[refinanceible6]</f>
        <v>4.0102183056688951E-4</v>
      </c>
      <c r="L22" s="30">
        <f>CurrentMtgRatesDataTable825234682[refinanceible7]</f>
        <v>1.8547692284359447E-4</v>
      </c>
      <c r="M22" s="30">
        <f>CurrentMtgRatesDataTable825234682[refinanceible8]</f>
        <v>1.1210162748833887E-4</v>
      </c>
      <c r="N22" s="30">
        <f>CurrentMtgRatesDataTable825234682[refinanceible9]</f>
        <v>4.5419169426527346E-5</v>
      </c>
      <c r="O22" s="30">
        <f>CurrentMtgRatesDataTable825234682[refinanceible10]</f>
        <v>1.259317285017745E-5</v>
      </c>
      <c r="P22" s="30">
        <f>CurrentMtgRatesDataTable825234682[refinanceible11]</f>
        <v>7.0713343533133344E-6</v>
      </c>
    </row>
    <row r="36" spans="18:28">
      <c r="R36">
        <v>0.65322653599256497</v>
      </c>
      <c r="S36">
        <v>0.58817160497848098</v>
      </c>
      <c r="T36">
        <v>0.548416396742615</v>
      </c>
      <c r="U36">
        <v>0.48349480558501801</v>
      </c>
      <c r="V36">
        <v>0.42269168928954398</v>
      </c>
      <c r="W36">
        <v>0.39179497286707898</v>
      </c>
      <c r="X36">
        <v>0.34065979567663701</v>
      </c>
      <c r="Y36">
        <v>0.31567540065294802</v>
      </c>
      <c r="Z36">
        <v>0.265722103379672</v>
      </c>
      <c r="AA36">
        <v>0.21407060564034699</v>
      </c>
      <c r="AB36">
        <v>0.19725974763203899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Report</vt:lpstr>
      <vt:lpstr>Query</vt:lpstr>
      <vt:lpstr>Bloomberg</vt:lpstr>
      <vt:lpstr>Function Of Rate</vt:lpstr>
      <vt:lpstr>CurrentCloseDate</vt:lpstr>
      <vt:lpstr>CurrentRate</vt:lpstr>
      <vt:lpstr>CurrentRate1</vt:lpstr>
      <vt:lpstr>CurrentRateDate</vt:lpstr>
      <vt:lpstr>CurrMonth</vt:lpstr>
      <vt:lpstr>CuurentRate1</vt:lpstr>
      <vt:lpstr>CuurRate</vt:lpstr>
      <vt:lpstr>DatabaseEnv</vt:lpstr>
      <vt:lpstr>DateToChangeLag</vt:lpstr>
      <vt:lpstr>LastMonth</vt:lpstr>
      <vt:lpstr>LastThursday</vt:lpstr>
      <vt:lpstr>PDFReportDir</vt:lpstr>
      <vt:lpstr>PDFReportName</vt:lpstr>
      <vt:lpstr>Report!Print_Area</vt:lpstr>
      <vt:lpstr>SaveRatesToDB</vt:lpstr>
      <vt:lpstr>'Function Of Rate'!temp</vt:lpstr>
      <vt:lpstr>Query!temp</vt:lpstr>
      <vt:lpstr>Query!temp_2</vt:lpstr>
      <vt:lpstr>Query!temp_3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2015-07-08T14:37:50Z</cp:lastPrinted>
  <dcterms:created xsi:type="dcterms:W3CDTF">2006-09-16T00:00:00Z</dcterms:created>
  <dcterms:modified xsi:type="dcterms:W3CDTF">2015-07-08T14:38:37Z</dcterms:modified>
</cp:coreProperties>
</file>