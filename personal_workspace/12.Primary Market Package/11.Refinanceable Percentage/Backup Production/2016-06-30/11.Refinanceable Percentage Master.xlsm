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queryTables/queryTable8.xml" ContentType="application/vnd.openxmlformats-officedocument.spreadsheetml.queryTable+xml"/>
  <Override PartName="/xl/tables/table7.xml" ContentType="application/vnd.openxmlformats-officedocument.spreadsheetml.table+xml"/>
  <Override PartName="/xl/queryTables/queryTable9.xml" ContentType="application/vnd.openxmlformats-officedocument.spreadsheetml.queryTable+xml"/>
  <Override PartName="/xl/tables/table8.xml" ContentType="application/vnd.openxmlformats-officedocument.spreadsheetml.table+xml"/>
  <Override PartName="/xl/queryTables/queryTable10.xml" ContentType="application/vnd.openxmlformats-officedocument.spreadsheetml.queryTable+xml"/>
  <Override PartName="/xl/tables/table9.xml" ContentType="application/vnd.openxmlformats-officedocument.spreadsheetml.table+xml"/>
  <Override PartName="/xl/queryTables/queryTable11.xml" ContentType="application/vnd.openxmlformats-officedocument.spreadsheetml.queryTable+xml"/>
  <Override PartName="/xl/tables/table10.xml" ContentType="application/vnd.openxmlformats-officedocument.spreadsheetml.table+xml"/>
  <Override PartName="/xl/queryTables/queryTable12.xml" ContentType="application/vnd.openxmlformats-officedocument.spreadsheetml.queryTable+xml"/>
  <Override PartName="/xl/charts/chart3.xml" ContentType="application/vnd.openxmlformats-officedocument.drawingml.chart+xml"/>
  <Override PartName="/xl/tables/table11.xml" ContentType="application/vnd.openxmlformats-officedocument.spreadsheetml.table+xml"/>
  <Override PartName="/xl/queryTables/queryTable13.xml" ContentType="application/vnd.openxmlformats-officedocument.spreadsheetml.queryTable+xml"/>
  <Override PartName="/xl/tables/table12.xml" ContentType="application/vnd.openxmlformats-officedocument.spreadsheetml.table+xml"/>
  <Override PartName="/xl/queryTables/queryTable1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 activeTab="1"/>
  </bookViews>
  <sheets>
    <sheet name="Report" sheetId="16" r:id="rId1"/>
    <sheet name="Query" sheetId="18" r:id="rId2"/>
    <sheet name="Bloomberg" sheetId="19" r:id="rId3"/>
    <sheet name="Function Of Rate" sheetId="27" r:id="rId4"/>
    <sheet name="Current Coupon" sheetId="28" r:id="rId5"/>
  </sheets>
  <functionGroups builtInGroupCount="17"/>
  <externalReferences>
    <externalReference r:id="rId6"/>
    <externalReference r:id="rId7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Report!$AA$2</definedName>
    <definedName name="CurrentRate">CurrentMtgRatesDataTable82523[SeriesNumValue]</definedName>
    <definedName name="CurrentRate1">'Function Of Rate'!$C$5</definedName>
    <definedName name="CurrentRateDate">CurrentMtgRatesDataTable82523[AsOfDate]</definedName>
    <definedName name="CurrMonth">Report!$AA$9</definedName>
    <definedName name="CuurentRate1">'Function Of Rate'!$C$5</definedName>
    <definedName name="CuurRate">CurrentMtgRatesDataTable82523[SeriesNumValue]</definedName>
    <definedName name="DatabaseEnv">Report!$AA$1</definedName>
    <definedName name="DateToChangeLag">Report!$AA$12</definedName>
    <definedName name="HistoricalMtgRatesDataTable">#REF!</definedName>
    <definedName name="ImpliedRate">'Function Of Rate'!$C$10</definedName>
    <definedName name="IR">#REF!</definedName>
    <definedName name="LastMonth">Report!$AA$10</definedName>
    <definedName name="LastThursday">Report!$AA$13</definedName>
    <definedName name="MmExcelLinker_D5EFE7B8_A5AE_4CC6_B628_05FDC84CBEA4">Early Market [2]Data!$C$44:$C$44</definedName>
    <definedName name="NoLagTopTenDataTable">#REF!</definedName>
    <definedName name="OneDayBusDate">#REF!</definedName>
    <definedName name="OneMonthBusDate">#REF!</definedName>
    <definedName name="OneWeekBusDate">#REF!</definedName>
    <definedName name="PDFReportDir">Report!$AA$3</definedName>
    <definedName name="PDFReportName">Report!$AA$4</definedName>
    <definedName name="PivotTable10">#REF!</definedName>
    <definedName name="PivotTable11">#REF!</definedName>
    <definedName name="PivotTable12">#REF!</definedName>
    <definedName name="_xlnm.Print_Area" localSheetId="0">Report!$B$1:$U$54</definedName>
    <definedName name="Query_from_Agency_10" localSheetId="1" hidden="1">Query!#REF!</definedName>
    <definedName name="Query_from_Agency_11" localSheetId="3" hidden="1">'Function Of Rate'!$B$2:$C$3</definedName>
    <definedName name="Query_from_Agency_11" localSheetId="1" hidden="1">Query!$K$2:$L$3</definedName>
    <definedName name="Query_from_Agency_12" localSheetId="3" hidden="1">'Function Of Rate'!$F$2:$P$3</definedName>
    <definedName name="Query_from_Agency_12" localSheetId="1" hidden="1">Query!$R$2:$S$3</definedName>
    <definedName name="Query_from_Agency_13" localSheetId="3" hidden="1">'Function Of Rate'!$F$7:$P$8</definedName>
    <definedName name="Query_from_Agency_13" localSheetId="1" hidden="1">Query!$W$2:$X$3</definedName>
    <definedName name="Query_from_Agency_14" localSheetId="3" hidden="1">'Function Of Rate'!$F$11:$P$12</definedName>
    <definedName name="Query_from_Agency_14" localSheetId="1" hidden="1">Query!$AB$2:$AC$3</definedName>
    <definedName name="Query_from_Agency_15" localSheetId="3" hidden="1">'Function Of Rate'!$F$31:$P$32</definedName>
    <definedName name="Query_from_Agency_6" localSheetId="1" hidden="1">Query!$B$2:$C$288</definedName>
    <definedName name="Query_from_Agency_7" localSheetId="4" hidden="1">'Current Coupon'!$S$4:$U$9</definedName>
    <definedName name="Query_from_Agency_7" localSheetId="1" hidden="1">Query!#REF!</definedName>
    <definedName name="Query_from_Agency_8" localSheetId="4" hidden="1">'Current Coupon'!$A$4:$C$41</definedName>
    <definedName name="Query_from_Agency_8" localSheetId="1" hidden="1">Query!#REF!</definedName>
    <definedName name="Query_from_Agency_9" localSheetId="1" hidden="1">Query!#REF!</definedName>
    <definedName name="SaveRatesToDB">Report!$AC$1</definedName>
    <definedName name="ServSpread">'Function Of Rate'!$C$9</definedName>
    <definedName name="SPREAD_DATE">'Function Of Rate'!$B$9</definedName>
    <definedName name="temp" localSheetId="1">Query!$H$2:$I$232</definedName>
    <definedName name="temp_1" localSheetId="1">Query!#REF!</definedName>
    <definedName name="temp_17">#REF!</definedName>
    <definedName name="temp_2" localSheetId="1">Query!$O$2:$P$232</definedName>
    <definedName name="temp_8">#REF!</definedName>
    <definedName name="temp1" localSheetId="1">Query!#REF!</definedName>
    <definedName name="temp1_1" localSheetId="1">Query!#REF!</definedName>
    <definedName name="temp1_2" localSheetId="1">Query!#REF!</definedName>
  </definedNames>
  <calcPr calcId="145621"/>
</workbook>
</file>

<file path=xl/calcChain.xml><?xml version="1.0" encoding="utf-8"?>
<calcChain xmlns="http://schemas.openxmlformats.org/spreadsheetml/2006/main">
  <c r="D3" i="18" l="1"/>
  <c r="D4" i="18"/>
  <c r="D5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D72" i="18"/>
  <c r="D73" i="18"/>
  <c r="D74" i="18"/>
  <c r="D75" i="18"/>
  <c r="D76" i="18"/>
  <c r="D77" i="18"/>
  <c r="D78" i="18"/>
  <c r="D79" i="18"/>
  <c r="D80" i="18"/>
  <c r="D81" i="18"/>
  <c r="D82" i="18"/>
  <c r="D83" i="18"/>
  <c r="D84" i="18"/>
  <c r="D85" i="18"/>
  <c r="D86" i="18"/>
  <c r="D87" i="18"/>
  <c r="D88" i="18"/>
  <c r="D89" i="18"/>
  <c r="D90" i="18"/>
  <c r="D91" i="18"/>
  <c r="D92" i="18"/>
  <c r="D93" i="18"/>
  <c r="D94" i="18"/>
  <c r="D95" i="18"/>
  <c r="D96" i="18"/>
  <c r="D97" i="18"/>
  <c r="D98" i="18"/>
  <c r="D99" i="18"/>
  <c r="D100" i="18"/>
  <c r="D101" i="18"/>
  <c r="D102" i="18"/>
  <c r="D103" i="18"/>
  <c r="D104" i="18"/>
  <c r="D105" i="18"/>
  <c r="D106" i="18"/>
  <c r="D107" i="18"/>
  <c r="D108" i="18"/>
  <c r="D109" i="18"/>
  <c r="D110" i="18"/>
  <c r="D111" i="18"/>
  <c r="D112" i="18"/>
  <c r="D113" i="18"/>
  <c r="D114" i="18"/>
  <c r="D115" i="18"/>
  <c r="D116" i="18"/>
  <c r="D117" i="18"/>
  <c r="D118" i="18"/>
  <c r="D119" i="18"/>
  <c r="D120" i="18"/>
  <c r="D121" i="18"/>
  <c r="D122" i="18"/>
  <c r="D123" i="18"/>
  <c r="D124" i="18"/>
  <c r="D125" i="18"/>
  <c r="D126" i="18"/>
  <c r="D127" i="18"/>
  <c r="D128" i="18"/>
  <c r="D129" i="18"/>
  <c r="D130" i="18"/>
  <c r="D131" i="18"/>
  <c r="D132" i="18"/>
  <c r="D133" i="18"/>
  <c r="D134" i="18"/>
  <c r="D135" i="18"/>
  <c r="D136" i="18"/>
  <c r="D137" i="18"/>
  <c r="D138" i="18"/>
  <c r="D139" i="18"/>
  <c r="D140" i="18"/>
  <c r="D141" i="18"/>
  <c r="D142" i="18"/>
  <c r="D143" i="18"/>
  <c r="D144" i="18"/>
  <c r="D145" i="18"/>
  <c r="D146" i="18"/>
  <c r="D147" i="18"/>
  <c r="D148" i="18"/>
  <c r="D149" i="18"/>
  <c r="D150" i="18"/>
  <c r="D151" i="18"/>
  <c r="D152" i="18"/>
  <c r="D153" i="18"/>
  <c r="D154" i="18"/>
  <c r="D155" i="18"/>
  <c r="D156" i="18"/>
  <c r="D157" i="18"/>
  <c r="D158" i="18"/>
  <c r="D159" i="18"/>
  <c r="D160" i="18"/>
  <c r="D161" i="18"/>
  <c r="D162" i="18"/>
  <c r="D163" i="18"/>
  <c r="D164" i="18"/>
  <c r="D165" i="18"/>
  <c r="D166" i="18"/>
  <c r="D167" i="18"/>
  <c r="D168" i="18"/>
  <c r="D169" i="18"/>
  <c r="D170" i="18"/>
  <c r="D171" i="18"/>
  <c r="D172" i="18"/>
  <c r="D173" i="18"/>
  <c r="D174" i="18"/>
  <c r="D175" i="18"/>
  <c r="D176" i="18"/>
  <c r="D177" i="18"/>
  <c r="D178" i="18"/>
  <c r="D179" i="18"/>
  <c r="D180" i="18"/>
  <c r="D181" i="18"/>
  <c r="D182" i="18"/>
  <c r="D183" i="18"/>
  <c r="D184" i="18"/>
  <c r="D185" i="18"/>
  <c r="D186" i="18"/>
  <c r="D187" i="18"/>
  <c r="D188" i="18"/>
  <c r="D189" i="18"/>
  <c r="D190" i="18"/>
  <c r="D191" i="18"/>
  <c r="D192" i="18"/>
  <c r="D193" i="18"/>
  <c r="D194" i="18"/>
  <c r="D195" i="18"/>
  <c r="D196" i="18"/>
  <c r="D197" i="18"/>
  <c r="D198" i="18"/>
  <c r="D199" i="18"/>
  <c r="D200" i="18"/>
  <c r="D201" i="18"/>
  <c r="D202" i="18"/>
  <c r="D203" i="18"/>
  <c r="D204" i="18"/>
  <c r="D205" i="18"/>
  <c r="D206" i="18"/>
  <c r="D207" i="18"/>
  <c r="D208" i="18"/>
  <c r="D209" i="18"/>
  <c r="D210" i="18"/>
  <c r="D211" i="18"/>
  <c r="D212" i="18"/>
  <c r="D213" i="18"/>
  <c r="D214" i="18"/>
  <c r="D215" i="18"/>
  <c r="D216" i="18"/>
  <c r="D217" i="18"/>
  <c r="D218" i="18"/>
  <c r="D219" i="18"/>
  <c r="D220" i="18"/>
  <c r="D221" i="18"/>
  <c r="D222" i="18"/>
  <c r="D223" i="18"/>
  <c r="D224" i="18"/>
  <c r="D225" i="18"/>
  <c r="D226" i="18"/>
  <c r="D227" i="18"/>
  <c r="D228" i="18"/>
  <c r="D229" i="18"/>
  <c r="D230" i="18"/>
  <c r="D231" i="18"/>
  <c r="D232" i="18"/>
  <c r="D233" i="18"/>
  <c r="D234" i="18"/>
  <c r="D235" i="18"/>
  <c r="D236" i="18"/>
  <c r="D237" i="18"/>
  <c r="D238" i="18"/>
  <c r="D239" i="18"/>
  <c r="D240" i="18"/>
  <c r="D241" i="18"/>
  <c r="D242" i="18"/>
  <c r="D243" i="18"/>
  <c r="D244" i="18"/>
  <c r="D245" i="18"/>
  <c r="D246" i="18"/>
  <c r="D247" i="18"/>
  <c r="D248" i="18"/>
  <c r="D249" i="18"/>
  <c r="D250" i="18"/>
  <c r="D251" i="18"/>
  <c r="D252" i="18"/>
  <c r="D253" i="18"/>
  <c r="D254" i="18"/>
  <c r="D255" i="18"/>
  <c r="D256" i="18"/>
  <c r="D257" i="18"/>
  <c r="D258" i="18"/>
  <c r="D259" i="18"/>
  <c r="D260" i="18"/>
  <c r="D261" i="18"/>
  <c r="D262" i="18"/>
  <c r="D263" i="18"/>
  <c r="D264" i="18"/>
  <c r="D265" i="18"/>
  <c r="D266" i="18"/>
  <c r="D267" i="18"/>
  <c r="D268" i="18"/>
  <c r="D269" i="18"/>
  <c r="D270" i="18"/>
  <c r="D271" i="18"/>
  <c r="D272" i="18"/>
  <c r="D273" i="18"/>
  <c r="D274" i="18"/>
  <c r="D275" i="18"/>
  <c r="D276" i="18"/>
  <c r="D277" i="18"/>
  <c r="D278" i="18"/>
  <c r="D279" i="18"/>
  <c r="D280" i="18"/>
  <c r="D281" i="18"/>
  <c r="D282" i="18"/>
  <c r="D283" i="18"/>
  <c r="D284" i="18"/>
  <c r="D285" i="18"/>
  <c r="D286" i="18"/>
  <c r="D287" i="18"/>
  <c r="D288" i="18"/>
  <c r="E3" i="18"/>
  <c r="E4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E47" i="18"/>
  <c r="E48" i="18"/>
  <c r="E49" i="18"/>
  <c r="E50" i="18"/>
  <c r="E51" i="18"/>
  <c r="E52" i="18"/>
  <c r="E53" i="18"/>
  <c r="E54" i="18"/>
  <c r="E55" i="18"/>
  <c r="E56" i="18"/>
  <c r="E57" i="18"/>
  <c r="E58" i="18"/>
  <c r="E59" i="18"/>
  <c r="E60" i="18"/>
  <c r="E61" i="18"/>
  <c r="E62" i="18"/>
  <c r="E63" i="18"/>
  <c r="E64" i="18"/>
  <c r="E65" i="18"/>
  <c r="E66" i="18"/>
  <c r="E67" i="18"/>
  <c r="E68" i="18"/>
  <c r="E69" i="18"/>
  <c r="E70" i="18"/>
  <c r="E71" i="18"/>
  <c r="E72" i="18"/>
  <c r="E73" i="18"/>
  <c r="E74" i="18"/>
  <c r="E75" i="18"/>
  <c r="E76" i="18"/>
  <c r="E77" i="18"/>
  <c r="E78" i="18"/>
  <c r="E79" i="18"/>
  <c r="E80" i="18"/>
  <c r="E81" i="18"/>
  <c r="E82" i="18"/>
  <c r="E83" i="18"/>
  <c r="E84" i="18"/>
  <c r="E85" i="18"/>
  <c r="E86" i="18"/>
  <c r="E87" i="18"/>
  <c r="E88" i="18"/>
  <c r="E89" i="18"/>
  <c r="E90" i="18"/>
  <c r="E91" i="18"/>
  <c r="E92" i="18"/>
  <c r="E93" i="18"/>
  <c r="E94" i="18"/>
  <c r="E95" i="18"/>
  <c r="E96" i="18"/>
  <c r="E97" i="18"/>
  <c r="E98" i="18"/>
  <c r="E99" i="18"/>
  <c r="E100" i="18"/>
  <c r="E101" i="18"/>
  <c r="E102" i="18"/>
  <c r="E103" i="18"/>
  <c r="E104" i="18"/>
  <c r="E105" i="18"/>
  <c r="E106" i="18"/>
  <c r="E107" i="18"/>
  <c r="E108" i="18"/>
  <c r="E109" i="18"/>
  <c r="E110" i="18"/>
  <c r="E111" i="18"/>
  <c r="E112" i="18"/>
  <c r="E113" i="18"/>
  <c r="E114" i="18"/>
  <c r="E115" i="18"/>
  <c r="E116" i="18"/>
  <c r="E117" i="18"/>
  <c r="E118" i="18"/>
  <c r="E119" i="18"/>
  <c r="E120" i="18"/>
  <c r="E121" i="18"/>
  <c r="E122" i="18"/>
  <c r="E123" i="18"/>
  <c r="E124" i="18"/>
  <c r="E125" i="18"/>
  <c r="E126" i="18"/>
  <c r="E127" i="18"/>
  <c r="E128" i="18"/>
  <c r="E129" i="18"/>
  <c r="E130" i="18"/>
  <c r="E131" i="18"/>
  <c r="E132" i="18"/>
  <c r="E133" i="18"/>
  <c r="E134" i="18"/>
  <c r="E135" i="18"/>
  <c r="E136" i="18"/>
  <c r="E137" i="18"/>
  <c r="E138" i="18"/>
  <c r="E139" i="18"/>
  <c r="E140" i="18"/>
  <c r="E141" i="18"/>
  <c r="E142" i="18"/>
  <c r="E143" i="18"/>
  <c r="E144" i="18"/>
  <c r="E145" i="18"/>
  <c r="E146" i="18"/>
  <c r="E147" i="18"/>
  <c r="E148" i="18"/>
  <c r="E149" i="18"/>
  <c r="E150" i="18"/>
  <c r="E151" i="18"/>
  <c r="E152" i="18"/>
  <c r="E153" i="18"/>
  <c r="E154" i="18"/>
  <c r="E155" i="18"/>
  <c r="E156" i="18"/>
  <c r="E157" i="18"/>
  <c r="E158" i="18"/>
  <c r="E159" i="18"/>
  <c r="E160" i="18"/>
  <c r="E161" i="18"/>
  <c r="E162" i="18"/>
  <c r="E163" i="18"/>
  <c r="E164" i="18"/>
  <c r="E165" i="18"/>
  <c r="E166" i="18"/>
  <c r="E167" i="18"/>
  <c r="E168" i="18"/>
  <c r="E169" i="18"/>
  <c r="E170" i="18"/>
  <c r="E171" i="18"/>
  <c r="E172" i="18"/>
  <c r="E173" i="18"/>
  <c r="E174" i="18"/>
  <c r="E175" i="18"/>
  <c r="E176" i="18"/>
  <c r="E177" i="18"/>
  <c r="E178" i="18"/>
  <c r="E179" i="18"/>
  <c r="E180" i="18"/>
  <c r="E181" i="18"/>
  <c r="E182" i="18"/>
  <c r="E183" i="18"/>
  <c r="E184" i="18"/>
  <c r="E185" i="18"/>
  <c r="E186" i="18"/>
  <c r="E187" i="18"/>
  <c r="E188" i="18"/>
  <c r="E189" i="18"/>
  <c r="E190" i="18"/>
  <c r="E191" i="18"/>
  <c r="E192" i="18"/>
  <c r="E193" i="18"/>
  <c r="E194" i="18"/>
  <c r="E195" i="18"/>
  <c r="E196" i="18"/>
  <c r="E197" i="18"/>
  <c r="E198" i="18"/>
  <c r="E199" i="18"/>
  <c r="E200" i="18"/>
  <c r="E201" i="18"/>
  <c r="E202" i="18"/>
  <c r="E203" i="18"/>
  <c r="E204" i="18"/>
  <c r="E205" i="18"/>
  <c r="E206" i="18"/>
  <c r="E207" i="18"/>
  <c r="E208" i="18"/>
  <c r="E209" i="18"/>
  <c r="E210" i="18"/>
  <c r="E211" i="18"/>
  <c r="E212" i="18"/>
  <c r="E213" i="18"/>
  <c r="E214" i="18"/>
  <c r="E215" i="18"/>
  <c r="E216" i="18"/>
  <c r="E217" i="18"/>
  <c r="E218" i="18"/>
  <c r="E219" i="18"/>
  <c r="E220" i="18"/>
  <c r="E221" i="18"/>
  <c r="E222" i="18"/>
  <c r="E223" i="18"/>
  <c r="E224" i="18"/>
  <c r="E225" i="18"/>
  <c r="E226" i="18"/>
  <c r="E227" i="18"/>
  <c r="E228" i="18"/>
  <c r="E229" i="18"/>
  <c r="E230" i="18"/>
  <c r="E231" i="18"/>
  <c r="E232" i="18"/>
  <c r="E233" i="18"/>
  <c r="E234" i="18"/>
  <c r="E235" i="18"/>
  <c r="E236" i="18"/>
  <c r="E237" i="18"/>
  <c r="E238" i="18"/>
  <c r="E239" i="18"/>
  <c r="E240" i="18"/>
  <c r="E241" i="18"/>
  <c r="E242" i="18"/>
  <c r="E243" i="18"/>
  <c r="E244" i="18"/>
  <c r="E245" i="18"/>
  <c r="E246" i="18"/>
  <c r="E247" i="18"/>
  <c r="E248" i="18"/>
  <c r="E249" i="18"/>
  <c r="E250" i="18"/>
  <c r="E251" i="18"/>
  <c r="E252" i="18"/>
  <c r="E253" i="18"/>
  <c r="E254" i="18"/>
  <c r="E255" i="18"/>
  <c r="E256" i="18"/>
  <c r="E257" i="18"/>
  <c r="E258" i="18"/>
  <c r="E259" i="18"/>
  <c r="E260" i="18"/>
  <c r="E261" i="18"/>
  <c r="E262" i="18"/>
  <c r="E263" i="18"/>
  <c r="E264" i="18"/>
  <c r="E265" i="18"/>
  <c r="E266" i="18"/>
  <c r="E267" i="18"/>
  <c r="E268" i="18"/>
  <c r="E269" i="18"/>
  <c r="E270" i="18"/>
  <c r="E271" i="18"/>
  <c r="E272" i="18"/>
  <c r="E273" i="18"/>
  <c r="E274" i="18"/>
  <c r="E275" i="18"/>
  <c r="E276" i="18"/>
  <c r="E277" i="18"/>
  <c r="E278" i="18"/>
  <c r="E279" i="18"/>
  <c r="E280" i="18"/>
  <c r="E281" i="18"/>
  <c r="E282" i="18"/>
  <c r="E283" i="18"/>
  <c r="E284" i="18"/>
  <c r="E285" i="18"/>
  <c r="E286" i="18"/>
  <c r="E287" i="18"/>
  <c r="E288" i="18"/>
  <c r="D5" i="28"/>
  <c r="D6" i="28"/>
  <c r="D7" i="28"/>
  <c r="D8" i="28"/>
  <c r="D9" i="28"/>
  <c r="D10" i="28"/>
  <c r="D11" i="28"/>
  <c r="D12" i="28"/>
  <c r="D13" i="28"/>
  <c r="D14" i="28"/>
  <c r="D15" i="28"/>
  <c r="D16" i="28"/>
  <c r="D17" i="28"/>
  <c r="D18" i="28"/>
  <c r="D19" i="28"/>
  <c r="D20" i="28"/>
  <c r="D21" i="28"/>
  <c r="D22" i="28"/>
  <c r="D23" i="28"/>
  <c r="D24" i="28"/>
  <c r="D25" i="28"/>
  <c r="D26" i="28"/>
  <c r="D27" i="28"/>
  <c r="D28" i="28"/>
  <c r="D29" i="28"/>
  <c r="D30" i="28"/>
  <c r="D31" i="28"/>
  <c r="D32" i="28"/>
  <c r="D33" i="28"/>
  <c r="D34" i="28"/>
  <c r="D35" i="28"/>
  <c r="D36" i="28"/>
  <c r="D37" i="28"/>
  <c r="D38" i="28"/>
  <c r="D39" i="28"/>
  <c r="D40" i="28"/>
  <c r="D41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1" i="28"/>
  <c r="E32" i="28"/>
  <c r="E33" i="28"/>
  <c r="E34" i="28"/>
  <c r="E35" i="28"/>
  <c r="E36" i="28"/>
  <c r="E37" i="28"/>
  <c r="E38" i="28"/>
  <c r="E39" i="28"/>
  <c r="E40" i="28"/>
  <c r="E41" i="28"/>
  <c r="F5" i="28"/>
  <c r="F6" i="28" s="1"/>
  <c r="M5" i="28"/>
  <c r="H5" i="28" l="1"/>
  <c r="F7" i="28"/>
  <c r="H6" i="28"/>
  <c r="I5" i="28"/>
  <c r="I6" i="28"/>
  <c r="G5" i="28"/>
  <c r="G6" i="28" s="1"/>
  <c r="J5" i="28" l="1"/>
  <c r="K5" i="28" s="1"/>
  <c r="M6" i="28"/>
  <c r="J6" i="28"/>
  <c r="K6" i="28" s="1"/>
  <c r="M7" i="28"/>
  <c r="F8" i="28"/>
  <c r="I7" i="28" s="1"/>
  <c r="G7" i="28"/>
  <c r="H7" i="28"/>
  <c r="H43" i="16"/>
  <c r="J7" i="28" l="1"/>
  <c r="K7" i="28" s="1"/>
  <c r="L7" i="28" s="1"/>
  <c r="M8" i="28"/>
  <c r="F9" i="28"/>
  <c r="I8" i="28" s="1"/>
  <c r="G8" i="28"/>
  <c r="H8" i="28"/>
  <c r="L5" i="28"/>
  <c r="L6" i="28"/>
  <c r="H42" i="16"/>
  <c r="J8" i="28" l="1"/>
  <c r="K8" i="28" s="1"/>
  <c r="M9" i="28"/>
  <c r="H9" i="28"/>
  <c r="F10" i="28"/>
  <c r="I9" i="28" s="1"/>
  <c r="G9" i="28"/>
  <c r="L8" i="28"/>
  <c r="J51" i="16"/>
  <c r="I51" i="16"/>
  <c r="H51" i="16"/>
  <c r="G51" i="16"/>
  <c r="F51" i="16"/>
  <c r="E51" i="16"/>
  <c r="D51" i="16"/>
  <c r="C51" i="16"/>
  <c r="J50" i="16"/>
  <c r="I50" i="16"/>
  <c r="H50" i="16"/>
  <c r="G50" i="16"/>
  <c r="F50" i="16"/>
  <c r="E50" i="16"/>
  <c r="D50" i="16"/>
  <c r="C50" i="16"/>
  <c r="J49" i="16"/>
  <c r="I49" i="16"/>
  <c r="H49" i="16"/>
  <c r="G49" i="16"/>
  <c r="F49" i="16"/>
  <c r="E49" i="16"/>
  <c r="D49" i="16"/>
  <c r="C49" i="16"/>
  <c r="J48" i="16"/>
  <c r="I48" i="16"/>
  <c r="H48" i="16"/>
  <c r="G48" i="16"/>
  <c r="F48" i="16"/>
  <c r="E48" i="16"/>
  <c r="D48" i="16"/>
  <c r="C48" i="16"/>
  <c r="J47" i="16"/>
  <c r="I47" i="16"/>
  <c r="H47" i="16"/>
  <c r="G47" i="16"/>
  <c r="F47" i="16"/>
  <c r="E47" i="16"/>
  <c r="D47" i="16"/>
  <c r="C47" i="16"/>
  <c r="J46" i="16"/>
  <c r="I46" i="16"/>
  <c r="H46" i="16"/>
  <c r="G46" i="16"/>
  <c r="F46" i="16"/>
  <c r="E46" i="16"/>
  <c r="D46" i="16"/>
  <c r="C46" i="16"/>
  <c r="J45" i="16"/>
  <c r="I45" i="16"/>
  <c r="H45" i="16"/>
  <c r="G45" i="16"/>
  <c r="F45" i="16"/>
  <c r="E45" i="16"/>
  <c r="D45" i="16"/>
  <c r="C45" i="16"/>
  <c r="J44" i="16"/>
  <c r="I44" i="16"/>
  <c r="H44" i="16"/>
  <c r="G44" i="16"/>
  <c r="F44" i="16"/>
  <c r="E44" i="16"/>
  <c r="D44" i="16"/>
  <c r="C44" i="16"/>
  <c r="J43" i="16"/>
  <c r="I43" i="16"/>
  <c r="G43" i="16"/>
  <c r="F43" i="16"/>
  <c r="E43" i="16"/>
  <c r="D43" i="16"/>
  <c r="C43" i="16"/>
  <c r="J42" i="16"/>
  <c r="I42" i="16"/>
  <c r="G42" i="16"/>
  <c r="F42" i="16"/>
  <c r="E42" i="16"/>
  <c r="D42" i="16"/>
  <c r="C42" i="16"/>
  <c r="B2" i="19"/>
  <c r="F3" i="18" l="1"/>
  <c r="K42" i="16" s="1"/>
  <c r="F7" i="18"/>
  <c r="F11" i="18"/>
  <c r="F15" i="18"/>
  <c r="F19" i="18"/>
  <c r="F23" i="18"/>
  <c r="F27" i="18"/>
  <c r="F31" i="18"/>
  <c r="F35" i="18"/>
  <c r="F39" i="18"/>
  <c r="F43" i="18"/>
  <c r="F47" i="18"/>
  <c r="F51" i="18"/>
  <c r="F55" i="18"/>
  <c r="F59" i="18"/>
  <c r="F63" i="18"/>
  <c r="F67" i="18"/>
  <c r="F71" i="18"/>
  <c r="F75" i="18"/>
  <c r="F79" i="18"/>
  <c r="F83" i="18"/>
  <c r="F87" i="18"/>
  <c r="F91" i="18"/>
  <c r="F95" i="18"/>
  <c r="F99" i="18"/>
  <c r="F103" i="18"/>
  <c r="F107" i="18"/>
  <c r="F111" i="18"/>
  <c r="F115" i="18"/>
  <c r="F119" i="18"/>
  <c r="F123" i="18"/>
  <c r="F127" i="18"/>
  <c r="F131" i="18"/>
  <c r="F135" i="18"/>
  <c r="F139" i="18"/>
  <c r="F143" i="18"/>
  <c r="F147" i="18"/>
  <c r="F151" i="18"/>
  <c r="F155" i="18"/>
  <c r="F159" i="18"/>
  <c r="F163" i="18"/>
  <c r="F167" i="18"/>
  <c r="F171" i="18"/>
  <c r="F175" i="18"/>
  <c r="F179" i="18"/>
  <c r="F183" i="18"/>
  <c r="F187" i="18"/>
  <c r="F191" i="18"/>
  <c r="F195" i="18"/>
  <c r="F199" i="18"/>
  <c r="F203" i="18"/>
  <c r="F207" i="18"/>
  <c r="F211" i="18"/>
  <c r="F215" i="18"/>
  <c r="F219" i="18"/>
  <c r="F223" i="18"/>
  <c r="F227" i="18"/>
  <c r="F231" i="18"/>
  <c r="F235" i="18"/>
  <c r="F239" i="18"/>
  <c r="F243" i="18"/>
  <c r="F247" i="18"/>
  <c r="F251" i="18"/>
  <c r="F255" i="18"/>
  <c r="F259" i="18"/>
  <c r="F263" i="18"/>
  <c r="F267" i="18"/>
  <c r="F271" i="18"/>
  <c r="F275" i="18"/>
  <c r="F279" i="18"/>
  <c r="F283" i="18"/>
  <c r="F287" i="18"/>
  <c r="F265" i="18"/>
  <c r="F281" i="18"/>
  <c r="F4" i="18"/>
  <c r="K43" i="16" s="1"/>
  <c r="F8" i="18"/>
  <c r="F12" i="18"/>
  <c r="F16" i="18"/>
  <c r="F20" i="18"/>
  <c r="F24" i="18"/>
  <c r="F28" i="18"/>
  <c r="F32" i="18"/>
  <c r="F36" i="18"/>
  <c r="F40" i="18"/>
  <c r="F44" i="18"/>
  <c r="F48" i="18"/>
  <c r="F52" i="18"/>
  <c r="F56" i="18"/>
  <c r="F60" i="18"/>
  <c r="F64" i="18"/>
  <c r="F68" i="18"/>
  <c r="F72" i="18"/>
  <c r="F76" i="18"/>
  <c r="F80" i="18"/>
  <c r="F84" i="18"/>
  <c r="F88" i="18"/>
  <c r="F92" i="18"/>
  <c r="F96" i="18"/>
  <c r="F100" i="18"/>
  <c r="F104" i="18"/>
  <c r="F108" i="18"/>
  <c r="F112" i="18"/>
  <c r="F116" i="18"/>
  <c r="F120" i="18"/>
  <c r="F124" i="18"/>
  <c r="F128" i="18"/>
  <c r="F132" i="18"/>
  <c r="F136" i="18"/>
  <c r="F140" i="18"/>
  <c r="F144" i="18"/>
  <c r="F148" i="18"/>
  <c r="F152" i="18"/>
  <c r="F156" i="18"/>
  <c r="F160" i="18"/>
  <c r="F164" i="18"/>
  <c r="F168" i="18"/>
  <c r="F172" i="18"/>
  <c r="F176" i="18"/>
  <c r="F180" i="18"/>
  <c r="F184" i="18"/>
  <c r="F188" i="18"/>
  <c r="F192" i="18"/>
  <c r="F196" i="18"/>
  <c r="F200" i="18"/>
  <c r="F204" i="18"/>
  <c r="F208" i="18"/>
  <c r="F212" i="18"/>
  <c r="F216" i="18"/>
  <c r="F220" i="18"/>
  <c r="F224" i="18"/>
  <c r="F228" i="18"/>
  <c r="F232" i="18"/>
  <c r="F236" i="18"/>
  <c r="F240" i="18"/>
  <c r="F244" i="18"/>
  <c r="F248" i="18"/>
  <c r="F252" i="18"/>
  <c r="F256" i="18"/>
  <c r="F260" i="18"/>
  <c r="F264" i="18"/>
  <c r="F268" i="18"/>
  <c r="F272" i="18"/>
  <c r="F276" i="18"/>
  <c r="F280" i="18"/>
  <c r="F284" i="18"/>
  <c r="F288" i="18"/>
  <c r="F257" i="18"/>
  <c r="F273" i="18"/>
  <c r="F5" i="18"/>
  <c r="K44" i="16" s="1"/>
  <c r="F9" i="18"/>
  <c r="F13" i="18"/>
  <c r="F17" i="18"/>
  <c r="F21" i="18"/>
  <c r="F25" i="18"/>
  <c r="F29" i="18"/>
  <c r="F33" i="18"/>
  <c r="F37" i="18"/>
  <c r="F41" i="18"/>
  <c r="F45" i="18"/>
  <c r="F49" i="18"/>
  <c r="F53" i="18"/>
  <c r="F57" i="18"/>
  <c r="F61" i="18"/>
  <c r="F65" i="18"/>
  <c r="F69" i="18"/>
  <c r="F73" i="18"/>
  <c r="F77" i="18"/>
  <c r="F81" i="18"/>
  <c r="F85" i="18"/>
  <c r="F89" i="18"/>
  <c r="F93" i="18"/>
  <c r="F97" i="18"/>
  <c r="F101" i="18"/>
  <c r="F105" i="18"/>
  <c r="F109" i="18"/>
  <c r="F113" i="18"/>
  <c r="F117" i="18"/>
  <c r="F121" i="18"/>
  <c r="F125" i="18"/>
  <c r="F129" i="18"/>
  <c r="F133" i="18"/>
  <c r="F137" i="18"/>
  <c r="F141" i="18"/>
  <c r="F145" i="18"/>
  <c r="F149" i="18"/>
  <c r="F153" i="18"/>
  <c r="F157" i="18"/>
  <c r="F161" i="18"/>
  <c r="F165" i="18"/>
  <c r="F169" i="18"/>
  <c r="F173" i="18"/>
  <c r="F177" i="18"/>
  <c r="F181" i="18"/>
  <c r="F185" i="18"/>
  <c r="F189" i="18"/>
  <c r="F193" i="18"/>
  <c r="F197" i="18"/>
  <c r="F201" i="18"/>
  <c r="F205" i="18"/>
  <c r="F209" i="18"/>
  <c r="F213" i="18"/>
  <c r="F217" i="18"/>
  <c r="F221" i="18"/>
  <c r="F225" i="18"/>
  <c r="F229" i="18"/>
  <c r="F233" i="18"/>
  <c r="F237" i="18"/>
  <c r="F241" i="18"/>
  <c r="F245" i="18"/>
  <c r="F249" i="18"/>
  <c r="F253" i="18"/>
  <c r="F261" i="18"/>
  <c r="F269" i="18"/>
  <c r="F285" i="18"/>
  <c r="F6" i="18"/>
  <c r="F10" i="18"/>
  <c r="F14" i="18"/>
  <c r="F18" i="18"/>
  <c r="F22" i="18"/>
  <c r="F26" i="18"/>
  <c r="F30" i="18"/>
  <c r="F34" i="18"/>
  <c r="F38" i="18"/>
  <c r="F42" i="18"/>
  <c r="F46" i="18"/>
  <c r="F50" i="18"/>
  <c r="F54" i="18"/>
  <c r="F58" i="18"/>
  <c r="F62" i="18"/>
  <c r="F66" i="18"/>
  <c r="F70" i="18"/>
  <c r="F74" i="18"/>
  <c r="F78" i="18"/>
  <c r="F82" i="18"/>
  <c r="F86" i="18"/>
  <c r="F90" i="18"/>
  <c r="F94" i="18"/>
  <c r="F98" i="18"/>
  <c r="F102" i="18"/>
  <c r="F106" i="18"/>
  <c r="F110" i="18"/>
  <c r="F114" i="18"/>
  <c r="F118" i="18"/>
  <c r="F122" i="18"/>
  <c r="F126" i="18"/>
  <c r="F130" i="18"/>
  <c r="F134" i="18"/>
  <c r="F138" i="18"/>
  <c r="F142" i="18"/>
  <c r="F146" i="18"/>
  <c r="F150" i="18"/>
  <c r="F154" i="18"/>
  <c r="F158" i="18"/>
  <c r="F162" i="18"/>
  <c r="F166" i="18"/>
  <c r="F170" i="18"/>
  <c r="F174" i="18"/>
  <c r="F178" i="18"/>
  <c r="F182" i="18"/>
  <c r="F186" i="18"/>
  <c r="F190" i="18"/>
  <c r="F194" i="18"/>
  <c r="F198" i="18"/>
  <c r="F202" i="18"/>
  <c r="F206" i="18"/>
  <c r="F210" i="18"/>
  <c r="F214" i="18"/>
  <c r="F218" i="18"/>
  <c r="F222" i="18"/>
  <c r="F226" i="18"/>
  <c r="F230" i="18"/>
  <c r="F234" i="18"/>
  <c r="F238" i="18"/>
  <c r="F242" i="18"/>
  <c r="F246" i="18"/>
  <c r="F250" i="18"/>
  <c r="F254" i="18"/>
  <c r="F258" i="18"/>
  <c r="F262" i="18"/>
  <c r="F266" i="18"/>
  <c r="F270" i="18"/>
  <c r="F274" i="18"/>
  <c r="F278" i="18"/>
  <c r="F282" i="18"/>
  <c r="F286" i="18"/>
  <c r="F277" i="18"/>
  <c r="J9" i="28"/>
  <c r="K9" i="28" s="1"/>
  <c r="M10" i="28"/>
  <c r="F11" i="28"/>
  <c r="I10" i="28" s="1"/>
  <c r="G10" i="28"/>
  <c r="H10" i="28"/>
  <c r="L9" i="28"/>
  <c r="K46" i="16"/>
  <c r="K45" i="16"/>
  <c r="F12" i="28" l="1"/>
  <c r="G11" i="28"/>
  <c r="H11" i="28"/>
  <c r="I11" i="28"/>
  <c r="J10" i="28"/>
  <c r="K10" i="28" s="1"/>
  <c r="M11" i="28"/>
  <c r="L10" i="28"/>
  <c r="L48" i="16"/>
  <c r="M46" i="16"/>
  <c r="M50" i="16"/>
  <c r="L49" i="16"/>
  <c r="L50" i="16"/>
  <c r="M48" i="16"/>
  <c r="M51" i="16"/>
  <c r="M42" i="16"/>
  <c r="L51" i="16"/>
  <c r="M47" i="16"/>
  <c r="M49" i="16"/>
  <c r="M43" i="16"/>
  <c r="K51" i="16"/>
  <c r="L47" i="16"/>
  <c r="K48" i="16"/>
  <c r="L44" i="16"/>
  <c r="M45" i="16"/>
  <c r="K49" i="16"/>
  <c r="L45" i="16"/>
  <c r="L43" i="16"/>
  <c r="K47" i="16"/>
  <c r="L46" i="16"/>
  <c r="K50" i="16"/>
  <c r="M44" i="16"/>
  <c r="L42" i="16"/>
  <c r="G17" i="27"/>
  <c r="H17" i="27"/>
  <c r="I17" i="27"/>
  <c r="J17" i="27"/>
  <c r="K17" i="27"/>
  <c r="L17" i="27"/>
  <c r="M17" i="27"/>
  <c r="N17" i="27"/>
  <c r="O17" i="27"/>
  <c r="P17" i="27"/>
  <c r="F17" i="27"/>
  <c r="J11" i="28" l="1"/>
  <c r="K11" i="28" s="1"/>
  <c r="M12" i="28"/>
  <c r="L11" i="28"/>
  <c r="F13" i="28"/>
  <c r="G12" i="28"/>
  <c r="H12" i="28"/>
  <c r="I12" i="28" s="1"/>
  <c r="G18" i="27"/>
  <c r="H18" i="27"/>
  <c r="I18" i="27"/>
  <c r="J18" i="27"/>
  <c r="K18" i="27"/>
  <c r="L18" i="27"/>
  <c r="M18" i="27"/>
  <c r="N18" i="27"/>
  <c r="O18" i="27"/>
  <c r="P18" i="27"/>
  <c r="F18" i="27"/>
  <c r="J12" i="28" l="1"/>
  <c r="K12" i="28" s="1"/>
  <c r="M13" i="28"/>
  <c r="H13" i="28"/>
  <c r="F14" i="28"/>
  <c r="I13" i="28" s="1"/>
  <c r="G13" i="28"/>
  <c r="L12" i="28"/>
  <c r="AA13" i="16"/>
  <c r="J13" i="28" l="1"/>
  <c r="K13" i="28" s="1"/>
  <c r="M14" i="28"/>
  <c r="F15" i="28"/>
  <c r="G14" i="28"/>
  <c r="H14" i="28"/>
  <c r="L13" i="28"/>
  <c r="T39" i="16"/>
  <c r="B8" i="27"/>
  <c r="C8" i="27" s="1"/>
  <c r="Q38" i="16" s="1"/>
  <c r="F16" i="28" l="1"/>
  <c r="G15" i="28"/>
  <c r="H15" i="28"/>
  <c r="I15" i="28"/>
  <c r="I14" i="28"/>
  <c r="K39" i="16"/>
  <c r="J15" i="28" l="1"/>
  <c r="J14" i="28"/>
  <c r="K14" i="28" s="1"/>
  <c r="M15" i="28"/>
  <c r="M16" i="28" s="1"/>
  <c r="F17" i="28"/>
  <c r="G16" i="28"/>
  <c r="H16" i="28"/>
  <c r="AA9" i="16"/>
  <c r="L14" i="28" l="1"/>
  <c r="H17" i="28"/>
  <c r="F18" i="28"/>
  <c r="I17" i="28" s="1"/>
  <c r="G17" i="28"/>
  <c r="I16" i="28"/>
  <c r="K15" i="28"/>
  <c r="T43" i="16"/>
  <c r="T44" i="16"/>
  <c r="T45" i="16"/>
  <c r="T46" i="16"/>
  <c r="T47" i="16"/>
  <c r="T48" i="16"/>
  <c r="T49" i="16"/>
  <c r="T50" i="16"/>
  <c r="T51" i="16"/>
  <c r="T52" i="16"/>
  <c r="T42" i="16"/>
  <c r="J17" i="28" l="1"/>
  <c r="K17" i="28" s="1"/>
  <c r="M18" i="28"/>
  <c r="J16" i="28"/>
  <c r="K16" i="28" s="1"/>
  <c r="L17" i="28" s="1"/>
  <c r="M17" i="28"/>
  <c r="F19" i="28"/>
  <c r="G18" i="28"/>
  <c r="H18" i="28"/>
  <c r="I18" i="28"/>
  <c r="L15" i="28"/>
  <c r="AA4" i="16"/>
  <c r="L16" i="28" l="1"/>
  <c r="F20" i="28"/>
  <c r="I19" i="28" s="1"/>
  <c r="G19" i="28"/>
  <c r="H19" i="28"/>
  <c r="J18" i="28"/>
  <c r="K18" i="28" s="1"/>
  <c r="M19" i="28"/>
  <c r="L18" i="28"/>
  <c r="M39" i="16"/>
  <c r="R43" i="16"/>
  <c r="R44" i="16"/>
  <c r="R45" i="16"/>
  <c r="R46" i="16"/>
  <c r="R47" i="16"/>
  <c r="R48" i="16"/>
  <c r="R49" i="16"/>
  <c r="R50" i="16"/>
  <c r="R51" i="16"/>
  <c r="R52" i="16"/>
  <c r="R42" i="16"/>
  <c r="B5" i="27"/>
  <c r="B9" i="27" s="1"/>
  <c r="G16" i="27"/>
  <c r="P43" i="16" s="1"/>
  <c r="H16" i="27"/>
  <c r="P44" i="16" s="1"/>
  <c r="I16" i="27"/>
  <c r="P45" i="16" s="1"/>
  <c r="J16" i="27"/>
  <c r="P46" i="16" s="1"/>
  <c r="K16" i="27"/>
  <c r="P47" i="16" s="1"/>
  <c r="L16" i="27"/>
  <c r="P48" i="16" s="1"/>
  <c r="M16" i="27"/>
  <c r="P49" i="16" s="1"/>
  <c r="N16" i="27"/>
  <c r="P50" i="16" s="1"/>
  <c r="O16" i="27"/>
  <c r="P51" i="16" s="1"/>
  <c r="P16" i="27"/>
  <c r="P52" i="16" s="1"/>
  <c r="F16" i="27"/>
  <c r="P42" i="16" s="1"/>
  <c r="C5" i="27"/>
  <c r="AA10" i="16"/>
  <c r="F81" i="16"/>
  <c r="J19" i="28" l="1"/>
  <c r="K19" i="28" s="1"/>
  <c r="M20" i="28"/>
  <c r="L19" i="28"/>
  <c r="F21" i="28"/>
  <c r="G20" i="28"/>
  <c r="H20" i="28"/>
  <c r="Q43" i="16"/>
  <c r="Q48" i="16"/>
  <c r="Q49" i="16"/>
  <c r="Q45" i="16"/>
  <c r="Q52" i="16"/>
  <c r="Q44" i="16"/>
  <c r="Q46" i="16"/>
  <c r="Q51" i="16"/>
  <c r="Q50" i="16"/>
  <c r="Q42" i="16"/>
  <c r="S52" i="16"/>
  <c r="S51" i="16"/>
  <c r="S49" i="16"/>
  <c r="S50" i="16"/>
  <c r="S48" i="16"/>
  <c r="S43" i="16"/>
  <c r="S46" i="16"/>
  <c r="S44" i="16"/>
  <c r="S42" i="16"/>
  <c r="S45" i="16"/>
  <c r="H21" i="28" l="1"/>
  <c r="F22" i="28"/>
  <c r="G21" i="28"/>
  <c r="I20" i="28"/>
  <c r="F92" i="16" a="1"/>
  <c r="F92" i="16" s="1"/>
  <c r="D90" i="16" a="1"/>
  <c r="D90" i="16" s="1"/>
  <c r="E87" i="16" a="1"/>
  <c r="E87" i="16" s="1"/>
  <c r="F84" i="16" a="1"/>
  <c r="F84" i="16" s="1"/>
  <c r="D89" i="16" a="1"/>
  <c r="D89" i="16" s="1"/>
  <c r="F88" i="16" a="1"/>
  <c r="F88" i="16" s="1"/>
  <c r="F85" i="16" a="1"/>
  <c r="F85" i="16" s="1"/>
  <c r="E92" i="16" a="1"/>
  <c r="E92" i="16" s="1"/>
  <c r="F89" i="16" a="1"/>
  <c r="F89" i="16" s="1"/>
  <c r="D87" i="16" a="1"/>
  <c r="D87" i="16" s="1"/>
  <c r="E84" i="16" a="1"/>
  <c r="E84" i="16" s="1"/>
  <c r="D92" i="16" a="1"/>
  <c r="D92" i="16" s="1"/>
  <c r="E89" i="16" a="1"/>
  <c r="E89" i="16" s="1"/>
  <c r="F86" i="16" a="1"/>
  <c r="F86" i="16" s="1"/>
  <c r="D84" i="16" a="1"/>
  <c r="D84" i="16" s="1"/>
  <c r="F91" i="16" a="1"/>
  <c r="F91" i="16" s="1"/>
  <c r="F83" i="16" a="1"/>
  <c r="F83" i="16" s="1"/>
  <c r="D86" i="16" a="1"/>
  <c r="D86" i="16" s="1"/>
  <c r="E88" i="16" a="1"/>
  <c r="E88" i="16" s="1"/>
  <c r="F90" i="16" a="1"/>
  <c r="F90" i="16" s="1"/>
  <c r="D88" i="16" a="1"/>
  <c r="D88" i="16" s="1"/>
  <c r="E85" i="16" a="1"/>
  <c r="E85" i="16" s="1"/>
  <c r="E90" i="16" a="1"/>
  <c r="E90" i="16" s="1"/>
  <c r="F87" i="16" a="1"/>
  <c r="F87" i="16" s="1"/>
  <c r="D85" i="16" a="1"/>
  <c r="D85" i="16" s="1"/>
  <c r="E86" i="16" a="1"/>
  <c r="E86" i="16" s="1"/>
  <c r="E91" i="16" a="1"/>
  <c r="E91" i="16" s="1"/>
  <c r="E83" i="16" a="1"/>
  <c r="E83" i="16" s="1"/>
  <c r="D91" i="16" a="1"/>
  <c r="D91" i="16" s="1"/>
  <c r="D83" i="16" a="1"/>
  <c r="D83" i="16" s="1"/>
  <c r="F23" i="28" l="1"/>
  <c r="G22" i="28"/>
  <c r="H22" i="28"/>
  <c r="I22" i="28" s="1"/>
  <c r="I21" i="28"/>
  <c r="J20" i="28"/>
  <c r="K20" i="28" s="1"/>
  <c r="M21" i="28"/>
  <c r="J22" i="28" l="1"/>
  <c r="K22" i="28" s="1"/>
  <c r="M23" i="28"/>
  <c r="L20" i="28"/>
  <c r="J21" i="28"/>
  <c r="K21" i="28" s="1"/>
  <c r="L22" i="28" s="1"/>
  <c r="M22" i="28"/>
  <c r="F24" i="28"/>
  <c r="G23" i="28"/>
  <c r="H23" i="28"/>
  <c r="F25" i="28" l="1"/>
  <c r="G24" i="28"/>
  <c r="H24" i="28"/>
  <c r="L21" i="28"/>
  <c r="I23" i="28"/>
  <c r="J23" i="28" l="1"/>
  <c r="K23" i="28" s="1"/>
  <c r="M24" i="28"/>
  <c r="H25" i="28"/>
  <c r="I25" i="28"/>
  <c r="F26" i="28"/>
  <c r="G25" i="28"/>
  <c r="I24" i="28"/>
  <c r="J25" i="28" l="1"/>
  <c r="J24" i="28"/>
  <c r="K24" i="28" s="1"/>
  <c r="L24" i="28" s="1"/>
  <c r="M25" i="28"/>
  <c r="M26" i="28" s="1"/>
  <c r="F27" i="28"/>
  <c r="I26" i="28" s="1"/>
  <c r="G26" i="28"/>
  <c r="H26" i="28"/>
  <c r="L23" i="28"/>
  <c r="J26" i="28" l="1"/>
  <c r="K26" i="28" s="1"/>
  <c r="M27" i="28"/>
  <c r="F28" i="28"/>
  <c r="G27" i="28"/>
  <c r="H27" i="28"/>
  <c r="I27" i="28"/>
  <c r="K25" i="28"/>
  <c r="L26" i="28" l="1"/>
  <c r="L25" i="28"/>
  <c r="F29" i="28"/>
  <c r="G28" i="28"/>
  <c r="H28" i="28"/>
  <c r="J27" i="28"/>
  <c r="K27" i="28" s="1"/>
  <c r="L27" i="28" s="1"/>
  <c r="M28" i="28"/>
  <c r="H29" i="28" l="1"/>
  <c r="F30" i="28"/>
  <c r="G29" i="28"/>
  <c r="I28" i="28"/>
  <c r="F31" i="28" l="1"/>
  <c r="G30" i="28"/>
  <c r="H30" i="28"/>
  <c r="I30" i="28"/>
  <c r="J28" i="28"/>
  <c r="K28" i="28" s="1"/>
  <c r="M29" i="28"/>
  <c r="I29" i="28"/>
  <c r="J30" i="28" l="1"/>
  <c r="J29" i="28"/>
  <c r="K29" i="28" s="1"/>
  <c r="M30" i="28"/>
  <c r="M31" i="28" s="1"/>
  <c r="L28" i="28"/>
  <c r="F32" i="28"/>
  <c r="G31" i="28"/>
  <c r="H31" i="28"/>
  <c r="F33" i="28" l="1"/>
  <c r="G32" i="28"/>
  <c r="H32" i="28"/>
  <c r="I31" i="28"/>
  <c r="L29" i="28"/>
  <c r="K30" i="28"/>
  <c r="H33" i="28" l="1"/>
  <c r="F34" i="28"/>
  <c r="G33" i="28"/>
  <c r="J31" i="28"/>
  <c r="K31" i="28" s="1"/>
  <c r="L31" i="28" s="1"/>
  <c r="M32" i="28"/>
  <c r="I32" i="28"/>
  <c r="L30" i="28"/>
  <c r="F35" i="28" l="1"/>
  <c r="G34" i="28"/>
  <c r="H34" i="28"/>
  <c r="I34" i="28"/>
  <c r="J32" i="28"/>
  <c r="K32" i="28" s="1"/>
  <c r="L32" i="28" s="1"/>
  <c r="M33" i="28"/>
  <c r="I33" i="28"/>
  <c r="J34" i="28" l="1"/>
  <c r="J33" i="28"/>
  <c r="K33" i="28" s="1"/>
  <c r="M34" i="28"/>
  <c r="M35" i="28" s="1"/>
  <c r="F36" i="28"/>
  <c r="G35" i="28"/>
  <c r="H35" i="28"/>
  <c r="F37" i="28" l="1"/>
  <c r="G36" i="28"/>
  <c r="H36" i="28"/>
  <c r="I35" i="28"/>
  <c r="L33" i="28"/>
  <c r="K34" i="28"/>
  <c r="H37" i="28" l="1"/>
  <c r="F38" i="28"/>
  <c r="I37" i="28" s="1"/>
  <c r="G37" i="28"/>
  <c r="J35" i="28"/>
  <c r="K35" i="28" s="1"/>
  <c r="M36" i="28"/>
  <c r="I36" i="28"/>
  <c r="L34" i="28"/>
  <c r="J36" i="28" l="1"/>
  <c r="K36" i="28" s="1"/>
  <c r="M37" i="28"/>
  <c r="M38" i="28" s="1"/>
  <c r="F39" i="28"/>
  <c r="G38" i="28"/>
  <c r="H38" i="28"/>
  <c r="L36" i="28"/>
  <c r="J37" i="28"/>
  <c r="K37" i="28" s="1"/>
  <c r="L35" i="28"/>
  <c r="F40" i="28" l="1"/>
  <c r="G39" i="28"/>
  <c r="H39" i="28"/>
  <c r="I38" i="28"/>
  <c r="L37" i="28"/>
  <c r="F41" i="28" l="1"/>
  <c r="G40" i="28"/>
  <c r="H40" i="28"/>
  <c r="J38" i="28"/>
  <c r="K38" i="28" s="1"/>
  <c r="M39" i="28"/>
  <c r="I39" i="28"/>
  <c r="J39" i="28" l="1"/>
  <c r="K39" i="28" s="1"/>
  <c r="M40" i="28"/>
  <c r="H41" i="28"/>
  <c r="I41" i="28"/>
  <c r="J41" i="28" s="1"/>
  <c r="K41" i="28" s="1"/>
  <c r="C9" i="27" s="1"/>
  <c r="G41" i="28"/>
  <c r="L39" i="28"/>
  <c r="L38" i="28"/>
  <c r="I40" i="28"/>
  <c r="J40" i="28" l="1"/>
  <c r="K40" i="28" s="1"/>
  <c r="L41" i="28" s="1"/>
  <c r="M41" i="28"/>
  <c r="C10" i="27"/>
  <c r="T38" i="16"/>
  <c r="L40" i="28"/>
  <c r="K15" i="27" l="1"/>
  <c r="O47" i="16" s="1"/>
  <c r="Q39" i="16"/>
</calcChain>
</file>

<file path=xl/connections.xml><?xml version="1.0" encoding="utf-8"?>
<connections xmlns="http://schemas.openxmlformats.org/spreadsheetml/2006/main">
  <connection id="1" name="CurrentCouponQuery" type="1" refreshedVersion="4" savePassword="1" saveData="1">
    <dbPr connection="DSN=Cello SQL Server;UID=report;PWD=gm4SJDw4;APP=Microsoft Office 2010;WSID=CELLO-PC4;DATABASE=Cello" command="select d.AsOfDate, d.SeriesNumValue, f.Rate  from TimeSeriesMeta as m,TimeSeries as d,[dbo].[get30YrFRM]() as f where m.TimeSeriesMetaId = d.TimeSeriesMetaId and d.AsOfDate = f.asOf and m.source = 'CELLO' and m.TickerName like'FN_CMM_30%' and m.category = 'MTG' and AsOfDate &lt;= '2016-06-29' and AsOfDate&gt;= '2016-05-01' order by d.AsOfDate"/>
  </connection>
  <connection id="2" name="CurrentCouponQuery1" type="1" refreshedVersion="4" savePassword="1" saveData="1">
    <dbPr connection="DSN=Cello SQL Server;UID=report;PWD=gm4SJDw4;APP=Microsoft Office 2010;WSID=CELLO-PC4;DATABASE=Cello" command="select d.AsOfDate, m.TickerName, d.SeriesNumValue  from TimeSeriesMeta as m,TimeSeries as d where m.TimeSeriesMetaId = d.TimeSeriesMetaId and m.source = 'CELLO' and m.TickerName like'FN_CMM_30%' and m.category = 'MTG' and AsOfDate &lt;= '2016-06-29' and AsOfDate&gt;= '2016-06-23' order by d.AsOfDate"/>
  </connection>
  <connection id="3" name="FunctionOfRatesLoanQuery" type="1" refreshedVersion="4" savePassword="1" saveData="1">
    <dbPr connection="DSN=Agency" command="exec RefinancibleUniverse_FunctionOfRates_Loan  3.25863334927084, '2016-05-01', '2016-06-29'"/>
  </connection>
  <connection id="4" name="FunctionOfRatesLoanWithLowestRateQuery" type="1" refreshedVersion="4" savePassword="1" saveData="1">
    <dbPr connection="DSN=Agency" command="exec RefinancibleUniverse_FunctionOfRates_LowestRate_Loan 3.25863334927084, '2016-05-01', '2016-06-29', '2016-06-23'"/>
  </connection>
  <connection id="5" name="FunctionOfRatesLoanWithMediaEffectQuery" type="1" refreshedVersion="4" savePassword="1" saveData="1">
    <dbPr connection="DSN=Agency" command="exec RefinancibleUniverse_FunctionOfRates_MediaEffect_Loan 3.25863334927084, '2016-05-01', '2016-06-29', '2016-06-23'"/>
  </connection>
  <connection id="6" name="FunctionOfRatesPoolQuery" type="1" refreshedVersion="4" savePassword="1" saveData="1">
    <dbPr connection="DSN=Agency" command="exec RefinancibleUniverse_FunctionOfRates  3.25863334927084, '2016-05-01', '2016-06-29'"/>
  </connection>
  <connection id="7" name="LoanLevel12WeeksQuery" type="1" refreshedVersion="4" savePassword="1" saveData="1">
    <dbPr connection="DSN=Agency" command="exec RefinancibleUniverse_LoanLevel_withMediaEffect '2016-06-29'"/>
  </connection>
  <connection id="8" name="LoanLevelLowestRateQuery" type="1" refreshedVersion="4" savePassword="1" saveData="1">
    <dbPr connection="DSN=Agency" command="exec RefinancibleUniverse_LoanLevel_withLowestRate '2016-06-29'"/>
  </connection>
  <connection id="9" name="LoanLevelQuery" type="1" refreshedVersion="4" savePassword="1" saveData="1">
    <dbPr connection="DSN=Agency" command="exec RefinancibleUniverse_LoanLevel '2016-06-29'"/>
  </connection>
  <connection id="10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1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12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13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14" name="NoLagTopTenQuery11111" type="1" refreshedVersion="4" savePassword="1" saveData="1">
    <dbPr connection="DSN=Agency" command="-------------------------------Combine LLPA tables--------Time dependent-------------------_x000d__x000a_DROP TABLE IF EXISTS #tempLLPA;_x000d__x000a_select f.asofdate,f.FicoStart, f.FicoEnd, f.LtvStart, f.LtvEnd, o.occtype, u.numUnits, BaseLLTV = (case when f.LLPA is null then 999 else f.LLPA end),_x000d__x000a_        a.LLPA as AMDC1,  aa.LLPA as AMDC2, AMDC = (case when AMDC1 is null then AMDC2 else AMDC1 end),_x000d__x000a_        HighLTV = (case when l.llpa is null then 999 else l.llpa end), _x000d__x000a_        Occp = (case when o.llpa is null then 999 else o.llpa end), _x000d__x000a_        UnitL = (case when u.llpa is null then 999 else u.llpa end),_x000d__x000a_        totalLLPA = (BaseLLTV + AMDC + HighLTV + Occp + UnitL)/100_x000d__x000a_into #tempLLPA_x000d__x000a_from report.LLPAFicoLTV f_x000d__x000a_left join report.LLPAAMDC a _x000d__x000a_on f.FicoStart = a.FicoStart _x000d__x000a_and f.FicoEnd = a.FicoEnd _x000d__x000a_and f.LtvStart = a.LtvStart_x000d__x000a_and f.LtvEnd = a.LtvEnd_x000d__x000a_and a.asofdate = f.asofdate_x000d__x000a_join report.LLPAAMDC aa _x000d__x000a_on f.FicoStart = aa.FicoStart _x000d__x000a_and f.FicoEnd = aa.FicoEnd _x000d__x000a_and f.LtvStart = aa.LtvStart_x000d__x000a_and f.LtvEnd = aa.LtvEnd_x000d__x000a_and aa.asofdate = '2014-01-08'_x000d__x000a_join report.LLPAHighLtv l_x000d__x000a_on f.FicoStart = l.FicoStart _x000d__x000a_and f.FicoEnd = l.FicoEnd _x000d__x000a_and f.LtvStart = l.LtvStart_x000d__x000a_and f.LtvEnd = l.LtvEnd_x000d__x000a_join report.LLPAOCCLTV o_x000d__x000a_on f.LtvStart = o.LtvStart_x000d__x000a_and f.LtvEnd = o.LtvEnd_x000d__x000a_join report.LLPAUNITLTV u_x000d__x000a_on f.LtvStart = u.LtvStart_x000d__x000a_and f.LtvEnd = u.LtvEnd_x000d__x000a_where l.asofdate = '2013-12-16'_x000d__x000a_and o.asofdate = '2013-11-14'_x000d__x000a_and u.asofdate = '2013-11-14'_x000d__x000a_;_x000d__x000a_COMMIT;_x000d__x000a__x000d__x000a_CREATE INDEX idx_templla_asof ON #tempLLPA(AsOfDate);_x000d__x000a_CREATE INDEX idx_templla_occType ON #tempLLPA(occType);_x000d__x000a_CREATE INDEX idx_templla_numUnits ON #tempLLPA(numUnits);_x000d__x000a_COMMIT;_x000d__x000a__x000d__x000a__x000d__x000a__x000d__x000a_-------------------------------Loan with LLPA---------------------------_x000d__x000a_DROP TABLE IF EXISTS #tempone;_x000d__x000a_select _x000d__x000a_    AsOfDate,_x000d__x000a_    convert(date, year(asOfDate) || '-' || month(asOfDate) || '-01') as AsOf,_x000d__x000a_    datebucket = convert(date, (case when asOfDate &lt;= '2013-12-16' then '2011-09-22'_x000d__x000a_                when asOfDate &lt;= '2014-01-08' then '2013-12-16'_x000d__x000a_                when asOfDate &lt;= '2015-01-07' then '2014-01-08'_x000d__x000a_                else '2015-01-07' end)),_x000d__x000a_    SeriesNumValue = sum(case when M.SeriesType = 'Points_US' then (1.0 - d.SeriesNumvalue)/-4.0 else d.SeriesNumvalue end)_x000d__x000a_into #tempone_x000d__x000a_from report.TimeSeriesMeta M, report.TimeSeries D_x000d__x000a_where M.TimeSeriesMetaId = D.TimeSeriesMetaId_x000d__x000a_and M.Source = 'Freddie'_x000d__x000a_and M.TickerName  ='PMMS_FRM_30YR'_x000d__x000a_and M.SeriesType in ('Points_US','Rate_US')_x000d__x000a_group by AsOfDate_x000d__x000a_order by AsOfDate DESC_x000d__x000a_;_x000d__x000a_COMMIT;_x000d__x000a__x000d__x000a_CREATE INDEX idx_temp_asofdate ON #tempone(AsOfDate);_x000d__x000a_CREATE INDEX idx_temp_asof ON #tempone(AsOf);_x000d__x000a_CREATE INDEX idx_temp_datebucket ON #tempone(datebucket);_x000d__x000a_COMMIT;_x000d__x000a__x000d__x000a_select t.asOfDate,_x000d__x000a_--t.datebucket,_x000d__x000a_--tl.totalLLPA, tl.asofdate,_x000d__x000a_refinanceible = sum(case when l.OrigNoteRate - t.SeriesNumValue - tl.totalLLPA/4 &gt;= 0.5 then (case when lh.currentRpb &gt; 0 then lh.currentRpb else 0.000001 end) else 0 end)/sum(case when lh.currentRpb &gt; 0 then lh.currentRpb else 0.000001 end)_x000d__x000a_--ITMBalance = sum(case when l.OrigNoteRate - t.SeriesNumValue - tl.totalLLPA/4 &gt;= 0.5 then (case when lh.currentRpb &gt; 0 then lh.currentRpb else 0.000001 end) else 0 end),_x000d__x000a_--currBalance = sum(case when lh.currentRpb &gt; 0 then lh.currentRpb else 0.000001 end)_x000d__x000a_from fhl.sec p, fhl.Cello_Loan l, fhl.Cello_LoanHist lh, #tempone t, #tempLLPA tl_x000d__x000a_where p.issueId = l.issueId_x000d__x000a_and l.issueId = lh.issueId_x000d__x000a_and l.loanSeqNum = lh.loanSeqNum_x000d__x000a_and p.collateralType = 'LOAN' _x000d__x000a_and l.marketTicker in ('FGLMC')_x000d__x000a_and l.marketTicker = p.marketTicker_x000d__x000a_and t.asOf = lh.asOf_x000d__x000a_and lh.asOf &gt;= '2011-01-01'_x000d__x000a_and l.occType = tl.occType_x000d__x000a_and l.cs &gt;= tl.FicoStart and l.cs &lt; tl.FicoEnd_x000d__x000a_and lh.CLTV &gt; tl.ltvStart and lh.CLTV &lt;= tl.LtvEnd_x000d__x000a_and l.numUnits = tl.numUnits_x000d__x000a_and t.datebucket = tl.asofdate_x000d__x000a_--and DATEDIFF(day, t.datebucket, tl.asofdate) = 0_x000d__x000a_--and l.calcorigmonth_LL &gt; 200906_x000d__x000a_group by t.asOfDate_x000d__x000a_order by t.asOfDate_x000d__x000a_;"/>
  </connection>
  <connection id="15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6" name="PMMSQuery" type="1" refreshedVersion="4" savePassword="1" saveData="1">
    <dbPr connection="DSN=Agency" command="commit; select AsOfDate, SeriesNumValue = sum(case when M.SeriesType = 'Points_US' then (1.0 - d.SeriesNumvalue)/-4.0 else d.SeriesNumvalue end) from report.TimeSeriesMeta M, report.TimeSeries D where M.TimeSeriesMetaId = D.TimeSeriesMetaId and M.Source = 'Freddie' and M.TickerName  ='PMMS_FRM_30YR' and M.SeriesType in ('Points_US','Rate_US') and AsOfDate = '2016-06-23' group by AsOfDate "/>
  </connection>
  <connection id="17" name="PoolLevelQuery" type="1" refreshedVersion="4" savePassword="1" saveData="1">
    <dbPr connection="DSN=Agency" command="DROP TABLE IF EXISTS #tempone select AsOfDate, convert(date, year(asOfDate) || '-' || month(asOfDate) || '-01') as AsOf, lastmonth = dateadd(month, -1, AsOf), SeriesNumValue = sum(case when M.SeriesType = 'Points_US' then (1.0 - d.SeriesNumvalue)/-4.0 else d.SeriesNumvalue end) into #tempone from report.TimeSeriesMeta M, report.TimeSeries D where M.TimeSeriesMetaId = D.TimeSeriesMetaId and M.Source = 'Freddie' and M.TickerName  ='PMMS_FRM_30YR' and M.SeriesType in ('Points_US','Rate_US') group by AsOfDate order by AsOfDate DESC select t.asOfDate, refinancible = sum(case when f.wac - t.SeriesNumValue &gt;= 0.5 then f.currentBalance else 0 end)/sum(f.currentBalance) from fnm.sec p, fnm.secFactor f,  #tempone t, fnm.secSupp s where p.issueId = f.issueId and p.issueId = s.issueId and f.asOf = s.asOf and p.collateralType = 'LOAN'  and p.marketTicker in ('FNCL') and t.lastmonth = f.asOf and t.asOfDate &gt;= '20110101' group by t.asOfDate order by t.asOfDate desc"/>
  </connection>
  <connection id="18" name="PoolLevelQueryv2" type="1" refreshedVersion="4" savePassword="1" saveData="1">
    <dbPr connection="DSN=Agency" command="exec RefinancibleUniverse_PoolLevel '2016-06-29'"/>
  </connection>
  <connection id="19" name="temp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0" name="temp1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21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22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23" name="temp12" type="6" refreshedVersion="4" background="1" saveData="1">
    <textPr codePage="437" sourceFile="C:\Users\lien.chen\Desktop\temp1.csv" comma="1" qualifier="singleQuote">
      <textFields count="2">
        <textField/>
        <textField/>
      </textFields>
    </textPr>
  </connection>
  <connection id="24" name="temp13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25" name="temp2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6" name="temp2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7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<sst xmlns="http://schemas.openxmlformats.org/spreadsheetml/2006/main" count="231" uniqueCount="150">
  <si>
    <t>Rank</t>
  </si>
  <si>
    <t>Database Env</t>
  </si>
  <si>
    <t>PROD</t>
  </si>
  <si>
    <t>Save Data to DB</t>
  </si>
  <si>
    <t>Yes</t>
  </si>
  <si>
    <t>As of Date</t>
  </si>
  <si>
    <t>Report Name</t>
  </si>
  <si>
    <t>Bank of America</t>
  </si>
  <si>
    <t>Chase</t>
  </si>
  <si>
    <t>Quicken</t>
  </si>
  <si>
    <t>Wells Fargo</t>
  </si>
  <si>
    <t>Source:</t>
  </si>
  <si>
    <t>1M Chg</t>
  </si>
  <si>
    <t>3M Chg</t>
  </si>
  <si>
    <t>Market Share</t>
  </si>
  <si>
    <t>Month</t>
  </si>
  <si>
    <t>Last Month</t>
  </si>
  <si>
    <t>Servicer Name</t>
  </si>
  <si>
    <t>Top 10 For Current Month</t>
  </si>
  <si>
    <t>Report Folder</t>
  </si>
  <si>
    <t>Volume (M)</t>
  </si>
  <si>
    <t>Issue Month:</t>
  </si>
  <si>
    <t>asOfDate</t>
  </si>
  <si>
    <t>refinancible</t>
  </si>
  <si>
    <t>refinanceible</t>
  </si>
  <si>
    <t>Loan Level</t>
  </si>
  <si>
    <t>Pool</t>
  </si>
  <si>
    <t>Loan</t>
  </si>
  <si>
    <t>Pool Level</t>
  </si>
  <si>
    <t>MBAVCMRS</t>
  </si>
  <si>
    <t>Current</t>
  </si>
  <si>
    <t>Bloomberg Refi Index</t>
  </si>
  <si>
    <t>As Of</t>
  </si>
  <si>
    <t>Refinancible Percentage</t>
  </si>
  <si>
    <t>Loan Level Latest Update</t>
  </si>
  <si>
    <t>AsOfDate</t>
  </si>
  <si>
    <t>SeriesNumValue</t>
  </si>
  <si>
    <t>refinancible1</t>
  </si>
  <si>
    <t>refinancible2</t>
  </si>
  <si>
    <t>refinancible3</t>
  </si>
  <si>
    <t>refinancible4</t>
  </si>
  <si>
    <t>refinancible5</t>
  </si>
  <si>
    <t>refinancible6</t>
  </si>
  <si>
    <t>refinancible7</t>
  </si>
  <si>
    <t>refinancible8</t>
  </si>
  <si>
    <t>refinancible9</t>
  </si>
  <si>
    <t>refinancible10</t>
  </si>
  <si>
    <t>refinancible11</t>
  </si>
  <si>
    <t>-10 bps</t>
  </si>
  <si>
    <t>-20 bps</t>
  </si>
  <si>
    <t>-30 bps</t>
  </si>
  <si>
    <t>-40 bps</t>
  </si>
  <si>
    <t>-50 bps</t>
  </si>
  <si>
    <t>+10 bps</t>
  </si>
  <si>
    <t>+20 bps</t>
  </si>
  <si>
    <t>+30 bps</t>
  </si>
  <si>
    <t>+40 bps</t>
  </si>
  <si>
    <t>+50 bps</t>
  </si>
  <si>
    <t>Rates</t>
  </si>
  <si>
    <t>Refi %</t>
  </si>
  <si>
    <t>Chg</t>
  </si>
  <si>
    <t>-</t>
  </si>
  <si>
    <t>As Of:</t>
  </si>
  <si>
    <t>Bloomberg Refi Index is conventional Refi Index (MBAVCMRS)</t>
  </si>
  <si>
    <t>Pool Level Model is based on FNCL data; Loan Level Model is using FGLMC loan level data.</t>
  </si>
  <si>
    <t>Refi Index</t>
  </si>
  <si>
    <t>Refi Index will be updated on next Wednesday.</t>
  </si>
  <si>
    <t>Loan Level with Lowest Rate</t>
  </si>
  <si>
    <t>Loan Level with Lowest Rate Latest Update</t>
  </si>
  <si>
    <t>Lowest Rate Weekly-cerrect</t>
  </si>
  <si>
    <t>With Lowest Rate</t>
  </si>
  <si>
    <t>Loan with Lowest Rate</t>
  </si>
  <si>
    <t>Lowest Rate</t>
  </si>
  <si>
    <t>Scenario</t>
  </si>
  <si>
    <t>IF(DAY(CurrentCloseDate)&lt;5,(CurrentCloseDate-DAY(CurrentCloseDate))-DAY((CurrentCloseDate-DAY(CurrentCloseDate)))+1,CurrentCloseDate-DAY(CurrentCloseDate)+1)</t>
  </si>
  <si>
    <t>PMMS 1-Point Rate:</t>
  </si>
  <si>
    <t>Rate</t>
  </si>
  <si>
    <t>Weekday</t>
  </si>
  <si>
    <t>Weight</t>
  </si>
  <si>
    <t>Counter</t>
  </si>
  <si>
    <t>Accumulated Weighted CC</t>
  </si>
  <si>
    <t>AccumulatedWeight</t>
  </si>
  <si>
    <t>WA CC</t>
  </si>
  <si>
    <t>Servicing Spread</t>
  </si>
  <si>
    <t>Servicing Spread Non-Zero</t>
  </si>
  <si>
    <t>Servicing Spread 1m chg</t>
  </si>
  <si>
    <t>Survey Rate 1m chg</t>
  </si>
  <si>
    <t>MONDAY</t>
  </si>
  <si>
    <t>TUESDAY</t>
  </si>
  <si>
    <t>WEDNESDAY</t>
  </si>
  <si>
    <t>THURSDAY</t>
  </si>
  <si>
    <t>FRIDAY</t>
  </si>
  <si>
    <t>SATURDAY</t>
  </si>
  <si>
    <t>SUNDAY</t>
  </si>
  <si>
    <t>Servicing Spread Query</t>
  </si>
  <si>
    <t>TickerName</t>
  </si>
  <si>
    <t>FN_CMM_30Yr</t>
  </si>
  <si>
    <t>Current Coupon</t>
  </si>
  <si>
    <t>Implied Rate</t>
  </si>
  <si>
    <t>Daily Rate is calculated by current coupon plus the implied servicing spread.</t>
  </si>
  <si>
    <t>Current Coupon:</t>
  </si>
  <si>
    <t>Servicing Spread:</t>
  </si>
  <si>
    <t>Implied Primary Rate:</t>
  </si>
  <si>
    <t>Last Thursday</t>
  </si>
  <si>
    <t>Pool Level Latest Update</t>
  </si>
  <si>
    <t>12 Weeks Scenario</t>
  </si>
  <si>
    <t>Loan Level with 12 Weeks</t>
  </si>
  <si>
    <t>2016-05-02</t>
  </si>
  <si>
    <t>2016-05-03</t>
  </si>
  <si>
    <t>2016-05-04</t>
  </si>
  <si>
    <t>2016-05-05</t>
  </si>
  <si>
    <t>2016-05-06</t>
  </si>
  <si>
    <t>2016-05-09</t>
  </si>
  <si>
    <t>2016-05-10</t>
  </si>
  <si>
    <t>2016-05-11</t>
  </si>
  <si>
    <t>2016-05-12</t>
  </si>
  <si>
    <t>2016-05-13</t>
  </si>
  <si>
    <t>2016-05-16</t>
  </si>
  <si>
    <t>2016-05-17</t>
  </si>
  <si>
    <t>2016-05-18</t>
  </si>
  <si>
    <t>2016-05-19</t>
  </si>
  <si>
    <t>2016-05-20</t>
  </si>
  <si>
    <t>2016-05-23</t>
  </si>
  <si>
    <t>2016-05-24</t>
  </si>
  <si>
    <t>2016-05-25</t>
  </si>
  <si>
    <t>2016-05-26</t>
  </si>
  <si>
    <t>2016-05-27</t>
  </si>
  <si>
    <t>2016-05-31</t>
  </si>
  <si>
    <t>S:\IT\Production\Daily Reports\Primary Market\2016-06\</t>
  </si>
  <si>
    <t>2016-06-01</t>
  </si>
  <si>
    <t>2016-06-02</t>
  </si>
  <si>
    <t>2016-06-03</t>
  </si>
  <si>
    <t>2016-06-06</t>
  </si>
  <si>
    <t>2016-06-07</t>
  </si>
  <si>
    <t>2016-06-08</t>
  </si>
  <si>
    <t>2016-06-09</t>
  </si>
  <si>
    <t>2016-06-10</t>
  </si>
  <si>
    <t>2016-06-13</t>
  </si>
  <si>
    <t>2016-06-14</t>
  </si>
  <si>
    <t>2016-06-15</t>
  </si>
  <si>
    <t>2016-06-16</t>
  </si>
  <si>
    <t>2016-06-17</t>
  </si>
  <si>
    <t>2016-06-20</t>
  </si>
  <si>
    <t>2016-06-21</t>
  </si>
  <si>
    <t>2016-06-22</t>
  </si>
  <si>
    <t>2016-06-23</t>
  </si>
  <si>
    <t>2016-06-24</t>
  </si>
  <si>
    <t>2016-06-27</t>
  </si>
  <si>
    <t>2016-06-28</t>
  </si>
  <si>
    <t>2016-06-29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</si>
</sst>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0.0%"/>
    <numFmt numFmtId="195" formatCode="&quot;$&quot;#,##0"/>
    <numFmt numFmtId="196" formatCode="yyyy\-mm"/>
    <numFmt numFmtId="197" formatCode="yyyy\-mm\-dd"/>
  </numFmts>
  <fonts count="1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1"/>
      <color rgb="FFAD275C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name val="Calibri"/>
      <family val="2"/>
    </font>
    <font>
      <u/>
      <sz val="11"/>
      <color theme="10"/>
      <name val="Calibri"/>
      <family val="2"/>
    </font>
    <font>
      <sz val="9"/>
      <color theme="1"/>
      <name val="Calibri"/>
      <family val="2"/>
      <scheme val="minor"/>
    </font>
    <font>
      <sz val="9"/>
      <color rgb="FFAD275C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b/>
      <sz val="9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scheme val="minor"/>
    </font>
    <font>
      <sz val="10"/>
      <color theme="1"/>
      <name val="Calibri"/>
      <scheme val="minor"/>
    </font>
  </fonts>
  <fills count="6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31"/>
      </patternFill>
    </fill>
    <fill>
      <patternFill patternType="solid">
        <fgColor indexed="5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6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hair">
        <color indexed="23"/>
      </top>
      <bottom style="hair">
        <color indexed="23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rgb="FF2E398A"/>
      </left>
      <right style="thin">
        <color rgb="FF2E398A"/>
      </right>
      <top style="medium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 style="medium">
        <color rgb="FF2E398A"/>
      </top>
      <bottom style="thin">
        <color rgb="FF2E398A"/>
      </bottom>
      <diagonal/>
    </border>
    <border>
      <left style="thin">
        <color rgb="FF2E398A"/>
      </left>
      <right style="medium">
        <color rgb="FF2E398A"/>
      </right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medium">
        <color rgb="FF2E398A"/>
      </bottom>
      <diagonal/>
    </border>
    <border>
      <left style="medium">
        <color rgb="FF2E398A"/>
      </left>
      <right/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medium">
        <color rgb="FF2E398A"/>
      </bottom>
      <diagonal/>
    </border>
    <border>
      <left/>
      <right/>
      <top style="medium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medium">
        <color rgb="FF2E398A"/>
      </bottom>
      <diagonal/>
    </border>
    <border>
      <left style="medium">
        <color rgb="FF2E398A"/>
      </left>
      <right style="medium">
        <color rgb="FF2E398A"/>
      </right>
      <top style="medium">
        <color rgb="FF2E398A"/>
      </top>
      <bottom/>
      <diagonal/>
    </border>
    <border>
      <left style="medium">
        <color rgb="FF2E398A"/>
      </left>
      <right style="medium">
        <color rgb="FF2E398A"/>
      </right>
      <top/>
      <bottom style="thin">
        <color rgb="FF2E398A"/>
      </bottom>
      <diagonal/>
    </border>
    <border>
      <left/>
      <right/>
      <top style="medium">
        <color rgb="FF2E398A"/>
      </top>
      <bottom/>
      <diagonal/>
    </border>
    <border>
      <left/>
      <right style="thin">
        <color rgb="FF2E398A"/>
      </right>
      <top style="medium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/>
      <right style="medium">
        <color rgb="FF2E398A"/>
      </right>
      <top style="medium">
        <color rgb="FF2E398A"/>
      </top>
      <bottom style="thin">
        <color rgb="FF2E398A"/>
      </bottom>
      <diagonal/>
    </border>
  </borders>
  <cellStyleXfs count="1050">
    <xf numFmtId="0" fontId="0" fillId="0" borderId="0"/>
    <xf numFmtId="9" fontId="1" fillId="0" borderId="0" applyFont="0" applyFill="0" applyBorder="0" applyAlignment="0" applyProtection="0"/>
    <xf numFmtId="0" fontId="5" fillId="5" borderId="4" applyNumberFormat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165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9" borderId="0" applyNumberFormat="0" applyBorder="0" applyAlignment="0" applyProtection="0"/>
    <xf numFmtId="0" fontId="12" fillId="10" borderId="0" applyNumberFormat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2" fillId="12" borderId="0" applyNumberFormat="0" applyBorder="0" applyAlignment="0" applyProtection="0"/>
    <xf numFmtId="0" fontId="13" fillId="11" borderId="0" applyNumberFormat="0" applyBorder="0" applyAlignment="0" applyProtection="0"/>
    <xf numFmtId="0" fontId="14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15" borderId="0" applyNumberFormat="0" applyBorder="0" applyAlignment="0" applyProtection="0"/>
    <xf numFmtId="0" fontId="14" fillId="1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8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4" fillId="18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13" borderId="0" applyNumberFormat="0" applyBorder="0" applyAlignment="0" applyProtection="0"/>
    <xf numFmtId="0" fontId="12" fillId="18" borderId="0" applyNumberFormat="0" applyBorder="0" applyAlignment="0" applyProtection="0"/>
    <xf numFmtId="0" fontId="13" fillId="15" borderId="0" applyNumberFormat="0" applyBorder="0" applyAlignment="0" applyProtection="0"/>
    <xf numFmtId="0" fontId="14" fillId="18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5" borderId="0" applyNumberFormat="0" applyBorder="0" applyAlignment="0" applyProtection="0"/>
    <xf numFmtId="0" fontId="15" fillId="19" borderId="0" applyNumberFormat="0" applyBorder="0" applyAlignment="0" applyProtection="0"/>
    <xf numFmtId="0" fontId="16" fillId="19" borderId="0" applyNumberFormat="0" applyBorder="0" applyAlignment="0" applyProtection="0"/>
    <xf numFmtId="0" fontId="17" fillId="19" borderId="0" applyNumberFormat="0" applyBorder="0" applyAlignment="0" applyProtection="0"/>
    <xf numFmtId="0" fontId="15" fillId="10" borderId="0" applyNumberFormat="0" applyBorder="0" applyAlignment="0" applyProtection="0"/>
    <xf numFmtId="0" fontId="16" fillId="13" borderId="0" applyNumberFormat="0" applyBorder="0" applyAlignment="0" applyProtection="0"/>
    <xf numFmtId="0" fontId="17" fillId="20" borderId="0" applyNumberFormat="0" applyBorder="0" applyAlignment="0" applyProtection="0"/>
    <xf numFmtId="0" fontId="15" fillId="16" borderId="0" applyNumberFormat="0" applyBorder="0" applyAlignment="0" applyProtection="0"/>
    <xf numFmtId="0" fontId="16" fillId="26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3" borderId="0" applyNumberFormat="0" applyBorder="0" applyAlignment="0" applyProtection="0"/>
    <xf numFmtId="0" fontId="15" fillId="8" borderId="0" applyNumberFormat="0" applyBorder="0" applyAlignment="0" applyProtection="0"/>
    <xf numFmtId="0" fontId="16" fillId="8" borderId="0" applyNumberFormat="0" applyBorder="0" applyAlignment="0" applyProtection="0"/>
    <xf numFmtId="0" fontId="17" fillId="28" borderId="0" applyNumberFormat="0" applyBorder="0" applyAlignment="0" applyProtection="0"/>
    <xf numFmtId="0" fontId="15" fillId="23" borderId="0" applyNumberFormat="0" applyBorder="0" applyAlignment="0" applyProtection="0"/>
    <xf numFmtId="0" fontId="16" fillId="29" borderId="0" applyNumberFormat="0" applyBorder="0" applyAlignment="0" applyProtection="0"/>
    <xf numFmtId="0" fontId="17" fillId="30" borderId="0" applyNumberFormat="0" applyBorder="0" applyAlignment="0" applyProtection="0"/>
    <xf numFmtId="0" fontId="15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31" borderId="0" applyNumberFormat="0" applyBorder="0" applyAlignment="0" applyProtection="0"/>
    <xf numFmtId="0" fontId="15" fillId="33" borderId="0" applyNumberFormat="0" applyBorder="0" applyAlignment="0" applyProtection="0"/>
    <xf numFmtId="0" fontId="16" fillId="32" borderId="0" applyNumberFormat="0" applyBorder="0" applyAlignment="0" applyProtection="0"/>
    <xf numFmtId="0" fontId="17" fillId="33" borderId="0" applyNumberFormat="0" applyBorder="0" applyAlignment="0" applyProtection="0"/>
    <xf numFmtId="0" fontId="15" fillId="29" borderId="0" applyNumberFormat="0" applyBorder="0" applyAlignment="0" applyProtection="0"/>
    <xf numFmtId="0" fontId="16" fillId="29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33" borderId="0" applyNumberFormat="0" applyBorder="0" applyAlignment="0" applyProtection="0"/>
    <xf numFmtId="0" fontId="17" fillId="23" borderId="0" applyNumberFormat="0" applyBorder="0" applyAlignment="0" applyProtection="0"/>
    <xf numFmtId="0" fontId="15" fillId="34" borderId="0" applyNumberFormat="0" applyBorder="0" applyAlignment="0" applyProtection="0"/>
    <xf numFmtId="0" fontId="16" fillId="34" borderId="0" applyNumberFormat="0" applyBorder="0" applyAlignment="0" applyProtection="0"/>
    <xf numFmtId="0" fontId="17" fillId="34" borderId="0" applyNumberFormat="0" applyBorder="0" applyAlignment="0" applyProtection="0"/>
    <xf numFmtId="0" fontId="10" fillId="0" borderId="0"/>
    <xf numFmtId="17" fontId="10" fillId="0" borderId="0" applyFont="0" applyFill="0" applyBorder="0" applyProtection="0">
      <alignment horizontal="left"/>
    </xf>
    <xf numFmtId="0" fontId="10" fillId="0" borderId="0" applyFont="0" applyFill="0" applyBorder="0" applyProtection="0">
      <alignment horizontal="left"/>
    </xf>
    <xf numFmtId="0" fontId="18" fillId="9" borderId="0" applyNumberFormat="0" applyBorder="0" applyAlignment="0" applyProtection="0"/>
    <xf numFmtId="0" fontId="19" fillId="9" borderId="0" applyNumberFormat="0" applyBorder="0" applyAlignment="0" applyProtection="0"/>
    <xf numFmtId="0" fontId="20" fillId="9" borderId="0" applyNumberFormat="0" applyBorder="0" applyAlignment="0" applyProtection="0"/>
    <xf numFmtId="38" fontId="21" fillId="12" borderId="0"/>
    <xf numFmtId="0" fontId="22" fillId="0" borderId="0" applyNumberFormat="0" applyFill="0" applyBorder="0" applyAlignment="0" applyProtection="0"/>
    <xf numFmtId="0" fontId="23" fillId="35" borderId="0">
      <alignment horizontal="left"/>
    </xf>
    <xf numFmtId="2" fontId="24" fillId="36" borderId="6" applyProtection="0">
      <alignment horizontal="left"/>
      <protection locked="0"/>
    </xf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10" fillId="37" borderId="0"/>
    <xf numFmtId="167" fontId="11" fillId="0" borderId="0" applyFont="0" applyFill="0" applyBorder="0" applyAlignment="0" applyProtection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68" fontId="28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9" fillId="12" borderId="7" applyNumberFormat="0" applyAlignment="0" applyProtection="0"/>
    <xf numFmtId="0" fontId="30" fillId="14" borderId="7" applyNumberFormat="0" applyAlignment="0" applyProtection="0"/>
    <xf numFmtId="0" fontId="31" fillId="16" borderId="7" applyNumberFormat="0" applyAlignment="0" applyProtection="0"/>
    <xf numFmtId="0" fontId="32" fillId="38" borderId="8" applyNumberFormat="0"/>
    <xf numFmtId="0" fontId="33" fillId="39" borderId="9" applyBorder="0">
      <alignment horizontal="center" wrapText="1"/>
    </xf>
    <xf numFmtId="0" fontId="33" fillId="40" borderId="9" applyBorder="0">
      <alignment horizontal="center" wrapText="1"/>
    </xf>
    <xf numFmtId="0" fontId="34" fillId="41" borderId="8" applyNumberFormat="0"/>
    <xf numFmtId="0" fontId="35" fillId="42" borderId="8" applyNumberFormat="0"/>
    <xf numFmtId="0" fontId="3" fillId="42" borderId="8" applyNumberFormat="0"/>
    <xf numFmtId="0" fontId="34" fillId="41" borderId="8" applyNumberFormat="0"/>
    <xf numFmtId="0" fontId="35" fillId="41" borderId="8" applyNumberFormat="0"/>
    <xf numFmtId="0" fontId="34" fillId="38" borderId="8" applyNumberFormat="0"/>
    <xf numFmtId="0" fontId="32" fillId="38" borderId="8" applyNumberFormat="0"/>
    <xf numFmtId="0" fontId="5" fillId="5" borderId="4" applyNumberFormat="0" applyBorder="0"/>
    <xf numFmtId="0" fontId="5" fillId="5" borderId="4" applyNumberFormat="0" applyBorder="0"/>
    <xf numFmtId="0" fontId="5" fillId="5" borderId="4" applyNumberFormat="0"/>
    <xf numFmtId="0" fontId="5" fillId="5" borderId="4" applyNumberFormat="0" applyBorder="0"/>
    <xf numFmtId="14" fontId="36" fillId="41" borderId="10" applyNumberFormat="0" applyAlignment="0"/>
    <xf numFmtId="14" fontId="36" fillId="42" borderId="10" applyNumberFormat="0" applyAlignment="0"/>
    <xf numFmtId="14" fontId="37" fillId="42" borderId="10" applyNumberFormat="0" applyAlignment="0"/>
    <xf numFmtId="0" fontId="38" fillId="43" borderId="11" applyNumberFormat="0" applyAlignment="0" applyProtection="0"/>
    <xf numFmtId="0" fontId="39" fillId="43" borderId="11" applyNumberFormat="0" applyAlignment="0" applyProtection="0"/>
    <xf numFmtId="0" fontId="40" fillId="43" borderId="11" applyNumberFormat="0" applyAlignment="0" applyProtection="0"/>
    <xf numFmtId="0" fontId="41" fillId="0" borderId="0" applyNumberFormat="0" applyFill="0" applyBorder="0" applyAlignment="0" applyProtection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0" fontId="27" fillId="0" borderId="0" applyFont="0" applyFill="0" applyBorder="0" applyAlignment="0" applyProtection="0"/>
    <xf numFmtId="168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3" fontId="10" fillId="0" borderId="0" applyFill="0" applyBorder="0" applyAlignment="0" applyProtection="0"/>
    <xf numFmtId="0" fontId="44" fillId="0" borderId="0"/>
    <xf numFmtId="0" fontId="45" fillId="0" borderId="0" applyNumberFormat="0" applyAlignment="0">
      <alignment horizontal="left"/>
    </xf>
    <xf numFmtId="0" fontId="46" fillId="0" borderId="0">
      <alignment horizontal="center"/>
    </xf>
    <xf numFmtId="0" fontId="44" fillId="0" borderId="0"/>
    <xf numFmtId="0" fontId="27" fillId="0" borderId="0" applyFont="0" applyFill="0" applyBorder="0" applyAlignment="0" applyProtection="0"/>
    <xf numFmtId="169" fontId="10" fillId="0" borderId="0" applyFont="0" applyFill="0" applyBorder="0" applyAlignment="0" applyProtection="0"/>
    <xf numFmtId="8" fontId="47" fillId="0" borderId="12">
      <protection locked="0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5" fontId="10" fillId="0" borderId="0" applyFill="0" applyBorder="0" applyAlignment="0" applyProtection="0"/>
    <xf numFmtId="173" fontId="11" fillId="0" borderId="0" applyFont="0" applyFill="0" applyBorder="0" applyAlignment="0" applyProtection="0"/>
    <xf numFmtId="10" fontId="10" fillId="0" borderId="0" applyFont="0" applyFill="0" applyBorder="0" applyProtection="0">
      <alignment horizontal="center"/>
    </xf>
    <xf numFmtId="174" fontId="10" fillId="0" borderId="0" applyFont="0" applyFill="0" applyBorder="0" applyProtection="0"/>
    <xf numFmtId="175" fontId="10" fillId="0" borderId="0" applyFont="0" applyFill="0" applyBorder="0" applyProtection="0"/>
    <xf numFmtId="15" fontId="48" fillId="0" borderId="0" applyFont="0" applyFill="0" applyBorder="0" applyAlignment="0" applyProtection="0"/>
    <xf numFmtId="0" fontId="44" fillId="0" borderId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5" fontId="13" fillId="12" borderId="0"/>
    <xf numFmtId="14" fontId="13" fillId="0" borderId="0" applyFill="0" applyBorder="0" applyAlignment="0"/>
    <xf numFmtId="0" fontId="46" fillId="36" borderId="0">
      <alignment horizontal="left"/>
    </xf>
    <xf numFmtId="176" fontId="10" fillId="0" borderId="0" applyFill="0" applyBorder="0" applyAlignment="0" applyProtection="0"/>
    <xf numFmtId="14" fontId="10" fillId="0" borderId="0"/>
    <xf numFmtId="0" fontId="49" fillId="19" borderId="0">
      <alignment horizontal="left"/>
    </xf>
    <xf numFmtId="0" fontId="50" fillId="0" borderId="0">
      <alignment horizontal="left"/>
    </xf>
    <xf numFmtId="38" fontId="51" fillId="0" borderId="13">
      <alignment vertical="center"/>
    </xf>
    <xf numFmtId="177" fontId="10" fillId="0" borderId="0">
      <alignment horizontal="right"/>
    </xf>
    <xf numFmtId="1" fontId="10" fillId="0" borderId="0">
      <alignment horizontal="right"/>
    </xf>
    <xf numFmtId="1" fontId="10" fillId="0" borderId="0">
      <alignment horizontal="right"/>
    </xf>
    <xf numFmtId="178" fontId="10" fillId="0" borderId="0">
      <alignment horizontal="right"/>
    </xf>
    <xf numFmtId="49" fontId="10" fillId="0" borderId="0">
      <alignment horizontal="left"/>
    </xf>
    <xf numFmtId="49" fontId="10" fillId="0" borderId="0">
      <alignment horizontal="left"/>
    </xf>
    <xf numFmtId="49" fontId="10" fillId="0" borderId="0">
      <alignment horizontal="right"/>
    </xf>
    <xf numFmtId="14" fontId="10" fillId="0" borderId="0">
      <alignment horizontal="left"/>
    </xf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52" fillId="0" borderId="0" applyNumberFormat="0" applyAlignment="0">
      <alignment horizontal="left"/>
    </xf>
    <xf numFmtId="9" fontId="53" fillId="0" borderId="3" applyNumberFormat="0" applyBorder="0" applyAlignment="0">
      <protection locked="0"/>
    </xf>
    <xf numFmtId="179" fontId="10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2" fontId="10" fillId="0" borderId="0" applyFill="0" applyBorder="0" applyAlignment="0" applyProtection="0"/>
    <xf numFmtId="180" fontId="10" fillId="0" borderId="0" applyFont="0" applyFill="0" applyBorder="0" applyAlignment="0" applyProtection="0"/>
    <xf numFmtId="0" fontId="13" fillId="12" borderId="0"/>
    <xf numFmtId="0" fontId="57" fillId="11" borderId="0" applyNumberFormat="0" applyBorder="0" applyAlignment="0" applyProtection="0"/>
    <xf numFmtId="0" fontId="58" fillId="15" borderId="0" applyNumberFormat="0" applyBorder="0" applyAlignment="0" applyProtection="0"/>
    <xf numFmtId="0" fontId="59" fillId="11" borderId="0" applyNumberFormat="0" applyBorder="0" applyAlignment="0" applyProtection="0"/>
    <xf numFmtId="2" fontId="60" fillId="36" borderId="6" applyProtection="0">
      <alignment horizontal="left"/>
      <protection locked="0"/>
    </xf>
    <xf numFmtId="38" fontId="41" fillId="44" borderId="0" applyNumberFormat="0" applyBorder="0" applyAlignment="0" applyProtection="0"/>
    <xf numFmtId="0" fontId="61" fillId="0" borderId="14" applyNumberFormat="0" applyAlignment="0" applyProtection="0">
      <alignment horizontal="left" vertical="center"/>
    </xf>
    <xf numFmtId="0" fontId="61" fillId="0" borderId="15">
      <alignment horizontal="left" vertical="center"/>
    </xf>
    <xf numFmtId="0" fontId="62" fillId="16" borderId="3">
      <alignment horizontal="centerContinuous"/>
    </xf>
    <xf numFmtId="0" fontId="63" fillId="0" borderId="16" applyNumberFormat="0" applyFill="0" applyAlignment="0" applyProtection="0"/>
    <xf numFmtId="0" fontId="64" fillId="0" borderId="17" applyNumberFormat="0" applyFill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18" applyNumberFormat="0" applyFill="0" applyAlignment="0" applyProtection="0"/>
    <xf numFmtId="0" fontId="68" fillId="0" borderId="19" applyNumberFormat="0" applyFill="0" applyAlignment="0" applyProtection="0"/>
    <xf numFmtId="0" fontId="69" fillId="0" borderId="20" applyNumberFormat="0" applyFill="0" applyAlignment="0" applyProtection="0"/>
    <xf numFmtId="0" fontId="49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1" applyNumberFormat="0" applyFill="0" applyAlignment="0" applyProtection="0"/>
    <xf numFmtId="0" fontId="72" fillId="0" borderId="22" applyNumberFormat="0" applyFill="0" applyAlignment="0" applyProtection="0"/>
    <xf numFmtId="0" fontId="73" fillId="0" borderId="23" applyNumberFormat="0" applyFill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12" borderId="0"/>
    <xf numFmtId="0" fontId="66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5" fillId="0" borderId="0" applyNumberFormat="0" applyFill="0" applyBorder="0" applyAlignment="0" applyProtection="0">
      <alignment vertical="top"/>
      <protection locked="0"/>
    </xf>
    <xf numFmtId="10" fontId="41" fillId="45" borderId="3" applyNumberFormat="0" applyBorder="0" applyAlignment="0" applyProtection="0"/>
    <xf numFmtId="2" fontId="76" fillId="0" borderId="24" applyNumberFormat="0" applyFill="0" applyBorder="0" applyAlignment="0">
      <alignment horizontal="center"/>
      <protection locked="0"/>
    </xf>
    <xf numFmtId="2" fontId="76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37" fontId="78" fillId="0" borderId="0" applyNumberFormat="0" applyAlignment="0">
      <protection locked="0"/>
    </xf>
    <xf numFmtId="0" fontId="79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10" fillId="44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38" fontId="13" fillId="12" borderId="0"/>
    <xf numFmtId="0" fontId="83" fillId="8" borderId="0" applyNumberFormat="0" applyBorder="0" applyAlignment="0" applyProtection="0"/>
    <xf numFmtId="0" fontId="84" fillId="13" borderId="0" applyNumberFormat="0" applyBorder="0" applyAlignment="0" applyProtection="0"/>
    <xf numFmtId="0" fontId="85" fillId="37" borderId="0" applyNumberFormat="0" applyBorder="0" applyAlignment="0" applyProtection="0"/>
    <xf numFmtId="37" fontId="86" fillId="0" borderId="0"/>
    <xf numFmtId="0" fontId="49" fillId="12" borderId="0" applyNumberFormat="0" applyFont="0" applyFill="0" applyBorder="0" applyAlignment="0"/>
    <xf numFmtId="10" fontId="13" fillId="12" borderId="0"/>
    <xf numFmtId="181" fontId="87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42" borderId="0"/>
    <xf numFmtId="0" fontId="10" fillId="42" borderId="0"/>
    <xf numFmtId="0" fontId="10" fillId="0" borderId="0"/>
    <xf numFmtId="0" fontId="10" fillId="0" borderId="0"/>
    <xf numFmtId="0" fontId="34" fillId="41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34" fillId="41" borderId="0"/>
    <xf numFmtId="0" fontId="1" fillId="0" borderId="0"/>
    <xf numFmtId="0" fontId="1" fillId="0" borderId="0"/>
    <xf numFmtId="0" fontId="10" fillId="0" borderId="0">
      <alignment vertical="top"/>
    </xf>
    <xf numFmtId="0" fontId="10" fillId="0" borderId="0">
      <alignment vertical="top"/>
    </xf>
    <xf numFmtId="0" fontId="1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8" fillId="0" borderId="0"/>
    <xf numFmtId="0" fontId="10" fillId="0" borderId="0"/>
    <xf numFmtId="0" fontId="10" fillId="0" borderId="0"/>
    <xf numFmtId="0" fontId="34" fillId="3" borderId="2" applyNumberFormat="0" applyFont="0" applyAlignment="0" applyProtection="0"/>
    <xf numFmtId="0" fontId="13" fillId="10" borderId="26" applyNumberFormat="0" applyFont="0" applyAlignment="0" applyProtection="0"/>
    <xf numFmtId="0" fontId="89" fillId="10" borderId="26" applyNumberFormat="0" applyFont="0" applyAlignment="0" applyProtection="0"/>
    <xf numFmtId="0" fontId="34" fillId="3" borderId="2" applyNumberFormat="0" applyFont="0" applyAlignment="0" applyProtection="0"/>
    <xf numFmtId="0" fontId="90" fillId="0" borderId="0"/>
    <xf numFmtId="0" fontId="14" fillId="10" borderId="26" applyNumberFormat="0" applyFont="0" applyAlignment="0" applyProtection="0"/>
    <xf numFmtId="0" fontId="34" fillId="3" borderId="2" applyNumberFormat="0" applyFont="0" applyAlignment="0" applyProtection="0"/>
    <xf numFmtId="0" fontId="34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7" fillId="0" borderId="0">
      <alignment horizontal="center"/>
    </xf>
    <xf numFmtId="37" fontId="10" fillId="0" borderId="0"/>
    <xf numFmtId="183" fontId="41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84" fontId="91" fillId="0" borderId="0" applyNumberFormat="0" applyFill="0" applyBorder="0" applyAlignment="0" applyProtection="0"/>
    <xf numFmtId="164" fontId="27" fillId="0" borderId="0">
      <alignment horizontal="center"/>
    </xf>
    <xf numFmtId="0" fontId="34" fillId="6" borderId="0" applyNumberFormat="0" applyFont="0" applyBorder="0" applyAlignment="0" applyProtection="0"/>
    <xf numFmtId="0" fontId="91" fillId="0" borderId="27"/>
    <xf numFmtId="2" fontId="92" fillId="36" borderId="6">
      <alignment horizontal="left"/>
    </xf>
    <xf numFmtId="0" fontId="93" fillId="12" borderId="28" applyNumberFormat="0" applyAlignment="0" applyProtection="0"/>
    <xf numFmtId="0" fontId="94" fillId="14" borderId="28" applyNumberFormat="0" applyAlignment="0" applyProtection="0"/>
    <xf numFmtId="0" fontId="95" fillId="16" borderId="28" applyNumberFormat="0" applyAlignment="0" applyProtection="0"/>
    <xf numFmtId="40" fontId="13" fillId="36" borderId="0">
      <alignment horizontal="right"/>
    </xf>
    <xf numFmtId="0" fontId="96" fillId="45" borderId="0">
      <alignment horizontal="center"/>
    </xf>
    <xf numFmtId="0" fontId="39" fillId="46" borderId="6"/>
    <xf numFmtId="0" fontId="97" fillId="0" borderId="0" applyBorder="0">
      <alignment horizontal="centerContinuous"/>
    </xf>
    <xf numFmtId="0" fontId="98" fillId="0" borderId="0" applyBorder="0">
      <alignment horizontal="centerContinuous"/>
    </xf>
    <xf numFmtId="0" fontId="61" fillId="0" borderId="0"/>
    <xf numFmtId="0" fontId="10" fillId="0" borderId="0" applyFont="0" applyFill="0" applyBorder="0" applyAlignment="0" applyProtection="0"/>
    <xf numFmtId="171" fontId="10" fillId="0" borderId="0" applyFont="0" applyFill="0" applyBorder="0" applyAlignment="0" applyProtection="0"/>
    <xf numFmtId="0" fontId="99" fillId="0" borderId="0" applyFont="0" applyFill="0" applyBorder="0" applyAlignment="0" applyProtection="0"/>
    <xf numFmtId="185" fontId="28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1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186" fontId="27" fillId="0" borderId="0">
      <alignment horizontal="center"/>
    </xf>
    <xf numFmtId="187" fontId="27" fillId="0" borderId="3">
      <alignment horizontal="center"/>
    </xf>
    <xf numFmtId="0" fontId="100" fillId="0" borderId="29" applyAlignment="0">
      <alignment horizontal="center"/>
    </xf>
    <xf numFmtId="0" fontId="101" fillId="44" borderId="0"/>
    <xf numFmtId="0" fontId="51" fillId="0" borderId="0" applyNumberFormat="0" applyFont="0" applyFill="0" applyBorder="0" applyAlignment="0" applyProtection="0">
      <alignment horizontal="left"/>
    </xf>
    <xf numFmtId="0" fontId="102" fillId="0" borderId="30">
      <alignment horizontal="center"/>
    </xf>
    <xf numFmtId="0" fontId="48" fillId="0" borderId="0">
      <alignment vertical="top"/>
    </xf>
    <xf numFmtId="188" fontId="48" fillId="0" borderId="0">
      <alignment vertical="top"/>
    </xf>
    <xf numFmtId="0" fontId="100" fillId="0" borderId="0">
      <alignment horizontal="left"/>
    </xf>
    <xf numFmtId="0" fontId="100" fillId="0" borderId="0">
      <alignment horizontal="right"/>
    </xf>
    <xf numFmtId="0" fontId="13" fillId="0" borderId="6" applyNumberFormat="0" applyBorder="0" applyAlignment="0"/>
    <xf numFmtId="189" fontId="103" fillId="0" borderId="0" applyNumberFormat="0" applyFill="0" applyBorder="0" applyAlignment="0" applyProtection="0">
      <alignment horizontal="left"/>
    </xf>
    <xf numFmtId="0" fontId="49" fillId="33" borderId="0">
      <alignment horizontal="left"/>
    </xf>
    <xf numFmtId="0" fontId="104" fillId="0" borderId="31"/>
    <xf numFmtId="187" fontId="24" fillId="10" borderId="0">
      <alignment horizontal="center"/>
    </xf>
    <xf numFmtId="187" fontId="105" fillId="10" borderId="0">
      <alignment horizontal="center"/>
    </xf>
    <xf numFmtId="187" fontId="24" fillId="11" borderId="0">
      <alignment horizontal="center"/>
    </xf>
    <xf numFmtId="0" fontId="24" fillId="10" borderId="0">
      <alignment horizontal="left"/>
    </xf>
    <xf numFmtId="0" fontId="106" fillId="0" borderId="0" applyFont="0" applyFill="0" applyBorder="0" applyAlignment="0" applyProtection="0"/>
    <xf numFmtId="190" fontId="28" fillId="0" borderId="0" applyFont="0" applyFill="0" applyBorder="0" applyAlignment="0" applyProtection="0"/>
    <xf numFmtId="191" fontId="10" fillId="0" borderId="0"/>
    <xf numFmtId="0" fontId="10" fillId="0" borderId="0"/>
    <xf numFmtId="0" fontId="10" fillId="0" borderId="0">
      <alignment horizontal="left" wrapText="1"/>
    </xf>
    <xf numFmtId="0" fontId="24" fillId="10" borderId="0">
      <alignment horizontal="center"/>
    </xf>
    <xf numFmtId="0" fontId="100" fillId="0" borderId="0"/>
    <xf numFmtId="0" fontId="107" fillId="0" borderId="0"/>
    <xf numFmtId="40" fontId="108" fillId="0" borderId="0" applyBorder="0">
      <alignment horizontal="right"/>
    </xf>
    <xf numFmtId="0" fontId="10" fillId="36" borderId="26"/>
    <xf numFmtId="0" fontId="27" fillId="0" borderId="0">
      <alignment horizontal="center"/>
    </xf>
    <xf numFmtId="15" fontId="27" fillId="0" borderId="0">
      <alignment horizontal="center"/>
    </xf>
    <xf numFmtId="0" fontId="109" fillId="0" borderId="0">
      <alignment horizontal="center"/>
    </xf>
    <xf numFmtId="3" fontId="27" fillId="0" borderId="0">
      <alignment horizontal="center"/>
    </xf>
    <xf numFmtId="192" fontId="27" fillId="0" borderId="0">
      <alignment horizontal="center"/>
    </xf>
    <xf numFmtId="187" fontId="27" fillId="0" borderId="0">
      <alignment horizontal="center"/>
    </xf>
    <xf numFmtId="0" fontId="110" fillId="47" borderId="0"/>
    <xf numFmtId="193" fontId="27" fillId="0" borderId="0">
      <alignment horizontal="center"/>
    </xf>
    <xf numFmtId="193" fontId="27" fillId="0" borderId="32">
      <alignment horizontal="center"/>
    </xf>
    <xf numFmtId="0" fontId="27" fillId="0" borderId="0">
      <alignment horizontal="left"/>
    </xf>
    <xf numFmtId="0" fontId="111" fillId="0" borderId="0">
      <alignment horizontal="center"/>
    </xf>
    <xf numFmtId="0" fontId="112" fillId="0" borderId="0" applyNumberFormat="0" applyFill="0" applyBorder="0"/>
    <xf numFmtId="0" fontId="13" fillId="12" borderId="0"/>
    <xf numFmtId="49" fontId="13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49" fontId="10" fillId="0" borderId="0"/>
    <xf numFmtId="0" fontId="113" fillId="0" borderId="0">
      <alignment horizontal="right"/>
    </xf>
    <xf numFmtId="0" fontId="114" fillId="0" borderId="0">
      <alignment horizontal="right"/>
      <protection locked="0"/>
    </xf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21" fillId="12" borderId="0"/>
    <xf numFmtId="0" fontId="34" fillId="48" borderId="33" applyBorder="0">
      <alignment horizontal="center" wrapText="1"/>
    </xf>
    <xf numFmtId="0" fontId="33" fillId="39" borderId="9" applyBorder="0">
      <alignment horizontal="center" wrapText="1"/>
    </xf>
    <xf numFmtId="0" fontId="34" fillId="49" borderId="9" applyBorder="0">
      <alignment horizontal="center" wrapText="1"/>
    </xf>
    <xf numFmtId="0" fontId="33" fillId="40" borderId="9" applyBorder="0">
      <alignment horizontal="center" wrapText="1"/>
    </xf>
    <xf numFmtId="0" fontId="7" fillId="50" borderId="9" applyBorder="0">
      <alignment horizontal="center" wrapText="1"/>
    </xf>
    <xf numFmtId="0" fontId="33" fillId="51" borderId="9" applyBorder="0">
      <alignment horizontal="center" wrapText="1"/>
    </xf>
    <xf numFmtId="0" fontId="33" fillId="51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00" fillId="0" borderId="0" applyNumberFormat="0" applyFill="0" applyBorder="0" applyAlignment="0" applyProtection="0"/>
    <xf numFmtId="0" fontId="118" fillId="0" borderId="34" applyNumberFormat="0" applyFill="0" applyAlignment="0" applyProtection="0"/>
    <xf numFmtId="0" fontId="21" fillId="0" borderId="35" applyNumberFormat="0" applyFill="0" applyAlignment="0" applyProtection="0"/>
    <xf numFmtId="0" fontId="10" fillId="0" borderId="36" applyNumberFormat="0" applyFill="0" applyAlignment="0" applyProtection="0"/>
    <xf numFmtId="0" fontId="119" fillId="0" borderId="37" applyNumberFormat="0" applyFill="0" applyAlignment="0" applyProtection="0"/>
    <xf numFmtId="0" fontId="120" fillId="12" borderId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1" fontId="124" fillId="41" borderId="10"/>
    <xf numFmtId="1" fontId="124" fillId="42" borderId="10"/>
    <xf numFmtId="2" fontId="125" fillId="42" borderId="10"/>
    <xf numFmtId="0" fontId="126" fillId="41" borderId="4" applyNumberFormat="0" applyAlignment="0"/>
    <xf numFmtId="0" fontId="127" fillId="42" borderId="4" applyNumberFormat="0" applyAlignment="0"/>
    <xf numFmtId="1" fontId="128" fillId="42" borderId="10" applyNumberFormat="0"/>
    <xf numFmtId="177" fontId="129" fillId="42" borderId="10" applyNumberFormat="0"/>
    <xf numFmtId="0" fontId="10" fillId="0" borderId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" fillId="54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" fillId="56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" fillId="58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" fillId="60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" fillId="62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" fillId="53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" fillId="55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" fillId="57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" fillId="59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" fillId="61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" fillId="63" borderId="0" applyNumberFormat="0" applyBorder="0" applyAlignment="0" applyProtection="0"/>
    <xf numFmtId="0" fontId="135" fillId="52" borderId="1" applyNumberFormat="0" applyAlignment="0" applyProtection="0"/>
    <xf numFmtId="0" fontId="133" fillId="52" borderId="1" applyNumberFormat="0" applyAlignment="0" applyProtection="0"/>
    <xf numFmtId="0" fontId="35" fillId="42" borderId="8" applyNumberFormat="0"/>
    <xf numFmtId="0" fontId="80" fillId="36" borderId="42" applyNumberFormat="0"/>
    <xf numFmtId="0" fontId="80" fillId="36" borderId="42" applyNumberFormat="0"/>
    <xf numFmtId="0" fontId="34" fillId="38" borderId="8" applyNumberFormat="0"/>
    <xf numFmtId="0" fontId="136" fillId="65" borderId="42" applyNumberFormat="0"/>
    <xf numFmtId="14" fontId="36" fillId="41" borderId="10" applyNumberFormat="0" applyAlignment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137" fillId="0" borderId="0" applyNumberFormat="0" applyFill="0" applyBorder="0" applyAlignment="0" applyProtection="0">
      <alignment vertical="top"/>
      <protection locked="0"/>
    </xf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13" fillId="0" borderId="0"/>
    <xf numFmtId="0" fontId="14" fillId="0" borderId="0"/>
    <xf numFmtId="0" fontId="14" fillId="0" borderId="0"/>
    <xf numFmtId="0" fontId="14" fillId="0" borderId="0"/>
    <xf numFmtId="0" fontId="136" fillId="36" borderId="0"/>
    <xf numFmtId="0" fontId="10" fillId="0" borderId="0"/>
    <xf numFmtId="0" fontId="14" fillId="0" borderId="0"/>
    <xf numFmtId="0" fontId="14" fillId="0" borderId="0"/>
    <xf numFmtId="0" fontId="14" fillId="0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3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34" fillId="6" borderId="0" applyNumberFormat="0" applyFont="0" applyBorder="0" applyAlignment="0" applyProtection="0"/>
    <xf numFmtId="0" fontId="132" fillId="52" borderId="41" applyNumberFormat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33" fillId="39" borderId="9" applyBorder="0">
      <alignment horizontal="center" wrapText="1"/>
    </xf>
    <xf numFmtId="0" fontId="136" fillId="45" borderId="33" applyBorder="0">
      <alignment horizontal="center" wrapText="1"/>
    </xf>
    <xf numFmtId="0" fontId="34" fillId="49" borderId="9" applyBorder="0">
      <alignment horizontal="center" wrapText="1"/>
    </xf>
    <xf numFmtId="0" fontId="136" fillId="3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12" fillId="66" borderId="9" applyBorder="0">
      <alignment horizontal="center" wrapText="1"/>
    </xf>
    <xf numFmtId="0" fontId="119" fillId="0" borderId="37" applyNumberFormat="0" applyFill="0" applyAlignment="0" applyProtection="0"/>
    <xf numFmtId="0" fontId="119" fillId="0" borderId="37" applyNumberFormat="0" applyFill="0" applyAlignment="0" applyProtection="0"/>
    <xf numFmtId="0" fontId="134" fillId="0" borderId="0" applyNumberFormat="0" applyFill="0" applyBorder="0" applyAlignment="0" applyProtection="0"/>
    <xf numFmtId="1" fontId="124" fillId="42" borderId="10"/>
    <xf numFmtId="0" fontId="126" fillId="41" borderId="4" applyNumberFormat="0" applyAlignment="0"/>
  </cellStyleXfs>
  <cellXfs count="137">
    <xf numFmtId="0" fontId="0" fillId="0" borderId="0" xfId="0"/>
    <xf numFmtId="14" fontId="0" fillId="0" borderId="0" xfId="0" applyNumberFormat="1"/>
    <xf numFmtId="0" fontId="4" fillId="0" borderId="3" xfId="0" applyFont="1" applyBorder="1"/>
    <xf numFmtId="0" fontId="5" fillId="5" borderId="3" xfId="2" applyFont="1" applyBorder="1" applyAlignment="1">
      <alignment horizontal="center"/>
    </xf>
    <xf numFmtId="14" fontId="5" fillId="5" borderId="3" xfId="2" applyNumberFormat="1" applyFont="1" applyBorder="1"/>
    <xf numFmtId="0" fontId="6" fillId="0" borderId="0" xfId="0" applyFont="1"/>
    <xf numFmtId="0" fontId="7" fillId="0" borderId="0" xfId="0" applyFont="1"/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0" fontId="7" fillId="0" borderId="0" xfId="0" applyFont="1" applyAlignment="1">
      <alignment horizontal="right"/>
    </xf>
    <xf numFmtId="0" fontId="130" fillId="0" borderId="0" xfId="3" applyFont="1"/>
    <xf numFmtId="0" fontId="130" fillId="0" borderId="0" xfId="3" applyFont="1" applyAlignment="1">
      <alignment vertical="top"/>
    </xf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164" fontId="7" fillId="0" borderId="0" xfId="1" applyNumberFormat="1" applyFont="1" applyBorder="1" applyAlignment="1">
      <alignment horizontal="left"/>
    </xf>
    <xf numFmtId="194" fontId="4" fillId="0" borderId="0" xfId="1" applyNumberFormat="1" applyFont="1" applyBorder="1" applyAlignment="1">
      <alignment horizontal="center"/>
    </xf>
    <xf numFmtId="194" fontId="7" fillId="0" borderId="0" xfId="1" applyNumberFormat="1" applyFont="1" applyBorder="1" applyAlignment="1">
      <alignment horizontal="center"/>
    </xf>
    <xf numFmtId="14" fontId="7" fillId="0" borderId="0" xfId="0" applyNumberFormat="1" applyFont="1"/>
    <xf numFmtId="0" fontId="5" fillId="5" borderId="3" xfId="2" applyFont="1" applyBorder="1" applyAlignment="1">
      <alignment horizontal="left"/>
    </xf>
    <xf numFmtId="0" fontId="7" fillId="0" borderId="38" xfId="0" applyFont="1" applyBorder="1" applyAlignment="1">
      <alignment horizontal="center"/>
    </xf>
    <xf numFmtId="0" fontId="7" fillId="0" borderId="39" xfId="0" applyFont="1" applyBorder="1" applyAlignment="1">
      <alignment horizontal="center"/>
    </xf>
    <xf numFmtId="0" fontId="7" fillId="0" borderId="40" xfId="0" applyFont="1" applyBorder="1" applyAlignment="1">
      <alignment horizontal="center"/>
    </xf>
    <xf numFmtId="14" fontId="7" fillId="0" borderId="39" xfId="0" applyNumberFormat="1" applyFont="1" applyBorder="1" applyAlignment="1">
      <alignment horizontal="left"/>
    </xf>
    <xf numFmtId="194" fontId="7" fillId="0" borderId="39" xfId="1" applyNumberFormat="1" applyFont="1" applyBorder="1" applyAlignment="1">
      <alignment horizontal="center"/>
    </xf>
    <xf numFmtId="195" fontId="7" fillId="0" borderId="40" xfId="1" applyNumberFormat="1" applyFont="1" applyBorder="1" applyAlignment="1">
      <alignment horizontal="center"/>
    </xf>
    <xf numFmtId="0" fontId="131" fillId="0" borderId="0" xfId="0" applyFont="1" applyAlignment="1">
      <alignment horizontal="right"/>
    </xf>
    <xf numFmtId="196" fontId="131" fillId="0" borderId="0" xfId="0" applyNumberFormat="1" applyFont="1" applyAlignment="1">
      <alignment horizontal="left"/>
    </xf>
    <xf numFmtId="14" fontId="7" fillId="0" borderId="43" xfId="0" applyNumberFormat="1" applyFont="1" applyBorder="1"/>
    <xf numFmtId="164" fontId="8" fillId="7" borderId="44" xfId="0" applyNumberFormat="1" applyFont="1" applyFill="1" applyBorder="1" applyAlignment="1">
      <alignment horizontal="center"/>
    </xf>
    <xf numFmtId="10" fontId="7" fillId="0" borderId="0" xfId="1" applyNumberFormat="1" applyFont="1"/>
    <xf numFmtId="10" fontId="7" fillId="0" borderId="0" xfId="0" applyNumberFormat="1" applyFont="1"/>
    <xf numFmtId="10" fontId="7" fillId="0" borderId="45" xfId="0" applyNumberFormat="1" applyFont="1" applyBorder="1"/>
    <xf numFmtId="10" fontId="0" fillId="0" borderId="0" xfId="0" applyNumberFormat="1"/>
    <xf numFmtId="2" fontId="7" fillId="0" borderId="0" xfId="1" applyNumberFormat="1" applyFont="1"/>
    <xf numFmtId="2" fontId="7" fillId="0" borderId="0" xfId="0" applyNumberFormat="1" applyFont="1"/>
    <xf numFmtId="0" fontId="7" fillId="0" borderId="0" xfId="0" applyFont="1" applyAlignment="1">
      <alignment vertical="center"/>
    </xf>
    <xf numFmtId="194" fontId="7" fillId="0" borderId="44" xfId="1" applyNumberFormat="1" applyFont="1" applyBorder="1" applyAlignment="1">
      <alignment horizontal="center" vertical="center"/>
    </xf>
    <xf numFmtId="2" fontId="8" fillId="7" borderId="44" xfId="0" applyNumberFormat="1" applyFont="1" applyFill="1" applyBorder="1" applyAlignment="1">
      <alignment horizontal="center"/>
    </xf>
    <xf numFmtId="0" fontId="138" fillId="0" borderId="0" xfId="0" applyFont="1"/>
    <xf numFmtId="0" fontId="139" fillId="0" borderId="0" xfId="0" applyFont="1"/>
    <xf numFmtId="0" fontId="139" fillId="0" borderId="0" xfId="0" applyFont="1" applyAlignment="1">
      <alignment horizontal="right"/>
    </xf>
    <xf numFmtId="164" fontId="8" fillId="7" borderId="49" xfId="0" applyNumberFormat="1" applyFont="1" applyFill="1" applyBorder="1" applyAlignment="1">
      <alignment horizontal="center"/>
    </xf>
    <xf numFmtId="164" fontId="8" fillId="7" borderId="50" xfId="0" applyNumberFormat="1" applyFont="1" applyFill="1" applyBorder="1" applyAlignment="1">
      <alignment horizontal="center"/>
    </xf>
    <xf numFmtId="14" fontId="7" fillId="0" borderId="49" xfId="0" applyNumberFormat="1" applyFont="1" applyBorder="1" applyAlignment="1">
      <alignment horizontal="center" vertical="center"/>
    </xf>
    <xf numFmtId="14" fontId="7" fillId="0" borderId="51" xfId="0" applyNumberFormat="1" applyFont="1" applyBorder="1" applyAlignment="1">
      <alignment horizontal="center" vertical="center"/>
    </xf>
    <xf numFmtId="194" fontId="7" fillId="0" borderId="52" xfId="1" applyNumberFormat="1" applyFont="1" applyBorder="1" applyAlignment="1">
      <alignment horizontal="center" vertical="center"/>
    </xf>
    <xf numFmtId="164" fontId="8" fillId="7" borderId="54" xfId="0" applyNumberFormat="1" applyFont="1" applyFill="1" applyBorder="1" applyAlignment="1">
      <alignment horizontal="left" vertical="center"/>
    </xf>
    <xf numFmtId="164" fontId="8" fillId="7" borderId="55" xfId="0" applyNumberFormat="1" applyFont="1" applyFill="1" applyBorder="1" applyAlignment="1">
      <alignment horizontal="center"/>
    </xf>
    <xf numFmtId="14" fontId="7" fillId="0" borderId="55" xfId="0" applyNumberFormat="1" applyFont="1" applyBorder="1" applyAlignment="1">
      <alignment horizontal="center" vertical="center"/>
    </xf>
    <xf numFmtId="14" fontId="7" fillId="0" borderId="56" xfId="0" applyNumberFormat="1" applyFont="1" applyBorder="1" applyAlignment="1">
      <alignment horizontal="center" vertical="center"/>
    </xf>
    <xf numFmtId="194" fontId="7" fillId="0" borderId="49" xfId="0" applyNumberFormat="1" applyFont="1" applyBorder="1" applyAlignment="1">
      <alignment horizontal="center" vertical="center"/>
    </xf>
    <xf numFmtId="194" fontId="7" fillId="0" borderId="50" xfId="1" applyNumberFormat="1" applyFont="1" applyBorder="1" applyAlignment="1">
      <alignment horizontal="center" vertical="center"/>
    </xf>
    <xf numFmtId="194" fontId="7" fillId="0" borderId="51" xfId="0" applyNumberFormat="1" applyFont="1" applyBorder="1" applyAlignment="1">
      <alignment horizontal="center" vertical="center"/>
    </xf>
    <xf numFmtId="194" fontId="7" fillId="0" borderId="53" xfId="1" applyNumberFormat="1" applyFont="1" applyBorder="1" applyAlignment="1">
      <alignment horizontal="center" vertical="center"/>
    </xf>
    <xf numFmtId="1" fontId="7" fillId="0" borderId="49" xfId="0" applyNumberFormat="1" applyFont="1" applyBorder="1" applyAlignment="1">
      <alignment horizontal="center" vertical="center"/>
    </xf>
    <xf numFmtId="1" fontId="7" fillId="0" borderId="51" xfId="0" applyNumberFormat="1" applyFont="1" applyBorder="1" applyAlignment="1">
      <alignment horizontal="center" vertical="center"/>
    </xf>
    <xf numFmtId="194" fontId="4" fillId="67" borderId="44" xfId="1" applyNumberFormat="1" applyFont="1" applyFill="1" applyBorder="1" applyAlignment="1">
      <alignment horizontal="center" vertical="center"/>
    </xf>
    <xf numFmtId="164" fontId="8" fillId="7" borderId="46" xfId="0" applyNumberFormat="1" applyFont="1" applyFill="1" applyBorder="1" applyAlignment="1">
      <alignment vertical="center"/>
    </xf>
    <xf numFmtId="2" fontId="4" fillId="67" borderId="49" xfId="0" applyNumberFormat="1" applyFont="1" applyFill="1" applyBorder="1" applyAlignment="1">
      <alignment horizontal="center" vertical="center"/>
    </xf>
    <xf numFmtId="194" fontId="4" fillId="67" borderId="50" xfId="1" quotePrefix="1" applyNumberFormat="1" applyFont="1" applyFill="1" applyBorder="1" applyAlignment="1">
      <alignment horizontal="center" vertical="center"/>
    </xf>
    <xf numFmtId="194" fontId="7" fillId="0" borderId="49" xfId="1" applyNumberFormat="1" applyFont="1" applyBorder="1" applyAlignment="1">
      <alignment horizontal="center" vertical="center"/>
    </xf>
    <xf numFmtId="194" fontId="4" fillId="67" borderId="49" xfId="1" applyNumberFormat="1" applyFont="1" applyFill="1" applyBorder="1" applyAlignment="1">
      <alignment horizontal="center" vertical="center"/>
    </xf>
    <xf numFmtId="194" fontId="7" fillId="0" borderId="51" xfId="1" applyNumberFormat="1" applyFont="1" applyBorder="1" applyAlignment="1">
      <alignment horizontal="center" vertical="center"/>
    </xf>
    <xf numFmtId="14" fontId="139" fillId="0" borderId="0" xfId="0" applyNumberFormat="1" applyFont="1" applyAlignment="1">
      <alignment horizontal="left"/>
    </xf>
    <xf numFmtId="164" fontId="8" fillId="7" borderId="57" xfId="0" applyNumberFormat="1" applyFont="1" applyFill="1" applyBorder="1" applyAlignment="1">
      <alignment horizontal="center" vertical="center"/>
    </xf>
    <xf numFmtId="164" fontId="8" fillId="7" borderId="39" xfId="0" applyNumberFormat="1" applyFont="1" applyFill="1" applyBorder="1" applyAlignment="1">
      <alignment horizontal="center"/>
    </xf>
    <xf numFmtId="194" fontId="7" fillId="0" borderId="39" xfId="1" applyNumberFormat="1" applyFont="1" applyBorder="1" applyAlignment="1">
      <alignment horizontal="center" vertical="center"/>
    </xf>
    <xf numFmtId="194" fontId="7" fillId="0" borderId="58" xfId="1" applyNumberFormat="1" applyFont="1" applyBorder="1" applyAlignment="1">
      <alignment horizontal="center" vertical="center"/>
    </xf>
    <xf numFmtId="164" fontId="0" fillId="0" borderId="0" xfId="0" applyNumberFormat="1"/>
    <xf numFmtId="194" fontId="0" fillId="0" borderId="0" xfId="0" applyNumberFormat="1"/>
    <xf numFmtId="0" fontId="7" fillId="0" borderId="0" xfId="0" quotePrefix="1" applyFont="1" applyAlignment="1"/>
    <xf numFmtId="14" fontId="139" fillId="0" borderId="0" xfId="0" applyNumberFormat="1" applyFont="1" applyAlignment="1">
      <alignment horizontal="center"/>
    </xf>
    <xf numFmtId="0" fontId="140" fillId="41" borderId="0" xfId="351" applyFont="1"/>
    <xf numFmtId="0" fontId="34" fillId="41" borderId="0" xfId="351"/>
    <xf numFmtId="0" fontId="34" fillId="41" borderId="0" xfId="351" applyFont="1" applyAlignment="1">
      <alignment horizontal="center"/>
    </xf>
    <xf numFmtId="14" fontId="34" fillId="41" borderId="0" xfId="351" applyNumberFormat="1" applyFont="1"/>
    <xf numFmtId="0" fontId="34" fillId="41" borderId="0" xfId="351" applyNumberFormat="1" applyFont="1"/>
    <xf numFmtId="0" fontId="34" fillId="41" borderId="0" xfId="351" applyFont="1"/>
    <xf numFmtId="0" fontId="141" fillId="41" borderId="0" xfId="351" applyFont="1"/>
    <xf numFmtId="197" fontId="7" fillId="0" borderId="0" xfId="0" applyNumberFormat="1" applyFont="1"/>
    <xf numFmtId="0" fontId="7" fillId="0" borderId="44" xfId="0" applyFont="1" applyBorder="1"/>
    <xf numFmtId="10" fontId="7" fillId="0" borderId="44" xfId="0" applyNumberFormat="1" applyFont="1" applyBorder="1"/>
    <xf numFmtId="2" fontId="139" fillId="0" borderId="0" xfId="0" applyNumberFormat="1" applyFont="1" applyAlignment="1">
      <alignment horizontal="left"/>
    </xf>
    <xf numFmtId="2" fontId="142" fillId="0" borderId="0" xfId="0" applyNumberFormat="1" applyFont="1" applyAlignment="1">
      <alignment horizontal="left"/>
    </xf>
    <xf numFmtId="0" fontId="142" fillId="0" borderId="0" xfId="0" applyFont="1" applyAlignment="1">
      <alignment horizontal="left"/>
    </xf>
    <xf numFmtId="0" fontId="138" fillId="0" borderId="0" xfId="0" applyFont="1" applyAlignment="1">
      <alignment horizontal="right"/>
    </xf>
    <xf numFmtId="10" fontId="143" fillId="0" borderId="0" xfId="1" applyNumberFormat="1" applyFont="1"/>
    <xf numFmtId="14" fontId="7" fillId="0" borderId="45" xfId="0" applyNumberFormat="1" applyFont="1" applyBorder="1"/>
    <xf numFmtId="164" fontId="8" fillId="7" borderId="40" xfId="0" applyNumberFormat="1" applyFont="1" applyFill="1" applyBorder="1" applyAlignment="1">
      <alignment horizontal="center"/>
    </xf>
    <xf numFmtId="194" fontId="7" fillId="0" borderId="40" xfId="0" applyNumberFormat="1" applyFont="1" applyBorder="1" applyAlignment="1">
      <alignment horizontal="center" vertical="center"/>
    </xf>
    <xf numFmtId="194" fontId="7" fillId="0" borderId="63" xfId="0" applyNumberFormat="1" applyFont="1" applyBorder="1" applyAlignment="1">
      <alignment horizontal="center" vertical="center"/>
    </xf>
    <xf numFmtId="10" fontId="144" fillId="0" borderId="0" xfId="1" applyNumberFormat="1" applyFont="1"/>
    <xf numFmtId="10" fontId="7" fillId="0" borderId="45" xfId="1" applyNumberFormat="1" applyFont="1" applyBorder="1"/>
    <xf numFmtId="0" fontId="145" fillId="41" borderId="0" xfId="351" applyNumberFormat="1" applyFont="1"/>
    <xf numFmtId="14" fontId="145" fillId="68" borderId="0" xfId="351" applyNumberFormat="1" applyFont="1" applyFill="1"/>
    <xf numFmtId="0" fontId="146" fillId="68" borderId="0" xfId="0" applyFont="1" applyFill="1"/>
    <xf numFmtId="0" fontId="146" fillId="0" borderId="0" xfId="0" applyFont="1"/>
    <xf numFmtId="14" fontId="147" fillId="0" borderId="0" xfId="0" applyNumberFormat="1" applyFont="1"/>
    <xf numFmtId="10" fontId="147" fillId="0" borderId="0" xfId="1" applyNumberFormat="1" applyFont="1"/>
    <xf numFmtId="2" fontId="147" fillId="0" borderId="0" xfId="1" applyNumberFormat="1" applyFont="1"/>
    <xf numFmtId="14" fontId="148" fillId="0" borderId="0" xfId="0" applyNumberFormat="1" applyFont="1"/>
    <xf numFmtId="10" fontId="148" fillId="0" borderId="0" xfId="1" applyNumberFormat="1" applyFont="1"/>
    <xf numFmtId="2" fontId="148" fillId="0" borderId="0" xfId="1" applyNumberFormat="1" applyFont="1"/>
    <xf numFmtId="9" fontId="7" fillId="0" borderId="0" xfId="1" applyFont="1"/>
    <xf numFmtId="14" fontId="149" fillId="0" borderId="0" xfId="0" applyNumberFormat="1" applyFont="1"/>
    <xf numFmtId="10" fontId="149" fillId="0" borderId="0" xfId="1" applyNumberFormat="1" applyFont="1"/>
    <xf numFmtId="2" fontId="149" fillId="0" borderId="0" xfId="1" applyNumberFormat="1" applyFont="1"/>
    <xf numFmtId="14" fontId="150" fillId="0" borderId="0" xfId="0" applyNumberFormat="1" applyFont="1"/>
    <xf numFmtId="10" fontId="150" fillId="0" borderId="0" xfId="1" applyNumberFormat="1" applyFont="1"/>
    <xf numFmtId="2" fontId="150" fillId="0" borderId="0" xfId="1" applyNumberFormat="1" applyFont="1"/>
    <xf numFmtId="14" fontId="151" fillId="68" borderId="0" xfId="351" applyNumberFormat="1" applyFont="1" applyFill="1"/>
    <xf numFmtId="0" fontId="152" fillId="68" borderId="0" xfId="0" applyFont="1" applyFill="1"/>
    <xf numFmtId="0" fontId="152" fillId="0" borderId="0" xfId="0" applyFont="1"/>
    <xf numFmtId="0" fontId="151" fillId="41" borderId="0" xfId="351" applyNumberFormat="1" applyFont="1"/>
    <xf numFmtId="14" fontId="152" fillId="0" borderId="0" xfId="0" applyNumberFormat="1" applyFont="1"/>
    <xf numFmtId="10" fontId="152" fillId="0" borderId="0" xfId="1" applyNumberFormat="1" applyFont="1"/>
    <xf numFmtId="2" fontId="152" fillId="0" borderId="0" xfId="1" applyNumberFormat="1" applyFont="1"/>
    <xf numFmtId="0" fontId="153" fillId="41" borderId="0" xfId="351" applyNumberFormat="1" applyFont="1"/>
    <xf numFmtId="14" fontId="153" fillId="68" borderId="0" xfId="351" applyNumberFormat="1" applyFont="1" applyFill="1"/>
    <xf numFmtId="0" fontId="154" fillId="68" borderId="0" xfId="0" applyFont="1" applyFill="1"/>
    <xf numFmtId="0" fontId="154" fillId="0" borderId="0" xfId="0" applyFont="1"/>
    <xf numFmtId="14" fontId="154" fillId="0" borderId="0" xfId="0" applyNumberFormat="1" applyFont="1"/>
    <xf numFmtId="10" fontId="154" fillId="0" borderId="0" xfId="1" applyNumberFormat="1" applyFont="1"/>
    <xf numFmtId="2" fontId="154" fillId="0" borderId="0" xfId="1" applyNumberFormat="1" applyFont="1"/>
    <xf numFmtId="14" fontId="153" fillId="41" borderId="0" xfId="351" applyNumberFormat="1" applyFont="1"/>
    <xf numFmtId="0" fontId="138" fillId="0" borderId="61" xfId="0" applyFont="1" applyBorder="1" applyAlignment="1">
      <alignment horizontal="left" wrapText="1"/>
    </xf>
    <xf numFmtId="0" fontId="138" fillId="0" borderId="0" xfId="0" applyFont="1" applyBorder="1" applyAlignment="1">
      <alignment horizontal="left" wrapText="1"/>
    </xf>
    <xf numFmtId="164" fontId="8" fillId="7" borderId="59" xfId="0" applyNumberFormat="1" applyFont="1" applyFill="1" applyBorder="1" applyAlignment="1">
      <alignment horizontal="center" vertical="center" wrapText="1"/>
    </xf>
    <xf numFmtId="164" fontId="8" fillId="7" borderId="60" xfId="0" applyNumberFormat="1" applyFont="1" applyFill="1" applyBorder="1" applyAlignment="1">
      <alignment horizontal="center" vertical="center" wrapText="1"/>
    </xf>
    <xf numFmtId="164" fontId="8" fillId="7" borderId="54" xfId="0" applyNumberFormat="1" applyFont="1" applyFill="1" applyBorder="1" applyAlignment="1">
      <alignment horizontal="center" vertical="center"/>
    </xf>
    <xf numFmtId="164" fontId="8" fillId="7" borderId="57" xfId="0" applyNumberFormat="1" applyFont="1" applyFill="1" applyBorder="1" applyAlignment="1">
      <alignment horizontal="center" vertical="center"/>
    </xf>
    <xf numFmtId="164" fontId="8" fillId="7" borderId="64" xfId="0" applyNumberFormat="1" applyFont="1" applyFill="1" applyBorder="1" applyAlignment="1">
      <alignment horizontal="center" vertical="center"/>
    </xf>
    <xf numFmtId="164" fontId="8" fillId="7" borderId="62" xfId="0" applyNumberFormat="1" applyFont="1" applyFill="1" applyBorder="1" applyAlignment="1">
      <alignment horizontal="center" vertical="center"/>
    </xf>
    <xf numFmtId="164" fontId="8" fillId="7" borderId="47" xfId="0" applyNumberFormat="1" applyFont="1" applyFill="1" applyBorder="1" applyAlignment="1">
      <alignment horizontal="center" vertical="center"/>
    </xf>
    <xf numFmtId="164" fontId="8" fillId="7" borderId="48" xfId="0" applyNumberFormat="1" applyFont="1" applyFill="1" applyBorder="1" applyAlignment="1">
      <alignment horizontal="center" vertical="center"/>
    </xf>
    <xf numFmtId="164" fontId="8" fillId="7" borderId="46" xfId="0" applyNumberFormat="1" applyFont="1" applyFill="1" applyBorder="1" applyAlignment="1">
      <alignment horizontal="center" vertical="center"/>
    </xf>
  </cellXfs>
  <cellStyles count="1050">
    <cellStyle name="_Bonds" xfId="4"/>
    <cellStyle name="_Bonds 2" xfId="5"/>
    <cellStyle name="_Offering" xfId="6"/>
    <cellStyle name="_Offering 2" xfId="7"/>
    <cellStyle name="£ BP" xfId="8"/>
    <cellStyle name="¥ JY" xfId="9"/>
    <cellStyle name="20% - Accent1 2" xfId="10"/>
    <cellStyle name="20% - Accent1 2 2" xfId="11"/>
    <cellStyle name="20% - Accent1 2 3" xfId="12"/>
    <cellStyle name="20% - Accent1 3" xfId="13"/>
    <cellStyle name="20% - Accent1 3 2" xfId="14"/>
    <cellStyle name="20% - Accent1 3 3" xfId="15"/>
    <cellStyle name="20% - Accent1 4" xfId="16"/>
    <cellStyle name="20% - Accent1 4 2" xfId="527"/>
    <cellStyle name="20% - Accent1 4 2 2" xfId="528"/>
    <cellStyle name="20% - Accent1 4 3" xfId="529"/>
    <cellStyle name="20% - Accent1 4 3 2" xfId="530"/>
    <cellStyle name="20% - Accent1 4 4" xfId="531"/>
    <cellStyle name="20% - Accent1 4_Primary vs Secondary Spread Oct 3" xfId="532"/>
    <cellStyle name="20% - Accent1 5" xfId="17"/>
    <cellStyle name="20% - Accent2 2" xfId="18"/>
    <cellStyle name="20% - Accent2 3" xfId="19"/>
    <cellStyle name="20% - Accent2 4" xfId="20"/>
    <cellStyle name="20% - Accent2 4 2" xfId="533"/>
    <cellStyle name="20% - Accent2 4 2 2" xfId="534"/>
    <cellStyle name="20% - Accent2 4 3" xfId="535"/>
    <cellStyle name="20% - Accent2 4 3 2" xfId="536"/>
    <cellStyle name="20% - Accent2 4 4" xfId="537"/>
    <cellStyle name="20% - Accent2 4_Primary vs Secondary Spread Oct 3" xfId="538"/>
    <cellStyle name="20% - Accent2 5" xfId="539"/>
    <cellStyle name="20% - Accent3 2" xfId="21"/>
    <cellStyle name="20% - Accent3 3" xfId="22"/>
    <cellStyle name="20% - Accent3 4" xfId="23"/>
    <cellStyle name="20% - Accent3 4 2" xfId="540"/>
    <cellStyle name="20% - Accent3 4 2 2" xfId="541"/>
    <cellStyle name="20% - Accent3 4 3" xfId="542"/>
    <cellStyle name="20% - Accent3 4 3 2" xfId="543"/>
    <cellStyle name="20% - Accent3 4 4" xfId="544"/>
    <cellStyle name="20% - Accent3 4_Primary vs Secondary Spread Oct 3" xfId="545"/>
    <cellStyle name="20% - Accent3 5" xfId="546"/>
    <cellStyle name="20% - Accent4 2" xfId="24"/>
    <cellStyle name="20% - Accent4 3" xfId="25"/>
    <cellStyle name="20% - Accent4 4" xfId="26"/>
    <cellStyle name="20% - Accent4 4 2" xfId="547"/>
    <cellStyle name="20% - Accent4 4 2 2" xfId="548"/>
    <cellStyle name="20% - Accent4 4 3" xfId="549"/>
    <cellStyle name="20% - Accent4 4 3 2" xfId="550"/>
    <cellStyle name="20% - Accent4 4 4" xfId="551"/>
    <cellStyle name="20% - Accent4 4_Primary vs Secondary Spread Oct 3" xfId="552"/>
    <cellStyle name="20% - Accent4 5" xfId="553"/>
    <cellStyle name="20% - Accent5 2" xfId="27"/>
    <cellStyle name="20% - Accent5 3" xfId="28"/>
    <cellStyle name="20% - Accent5 4" xfId="29"/>
    <cellStyle name="20% - Accent5 4 2" xfId="554"/>
    <cellStyle name="20% - Accent5 4 2 2" xfId="555"/>
    <cellStyle name="20% - Accent5 4 3" xfId="556"/>
    <cellStyle name="20% - Accent5 4 3 2" xfId="557"/>
    <cellStyle name="20% - Accent5 4 4" xfId="558"/>
    <cellStyle name="20% - Accent5 4_Primary vs Secondary Spread Oct 3" xfId="559"/>
    <cellStyle name="20% - Accent5 5" xfId="560"/>
    <cellStyle name="20% - Accent6 2" xfId="30"/>
    <cellStyle name="20% - Accent6 3" xfId="31"/>
    <cellStyle name="20% - Accent6 4" xfId="32"/>
    <cellStyle name="20% - Accent6 4 2" xfId="561"/>
    <cellStyle name="20% - Accent6 4 2 2" xfId="562"/>
    <cellStyle name="20% - Accent6 4 3" xfId="563"/>
    <cellStyle name="20% - Accent6 4 3 2" xfId="564"/>
    <cellStyle name="20% - Accent6 4 4" xfId="565"/>
    <cellStyle name="20% - Accent6 4_Primary vs Secondary Spread Oct 3" xfId="566"/>
    <cellStyle name="20% - Accent6 5" xfId="567"/>
    <cellStyle name="40% - Accent1 2" xfId="33"/>
    <cellStyle name="40% - Accent1 3" xfId="34"/>
    <cellStyle name="40% - Accent1 4" xfId="35"/>
    <cellStyle name="40% - Accent1 4 2" xfId="568"/>
    <cellStyle name="40% - Accent1 4 2 2" xfId="569"/>
    <cellStyle name="40% - Accent1 4 3" xfId="570"/>
    <cellStyle name="40% - Accent1 4 3 2" xfId="571"/>
    <cellStyle name="40% - Accent1 4 4" xfId="572"/>
    <cellStyle name="40% - Accent1 4_Primary vs Secondary Spread Oct 3" xfId="573"/>
    <cellStyle name="40% - Accent1 5" xfId="574"/>
    <cellStyle name="40% - Accent2 2" xfId="36"/>
    <cellStyle name="40% - Accent2 3" xfId="37"/>
    <cellStyle name="40% - Accent2 4" xfId="38"/>
    <cellStyle name="40% - Accent2 4 2" xfId="575"/>
    <cellStyle name="40% - Accent2 4 2 2" xfId="576"/>
    <cellStyle name="40% - Accent2 4 3" xfId="577"/>
    <cellStyle name="40% - Accent2 4 3 2" xfId="578"/>
    <cellStyle name="40% - Accent2 4 4" xfId="579"/>
    <cellStyle name="40% - Accent2 4_Primary vs Secondary Spread Oct 3" xfId="580"/>
    <cellStyle name="40% - Accent2 5" xfId="581"/>
    <cellStyle name="40% - Accent3 2" xfId="39"/>
    <cellStyle name="40% - Accent3 3" xfId="40"/>
    <cellStyle name="40% - Accent3 4" xfId="41"/>
    <cellStyle name="40% - Accent3 4 2" xfId="582"/>
    <cellStyle name="40% - Accent3 4 2 2" xfId="583"/>
    <cellStyle name="40% - Accent3 4 3" xfId="584"/>
    <cellStyle name="40% - Accent3 4 3 2" xfId="585"/>
    <cellStyle name="40% - Accent3 4 4" xfId="586"/>
    <cellStyle name="40% - Accent3 4_Primary vs Secondary Spread Oct 3" xfId="587"/>
    <cellStyle name="40% - Accent3 5" xfId="588"/>
    <cellStyle name="40% - Accent4 2" xfId="42"/>
    <cellStyle name="40% - Accent4 3" xfId="43"/>
    <cellStyle name="40% - Accent4 4" xfId="44"/>
    <cellStyle name="40% - Accent4 4 2" xfId="589"/>
    <cellStyle name="40% - Accent4 4 2 2" xfId="590"/>
    <cellStyle name="40% - Accent4 4 3" xfId="591"/>
    <cellStyle name="40% - Accent4 4 3 2" xfId="592"/>
    <cellStyle name="40% - Accent4 4 4" xfId="593"/>
    <cellStyle name="40% - Accent4 4_Primary vs Secondary Spread Oct 3" xfId="594"/>
    <cellStyle name="40% - Accent4 5" xfId="595"/>
    <cellStyle name="40% - Accent5 2" xfId="45"/>
    <cellStyle name="40% - Accent5 3" xfId="46"/>
    <cellStyle name="40% - Accent5 4" xfId="47"/>
    <cellStyle name="40% - Accent5 4 2" xfId="596"/>
    <cellStyle name="40% - Accent5 4 2 2" xfId="597"/>
    <cellStyle name="40% - Accent5 4 3" xfId="598"/>
    <cellStyle name="40% - Accent5 4 3 2" xfId="599"/>
    <cellStyle name="40% - Accent5 4 4" xfId="600"/>
    <cellStyle name="40% - Accent5 4_Primary vs Secondary Spread Oct 3" xfId="601"/>
    <cellStyle name="40% - Accent5 5" xfId="602"/>
    <cellStyle name="40% - Accent6 2" xfId="48"/>
    <cellStyle name="40% - Accent6 3" xfId="49"/>
    <cellStyle name="40% - Accent6 4" xfId="50"/>
    <cellStyle name="40% - Accent6 4 2" xfId="603"/>
    <cellStyle name="40% - Accent6 4 2 2" xfId="604"/>
    <cellStyle name="40% - Accent6 4 3" xfId="605"/>
    <cellStyle name="40% - Accent6 4 3 2" xfId="606"/>
    <cellStyle name="40% - Accent6 4 4" xfId="607"/>
    <cellStyle name="40% - Accent6 4_Primary vs Secondary Spread Oct 3" xfId="608"/>
    <cellStyle name="40% - Accent6 5" xfId="609"/>
    <cellStyle name="60% - Accent1 2" xfId="51"/>
    <cellStyle name="60% - Accent1 3" xfId="52"/>
    <cellStyle name="60% - Accent1 4" xfId="53"/>
    <cellStyle name="60% - Accent2 2" xfId="54"/>
    <cellStyle name="60% - Accent2 3" xfId="55"/>
    <cellStyle name="60% - Accent2 4" xfId="56"/>
    <cellStyle name="60% - Accent3 2" xfId="57"/>
    <cellStyle name="60% - Accent3 3" xfId="58"/>
    <cellStyle name="60% - Accent3 4" xfId="59"/>
    <cellStyle name="60% - Accent4 2" xfId="60"/>
    <cellStyle name="60% - Accent4 3" xfId="61"/>
    <cellStyle name="60% - Accent4 4" xfId="62"/>
    <cellStyle name="60% - Accent5 2" xfId="63"/>
    <cellStyle name="60% - Accent5 3" xfId="64"/>
    <cellStyle name="60% - Accent5 4" xfId="65"/>
    <cellStyle name="60% - Accent6 2" xfId="66"/>
    <cellStyle name="60% - Accent6 3" xfId="67"/>
    <cellStyle name="60% - Accent6 4" xfId="68"/>
    <cellStyle name="Accent1 2" xfId="69"/>
    <cellStyle name="Accent1 3" xfId="70"/>
    <cellStyle name="Accent1 4" xfId="71"/>
    <cellStyle name="Accent2 2" xfId="72"/>
    <cellStyle name="Accent2 3" xfId="73"/>
    <cellStyle name="Accent2 4" xfId="74"/>
    <cellStyle name="Accent3 2" xfId="75"/>
    <cellStyle name="Accent3 3" xfId="76"/>
    <cellStyle name="Accent3 4" xfId="77"/>
    <cellStyle name="Accent4 2" xfId="78"/>
    <cellStyle name="Accent4 3" xfId="79"/>
    <cellStyle name="Accent4 4" xfId="80"/>
    <cellStyle name="Accent5 2" xfId="81"/>
    <cellStyle name="Accent5 3" xfId="82"/>
    <cellStyle name="Accent5 4" xfId="83"/>
    <cellStyle name="Accent6 2" xfId="84"/>
    <cellStyle name="Accent6 3" xfId="85"/>
    <cellStyle name="Accent6 4" xfId="86"/>
    <cellStyle name="Auto_OpenAuto_CloseExtractD_Sheet1" xfId="87"/>
    <cellStyle name="Axis.EffectiveDate" xfId="88"/>
    <cellStyle name="Axis.Seasoning" xfId="89"/>
    <cellStyle name="Bad 2" xfId="90"/>
    <cellStyle name="Bad 3" xfId="91"/>
    <cellStyle name="Bad 4" xfId="92"/>
    <cellStyle name="Big Money" xfId="93"/>
    <cellStyle name="Blue" xfId="94"/>
    <cellStyle name="blue axis cells" xfId="95"/>
    <cellStyle name="blue text cells" xfId="96"/>
    <cellStyle name="Body" xfId="97"/>
    <cellStyle name="Bold/Border" xfId="98"/>
    <cellStyle name="Border" xfId="99"/>
    <cellStyle name="Bullet" xfId="100"/>
    <cellStyle name="Calc Currency (0)" xfId="101"/>
    <cellStyle name="Calc Currency (0) 2" xfId="102"/>
    <cellStyle name="Calc Currency (2)" xfId="103"/>
    <cellStyle name="Calc Currency (2) 2" xfId="104"/>
    <cellStyle name="Calc Percent (0)" xfId="105"/>
    <cellStyle name="Calc Percent (0) 2" xfId="106"/>
    <cellStyle name="Calc Percent (1)" xfId="107"/>
    <cellStyle name="Calc Percent (1) 2" xfId="108"/>
    <cellStyle name="Calc Percent (2)" xfId="109"/>
    <cellStyle name="Calc Percent (2) 2" xfId="110"/>
    <cellStyle name="Calc Units (0)" xfId="111"/>
    <cellStyle name="Calc Units (0) 2" xfId="112"/>
    <cellStyle name="Calc Units (1)" xfId="113"/>
    <cellStyle name="Calc Units (1) 2" xfId="114"/>
    <cellStyle name="Calc Units (2)" xfId="115"/>
    <cellStyle name="Calc Units (2) 2" xfId="116"/>
    <cellStyle name="Calculation 2" xfId="117"/>
    <cellStyle name="Calculation 3" xfId="118"/>
    <cellStyle name="Calculation 4" xfId="119"/>
    <cellStyle name="Calculation 5" xfId="610"/>
    <cellStyle name="Calculation 6" xfId="611"/>
    <cellStyle name="CCM Input" xfId="120"/>
    <cellStyle name="CCM Title Calculations" xfId="121"/>
    <cellStyle name="CCM Title Indicative" xfId="122"/>
    <cellStyle name="Cello Calculation" xfId="123"/>
    <cellStyle name="Cello Calculation 2" xfId="124"/>
    <cellStyle name="Cello Calculation 2 2" xfId="125"/>
    <cellStyle name="Cello Calculation 2 3" xfId="612"/>
    <cellStyle name="Cello Calculation 2_Primary vs Secondary Spread Oct 3" xfId="613"/>
    <cellStyle name="Cello Calculation 3" xfId="126"/>
    <cellStyle name="Cello Calculation 4" xfId="127"/>
    <cellStyle name="Cello Calculation_Primary vs Secondary Spread Oct 3" xfId="614"/>
    <cellStyle name="Cello Input" xfId="2"/>
    <cellStyle name="Cello Input 2" xfId="128"/>
    <cellStyle name="Cello Input 2 2" xfId="129"/>
    <cellStyle name="Cello Input 2 3" xfId="130"/>
    <cellStyle name="Cello Input 2 4" xfId="615"/>
    <cellStyle name="Cello Input 2 5" xfId="131"/>
    <cellStyle name="Cello Input 2_Primary vs Secondary Spread Oct 3" xfId="616"/>
    <cellStyle name="Cello Input 3" xfId="132"/>
    <cellStyle name="Cello Input 4" xfId="133"/>
    <cellStyle name="Cello Linked Cell" xfId="134"/>
    <cellStyle name="Cello Linked Cell 2" xfId="135"/>
    <cellStyle name="Cello Linked Cell 2 2" xfId="136"/>
    <cellStyle name="Cello Linked Cell 3" xfId="617"/>
    <cellStyle name="Check Cell 2" xfId="137"/>
    <cellStyle name="Check Cell 3" xfId="138"/>
    <cellStyle name="Check Cell 4" xfId="139"/>
    <cellStyle name="Co. Names" xfId="140"/>
    <cellStyle name="Comma  - Style1" xfId="141"/>
    <cellStyle name="Comma  - Style1 2" xfId="142"/>
    <cellStyle name="Comma  - Style2" xfId="143"/>
    <cellStyle name="Comma  - Style2 2" xfId="144"/>
    <cellStyle name="Comma  - Style3" xfId="145"/>
    <cellStyle name="Comma  - Style3 2" xfId="146"/>
    <cellStyle name="Comma  - Style4" xfId="147"/>
    <cellStyle name="Comma  - Style4 2" xfId="148"/>
    <cellStyle name="Comma  - Style5" xfId="149"/>
    <cellStyle name="Comma  - Style5 2" xfId="150"/>
    <cellStyle name="Comma  - Style6" xfId="151"/>
    <cellStyle name="Comma  - Style6 2" xfId="152"/>
    <cellStyle name="Comma  - Style7" xfId="153"/>
    <cellStyle name="Comma  - Style7 2" xfId="154"/>
    <cellStyle name="Comma  - Style8" xfId="155"/>
    <cellStyle name="Comma  - Style8 2" xfId="156"/>
    <cellStyle name="Comma [00]" xfId="157"/>
    <cellStyle name="Comma [00] 2" xfId="158"/>
    <cellStyle name="Comma 10" xfId="159"/>
    <cellStyle name="Comma 11" xfId="160"/>
    <cellStyle name="Comma 12" xfId="161"/>
    <cellStyle name="Comma 13" xfId="162"/>
    <cellStyle name="Comma 14" xfId="163"/>
    <cellStyle name="Comma 15" xfId="164"/>
    <cellStyle name="Comma 16" xfId="165"/>
    <cellStyle name="Comma 16 2" xfId="166"/>
    <cellStyle name="Comma 17" xfId="167"/>
    <cellStyle name="Comma 18" xfId="168"/>
    <cellStyle name="Comma 19" xfId="169"/>
    <cellStyle name="Comma 2" xfId="170"/>
    <cellStyle name="Comma 20" xfId="171"/>
    <cellStyle name="Comma 21" xfId="172"/>
    <cellStyle name="Comma 22" xfId="173"/>
    <cellStyle name="Comma 23" xfId="174"/>
    <cellStyle name="Comma 24" xfId="175"/>
    <cellStyle name="Comma 25" xfId="176"/>
    <cellStyle name="Comma 26" xfId="177"/>
    <cellStyle name="Comma 27" xfId="178"/>
    <cellStyle name="Comma 28" xfId="179"/>
    <cellStyle name="Comma 29" xfId="180"/>
    <cellStyle name="Comma 29 2" xfId="181"/>
    <cellStyle name="Comma 29 2 2" xfId="618"/>
    <cellStyle name="Comma 29 3" xfId="619"/>
    <cellStyle name="Comma 29 3 2" xfId="620"/>
    <cellStyle name="Comma 29 4" xfId="621"/>
    <cellStyle name="Comma 29 5" xfId="622"/>
    <cellStyle name="Comma 3" xfId="182"/>
    <cellStyle name="Comma 30" xfId="183"/>
    <cellStyle name="Comma 31" xfId="623"/>
    <cellStyle name="Comma 32" xfId="624"/>
    <cellStyle name="Comma 33" xfId="625"/>
    <cellStyle name="Comma 34" xfId="626"/>
    <cellStyle name="Comma 35" xfId="627"/>
    <cellStyle name="Comma 4" xfId="184"/>
    <cellStyle name="Comma 4 2" xfId="185"/>
    <cellStyle name="Comma 5" xfId="186"/>
    <cellStyle name="Comma 6" xfId="187"/>
    <cellStyle name="Comma 7" xfId="188"/>
    <cellStyle name="Comma 8" xfId="189"/>
    <cellStyle name="Comma 9" xfId="190"/>
    <cellStyle name="Comma0" xfId="191"/>
    <cellStyle name="Comma1 - Style1" xfId="192"/>
    <cellStyle name="Copied" xfId="193"/>
    <cellStyle name="CTDSwitchAnalysisHeader" xfId="194"/>
    <cellStyle name="Curren - Style2" xfId="195"/>
    <cellStyle name="Currency [00]" xfId="196"/>
    <cellStyle name="Currency [00] 2" xfId="197"/>
    <cellStyle name="Currency [2]" xfId="198"/>
    <cellStyle name="Currency 10" xfId="199"/>
    <cellStyle name="Currency 11" xfId="200"/>
    <cellStyle name="Currency 12" xfId="201"/>
    <cellStyle name="Currency 13" xfId="202"/>
    <cellStyle name="Currency 14" xfId="203"/>
    <cellStyle name="Currency 15" xfId="204"/>
    <cellStyle name="Currency 16" xfId="628"/>
    <cellStyle name="Currency 17" xfId="629"/>
    <cellStyle name="Currency 18" xfId="630"/>
    <cellStyle name="Currency 19" xfId="631"/>
    <cellStyle name="Currency 2" xfId="205"/>
    <cellStyle name="Currency 20" xfId="632"/>
    <cellStyle name="Currency 21" xfId="633"/>
    <cellStyle name="Currency 3" xfId="206"/>
    <cellStyle name="Currency 4" xfId="207"/>
    <cellStyle name="Currency 5" xfId="208"/>
    <cellStyle name="Currency 6" xfId="209"/>
    <cellStyle name="Currency 7" xfId="210"/>
    <cellStyle name="Currency 8" xfId="211"/>
    <cellStyle name="Currency 9" xfId="212"/>
    <cellStyle name="Currency0" xfId="213"/>
    <cellStyle name="Dash" xfId="214"/>
    <cellStyle name="Data.LongPercent" xfId="215"/>
    <cellStyle name="Data.NumPercent" xfId="216"/>
    <cellStyle name="Data.NumShortPercent" xfId="217"/>
    <cellStyle name="date" xfId="218"/>
    <cellStyle name="Date - Style3" xfId="219"/>
    <cellStyle name="Date 2" xfId="220"/>
    <cellStyle name="Date 3" xfId="221"/>
    <cellStyle name="Date 4" xfId="222"/>
    <cellStyle name="Date 5" xfId="223"/>
    <cellStyle name="Date 6" xfId="224"/>
    <cellStyle name="Date 7" xfId="225"/>
    <cellStyle name="Date Short" xfId="226"/>
    <cellStyle name="date title" xfId="227"/>
    <cellStyle name="Date_DV01" xfId="228"/>
    <cellStyle name="DateFormat" xfId="229"/>
    <cellStyle name="DBAHandle" xfId="230"/>
    <cellStyle name="DBAParameter" xfId="231"/>
    <cellStyle name="DELTA" xfId="232"/>
    <cellStyle name="DS 0" xfId="233"/>
    <cellStyle name="DS 1" xfId="234"/>
    <cellStyle name="DS 2" xfId="235"/>
    <cellStyle name="DS 3" xfId="236"/>
    <cellStyle name="DS 4" xfId="237"/>
    <cellStyle name="DS 5" xfId="238"/>
    <cellStyle name="DS 5 2" xfId="239"/>
    <cellStyle name="DS 6" xfId="240"/>
    <cellStyle name="Enter Currency (0)" xfId="241"/>
    <cellStyle name="Enter Currency (0) 2" xfId="242"/>
    <cellStyle name="Enter Currency (2)" xfId="243"/>
    <cellStyle name="Enter Currency (2) 2" xfId="244"/>
    <cellStyle name="Enter Units (0)" xfId="245"/>
    <cellStyle name="Enter Units (0) 2" xfId="246"/>
    <cellStyle name="Enter Units (1)" xfId="247"/>
    <cellStyle name="Enter Units (1) 2" xfId="248"/>
    <cellStyle name="Enter Units (2)" xfId="249"/>
    <cellStyle name="Enter Units (2) 2" xfId="250"/>
    <cellStyle name="Entered" xfId="251"/>
    <cellStyle name="Entries" xfId="252"/>
    <cellStyle name="Euro" xfId="253"/>
    <cellStyle name="Explanatory Text 2" xfId="254"/>
    <cellStyle name="Explanatory Text 3" xfId="255"/>
    <cellStyle name="Explanatory Text 4" xfId="256"/>
    <cellStyle name="Fixed" xfId="257"/>
    <cellStyle name="FullTime" xfId="258"/>
    <cellStyle name="General" xfId="259"/>
    <cellStyle name="Good 2" xfId="260"/>
    <cellStyle name="Good 3" xfId="261"/>
    <cellStyle name="Good 4" xfId="262"/>
    <cellStyle name="gray text cells" xfId="263"/>
    <cellStyle name="Grey" xfId="264"/>
    <cellStyle name="Header1" xfId="265"/>
    <cellStyle name="Header2" xfId="266"/>
    <cellStyle name="Heading" xfId="267"/>
    <cellStyle name="Heading 1 2" xfId="268"/>
    <cellStyle name="Heading 1 2 2" xfId="269"/>
    <cellStyle name="Heading 1 3" xfId="270"/>
    <cellStyle name="Heading 1 4" xfId="271"/>
    <cellStyle name="Heading 1 5" xfId="272"/>
    <cellStyle name="Heading 2 2" xfId="273"/>
    <cellStyle name="Heading 2 2 2" xfId="274"/>
    <cellStyle name="Heading 2 3" xfId="275"/>
    <cellStyle name="Heading 2 4" xfId="276"/>
    <cellStyle name="Heading 2 5" xfId="277"/>
    <cellStyle name="Heading 3 2" xfId="278"/>
    <cellStyle name="Heading 3 3" xfId="279"/>
    <cellStyle name="Heading 3 4" xfId="280"/>
    <cellStyle name="Heading 4 2" xfId="281"/>
    <cellStyle name="Heading 4 3" xfId="282"/>
    <cellStyle name="Heading 4 4" xfId="283"/>
    <cellStyle name="Heading 5" xfId="284"/>
    <cellStyle name="HEADING1" xfId="285"/>
    <cellStyle name="HEADING2" xfId="286"/>
    <cellStyle name="Hyperlink" xfId="3" builtinId="8"/>
    <cellStyle name="Hyperlink 2" xfId="287"/>
    <cellStyle name="Hyperlink 3" xfId="634"/>
    <cellStyle name="Input [yellow]" xfId="288"/>
    <cellStyle name="Input 10" xfId="635"/>
    <cellStyle name="Input 11" xfId="636"/>
    <cellStyle name="Input 12" xfId="637"/>
    <cellStyle name="Input 13" xfId="638"/>
    <cellStyle name="Input 14" xfId="639"/>
    <cellStyle name="Input 15" xfId="640"/>
    <cellStyle name="Input 2" xfId="289"/>
    <cellStyle name="Input 2 2" xfId="290"/>
    <cellStyle name="Input 2 3" xfId="291"/>
    <cellStyle name="Input 3" xfId="292"/>
    <cellStyle name="Input 4" xfId="293"/>
    <cellStyle name="Input 5" xfId="294"/>
    <cellStyle name="Input 6" xfId="295"/>
    <cellStyle name="Input 7" xfId="296"/>
    <cellStyle name="Input 8" xfId="641"/>
    <cellStyle name="Input 9" xfId="642"/>
    <cellStyle name="Item" xfId="297"/>
    <cellStyle name="Link Currency (0)" xfId="298"/>
    <cellStyle name="Link Currency (0) 2" xfId="299"/>
    <cellStyle name="Link Currency (2)" xfId="300"/>
    <cellStyle name="Link Currency (2) 2" xfId="301"/>
    <cellStyle name="Link Units (0)" xfId="302"/>
    <cellStyle name="Link Units (0) 2" xfId="303"/>
    <cellStyle name="Link Units (1)" xfId="304"/>
    <cellStyle name="Link Units (1) 2" xfId="305"/>
    <cellStyle name="Link Units (2)" xfId="306"/>
    <cellStyle name="Link Units (2) 2" xfId="307"/>
    <cellStyle name="Linked Cell 2" xfId="308"/>
    <cellStyle name="Linked Cell 3" xfId="309"/>
    <cellStyle name="Linked Cell 4" xfId="310"/>
    <cellStyle name="Lookup" xfId="311"/>
    <cellStyle name="Milliers [0]_Basis" xfId="312"/>
    <cellStyle name="Milliers_Basis" xfId="313"/>
    <cellStyle name="Monétaire [0]_Basis" xfId="314"/>
    <cellStyle name="Monétaire_Basis" xfId="315"/>
    <cellStyle name="Money" xfId="316"/>
    <cellStyle name="Neutral 2" xfId="317"/>
    <cellStyle name="Neutral 3" xfId="318"/>
    <cellStyle name="Neutral 4" xfId="319"/>
    <cellStyle name="no dec" xfId="320"/>
    <cellStyle name="NoChange" xfId="321"/>
    <cellStyle name="Non Zero" xfId="322"/>
    <cellStyle name="Normal" xfId="0" builtinId="0"/>
    <cellStyle name="Normal - Style1" xfId="323"/>
    <cellStyle name="Normal 10" xfId="324"/>
    <cellStyle name="Normal 10 2" xfId="325"/>
    <cellStyle name="Normal 107" xfId="326"/>
    <cellStyle name="Normal 11" xfId="327"/>
    <cellStyle name="Normal 11 2" xfId="328"/>
    <cellStyle name="Normal 12" xfId="329"/>
    <cellStyle name="Normal 13" xfId="330"/>
    <cellStyle name="Normal 14" xfId="331"/>
    <cellStyle name="Normal 15" xfId="332"/>
    <cellStyle name="Normal 16" xfId="333"/>
    <cellStyle name="Normal 17" xfId="334"/>
    <cellStyle name="Normal 18" xfId="335"/>
    <cellStyle name="Normal 19" xfId="336"/>
    <cellStyle name="Normal 2" xfId="337"/>
    <cellStyle name="Normal 2 2" xfId="338"/>
    <cellStyle name="Normal 2 2 2" xfId="339"/>
    <cellStyle name="Normal 2 2 3" xfId="643"/>
    <cellStyle name="Normal 2 2_Primary vs Secondary Spread Oct 3" xfId="644"/>
    <cellStyle name="Normal 2 3" xfId="340"/>
    <cellStyle name="Normal 2 3 2" xfId="341"/>
    <cellStyle name="Normal 2 3 2 2" xfId="342"/>
    <cellStyle name="Normal 2 3 3" xfId="343"/>
    <cellStyle name="Normal 2 3_Primary vs Secondary Spread Oct 3" xfId="645"/>
    <cellStyle name="Normal 2 4" xfId="344"/>
    <cellStyle name="Normal 2 4 2" xfId="345"/>
    <cellStyle name="Normal 2 4 2 2" xfId="346"/>
    <cellStyle name="Normal 2 4 3" xfId="347"/>
    <cellStyle name="Normal 2 4_Primary vs Secondary Spread Oct 3" xfId="646"/>
    <cellStyle name="Normal 2 5" xfId="348"/>
    <cellStyle name="Normal 2 5 2" xfId="349"/>
    <cellStyle name="Normal 2 6" xfId="350"/>
    <cellStyle name="Normal 2 7" xfId="351"/>
    <cellStyle name="Normal 2_Primary vs Secondary Spread Oct 3" xfId="647"/>
    <cellStyle name="Normal 20" xfId="352"/>
    <cellStyle name="Normal 21" xfId="353"/>
    <cellStyle name="Normal 22" xfId="354"/>
    <cellStyle name="Normal 23" xfId="355"/>
    <cellStyle name="Normal 24" xfId="356"/>
    <cellStyle name="Normal 25" xfId="357"/>
    <cellStyle name="Normal 26" xfId="358"/>
    <cellStyle name="Normal 27" xfId="359"/>
    <cellStyle name="Normal 28" xfId="360"/>
    <cellStyle name="Normal 28 2" xfId="361"/>
    <cellStyle name="Normal 29" xfId="362"/>
    <cellStyle name="Normal 3" xfId="363"/>
    <cellStyle name="Normal 3 2" xfId="364"/>
    <cellStyle name="Normal 3 3" xfId="648"/>
    <cellStyle name="Normal 3_Primary vs Secondary Spread Oct 3" xfId="649"/>
    <cellStyle name="Normal 30" xfId="365"/>
    <cellStyle name="Normal 31" xfId="366"/>
    <cellStyle name="Normal 32" xfId="367"/>
    <cellStyle name="Normal 33" xfId="368"/>
    <cellStyle name="Normal 34" xfId="369"/>
    <cellStyle name="Normal 35" xfId="370"/>
    <cellStyle name="Normal 36" xfId="371"/>
    <cellStyle name="Normal 37" xfId="372"/>
    <cellStyle name="Normal 38" xfId="373"/>
    <cellStyle name="Normal 38 2" xfId="374"/>
    <cellStyle name="Normal 38 2 2" xfId="375"/>
    <cellStyle name="Normal 38 3" xfId="376"/>
    <cellStyle name="Normal 38_Primary vs Secondary Spread Oct 3" xfId="650"/>
    <cellStyle name="Normal 39" xfId="377"/>
    <cellStyle name="Normal 4" xfId="378"/>
    <cellStyle name="Normal 4 2" xfId="379"/>
    <cellStyle name="Normal 4 3" xfId="380"/>
    <cellStyle name="Normal 4 4" xfId="381"/>
    <cellStyle name="Normal 4_Primary vs Secondary Spread Oct 3" xfId="651"/>
    <cellStyle name="Normal 40" xfId="382"/>
    <cellStyle name="Normal 41" xfId="383"/>
    <cellStyle name="Normal 42" xfId="384"/>
    <cellStyle name="Normal 42 2" xfId="385"/>
    <cellStyle name="Normal 43" xfId="652"/>
    <cellStyle name="Normal 44" xfId="653"/>
    <cellStyle name="Normal 45" xfId="654"/>
    <cellStyle name="Normal 46" xfId="655"/>
    <cellStyle name="Normal 47" xfId="656"/>
    <cellStyle name="Normal 48" xfId="657"/>
    <cellStyle name="Normal 49" xfId="658"/>
    <cellStyle name="Normal 5" xfId="386"/>
    <cellStyle name="Normal 5 2" xfId="659"/>
    <cellStyle name="Normal 5 2 2" xfId="660"/>
    <cellStyle name="Normal 5 3" xfId="661"/>
    <cellStyle name="Normal 5 3 2" xfId="662"/>
    <cellStyle name="Normal 5 4" xfId="663"/>
    <cellStyle name="Normal 5_Primary vs Secondary Spread Oct 3" xfId="664"/>
    <cellStyle name="Normal 50" xfId="665"/>
    <cellStyle name="Normal 51" xfId="666"/>
    <cellStyle name="Normal 52" xfId="667"/>
    <cellStyle name="Normal 53" xfId="668"/>
    <cellStyle name="Normal 6" xfId="387"/>
    <cellStyle name="Normal 6 2" xfId="388"/>
    <cellStyle name="Normal 7" xfId="389"/>
    <cellStyle name="Normal 7 2" xfId="390"/>
    <cellStyle name="Normal 8" xfId="391"/>
    <cellStyle name="Normal 88" xfId="392"/>
    <cellStyle name="Normal 9" xfId="393"/>
    <cellStyle name="Normal 9 2" xfId="394"/>
    <cellStyle name="Note 2" xfId="395"/>
    <cellStyle name="Note 2 2" xfId="396"/>
    <cellStyle name="Note 2 3" xfId="397"/>
    <cellStyle name="Note 2 4" xfId="398"/>
    <cellStyle name="Note 3" xfId="399"/>
    <cellStyle name="Note 4" xfId="400"/>
    <cellStyle name="Note 4 2" xfId="669"/>
    <cellStyle name="Note 4 2 2" xfId="670"/>
    <cellStyle name="Note 4 3" xfId="671"/>
    <cellStyle name="Note 4 3 2" xfId="672"/>
    <cellStyle name="Note 4 4" xfId="673"/>
    <cellStyle name="Note 5" xfId="401"/>
    <cellStyle name="Note 5 2" xfId="674"/>
    <cellStyle name="Note 5 2 2" xfId="675"/>
    <cellStyle name="Note 5 3" xfId="676"/>
    <cellStyle name="Note 5 3 2" xfId="677"/>
    <cellStyle name="Note 5 4" xfId="678"/>
    <cellStyle name="Note 6" xfId="402"/>
    <cellStyle name="Note 6 2" xfId="679"/>
    <cellStyle name="Note 6 2 2" xfId="680"/>
    <cellStyle name="Note 6 3" xfId="681"/>
    <cellStyle name="Note 6 3 2" xfId="682"/>
    <cellStyle name="Note 6 4" xfId="683"/>
    <cellStyle name="Note 6 5" xfId="684"/>
    <cellStyle name="Note 7" xfId="403"/>
    <cellStyle name="Note 7 2" xfId="404"/>
    <cellStyle name="Note 7 2 2" xfId="685"/>
    <cellStyle name="Note 7 3" xfId="686"/>
    <cellStyle name="Note 7 3 2" xfId="687"/>
    <cellStyle name="Note 7 4" xfId="688"/>
    <cellStyle name="Note 7 5" xfId="689"/>
    <cellStyle name="Note 8" xfId="405"/>
    <cellStyle name="Note 9" xfId="690"/>
    <cellStyle name="NumberAsPercent" xfId="406"/>
    <cellStyle name="NumberFormat" xfId="407"/>
    <cellStyle name="Numbers" xfId="408"/>
    <cellStyle name="Numbers - Bold" xfId="409"/>
    <cellStyle name="Numbers_increm pf" xfId="410"/>
    <cellStyle name="NumberTo1DecPlace" xfId="411"/>
    <cellStyle name="OffWhite" xfId="412"/>
    <cellStyle name="OffWhite 2" xfId="691"/>
    <cellStyle name="OffWhite 2 2" xfId="692"/>
    <cellStyle name="OffWhite 3" xfId="693"/>
    <cellStyle name="OffWhite 3 2" xfId="694"/>
    <cellStyle name="OffWhite 4" xfId="695"/>
    <cellStyle name="Option" xfId="413"/>
    <cellStyle name="orange text cell" xfId="414"/>
    <cellStyle name="Output 2" xfId="415"/>
    <cellStyle name="Output 3" xfId="416"/>
    <cellStyle name="Output 4" xfId="417"/>
    <cellStyle name="Output 5" xfId="696"/>
    <cellStyle name="Output Amounts" xfId="418"/>
    <cellStyle name="Output Column Headings" xfId="419"/>
    <cellStyle name="Output Line Items" xfId="420"/>
    <cellStyle name="Output Report Heading" xfId="421"/>
    <cellStyle name="Output Report Title" xfId="422"/>
    <cellStyle name="Pageheading" xfId="423"/>
    <cellStyle name="Percent" xfId="1" builtinId="5"/>
    <cellStyle name="Percent [0]" xfId="424"/>
    <cellStyle name="Percent [0] 2" xfId="425"/>
    <cellStyle name="Percent [00]" xfId="426"/>
    <cellStyle name="Percent [00] 2" xfId="427"/>
    <cellStyle name="Percent [2]" xfId="428"/>
    <cellStyle name="Percent 2" xfId="429"/>
    <cellStyle name="Percent 2 2" xfId="430"/>
    <cellStyle name="Percent 2 2 2" xfId="697"/>
    <cellStyle name="Percent 2 3" xfId="698"/>
    <cellStyle name="Percent 2 3 2" xfId="699"/>
    <cellStyle name="Percent 2 4" xfId="700"/>
    <cellStyle name="Percent 2 5" xfId="701"/>
    <cellStyle name="Percent 3" xfId="431"/>
    <cellStyle name="Percent 3 2" xfId="702"/>
    <cellStyle name="Percent 3 2 2" xfId="703"/>
    <cellStyle name="Percent 3 3" xfId="704"/>
    <cellStyle name="Percent 3 3 2" xfId="705"/>
    <cellStyle name="Percent 3 4" xfId="706"/>
    <cellStyle name="Percent 4" xfId="707"/>
    <cellStyle name="Percent 4 2" xfId="708"/>
    <cellStyle name="Percent 4 2 2" xfId="709"/>
    <cellStyle name="Percent 4 3" xfId="710"/>
    <cellStyle name="Percent 4 3 2" xfId="711"/>
    <cellStyle name="Percent 4 4" xfId="712"/>
    <cellStyle name="Percent 5" xfId="713"/>
    <cellStyle name="Percent 5 2" xfId="714"/>
    <cellStyle name="Percent 5 2 2" xfId="715"/>
    <cellStyle name="Percent 5 3" xfId="716"/>
    <cellStyle name="Percent 5 3 2" xfId="717"/>
    <cellStyle name="Percent 5 4" xfId="718"/>
    <cellStyle name="Percentage" xfId="432"/>
    <cellStyle name="PrePop Currency (0)" xfId="433"/>
    <cellStyle name="PrePop Currency (0) 2" xfId="434"/>
    <cellStyle name="PrePop Currency (2)" xfId="435"/>
    <cellStyle name="PrePop Currency (2) 2" xfId="436"/>
    <cellStyle name="PrePop Units (0)" xfId="437"/>
    <cellStyle name="PrePop Units (0) 2" xfId="438"/>
    <cellStyle name="PrePop Units (1)" xfId="439"/>
    <cellStyle name="PrePop Units (1) 2" xfId="440"/>
    <cellStyle name="PrePop Units (2)" xfId="441"/>
    <cellStyle name="PrePop Units (2) 2" xfId="442"/>
    <cellStyle name="PriceTo3DecPlaces" xfId="443"/>
    <cellStyle name="PriceWithBorderAround" xfId="444"/>
    <cellStyle name="PRICING" xfId="445"/>
    <cellStyle name="Product Header" xfId="446"/>
    <cellStyle name="PSChar" xfId="447"/>
    <cellStyle name="PSHeading" xfId="448"/>
    <cellStyle name="r" xfId="449"/>
    <cellStyle name="r_pldt" xfId="450"/>
    <cellStyle name="ReportLeftHeader" xfId="451"/>
    <cellStyle name="ReportRightHeader" xfId="452"/>
    <cellStyle name="results" xfId="453"/>
    <cellStyle name="RevList" xfId="454"/>
    <cellStyle name="RVRQueryHandle" xfId="455"/>
    <cellStyle name="Section" xfId="456"/>
    <cellStyle name="SecuritiesPricingTable" xfId="457"/>
    <cellStyle name="SecuritiesPricingTableFinalData" xfId="458"/>
    <cellStyle name="SecuritiesPricingTableManualData" xfId="459"/>
    <cellStyle name="SecuritiesPricingTableText" xfId="460"/>
    <cellStyle name="Short $" xfId="461"/>
    <cellStyle name="Short $ 2" xfId="462"/>
    <cellStyle name="SIZE" xfId="463"/>
    <cellStyle name="Standard_Swaps-Bonds-Blending" xfId="464"/>
    <cellStyle name="Style 1" xfId="465"/>
    <cellStyle name="StyleSecuritiesPricingTableInteger" xfId="466"/>
    <cellStyle name="Subheading" xfId="467"/>
    <cellStyle name="subtitle" xfId="468"/>
    <cellStyle name="Subtotal" xfId="469"/>
    <cellStyle name="Table" xfId="470"/>
    <cellStyle name="Tablebody" xfId="471"/>
    <cellStyle name="TablebodyDate" xfId="472"/>
    <cellStyle name="TablebodyHeading" xfId="473"/>
    <cellStyle name="TablebodyOutstandingAmount" xfId="474"/>
    <cellStyle name="TablebodyPercent" xfId="475"/>
    <cellStyle name="TablebodyPrice" xfId="476"/>
    <cellStyle name="TablebodyReverse" xfId="477"/>
    <cellStyle name="TablebodySpread" xfId="478"/>
    <cellStyle name="TablebodySpreadBorder" xfId="479"/>
    <cellStyle name="TablebodyText" xfId="480"/>
    <cellStyle name="Tableheading" xfId="481"/>
    <cellStyle name="Text" xfId="482"/>
    <cellStyle name="Text 2" xfId="483"/>
    <cellStyle name="Text Indent A" xfId="484"/>
    <cellStyle name="Text Indent B" xfId="485"/>
    <cellStyle name="Text Indent B 2" xfId="486"/>
    <cellStyle name="Text Indent C" xfId="487"/>
    <cellStyle name="Text Indent C 2" xfId="488"/>
    <cellStyle name="TextStyle" xfId="489"/>
    <cellStyle name="tic display" xfId="490"/>
    <cellStyle name="tic input" xfId="491"/>
    <cellStyle name="Title - Underline" xfId="492"/>
    <cellStyle name="Title 2" xfId="493"/>
    <cellStyle name="Title 3" xfId="494"/>
    <cellStyle name="Title 4" xfId="495"/>
    <cellStyle name="Title 5" xfId="496"/>
    <cellStyle name="Title 6" xfId="497"/>
    <cellStyle name="Title 7" xfId="498"/>
    <cellStyle name="Title Calculations" xfId="499"/>
    <cellStyle name="Title Calculations 2" xfId="500"/>
    <cellStyle name="Title Calculations 2 2" xfId="719"/>
    <cellStyle name="Title Calculations_Primary vs Secondary Spread Oct 3" xfId="720"/>
    <cellStyle name="Title Indicative" xfId="501"/>
    <cellStyle name="Title Indicative 2" xfId="502"/>
    <cellStyle name="Title Indicative 2 2" xfId="721"/>
    <cellStyle name="Title Indicative_Primary vs Secondary Spread Oct 3" xfId="722"/>
    <cellStyle name="Title Pricing Assumptions" xfId="503"/>
    <cellStyle name="Title Pricing Assumptions 10" xfId="723"/>
    <cellStyle name="Title Pricing Assumptions 10 2" xfId="724"/>
    <cellStyle name="Title Pricing Assumptions 10 2 2" xfId="725"/>
    <cellStyle name="Title Pricing Assumptions 10 2_Primary vs Secondary Spread Oct 3" xfId="726"/>
    <cellStyle name="Title Pricing Assumptions 10 3" xfId="727"/>
    <cellStyle name="Title Pricing Assumptions 10 4" xfId="728"/>
    <cellStyle name="Title Pricing Assumptions 10 5" xfId="729"/>
    <cellStyle name="Title Pricing Assumptions 10_Primary vs Secondary Spread Oct 3" xfId="730"/>
    <cellStyle name="Title Pricing Assumptions 11" xfId="731"/>
    <cellStyle name="Title Pricing Assumptions 11 2" xfId="732"/>
    <cellStyle name="Title Pricing Assumptions 11_Primary vs Secondary Spread Oct 3" xfId="733"/>
    <cellStyle name="Title Pricing Assumptions 12" xfId="734"/>
    <cellStyle name="Title Pricing Assumptions 12 2" xfId="735"/>
    <cellStyle name="Title Pricing Assumptions 12_Primary vs Secondary Spread Oct 3" xfId="736"/>
    <cellStyle name="Title Pricing Assumptions 13" xfId="737"/>
    <cellStyle name="Title Pricing Assumptions 14" xfId="738"/>
    <cellStyle name="Title Pricing Assumptions 15" xfId="739"/>
    <cellStyle name="Title Pricing Assumptions 2" xfId="504"/>
    <cellStyle name="Title Pricing Assumptions 2 2" xfId="505"/>
    <cellStyle name="Title Pricing Assumptions 2 3" xfId="506"/>
    <cellStyle name="Title Pricing Assumptions 3" xfId="507"/>
    <cellStyle name="Title Pricing Assumptions 3 10" xfId="740"/>
    <cellStyle name="Title Pricing Assumptions 3 10 2" xfId="741"/>
    <cellStyle name="Title Pricing Assumptions 3 10_Primary vs Secondary Spread Oct 3" xfId="742"/>
    <cellStyle name="Title Pricing Assumptions 3 11" xfId="743"/>
    <cellStyle name="Title Pricing Assumptions 3 12" xfId="744"/>
    <cellStyle name="Title Pricing Assumptions 3 12 8" xfId="508"/>
    <cellStyle name="Title Pricing Assumptions 3 2" xfId="745"/>
    <cellStyle name="Title Pricing Assumptions 3 2 2" xfId="746"/>
    <cellStyle name="Title Pricing Assumptions 3 2 2 2" xfId="747"/>
    <cellStyle name="Title Pricing Assumptions 3 2 2 2 2" xfId="748"/>
    <cellStyle name="Title Pricing Assumptions 3 2 2 2_Primary vs Secondary Spread Oct 3" xfId="749"/>
    <cellStyle name="Title Pricing Assumptions 3 2 2 3" xfId="750"/>
    <cellStyle name="Title Pricing Assumptions 3 2 2 4" xfId="751"/>
    <cellStyle name="Title Pricing Assumptions 3 2 2 5" xfId="752"/>
    <cellStyle name="Title Pricing Assumptions 3 2 2_Primary vs Secondary Spread Oct 3" xfId="753"/>
    <cellStyle name="Title Pricing Assumptions 3 2 3" xfId="754"/>
    <cellStyle name="Title Pricing Assumptions 3 2 3 2" xfId="755"/>
    <cellStyle name="Title Pricing Assumptions 3 2 3 2 2" xfId="756"/>
    <cellStyle name="Title Pricing Assumptions 3 2 3 2_Primary vs Secondary Spread Oct 3" xfId="757"/>
    <cellStyle name="Title Pricing Assumptions 3 2 3 3" xfId="758"/>
    <cellStyle name="Title Pricing Assumptions 3 2 3 4" xfId="759"/>
    <cellStyle name="Title Pricing Assumptions 3 2 3 5" xfId="760"/>
    <cellStyle name="Title Pricing Assumptions 3 2 3_Primary vs Secondary Spread Oct 3" xfId="761"/>
    <cellStyle name="Title Pricing Assumptions 3 2 4" xfId="762"/>
    <cellStyle name="Title Pricing Assumptions 3 2 4 2" xfId="763"/>
    <cellStyle name="Title Pricing Assumptions 3 2 4 2 2" xfId="764"/>
    <cellStyle name="Title Pricing Assumptions 3 2 4 2_Primary vs Secondary Spread Oct 3" xfId="765"/>
    <cellStyle name="Title Pricing Assumptions 3 2 4 3" xfId="766"/>
    <cellStyle name="Title Pricing Assumptions 3 2 4 4" xfId="767"/>
    <cellStyle name="Title Pricing Assumptions 3 2 4 5" xfId="768"/>
    <cellStyle name="Title Pricing Assumptions 3 2 4_Primary vs Secondary Spread Oct 3" xfId="769"/>
    <cellStyle name="Title Pricing Assumptions 3 2 5" xfId="770"/>
    <cellStyle name="Title Pricing Assumptions 3 2 5 2" xfId="771"/>
    <cellStyle name="Title Pricing Assumptions 3 2 5_Primary vs Secondary Spread Oct 3" xfId="772"/>
    <cellStyle name="Title Pricing Assumptions 3 2 6" xfId="773"/>
    <cellStyle name="Title Pricing Assumptions 3 2 6 2" xfId="774"/>
    <cellStyle name="Title Pricing Assumptions 3 2 6_Primary vs Secondary Spread Oct 3" xfId="775"/>
    <cellStyle name="Title Pricing Assumptions 3 2 7" xfId="776"/>
    <cellStyle name="Title Pricing Assumptions 3 2 8" xfId="777"/>
    <cellStyle name="Title Pricing Assumptions 3 2_Primary vs Secondary Spread Oct 3" xfId="778"/>
    <cellStyle name="Title Pricing Assumptions 3 3" xfId="779"/>
    <cellStyle name="Title Pricing Assumptions 3 3 2" xfId="780"/>
    <cellStyle name="Title Pricing Assumptions 3 3 2 2" xfId="781"/>
    <cellStyle name="Title Pricing Assumptions 3 3 2 2 2" xfId="782"/>
    <cellStyle name="Title Pricing Assumptions 3 3 2 2_Primary vs Secondary Spread Oct 3" xfId="783"/>
    <cellStyle name="Title Pricing Assumptions 3 3 2 3" xfId="784"/>
    <cellStyle name="Title Pricing Assumptions 3 3 2 4" xfId="785"/>
    <cellStyle name="Title Pricing Assumptions 3 3 2 5" xfId="786"/>
    <cellStyle name="Title Pricing Assumptions 3 3 2_Primary vs Secondary Spread Oct 3" xfId="787"/>
    <cellStyle name="Title Pricing Assumptions 3 3 3" xfId="788"/>
    <cellStyle name="Title Pricing Assumptions 3 3 3 2" xfId="789"/>
    <cellStyle name="Title Pricing Assumptions 3 3 3 2 2" xfId="790"/>
    <cellStyle name="Title Pricing Assumptions 3 3 3 2_Primary vs Secondary Spread Oct 3" xfId="791"/>
    <cellStyle name="Title Pricing Assumptions 3 3 3 3" xfId="792"/>
    <cellStyle name="Title Pricing Assumptions 3 3 3 4" xfId="793"/>
    <cellStyle name="Title Pricing Assumptions 3 3 3 5" xfId="794"/>
    <cellStyle name="Title Pricing Assumptions 3 3 3_Primary vs Secondary Spread Oct 3" xfId="795"/>
    <cellStyle name="Title Pricing Assumptions 3 3 4" xfId="796"/>
    <cellStyle name="Title Pricing Assumptions 3 3 4 2" xfId="797"/>
    <cellStyle name="Title Pricing Assumptions 3 3 4 2 2" xfId="798"/>
    <cellStyle name="Title Pricing Assumptions 3 3 4 2_Primary vs Secondary Spread Oct 3" xfId="799"/>
    <cellStyle name="Title Pricing Assumptions 3 3 4 3" xfId="800"/>
    <cellStyle name="Title Pricing Assumptions 3 3 4 4" xfId="801"/>
    <cellStyle name="Title Pricing Assumptions 3 3 4 5" xfId="802"/>
    <cellStyle name="Title Pricing Assumptions 3 3 4_Primary vs Secondary Spread Oct 3" xfId="803"/>
    <cellStyle name="Title Pricing Assumptions 3 3 5" xfId="804"/>
    <cellStyle name="Title Pricing Assumptions 3 3 5 2" xfId="805"/>
    <cellStyle name="Title Pricing Assumptions 3 3 5_Primary vs Secondary Spread Oct 3" xfId="806"/>
    <cellStyle name="Title Pricing Assumptions 3 3 6" xfId="807"/>
    <cellStyle name="Title Pricing Assumptions 3 3 6 2" xfId="808"/>
    <cellStyle name="Title Pricing Assumptions 3 3 6_Primary vs Secondary Spread Oct 3" xfId="809"/>
    <cellStyle name="Title Pricing Assumptions 3 3 7" xfId="810"/>
    <cellStyle name="Title Pricing Assumptions 3 3 8" xfId="811"/>
    <cellStyle name="Title Pricing Assumptions 3 3_Primary vs Secondary Spread Oct 3" xfId="812"/>
    <cellStyle name="Title Pricing Assumptions 3 4" xfId="813"/>
    <cellStyle name="Title Pricing Assumptions 3 4 2" xfId="814"/>
    <cellStyle name="Title Pricing Assumptions 3 4 2 2" xfId="815"/>
    <cellStyle name="Title Pricing Assumptions 3 4 2 2 2" xfId="816"/>
    <cellStyle name="Title Pricing Assumptions 3 4 2 2_Primary vs Secondary Spread Oct 3" xfId="817"/>
    <cellStyle name="Title Pricing Assumptions 3 4 2 3" xfId="818"/>
    <cellStyle name="Title Pricing Assumptions 3 4 2 4" xfId="819"/>
    <cellStyle name="Title Pricing Assumptions 3 4 2 5" xfId="820"/>
    <cellStyle name="Title Pricing Assumptions 3 4 2_Primary vs Secondary Spread Oct 3" xfId="821"/>
    <cellStyle name="Title Pricing Assumptions 3 4 3" xfId="822"/>
    <cellStyle name="Title Pricing Assumptions 3 4 3 2" xfId="823"/>
    <cellStyle name="Title Pricing Assumptions 3 4 3 2 2" xfId="824"/>
    <cellStyle name="Title Pricing Assumptions 3 4 3 2_Primary vs Secondary Spread Oct 3" xfId="825"/>
    <cellStyle name="Title Pricing Assumptions 3 4 3 3" xfId="826"/>
    <cellStyle name="Title Pricing Assumptions 3 4 3 4" xfId="827"/>
    <cellStyle name="Title Pricing Assumptions 3 4 3 5" xfId="828"/>
    <cellStyle name="Title Pricing Assumptions 3 4 3_Primary vs Secondary Spread Oct 3" xfId="829"/>
    <cellStyle name="Title Pricing Assumptions 3 4 4" xfId="830"/>
    <cellStyle name="Title Pricing Assumptions 3 4 4 2" xfId="831"/>
    <cellStyle name="Title Pricing Assumptions 3 4 4 2 2" xfId="832"/>
    <cellStyle name="Title Pricing Assumptions 3 4 4 2_Primary vs Secondary Spread Oct 3" xfId="833"/>
    <cellStyle name="Title Pricing Assumptions 3 4 4 3" xfId="834"/>
    <cellStyle name="Title Pricing Assumptions 3 4 4 4" xfId="835"/>
    <cellStyle name="Title Pricing Assumptions 3 4 4 5" xfId="836"/>
    <cellStyle name="Title Pricing Assumptions 3 4 4_Primary vs Secondary Spread Oct 3" xfId="837"/>
    <cellStyle name="Title Pricing Assumptions 3 4 5" xfId="838"/>
    <cellStyle name="Title Pricing Assumptions 3 4 5 2" xfId="839"/>
    <cellStyle name="Title Pricing Assumptions 3 4 5_Primary vs Secondary Spread Oct 3" xfId="840"/>
    <cellStyle name="Title Pricing Assumptions 3 4 6" xfId="841"/>
    <cellStyle name="Title Pricing Assumptions 3 4 6 2" xfId="842"/>
    <cellStyle name="Title Pricing Assumptions 3 4 6_Primary vs Secondary Spread Oct 3" xfId="843"/>
    <cellStyle name="Title Pricing Assumptions 3 4 7" xfId="844"/>
    <cellStyle name="Title Pricing Assumptions 3 4 8" xfId="845"/>
    <cellStyle name="Title Pricing Assumptions 3 4_Primary vs Secondary Spread Oct 3" xfId="846"/>
    <cellStyle name="Title Pricing Assumptions 3 5" xfId="847"/>
    <cellStyle name="Title Pricing Assumptions 3 5 2" xfId="848"/>
    <cellStyle name="Title Pricing Assumptions 3 5 2 2" xfId="849"/>
    <cellStyle name="Title Pricing Assumptions 3 5 2 2 2" xfId="850"/>
    <cellStyle name="Title Pricing Assumptions 3 5 2 2_Primary vs Secondary Spread Oct 3" xfId="851"/>
    <cellStyle name="Title Pricing Assumptions 3 5 2 3" xfId="852"/>
    <cellStyle name="Title Pricing Assumptions 3 5 2 4" xfId="853"/>
    <cellStyle name="Title Pricing Assumptions 3 5 2 5" xfId="854"/>
    <cellStyle name="Title Pricing Assumptions 3 5 2_Primary vs Secondary Spread Oct 3" xfId="855"/>
    <cellStyle name="Title Pricing Assumptions 3 5 3" xfId="856"/>
    <cellStyle name="Title Pricing Assumptions 3 5 3 2" xfId="857"/>
    <cellStyle name="Title Pricing Assumptions 3 5 3 2 2" xfId="858"/>
    <cellStyle name="Title Pricing Assumptions 3 5 3 2_Primary vs Secondary Spread Oct 3" xfId="859"/>
    <cellStyle name="Title Pricing Assumptions 3 5 3 3" xfId="860"/>
    <cellStyle name="Title Pricing Assumptions 3 5 3 4" xfId="861"/>
    <cellStyle name="Title Pricing Assumptions 3 5 3 5" xfId="862"/>
    <cellStyle name="Title Pricing Assumptions 3 5 3_Primary vs Secondary Spread Oct 3" xfId="863"/>
    <cellStyle name="Title Pricing Assumptions 3 5 4" xfId="864"/>
    <cellStyle name="Title Pricing Assumptions 3 5 4 2" xfId="865"/>
    <cellStyle name="Title Pricing Assumptions 3 5 4_Primary vs Secondary Spread Oct 3" xfId="866"/>
    <cellStyle name="Title Pricing Assumptions 3 5 5" xfId="867"/>
    <cellStyle name="Title Pricing Assumptions 3 5 5 2" xfId="868"/>
    <cellStyle name="Title Pricing Assumptions 3 5 5_Primary vs Secondary Spread Oct 3" xfId="869"/>
    <cellStyle name="Title Pricing Assumptions 3 5 6" xfId="870"/>
    <cellStyle name="Title Pricing Assumptions 3 5 7" xfId="871"/>
    <cellStyle name="Title Pricing Assumptions 3 5_Primary vs Secondary Spread Oct 3" xfId="872"/>
    <cellStyle name="Title Pricing Assumptions 3 6" xfId="873"/>
    <cellStyle name="Title Pricing Assumptions 3 6 2" xfId="874"/>
    <cellStyle name="Title Pricing Assumptions 3 6 2 2" xfId="875"/>
    <cellStyle name="Title Pricing Assumptions 3 6 2_Primary vs Secondary Spread Oct 3" xfId="876"/>
    <cellStyle name="Title Pricing Assumptions 3 6 3" xfId="877"/>
    <cellStyle name="Title Pricing Assumptions 3 6 4" xfId="878"/>
    <cellStyle name="Title Pricing Assumptions 3 6 4 2 8" xfId="509"/>
    <cellStyle name="Title Pricing Assumptions 3 6 5" xfId="879"/>
    <cellStyle name="Title Pricing Assumptions 3 6_Primary vs Secondary Spread Oct 3" xfId="880"/>
    <cellStyle name="Title Pricing Assumptions 3 7" xfId="881"/>
    <cellStyle name="Title Pricing Assumptions 3 7 2" xfId="882"/>
    <cellStyle name="Title Pricing Assumptions 3 7 2 2" xfId="883"/>
    <cellStyle name="Title Pricing Assumptions 3 7 2_Primary vs Secondary Spread Oct 3" xfId="884"/>
    <cellStyle name="Title Pricing Assumptions 3 7 3" xfId="885"/>
    <cellStyle name="Title Pricing Assumptions 3 7 4" xfId="886"/>
    <cellStyle name="Title Pricing Assumptions 3 7 5" xfId="887"/>
    <cellStyle name="Title Pricing Assumptions 3 7_Primary vs Secondary Spread Oct 3" xfId="888"/>
    <cellStyle name="Title Pricing Assumptions 3 8" xfId="889"/>
    <cellStyle name="Title Pricing Assumptions 3 8 2" xfId="890"/>
    <cellStyle name="Title Pricing Assumptions 3 8 2 2" xfId="891"/>
    <cellStyle name="Title Pricing Assumptions 3 8 2_Primary vs Secondary Spread Oct 3" xfId="892"/>
    <cellStyle name="Title Pricing Assumptions 3 8 3" xfId="893"/>
    <cellStyle name="Title Pricing Assumptions 3 8 4" xfId="894"/>
    <cellStyle name="Title Pricing Assumptions 3 8 5" xfId="895"/>
    <cellStyle name="Title Pricing Assumptions 3 8_Primary vs Secondary Spread Oct 3" xfId="896"/>
    <cellStyle name="Title Pricing Assumptions 3 9" xfId="897"/>
    <cellStyle name="Title Pricing Assumptions 3 9 2" xfId="898"/>
    <cellStyle name="Title Pricing Assumptions 3 9_Primary vs Secondary Spread Oct 3" xfId="899"/>
    <cellStyle name="Title Pricing Assumptions 3_Primary vs Secondary Spread Oct 3" xfId="900"/>
    <cellStyle name="Title Pricing Assumptions 4" xfId="901"/>
    <cellStyle name="Title Pricing Assumptions 4 2" xfId="902"/>
    <cellStyle name="Title Pricing Assumptions 4 2 2" xfId="903"/>
    <cellStyle name="Title Pricing Assumptions 4 2 2 2" xfId="904"/>
    <cellStyle name="Title Pricing Assumptions 4 2 2_Primary vs Secondary Spread Oct 3" xfId="905"/>
    <cellStyle name="Title Pricing Assumptions 4 2 3" xfId="906"/>
    <cellStyle name="Title Pricing Assumptions 4 2 4" xfId="907"/>
    <cellStyle name="Title Pricing Assumptions 4 2 5" xfId="908"/>
    <cellStyle name="Title Pricing Assumptions 4 2_Primary vs Secondary Spread Oct 3" xfId="909"/>
    <cellStyle name="Title Pricing Assumptions 4 3" xfId="910"/>
    <cellStyle name="Title Pricing Assumptions 4 3 2" xfId="911"/>
    <cellStyle name="Title Pricing Assumptions 4 3 2 2" xfId="912"/>
    <cellStyle name="Title Pricing Assumptions 4 3 2_Primary vs Secondary Spread Oct 3" xfId="913"/>
    <cellStyle name="Title Pricing Assumptions 4 3 3" xfId="914"/>
    <cellStyle name="Title Pricing Assumptions 4 3 4" xfId="915"/>
    <cellStyle name="Title Pricing Assumptions 4 3 5" xfId="916"/>
    <cellStyle name="Title Pricing Assumptions 4 3_Primary vs Secondary Spread Oct 3" xfId="917"/>
    <cellStyle name="Title Pricing Assumptions 4 4" xfId="918"/>
    <cellStyle name="Title Pricing Assumptions 4 4 2" xfId="919"/>
    <cellStyle name="Title Pricing Assumptions 4 4 2 2" xfId="920"/>
    <cellStyle name="Title Pricing Assumptions 4 4 2_Primary vs Secondary Spread Oct 3" xfId="921"/>
    <cellStyle name="Title Pricing Assumptions 4 4 3" xfId="922"/>
    <cellStyle name="Title Pricing Assumptions 4 4 4" xfId="923"/>
    <cellStyle name="Title Pricing Assumptions 4 4 5" xfId="924"/>
    <cellStyle name="Title Pricing Assumptions 4 4_Primary vs Secondary Spread Oct 3" xfId="925"/>
    <cellStyle name="Title Pricing Assumptions 4 5" xfId="926"/>
    <cellStyle name="Title Pricing Assumptions 4 5 2" xfId="927"/>
    <cellStyle name="Title Pricing Assumptions 4 5_Primary vs Secondary Spread Oct 3" xfId="928"/>
    <cellStyle name="Title Pricing Assumptions 4 6" xfId="929"/>
    <cellStyle name="Title Pricing Assumptions 4 6 2" xfId="930"/>
    <cellStyle name="Title Pricing Assumptions 4 6_Primary vs Secondary Spread Oct 3" xfId="931"/>
    <cellStyle name="Title Pricing Assumptions 4 7" xfId="932"/>
    <cellStyle name="Title Pricing Assumptions 4 8" xfId="933"/>
    <cellStyle name="Title Pricing Assumptions 4_Primary vs Secondary Spread Oct 3" xfId="934"/>
    <cellStyle name="Title Pricing Assumptions 5" xfId="935"/>
    <cellStyle name="Title Pricing Assumptions 5 2" xfId="936"/>
    <cellStyle name="Title Pricing Assumptions 5 2 2" xfId="937"/>
    <cellStyle name="Title Pricing Assumptions 5 2 2 2" xfId="938"/>
    <cellStyle name="Title Pricing Assumptions 5 2 2_Primary vs Secondary Spread Oct 3" xfId="939"/>
    <cellStyle name="Title Pricing Assumptions 5 2 3" xfId="940"/>
    <cellStyle name="Title Pricing Assumptions 5 2 4" xfId="941"/>
    <cellStyle name="Title Pricing Assumptions 5 2 5" xfId="942"/>
    <cellStyle name="Title Pricing Assumptions 5 2_Primary vs Secondary Spread Oct 3" xfId="943"/>
    <cellStyle name="Title Pricing Assumptions 5 3" xfId="944"/>
    <cellStyle name="Title Pricing Assumptions 5 3 2" xfId="945"/>
    <cellStyle name="Title Pricing Assumptions 5 3 2 2" xfId="946"/>
    <cellStyle name="Title Pricing Assumptions 5 3 2_Primary vs Secondary Spread Oct 3" xfId="947"/>
    <cellStyle name="Title Pricing Assumptions 5 3 3" xfId="948"/>
    <cellStyle name="Title Pricing Assumptions 5 3 4" xfId="949"/>
    <cellStyle name="Title Pricing Assumptions 5 3 5" xfId="950"/>
    <cellStyle name="Title Pricing Assumptions 5 3_Primary vs Secondary Spread Oct 3" xfId="951"/>
    <cellStyle name="Title Pricing Assumptions 5 4" xfId="952"/>
    <cellStyle name="Title Pricing Assumptions 5 4 2" xfId="953"/>
    <cellStyle name="Title Pricing Assumptions 5 4 2 2" xfId="954"/>
    <cellStyle name="Title Pricing Assumptions 5 4 2_Primary vs Secondary Spread Oct 3" xfId="955"/>
    <cellStyle name="Title Pricing Assumptions 5 4 3" xfId="956"/>
    <cellStyle name="Title Pricing Assumptions 5 4 4" xfId="957"/>
    <cellStyle name="Title Pricing Assumptions 5 4 5" xfId="958"/>
    <cellStyle name="Title Pricing Assumptions 5 4_Primary vs Secondary Spread Oct 3" xfId="959"/>
    <cellStyle name="Title Pricing Assumptions 5 5" xfId="960"/>
    <cellStyle name="Title Pricing Assumptions 5 5 2" xfId="961"/>
    <cellStyle name="Title Pricing Assumptions 5 5_Primary vs Secondary Spread Oct 3" xfId="962"/>
    <cellStyle name="Title Pricing Assumptions 5 6" xfId="963"/>
    <cellStyle name="Title Pricing Assumptions 5 6 2" xfId="964"/>
    <cellStyle name="Title Pricing Assumptions 5 6_Primary vs Secondary Spread Oct 3" xfId="965"/>
    <cellStyle name="Title Pricing Assumptions 5 7" xfId="966"/>
    <cellStyle name="Title Pricing Assumptions 5 8" xfId="967"/>
    <cellStyle name="Title Pricing Assumptions 5_Primary vs Secondary Spread Oct 3" xfId="968"/>
    <cellStyle name="Title Pricing Assumptions 6" xfId="969"/>
    <cellStyle name="Title Pricing Assumptions 6 2" xfId="970"/>
    <cellStyle name="Title Pricing Assumptions 6 2 2" xfId="971"/>
    <cellStyle name="Title Pricing Assumptions 6 2 2 2" xfId="972"/>
    <cellStyle name="Title Pricing Assumptions 6 2 2_Primary vs Secondary Spread Oct 3" xfId="973"/>
    <cellStyle name="Title Pricing Assumptions 6 2 3" xfId="974"/>
    <cellStyle name="Title Pricing Assumptions 6 2 4" xfId="975"/>
    <cellStyle name="Title Pricing Assumptions 6 2 5" xfId="976"/>
    <cellStyle name="Title Pricing Assumptions 6 2_Primary vs Secondary Spread Oct 3" xfId="977"/>
    <cellStyle name="Title Pricing Assumptions 6 3" xfId="978"/>
    <cellStyle name="Title Pricing Assumptions 6 3 2" xfId="979"/>
    <cellStyle name="Title Pricing Assumptions 6 3 2 2" xfId="980"/>
    <cellStyle name="Title Pricing Assumptions 6 3 2_Primary vs Secondary Spread Oct 3" xfId="981"/>
    <cellStyle name="Title Pricing Assumptions 6 3 3" xfId="982"/>
    <cellStyle name="Title Pricing Assumptions 6 3 4" xfId="983"/>
    <cellStyle name="Title Pricing Assumptions 6 3_Primary vs Secondary Spread Oct 3" xfId="984"/>
    <cellStyle name="Title Pricing Assumptions 6 4" xfId="985"/>
    <cellStyle name="Title Pricing Assumptions 6 4 2" xfId="986"/>
    <cellStyle name="Title Pricing Assumptions 6 4 2 2" xfId="987"/>
    <cellStyle name="Title Pricing Assumptions 6 4 2_Primary vs Secondary Spread Oct 3" xfId="988"/>
    <cellStyle name="Title Pricing Assumptions 6 4 3" xfId="989"/>
    <cellStyle name="Title Pricing Assumptions 6 4 4" xfId="990"/>
    <cellStyle name="Title Pricing Assumptions 6 4 5" xfId="991"/>
    <cellStyle name="Title Pricing Assumptions 6 4_Primary vs Secondary Spread Oct 3" xfId="992"/>
    <cellStyle name="Title Pricing Assumptions 6 5" xfId="993"/>
    <cellStyle name="Title Pricing Assumptions 6 5 2" xfId="994"/>
    <cellStyle name="Title Pricing Assumptions 6 5_Primary vs Secondary Spread Oct 3" xfId="995"/>
    <cellStyle name="Title Pricing Assumptions 6 6" xfId="996"/>
    <cellStyle name="Title Pricing Assumptions 6 6 2" xfId="997"/>
    <cellStyle name="Title Pricing Assumptions 6 6_Primary vs Secondary Spread Oct 3" xfId="998"/>
    <cellStyle name="Title Pricing Assumptions 6 7" xfId="999"/>
    <cellStyle name="Title Pricing Assumptions 6 8" xfId="1000"/>
    <cellStyle name="Title Pricing Assumptions 6_Primary vs Secondary Spread Oct 3" xfId="1001"/>
    <cellStyle name="Title Pricing Assumptions 7" xfId="1002"/>
    <cellStyle name="Title Pricing Assumptions 7 2" xfId="1003"/>
    <cellStyle name="Title Pricing Assumptions 7 2 2" xfId="1004"/>
    <cellStyle name="Title Pricing Assumptions 7 2 2 2" xfId="1005"/>
    <cellStyle name="Title Pricing Assumptions 7 2 2_Primary vs Secondary Spread Oct 3" xfId="1006"/>
    <cellStyle name="Title Pricing Assumptions 7 2 3" xfId="1007"/>
    <cellStyle name="Title Pricing Assumptions 7 2 4" xfId="1008"/>
    <cellStyle name="Title Pricing Assumptions 7 2 5" xfId="1009"/>
    <cellStyle name="Title Pricing Assumptions 7 2_Primary vs Secondary Spread Oct 3" xfId="1010"/>
    <cellStyle name="Title Pricing Assumptions 7 3" xfId="1011"/>
    <cellStyle name="Title Pricing Assumptions 7 3 2" xfId="1012"/>
    <cellStyle name="Title Pricing Assumptions 7 3 2 2" xfId="1013"/>
    <cellStyle name="Title Pricing Assumptions 7 3 2_Primary vs Secondary Spread Oct 3" xfId="1014"/>
    <cellStyle name="Title Pricing Assumptions 7 3 3" xfId="1015"/>
    <cellStyle name="Title Pricing Assumptions 7 3 4" xfId="1016"/>
    <cellStyle name="Title Pricing Assumptions 7 3 5" xfId="1017"/>
    <cellStyle name="Title Pricing Assumptions 7 3_Primary vs Secondary Spread Oct 3" xfId="1018"/>
    <cellStyle name="Title Pricing Assumptions 7 4" xfId="1019"/>
    <cellStyle name="Title Pricing Assumptions 7 4 2" xfId="1020"/>
    <cellStyle name="Title Pricing Assumptions 7 4_Primary vs Secondary Spread Oct 3" xfId="1021"/>
    <cellStyle name="Title Pricing Assumptions 7 5" xfId="1022"/>
    <cellStyle name="Title Pricing Assumptions 7 5 2" xfId="1023"/>
    <cellStyle name="Title Pricing Assumptions 7 5_Primary vs Secondary Spread Oct 3" xfId="1024"/>
    <cellStyle name="Title Pricing Assumptions 7 6" xfId="1025"/>
    <cellStyle name="Title Pricing Assumptions 7 7" xfId="1026"/>
    <cellStyle name="Title Pricing Assumptions 7_Primary vs Secondary Spread Oct 3" xfId="1027"/>
    <cellStyle name="Title Pricing Assumptions 8" xfId="1028"/>
    <cellStyle name="Title Pricing Assumptions 8 2" xfId="1029"/>
    <cellStyle name="Title Pricing Assumptions 8 2 2" xfId="1030"/>
    <cellStyle name="Title Pricing Assumptions 8 2_Primary vs Secondary Spread Oct 3" xfId="1031"/>
    <cellStyle name="Title Pricing Assumptions 8 3" xfId="1032"/>
    <cellStyle name="Title Pricing Assumptions 8 4" xfId="1033"/>
    <cellStyle name="Title Pricing Assumptions 8 5" xfId="1034"/>
    <cellStyle name="Title Pricing Assumptions 8_Primary vs Secondary Spread Oct 3" xfId="1035"/>
    <cellStyle name="Title Pricing Assumptions 9" xfId="1036"/>
    <cellStyle name="Title Pricing Assumptions 9 2" xfId="1037"/>
    <cellStyle name="Title Pricing Assumptions 9 2 2" xfId="1038"/>
    <cellStyle name="Title Pricing Assumptions 9 2_Primary vs Secondary Spread Oct 3" xfId="1039"/>
    <cellStyle name="Title Pricing Assumptions 9 3" xfId="1040"/>
    <cellStyle name="Title Pricing Assumptions 9 4" xfId="1041"/>
    <cellStyle name="Title Pricing Assumptions 9 5" xfId="1042"/>
    <cellStyle name="Title Pricing Assumptions 9_Primary vs Secondary Spread Oct 3" xfId="1043"/>
    <cellStyle name="Title Pricing Assumptions_Primary vs Secondary Spread Oct 3" xfId="1044"/>
    <cellStyle name="Titles - Other" xfId="510"/>
    <cellStyle name="Total 2" xfId="511"/>
    <cellStyle name="Total 2 2" xfId="512"/>
    <cellStyle name="Total 3" xfId="513"/>
    <cellStyle name="Total 4" xfId="514"/>
    <cellStyle name="Total 4 2" xfId="1045"/>
    <cellStyle name="Total 4_Primary vs Secondary Spread Oct 3" xfId="1046"/>
    <cellStyle name="Warning" xfId="515"/>
    <cellStyle name="Warning Text 2" xfId="516"/>
    <cellStyle name="Warning Text 3" xfId="517"/>
    <cellStyle name="Warning Text 4" xfId="518"/>
    <cellStyle name="Warning Text 5" xfId="1047"/>
    <cellStyle name="YB Calculations" xfId="519"/>
    <cellStyle name="YB Calculations 2" xfId="520"/>
    <cellStyle name="YB Calculations 2 2" xfId="1048"/>
    <cellStyle name="YB Curve" xfId="521"/>
    <cellStyle name="YB Indicative" xfId="522"/>
    <cellStyle name="YB Indicative 2" xfId="1049"/>
    <cellStyle name="YBINDIC" xfId="523"/>
    <cellStyle name="YBIOPOBE" xfId="524"/>
    <cellStyle name="YBPRICE" xfId="525"/>
    <cellStyle name="一般_原始檔案" xfId="526"/>
  </cellStyles>
  <dxfs count="107"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Medium9"/>
  <colors>
    <mruColors>
      <color rgb="FF2E398A"/>
      <color rgb="FF2E8A60"/>
      <color rgb="FFC7732D"/>
      <color rgb="FFAD275C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As Function of Rates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'Function Of Rate'!$E$16</c:f>
              <c:strCache>
                <c:ptCount val="1"/>
                <c:pt idx="0">
                  <c:v>Pool Level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circle"/>
            <c:size val="5"/>
            <c:spPr>
              <a:solidFill>
                <a:srgbClr val="2E398A"/>
              </a:solidFill>
            </c:spPr>
          </c:marker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3.26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Rate'!$F$16:$P$16</c:f>
              <c:numCache>
                <c:formatCode>0.00%</c:formatCode>
                <c:ptCount val="11"/>
                <c:pt idx="0">
                  <c:v>0.99534271101835481</c:v>
                </c:pt>
                <c:pt idx="1">
                  <c:v>0.99309084338869724</c:v>
                </c:pt>
                <c:pt idx="2">
                  <c:v>0.98032470607620636</c:v>
                </c:pt>
                <c:pt idx="3">
                  <c:v>0.92054525386511077</c:v>
                </c:pt>
                <c:pt idx="4">
                  <c:v>0.86780305961886917</c:v>
                </c:pt>
                <c:pt idx="5">
                  <c:v>0.82400633293325309</c:v>
                </c:pt>
                <c:pt idx="6">
                  <c:v>0.78087106650525595</c:v>
                </c:pt>
                <c:pt idx="7">
                  <c:v>0.71705357610031506</c:v>
                </c:pt>
                <c:pt idx="8">
                  <c:v>0.62254060055954819</c:v>
                </c:pt>
                <c:pt idx="9">
                  <c:v>0.55057294746074981</c:v>
                </c:pt>
                <c:pt idx="10">
                  <c:v>0.4815257429408441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'Function Of Rate'!$E$17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circle"/>
            <c:size val="5"/>
          </c:marker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3.26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Rate'!$F$17:$P$17</c:f>
              <c:numCache>
                <c:formatCode>0.00%</c:formatCode>
                <c:ptCount val="11"/>
                <c:pt idx="0">
                  <c:v>0.95796090605897977</c:v>
                </c:pt>
                <c:pt idx="1">
                  <c:v>0.9480466283384581</c:v>
                </c:pt>
                <c:pt idx="2">
                  <c:v>0.9204968692348956</c:v>
                </c:pt>
                <c:pt idx="3">
                  <c:v>0.88627091507150169</c:v>
                </c:pt>
                <c:pt idx="4">
                  <c:v>0.82971999708177202</c:v>
                </c:pt>
                <c:pt idx="5">
                  <c:v>0.76820710968905215</c:v>
                </c:pt>
                <c:pt idx="6">
                  <c:v>0.73025178030643412</c:v>
                </c:pt>
                <c:pt idx="7">
                  <c:v>0.65144160982525479</c:v>
                </c:pt>
                <c:pt idx="8">
                  <c:v>0.59174042770958979</c:v>
                </c:pt>
                <c:pt idx="9">
                  <c:v>0.51802081489105689</c:v>
                </c:pt>
                <c:pt idx="10">
                  <c:v>0.44995203652408217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'Function Of Rate'!$E$18</c:f>
              <c:strCache>
                <c:ptCount val="1"/>
                <c:pt idx="0">
                  <c:v>With Lowest Rate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circle"/>
            <c:size val="5"/>
            <c:spPr>
              <a:solidFill>
                <a:srgbClr val="2E8A60"/>
              </a:solidFill>
            </c:spPr>
          </c:marker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3.26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Rate'!$F$18:$P$18</c:f>
              <c:numCache>
                <c:formatCode>0.00%</c:formatCode>
                <c:ptCount val="11"/>
                <c:pt idx="0">
                  <c:v>0.95796090605897977</c:v>
                </c:pt>
                <c:pt idx="1">
                  <c:v>0.9480466283384581</c:v>
                </c:pt>
                <c:pt idx="2">
                  <c:v>0.9204968692348956</c:v>
                </c:pt>
                <c:pt idx="3">
                  <c:v>0.88627091507150169</c:v>
                </c:pt>
                <c:pt idx="4">
                  <c:v>0.82971999708177202</c:v>
                </c:pt>
                <c:pt idx="5">
                  <c:v>0.37030553917620573</c:v>
                </c:pt>
                <c:pt idx="6">
                  <c:v>0.31661918314072179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955200"/>
        <c:axId val="186258560"/>
      </c:lineChart>
      <c:catAx>
        <c:axId val="13995520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86258560"/>
        <c:crosses val="autoZero"/>
        <c:auto val="1"/>
        <c:lblAlgn val="ctr"/>
        <c:lblOffset val="100"/>
        <c:noMultiLvlLbl val="0"/>
      </c:catAx>
      <c:valAx>
        <c:axId val="186258560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39955200"/>
        <c:crossesAt val="1"/>
        <c:crossBetween val="midCat"/>
      </c:valAx>
      <c:spPr>
        <a:ln w="12700"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Historical Refinancible Universe vs Refi Index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Query!$E$2</c:f>
              <c:strCache>
                <c:ptCount val="1"/>
                <c:pt idx="0">
                  <c:v>With Lowest Rate</c:v>
                </c:pt>
              </c:strCache>
            </c:strRef>
          </c:tx>
          <c:spPr>
            <a:solidFill>
              <a:srgbClr val="C7732D"/>
            </a:solidFill>
            <a:ln>
              <a:noFill/>
            </a:ln>
          </c:spPr>
          <c:invertIfNegative val="0"/>
          <c:cat>
            <c:numRef>
              <c:f>Query!$B$3:$B$288</c:f>
              <c:numCache>
                <c:formatCode>m/d/yyyy</c:formatCode>
                <c:ptCount val="286"/>
                <c:pt idx="0">
                  <c:v>42544</c:v>
                </c:pt>
                <c:pt idx="1">
                  <c:v>42537</c:v>
                </c:pt>
                <c:pt idx="2">
                  <c:v>42530</c:v>
                </c:pt>
                <c:pt idx="3">
                  <c:v>42523</c:v>
                </c:pt>
                <c:pt idx="4">
                  <c:v>42516</c:v>
                </c:pt>
                <c:pt idx="5">
                  <c:v>42509</c:v>
                </c:pt>
                <c:pt idx="6">
                  <c:v>42502</c:v>
                </c:pt>
                <c:pt idx="7">
                  <c:v>42495</c:v>
                </c:pt>
                <c:pt idx="8">
                  <c:v>42488</c:v>
                </c:pt>
                <c:pt idx="9">
                  <c:v>42481</c:v>
                </c:pt>
                <c:pt idx="10">
                  <c:v>42474</c:v>
                </c:pt>
                <c:pt idx="11">
                  <c:v>42467</c:v>
                </c:pt>
                <c:pt idx="12">
                  <c:v>42460</c:v>
                </c:pt>
                <c:pt idx="13">
                  <c:v>42453</c:v>
                </c:pt>
                <c:pt idx="14">
                  <c:v>42446</c:v>
                </c:pt>
                <c:pt idx="15">
                  <c:v>42439</c:v>
                </c:pt>
                <c:pt idx="16">
                  <c:v>42432</c:v>
                </c:pt>
                <c:pt idx="17">
                  <c:v>42425</c:v>
                </c:pt>
                <c:pt idx="18">
                  <c:v>42418</c:v>
                </c:pt>
                <c:pt idx="19">
                  <c:v>42411</c:v>
                </c:pt>
                <c:pt idx="20">
                  <c:v>42404</c:v>
                </c:pt>
                <c:pt idx="21">
                  <c:v>42397</c:v>
                </c:pt>
                <c:pt idx="22">
                  <c:v>42390</c:v>
                </c:pt>
                <c:pt idx="23">
                  <c:v>42383</c:v>
                </c:pt>
                <c:pt idx="24">
                  <c:v>42376</c:v>
                </c:pt>
                <c:pt idx="25">
                  <c:v>42369</c:v>
                </c:pt>
                <c:pt idx="26">
                  <c:v>42362</c:v>
                </c:pt>
                <c:pt idx="27">
                  <c:v>42355</c:v>
                </c:pt>
                <c:pt idx="28">
                  <c:v>42348</c:v>
                </c:pt>
                <c:pt idx="29">
                  <c:v>42341</c:v>
                </c:pt>
                <c:pt idx="30">
                  <c:v>42333</c:v>
                </c:pt>
                <c:pt idx="31">
                  <c:v>42327</c:v>
                </c:pt>
                <c:pt idx="32">
                  <c:v>42320</c:v>
                </c:pt>
                <c:pt idx="33">
                  <c:v>42313</c:v>
                </c:pt>
                <c:pt idx="34">
                  <c:v>42306</c:v>
                </c:pt>
                <c:pt idx="35">
                  <c:v>42299</c:v>
                </c:pt>
                <c:pt idx="36">
                  <c:v>42292</c:v>
                </c:pt>
                <c:pt idx="37">
                  <c:v>42285</c:v>
                </c:pt>
                <c:pt idx="38">
                  <c:v>42278</c:v>
                </c:pt>
                <c:pt idx="39">
                  <c:v>42271</c:v>
                </c:pt>
                <c:pt idx="40">
                  <c:v>42264</c:v>
                </c:pt>
                <c:pt idx="41">
                  <c:v>42257</c:v>
                </c:pt>
                <c:pt idx="42">
                  <c:v>42250</c:v>
                </c:pt>
                <c:pt idx="43">
                  <c:v>42243</c:v>
                </c:pt>
                <c:pt idx="44">
                  <c:v>42236</c:v>
                </c:pt>
                <c:pt idx="45">
                  <c:v>42229</c:v>
                </c:pt>
                <c:pt idx="46">
                  <c:v>42222</c:v>
                </c:pt>
                <c:pt idx="47">
                  <c:v>42215</c:v>
                </c:pt>
                <c:pt idx="48">
                  <c:v>42208</c:v>
                </c:pt>
                <c:pt idx="49">
                  <c:v>42201</c:v>
                </c:pt>
                <c:pt idx="50">
                  <c:v>42194</c:v>
                </c:pt>
                <c:pt idx="51">
                  <c:v>42187</c:v>
                </c:pt>
                <c:pt idx="52">
                  <c:v>42180</c:v>
                </c:pt>
                <c:pt idx="53">
                  <c:v>42173</c:v>
                </c:pt>
                <c:pt idx="54">
                  <c:v>42166</c:v>
                </c:pt>
                <c:pt idx="55">
                  <c:v>42159</c:v>
                </c:pt>
                <c:pt idx="56">
                  <c:v>42152</c:v>
                </c:pt>
                <c:pt idx="57">
                  <c:v>42145</c:v>
                </c:pt>
                <c:pt idx="58">
                  <c:v>42138</c:v>
                </c:pt>
                <c:pt idx="59">
                  <c:v>42131</c:v>
                </c:pt>
                <c:pt idx="60">
                  <c:v>42124</c:v>
                </c:pt>
                <c:pt idx="61">
                  <c:v>42117</c:v>
                </c:pt>
                <c:pt idx="62">
                  <c:v>42110</c:v>
                </c:pt>
                <c:pt idx="63">
                  <c:v>42103</c:v>
                </c:pt>
                <c:pt idx="64">
                  <c:v>42096</c:v>
                </c:pt>
                <c:pt idx="65">
                  <c:v>42089</c:v>
                </c:pt>
                <c:pt idx="66">
                  <c:v>42082</c:v>
                </c:pt>
                <c:pt idx="67">
                  <c:v>42075</c:v>
                </c:pt>
                <c:pt idx="68">
                  <c:v>42068</c:v>
                </c:pt>
                <c:pt idx="69">
                  <c:v>42061</c:v>
                </c:pt>
                <c:pt idx="70">
                  <c:v>42054</c:v>
                </c:pt>
                <c:pt idx="71">
                  <c:v>42047</c:v>
                </c:pt>
                <c:pt idx="72">
                  <c:v>42040</c:v>
                </c:pt>
                <c:pt idx="73">
                  <c:v>42033</c:v>
                </c:pt>
                <c:pt idx="74">
                  <c:v>42026</c:v>
                </c:pt>
                <c:pt idx="75">
                  <c:v>42019</c:v>
                </c:pt>
                <c:pt idx="76">
                  <c:v>42012</c:v>
                </c:pt>
                <c:pt idx="77">
                  <c:v>42004</c:v>
                </c:pt>
                <c:pt idx="78">
                  <c:v>41997</c:v>
                </c:pt>
                <c:pt idx="79">
                  <c:v>41991</c:v>
                </c:pt>
                <c:pt idx="80">
                  <c:v>41984</c:v>
                </c:pt>
                <c:pt idx="81">
                  <c:v>41977</c:v>
                </c:pt>
                <c:pt idx="82">
                  <c:v>41969</c:v>
                </c:pt>
                <c:pt idx="83">
                  <c:v>41963</c:v>
                </c:pt>
                <c:pt idx="84">
                  <c:v>41956</c:v>
                </c:pt>
                <c:pt idx="85">
                  <c:v>41949</c:v>
                </c:pt>
                <c:pt idx="86">
                  <c:v>41942</c:v>
                </c:pt>
                <c:pt idx="87">
                  <c:v>41935</c:v>
                </c:pt>
                <c:pt idx="88">
                  <c:v>41928</c:v>
                </c:pt>
                <c:pt idx="89">
                  <c:v>41921</c:v>
                </c:pt>
                <c:pt idx="90">
                  <c:v>41914</c:v>
                </c:pt>
                <c:pt idx="91">
                  <c:v>41907</c:v>
                </c:pt>
                <c:pt idx="92">
                  <c:v>41900</c:v>
                </c:pt>
                <c:pt idx="93">
                  <c:v>41893</c:v>
                </c:pt>
                <c:pt idx="94">
                  <c:v>41886</c:v>
                </c:pt>
                <c:pt idx="95">
                  <c:v>41879</c:v>
                </c:pt>
                <c:pt idx="96">
                  <c:v>41872</c:v>
                </c:pt>
                <c:pt idx="97">
                  <c:v>41865</c:v>
                </c:pt>
                <c:pt idx="98">
                  <c:v>41858</c:v>
                </c:pt>
                <c:pt idx="99">
                  <c:v>41851</c:v>
                </c:pt>
                <c:pt idx="100">
                  <c:v>41844</c:v>
                </c:pt>
                <c:pt idx="101">
                  <c:v>41837</c:v>
                </c:pt>
                <c:pt idx="102">
                  <c:v>41830</c:v>
                </c:pt>
                <c:pt idx="103">
                  <c:v>41823</c:v>
                </c:pt>
                <c:pt idx="104">
                  <c:v>41816</c:v>
                </c:pt>
                <c:pt idx="105">
                  <c:v>41809</c:v>
                </c:pt>
                <c:pt idx="106">
                  <c:v>41802</c:v>
                </c:pt>
                <c:pt idx="107">
                  <c:v>41795</c:v>
                </c:pt>
                <c:pt idx="108">
                  <c:v>41788</c:v>
                </c:pt>
                <c:pt idx="109">
                  <c:v>41781</c:v>
                </c:pt>
                <c:pt idx="110">
                  <c:v>41774</c:v>
                </c:pt>
                <c:pt idx="111">
                  <c:v>41767</c:v>
                </c:pt>
                <c:pt idx="112">
                  <c:v>41760</c:v>
                </c:pt>
                <c:pt idx="113">
                  <c:v>41753</c:v>
                </c:pt>
                <c:pt idx="114">
                  <c:v>41746</c:v>
                </c:pt>
                <c:pt idx="115">
                  <c:v>41739</c:v>
                </c:pt>
                <c:pt idx="116">
                  <c:v>41732</c:v>
                </c:pt>
                <c:pt idx="117">
                  <c:v>41725</c:v>
                </c:pt>
                <c:pt idx="118">
                  <c:v>41718</c:v>
                </c:pt>
                <c:pt idx="119">
                  <c:v>41711</c:v>
                </c:pt>
                <c:pt idx="120">
                  <c:v>41704</c:v>
                </c:pt>
                <c:pt idx="121">
                  <c:v>41697</c:v>
                </c:pt>
                <c:pt idx="122">
                  <c:v>41690</c:v>
                </c:pt>
                <c:pt idx="123">
                  <c:v>41683</c:v>
                </c:pt>
                <c:pt idx="124">
                  <c:v>41676</c:v>
                </c:pt>
                <c:pt idx="125">
                  <c:v>41669</c:v>
                </c:pt>
                <c:pt idx="126">
                  <c:v>41662</c:v>
                </c:pt>
                <c:pt idx="127">
                  <c:v>41655</c:v>
                </c:pt>
                <c:pt idx="128">
                  <c:v>41648</c:v>
                </c:pt>
                <c:pt idx="129">
                  <c:v>41641</c:v>
                </c:pt>
                <c:pt idx="130">
                  <c:v>41634</c:v>
                </c:pt>
                <c:pt idx="131">
                  <c:v>41627</c:v>
                </c:pt>
                <c:pt idx="132">
                  <c:v>41620</c:v>
                </c:pt>
                <c:pt idx="133">
                  <c:v>41613</c:v>
                </c:pt>
                <c:pt idx="134">
                  <c:v>41605</c:v>
                </c:pt>
                <c:pt idx="135">
                  <c:v>41599</c:v>
                </c:pt>
                <c:pt idx="136">
                  <c:v>41592</c:v>
                </c:pt>
                <c:pt idx="137">
                  <c:v>41585</c:v>
                </c:pt>
                <c:pt idx="138">
                  <c:v>41578</c:v>
                </c:pt>
                <c:pt idx="139">
                  <c:v>41571</c:v>
                </c:pt>
                <c:pt idx="140">
                  <c:v>41564</c:v>
                </c:pt>
                <c:pt idx="141">
                  <c:v>41557</c:v>
                </c:pt>
                <c:pt idx="142">
                  <c:v>41550</c:v>
                </c:pt>
                <c:pt idx="143">
                  <c:v>41543</c:v>
                </c:pt>
                <c:pt idx="144">
                  <c:v>41536</c:v>
                </c:pt>
                <c:pt idx="145">
                  <c:v>41529</c:v>
                </c:pt>
                <c:pt idx="146">
                  <c:v>41522</c:v>
                </c:pt>
                <c:pt idx="147">
                  <c:v>41515</c:v>
                </c:pt>
                <c:pt idx="148">
                  <c:v>41508</c:v>
                </c:pt>
                <c:pt idx="149">
                  <c:v>41501</c:v>
                </c:pt>
                <c:pt idx="150">
                  <c:v>41494</c:v>
                </c:pt>
                <c:pt idx="151">
                  <c:v>41487</c:v>
                </c:pt>
                <c:pt idx="152">
                  <c:v>41480</c:v>
                </c:pt>
                <c:pt idx="153">
                  <c:v>41473</c:v>
                </c:pt>
                <c:pt idx="154">
                  <c:v>41466</c:v>
                </c:pt>
                <c:pt idx="155">
                  <c:v>41458</c:v>
                </c:pt>
                <c:pt idx="156">
                  <c:v>41452</c:v>
                </c:pt>
                <c:pt idx="157">
                  <c:v>41445</c:v>
                </c:pt>
                <c:pt idx="158">
                  <c:v>41438</c:v>
                </c:pt>
                <c:pt idx="159">
                  <c:v>41431</c:v>
                </c:pt>
                <c:pt idx="160">
                  <c:v>41424</c:v>
                </c:pt>
                <c:pt idx="161">
                  <c:v>41417</c:v>
                </c:pt>
                <c:pt idx="162">
                  <c:v>41410</c:v>
                </c:pt>
                <c:pt idx="163">
                  <c:v>41403</c:v>
                </c:pt>
                <c:pt idx="164">
                  <c:v>41396</c:v>
                </c:pt>
                <c:pt idx="165">
                  <c:v>41389</c:v>
                </c:pt>
                <c:pt idx="166">
                  <c:v>41382</c:v>
                </c:pt>
                <c:pt idx="167">
                  <c:v>41375</c:v>
                </c:pt>
                <c:pt idx="168">
                  <c:v>41368</c:v>
                </c:pt>
                <c:pt idx="169">
                  <c:v>41361</c:v>
                </c:pt>
                <c:pt idx="170">
                  <c:v>41354</c:v>
                </c:pt>
                <c:pt idx="171">
                  <c:v>41347</c:v>
                </c:pt>
                <c:pt idx="172">
                  <c:v>41340</c:v>
                </c:pt>
                <c:pt idx="173">
                  <c:v>41333</c:v>
                </c:pt>
                <c:pt idx="174">
                  <c:v>41326</c:v>
                </c:pt>
                <c:pt idx="175">
                  <c:v>41319</c:v>
                </c:pt>
                <c:pt idx="176">
                  <c:v>41312</c:v>
                </c:pt>
                <c:pt idx="177">
                  <c:v>41305</c:v>
                </c:pt>
                <c:pt idx="178">
                  <c:v>41298</c:v>
                </c:pt>
                <c:pt idx="179">
                  <c:v>41291</c:v>
                </c:pt>
                <c:pt idx="180">
                  <c:v>41284</c:v>
                </c:pt>
                <c:pt idx="181">
                  <c:v>41277</c:v>
                </c:pt>
                <c:pt idx="182">
                  <c:v>41270</c:v>
                </c:pt>
                <c:pt idx="183">
                  <c:v>41263</c:v>
                </c:pt>
                <c:pt idx="184">
                  <c:v>41256</c:v>
                </c:pt>
                <c:pt idx="185">
                  <c:v>41249</c:v>
                </c:pt>
                <c:pt idx="186">
                  <c:v>41242</c:v>
                </c:pt>
                <c:pt idx="187">
                  <c:v>41234</c:v>
                </c:pt>
                <c:pt idx="188">
                  <c:v>41228</c:v>
                </c:pt>
                <c:pt idx="189">
                  <c:v>41221</c:v>
                </c:pt>
                <c:pt idx="190">
                  <c:v>41214</c:v>
                </c:pt>
                <c:pt idx="191">
                  <c:v>41207</c:v>
                </c:pt>
                <c:pt idx="192">
                  <c:v>41200</c:v>
                </c:pt>
                <c:pt idx="193">
                  <c:v>41193</c:v>
                </c:pt>
                <c:pt idx="194">
                  <c:v>41186</c:v>
                </c:pt>
                <c:pt idx="195">
                  <c:v>41179</c:v>
                </c:pt>
                <c:pt idx="196">
                  <c:v>41172</c:v>
                </c:pt>
                <c:pt idx="197">
                  <c:v>41165</c:v>
                </c:pt>
                <c:pt idx="198">
                  <c:v>41158</c:v>
                </c:pt>
                <c:pt idx="199">
                  <c:v>41151</c:v>
                </c:pt>
                <c:pt idx="200">
                  <c:v>41144</c:v>
                </c:pt>
                <c:pt idx="201">
                  <c:v>41137</c:v>
                </c:pt>
                <c:pt idx="202">
                  <c:v>41130</c:v>
                </c:pt>
                <c:pt idx="203">
                  <c:v>41123</c:v>
                </c:pt>
                <c:pt idx="204">
                  <c:v>41116</c:v>
                </c:pt>
                <c:pt idx="205">
                  <c:v>41109</c:v>
                </c:pt>
                <c:pt idx="206">
                  <c:v>41102</c:v>
                </c:pt>
                <c:pt idx="207">
                  <c:v>41095</c:v>
                </c:pt>
                <c:pt idx="208">
                  <c:v>41088</c:v>
                </c:pt>
                <c:pt idx="209">
                  <c:v>41081</c:v>
                </c:pt>
                <c:pt idx="210">
                  <c:v>41074</c:v>
                </c:pt>
                <c:pt idx="211">
                  <c:v>41067</c:v>
                </c:pt>
                <c:pt idx="212">
                  <c:v>41060</c:v>
                </c:pt>
                <c:pt idx="213">
                  <c:v>41053</c:v>
                </c:pt>
                <c:pt idx="214">
                  <c:v>41046</c:v>
                </c:pt>
                <c:pt idx="215">
                  <c:v>41039</c:v>
                </c:pt>
                <c:pt idx="216">
                  <c:v>41032</c:v>
                </c:pt>
                <c:pt idx="217">
                  <c:v>41025</c:v>
                </c:pt>
                <c:pt idx="218">
                  <c:v>41018</c:v>
                </c:pt>
                <c:pt idx="219">
                  <c:v>41011</c:v>
                </c:pt>
                <c:pt idx="220">
                  <c:v>41004</c:v>
                </c:pt>
                <c:pt idx="221">
                  <c:v>40997</c:v>
                </c:pt>
                <c:pt idx="222">
                  <c:v>40990</c:v>
                </c:pt>
                <c:pt idx="223">
                  <c:v>40983</c:v>
                </c:pt>
                <c:pt idx="224">
                  <c:v>40976</c:v>
                </c:pt>
                <c:pt idx="225">
                  <c:v>40969</c:v>
                </c:pt>
                <c:pt idx="226">
                  <c:v>40962</c:v>
                </c:pt>
                <c:pt idx="227">
                  <c:v>40955</c:v>
                </c:pt>
                <c:pt idx="228">
                  <c:v>40948</c:v>
                </c:pt>
                <c:pt idx="229">
                  <c:v>40941</c:v>
                </c:pt>
                <c:pt idx="230">
                  <c:v>40934</c:v>
                </c:pt>
                <c:pt idx="231">
                  <c:v>40927</c:v>
                </c:pt>
                <c:pt idx="232">
                  <c:v>40920</c:v>
                </c:pt>
                <c:pt idx="233">
                  <c:v>40913</c:v>
                </c:pt>
                <c:pt idx="234">
                  <c:v>40906</c:v>
                </c:pt>
                <c:pt idx="235">
                  <c:v>40899</c:v>
                </c:pt>
                <c:pt idx="236">
                  <c:v>40892</c:v>
                </c:pt>
                <c:pt idx="237">
                  <c:v>40885</c:v>
                </c:pt>
                <c:pt idx="238">
                  <c:v>40878</c:v>
                </c:pt>
                <c:pt idx="239">
                  <c:v>40870</c:v>
                </c:pt>
                <c:pt idx="240">
                  <c:v>40864</c:v>
                </c:pt>
                <c:pt idx="241">
                  <c:v>40857</c:v>
                </c:pt>
                <c:pt idx="242">
                  <c:v>40850</c:v>
                </c:pt>
                <c:pt idx="243">
                  <c:v>40843</c:v>
                </c:pt>
                <c:pt idx="244">
                  <c:v>40836</c:v>
                </c:pt>
                <c:pt idx="245">
                  <c:v>40829</c:v>
                </c:pt>
                <c:pt idx="246">
                  <c:v>40822</c:v>
                </c:pt>
                <c:pt idx="247">
                  <c:v>40815</c:v>
                </c:pt>
                <c:pt idx="248">
                  <c:v>40808</c:v>
                </c:pt>
                <c:pt idx="249">
                  <c:v>40801</c:v>
                </c:pt>
                <c:pt idx="250">
                  <c:v>40794</c:v>
                </c:pt>
                <c:pt idx="251">
                  <c:v>40787</c:v>
                </c:pt>
                <c:pt idx="252">
                  <c:v>40780</c:v>
                </c:pt>
                <c:pt idx="253">
                  <c:v>40773</c:v>
                </c:pt>
                <c:pt idx="254">
                  <c:v>40766</c:v>
                </c:pt>
                <c:pt idx="255">
                  <c:v>40759</c:v>
                </c:pt>
                <c:pt idx="256">
                  <c:v>40752</c:v>
                </c:pt>
                <c:pt idx="257">
                  <c:v>40745</c:v>
                </c:pt>
                <c:pt idx="258">
                  <c:v>40738</c:v>
                </c:pt>
                <c:pt idx="259">
                  <c:v>40731</c:v>
                </c:pt>
                <c:pt idx="260">
                  <c:v>40724</c:v>
                </c:pt>
                <c:pt idx="261">
                  <c:v>40717</c:v>
                </c:pt>
                <c:pt idx="262">
                  <c:v>40710</c:v>
                </c:pt>
                <c:pt idx="263">
                  <c:v>40703</c:v>
                </c:pt>
                <c:pt idx="264">
                  <c:v>40696</c:v>
                </c:pt>
                <c:pt idx="265">
                  <c:v>40689</c:v>
                </c:pt>
                <c:pt idx="266">
                  <c:v>40682</c:v>
                </c:pt>
                <c:pt idx="267">
                  <c:v>40675</c:v>
                </c:pt>
                <c:pt idx="268">
                  <c:v>40668</c:v>
                </c:pt>
                <c:pt idx="269">
                  <c:v>40661</c:v>
                </c:pt>
                <c:pt idx="270">
                  <c:v>40654</c:v>
                </c:pt>
                <c:pt idx="271">
                  <c:v>40647</c:v>
                </c:pt>
                <c:pt idx="272">
                  <c:v>40640</c:v>
                </c:pt>
                <c:pt idx="273">
                  <c:v>40633</c:v>
                </c:pt>
                <c:pt idx="274">
                  <c:v>40626</c:v>
                </c:pt>
                <c:pt idx="275">
                  <c:v>40619</c:v>
                </c:pt>
                <c:pt idx="276">
                  <c:v>40612</c:v>
                </c:pt>
                <c:pt idx="277">
                  <c:v>40605</c:v>
                </c:pt>
                <c:pt idx="278">
                  <c:v>40598</c:v>
                </c:pt>
                <c:pt idx="279">
                  <c:v>40591</c:v>
                </c:pt>
                <c:pt idx="280">
                  <c:v>40584</c:v>
                </c:pt>
                <c:pt idx="281">
                  <c:v>40577</c:v>
                </c:pt>
                <c:pt idx="282">
                  <c:v>40570</c:v>
                </c:pt>
                <c:pt idx="283">
                  <c:v>40563</c:v>
                </c:pt>
                <c:pt idx="284">
                  <c:v>40556</c:v>
                </c:pt>
                <c:pt idx="285">
                  <c:v>40549</c:v>
                </c:pt>
              </c:numCache>
            </c:numRef>
          </c:cat>
          <c:val>
            <c:numRef>
              <c:f>Query!$E$3:$E$288</c:f>
              <c:numCache>
                <c:formatCode>0.00%</c:formatCode>
                <c:ptCount val="286"/>
                <c:pt idx="0">
                  <c:v>0</c:v>
                </c:pt>
                <c:pt idx="1">
                  <c:v>0.29550467881742942</c:v>
                </c:pt>
                <c:pt idx="2">
                  <c:v>1.8055734190198806E-4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0.27513372654931118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0.26115463207010864</c:v>
                </c:pt>
                <c:pt idx="11">
                  <c:v>0.26614339248341778</c:v>
                </c:pt>
                <c:pt idx="12">
                  <c:v>0</c:v>
                </c:pt>
                <c:pt idx="13">
                  <c:v>#N/A</c:v>
                </c:pt>
                <c:pt idx="14">
                  <c:v>0</c:v>
                </c:pt>
                <c:pt idx="15">
                  <c:v>0</c:v>
                </c:pt>
                <c:pt idx="16">
                  <c:v>6.9720702068001003E-2</c:v>
                </c:pt>
                <c:pt idx="17">
                  <c:v>6.5185964798979965E-2</c:v>
                </c:pt>
                <c:pt idx="18">
                  <c:v>6.5143440640601957E-2</c:v>
                </c:pt>
                <c:pt idx="19">
                  <c:v>6.5143440640601957E-2</c:v>
                </c:pt>
                <c:pt idx="20">
                  <c:v>3.9152008465200644E-2</c:v>
                </c:pt>
                <c:pt idx="21">
                  <c:v>6.7056099999999999E-3</c:v>
                </c:pt>
                <c:pt idx="22">
                  <c:v>5.9883323412895321E-3</c:v>
                </c:pt>
                <c:pt idx="23">
                  <c:v>1.567204072611725E-3</c:v>
                </c:pt>
                <c:pt idx="24">
                  <c:v>1.567204072611725E-3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1.4441528640997686E-2</c:v>
                </c:pt>
                <c:pt idx="38">
                  <c:v>2.9859537173618188E-3</c:v>
                </c:pt>
                <c:pt idx="39">
                  <c:v>1.3173079222055612E-3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3.1195278145772281E-3</c:v>
                </c:pt>
                <c:pt idx="44">
                  <c:v>0</c:v>
                </c:pt>
                <c:pt idx="45">
                  <c:v>0</c:v>
                </c:pt>
                <c:pt idx="46">
                  <c:v>6.2347278968544445E-4</c:v>
                </c:pt>
                <c:pt idx="47">
                  <c:v>1.9969014490481407E-4</c:v>
                </c:pt>
                <c:pt idx="48">
                  <c:v>1.4184158649271941E-4</c:v>
                </c:pt>
                <c:pt idx="49">
                  <c:v>0</c:v>
                </c:pt>
                <c:pt idx="50">
                  <c:v>1.4184380661503394E-4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3.9431628666260904E-3</c:v>
                </c:pt>
                <c:pt idx="62">
                  <c:v>0</c:v>
                </c:pt>
                <c:pt idx="63">
                  <c:v>3.87908393633439E-3</c:v>
                </c:pt>
                <c:pt idx="64">
                  <c:v>0</c:v>
                </c:pt>
                <c:pt idx="65">
                  <c:v>9.60298428502188E-4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0.17933240004933601</c:v>
                </c:pt>
                <c:pt idx="73">
                  <c:v>0</c:v>
                </c:pt>
                <c:pt idx="74">
                  <c:v>0.17811212012226099</c:v>
                </c:pt>
                <c:pt idx="75">
                  <c:v>0.177765501913389</c:v>
                </c:pt>
                <c:pt idx="76">
                  <c:v>0.14268475210645201</c:v>
                </c:pt>
                <c:pt idx="77">
                  <c:v>0</c:v>
                </c:pt>
                <c:pt idx="78">
                  <c:v>0</c:v>
                </c:pt>
                <c:pt idx="79">
                  <c:v>0.127103043508559</c:v>
                </c:pt>
                <c:pt idx="80">
                  <c:v>0</c:v>
                </c:pt>
                <c:pt idx="81">
                  <c:v>0.106230521131833</c:v>
                </c:pt>
                <c:pt idx="82">
                  <c:v>1.9601498700341099E-3</c:v>
                </c:pt>
                <c:pt idx="83">
                  <c:v>1.9465534524820899E-3</c:v>
                </c:pt>
                <c:pt idx="84">
                  <c:v>1.4902494177175701E-3</c:v>
                </c:pt>
                <c:pt idx="85">
                  <c:v>0</c:v>
                </c:pt>
                <c:pt idx="86">
                  <c:v>0</c:v>
                </c:pt>
                <c:pt idx="87">
                  <c:v>0.103644934949105</c:v>
                </c:pt>
                <c:pt idx="88">
                  <c:v>9.0356790924596503E-2</c:v>
                </c:pt>
                <c:pt idx="89">
                  <c:v>1.00775509847578E-3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5.44200843584444E-2</c:v>
                </c:pt>
                <c:pt idx="97">
                  <c:v>5.9130346511517896E-4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4.9242422986382497E-2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3.2896088379140397E-2</c:v>
                </c:pt>
                <c:pt idx="108">
                  <c:v>2.8641136811507002E-2</c:v>
                </c:pt>
                <c:pt idx="109">
                  <c:v>1.7600292816905099E-2</c:v>
                </c:pt>
                <c:pt idx="110">
                  <c:v>1.3390108612719401E-2</c:v>
                </c:pt>
                <c:pt idx="111">
                  <c:v>1.33698656511534E-2</c:v>
                </c:pt>
                <c:pt idx="112">
                  <c:v>0</c:v>
                </c:pt>
                <c:pt idx="113">
                  <c:v>0</c:v>
                </c:pt>
                <c:pt idx="114">
                  <c:v>1.3569924293908599E-3</c:v>
                </c:pt>
                <c:pt idx="115">
                  <c:v>3.2608018628066501E-4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1.56502134325395E-3</c:v>
                </c:pt>
                <c:pt idx="125">
                  <c:v>9.04155248858617E-4</c:v>
                </c:pt>
                <c:pt idx="126">
                  <c:v>4.3538471617421198E-4</c:v>
                </c:pt>
                <c:pt idx="127">
                  <c:v>4.3244857845843099E-4</c:v>
                </c:pt>
                <c:pt idx="128">
                  <c:v>1.04165660314928E-4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6.1587902327108696E-3</c:v>
                </c:pt>
                <c:pt idx="139">
                  <c:v>4.7022607373106203E-3</c:v>
                </c:pt>
                <c:pt idx="140">
                  <c:v>0</c:v>
                </c:pt>
                <c:pt idx="141">
                  <c:v>0</c:v>
                </c:pt>
                <c:pt idx="142">
                  <c:v>1.7927762872913E-3</c:v>
                </c:pt>
                <c:pt idx="143">
                  <c:v>8.9334697556313401E-4</c:v>
                </c:pt>
                <c:pt idx="144">
                  <c:v>1.2070812662829E-4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9.3714860500272602E-3</c:v>
                </c:pt>
                <c:pt idx="165">
                  <c:v>0</c:v>
                </c:pt>
                <c:pt idx="166">
                  <c:v>5.4959854023419203E-3</c:v>
                </c:pt>
                <c:pt idx="167">
                  <c:v>3.9681299102296798E-3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7.62863846133132E-4</c:v>
                </c:pt>
                <c:pt idx="173">
                  <c:v>5.5309707563809801E-4</c:v>
                </c:pt>
                <c:pt idx="174">
                  <c:v>0</c:v>
                </c:pt>
                <c:pt idx="175">
                  <c:v>5.4993651942507197E-4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1.92397129365898E-3</c:v>
                </c:pt>
                <c:pt idx="185">
                  <c:v>0</c:v>
                </c:pt>
                <c:pt idx="186">
                  <c:v>0</c:v>
                </c:pt>
                <c:pt idx="187">
                  <c:v>0.88870182147749199</c:v>
                </c:pt>
                <c:pt idx="188">
                  <c:v>3.6805392889150699E-3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0.89337068210282</c:v>
                </c:pt>
                <c:pt idx="195">
                  <c:v>0.91307424668051995</c:v>
                </c:pt>
                <c:pt idx="196">
                  <c:v>0.87391634150534703</c:v>
                </c:pt>
                <c:pt idx="197">
                  <c:v>3.4287960012666001E-3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0.89854811201564799</c:v>
                </c:pt>
                <c:pt idx="205">
                  <c:v>0.88557582733423201</c:v>
                </c:pt>
                <c:pt idx="206">
                  <c:v>0.88306588959651799</c:v>
                </c:pt>
                <c:pt idx="207">
                  <c:v>0.85480310148891403</c:v>
                </c:pt>
                <c:pt idx="208">
                  <c:v>0.86355719580735102</c:v>
                </c:pt>
                <c:pt idx="209">
                  <c:v>0.86355719580735102</c:v>
                </c:pt>
                <c:pt idx="210">
                  <c:v>0</c:v>
                </c:pt>
                <c:pt idx="211">
                  <c:v>0.86123151402869003</c:v>
                </c:pt>
                <c:pt idx="212">
                  <c:v>0.83309495413351498</c:v>
                </c:pt>
                <c:pt idx="213">
                  <c:v>0</c:v>
                </c:pt>
                <c:pt idx="214">
                  <c:v>0.831927164274886</c:v>
                </c:pt>
                <c:pt idx="215">
                  <c:v>0.80754152596055995</c:v>
                </c:pt>
                <c:pt idx="216">
                  <c:v>0.80415566862182497</c:v>
                </c:pt>
                <c:pt idx="217">
                  <c:v>0.80265108338267499</c:v>
                </c:pt>
                <c:pt idx="218">
                  <c:v>0</c:v>
                </c:pt>
                <c:pt idx="219">
                  <c:v>0.80265108338267499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7.6028475141971797E-4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0.81663205917875104</c:v>
                </c:pt>
                <c:pt idx="233">
                  <c:v>0</c:v>
                </c:pt>
                <c:pt idx="234">
                  <c:v>0</c:v>
                </c:pt>
                <c:pt idx="235">
                  <c:v>0.82559057548597004</c:v>
                </c:pt>
                <c:pt idx="236">
                  <c:v>0.79669049657242397</c:v>
                </c:pt>
                <c:pt idx="237">
                  <c:v>6.7786594921879302E-4</c:v>
                </c:pt>
                <c:pt idx="238">
                  <c:v>0</c:v>
                </c:pt>
                <c:pt idx="239">
                  <c:v>8.8101230968728496E-4</c:v>
                </c:pt>
                <c:pt idx="240">
                  <c:v>0</c:v>
                </c:pt>
                <c:pt idx="241">
                  <c:v>8.7950076846855297E-4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0.82194247765297301</c:v>
                </c:pt>
                <c:pt idx="247">
                  <c:v>0.83561176946303795</c:v>
                </c:pt>
                <c:pt idx="248">
                  <c:v>0</c:v>
                </c:pt>
                <c:pt idx="249">
                  <c:v>0.78833832359916201</c:v>
                </c:pt>
                <c:pt idx="250">
                  <c:v>0.786160649616369</c:v>
                </c:pt>
                <c:pt idx="251">
                  <c:v>0</c:v>
                </c:pt>
                <c:pt idx="252">
                  <c:v>0</c:v>
                </c:pt>
                <c:pt idx="253">
                  <c:v>0.76977670194978398</c:v>
                </c:pt>
                <c:pt idx="254">
                  <c:v>3.6312412114141997E-2</c:v>
                </c:pt>
                <c:pt idx="255">
                  <c:v>1.93393301571353E-2</c:v>
                </c:pt>
                <c:pt idx="256">
                  <c:v>0</c:v>
                </c:pt>
                <c:pt idx="257">
                  <c:v>0</c:v>
                </c:pt>
                <c:pt idx="258">
                  <c:v>6.2583851957797503E-4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1.05889699277147E-2</c:v>
                </c:pt>
                <c:pt idx="264">
                  <c:v>7.3340957383171597E-3</c:v>
                </c:pt>
                <c:pt idx="265">
                  <c:v>4.6547514757033599E-3</c:v>
                </c:pt>
                <c:pt idx="266">
                  <c:v>4.6431452038205798E-3</c:v>
                </c:pt>
                <c:pt idx="267">
                  <c:v>4.5959167751793003E-3</c:v>
                </c:pt>
                <c:pt idx="268">
                  <c:v>1.82362980081562E-3</c:v>
                </c:pt>
                <c:pt idx="269">
                  <c:v>3.6290053539469699E-4</c:v>
                </c:pt>
                <c:pt idx="270">
                  <c:v>3.6012387911354998E-4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4.9225242343752603E-4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5.80030998251819E-5</c:v>
                </c:pt>
                <c:pt idx="285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295424"/>
        <c:axId val="186296960"/>
      </c:barChart>
      <c:lineChart>
        <c:grouping val="standard"/>
        <c:varyColors val="0"/>
        <c:ser>
          <c:idx val="0"/>
          <c:order val="0"/>
          <c:tx>
            <c:v>Pool Level</c:v>
          </c:tx>
          <c:spPr>
            <a:ln w="19050"/>
          </c:spPr>
          <c:marker>
            <c:symbol val="none"/>
          </c:marker>
          <c:cat>
            <c:numRef>
              <c:f>Query!$B$3:$B$288</c:f>
              <c:numCache>
                <c:formatCode>m/d/yyyy</c:formatCode>
                <c:ptCount val="286"/>
                <c:pt idx="0">
                  <c:v>42544</c:v>
                </c:pt>
                <c:pt idx="1">
                  <c:v>42537</c:v>
                </c:pt>
                <c:pt idx="2">
                  <c:v>42530</c:v>
                </c:pt>
                <c:pt idx="3">
                  <c:v>42523</c:v>
                </c:pt>
                <c:pt idx="4">
                  <c:v>42516</c:v>
                </c:pt>
                <c:pt idx="5">
                  <c:v>42509</c:v>
                </c:pt>
                <c:pt idx="6">
                  <c:v>42502</c:v>
                </c:pt>
                <c:pt idx="7">
                  <c:v>42495</c:v>
                </c:pt>
                <c:pt idx="8">
                  <c:v>42488</c:v>
                </c:pt>
                <c:pt idx="9">
                  <c:v>42481</c:v>
                </c:pt>
                <c:pt idx="10">
                  <c:v>42474</c:v>
                </c:pt>
                <c:pt idx="11">
                  <c:v>42467</c:v>
                </c:pt>
                <c:pt idx="12">
                  <c:v>42460</c:v>
                </c:pt>
                <c:pt idx="13">
                  <c:v>42453</c:v>
                </c:pt>
                <c:pt idx="14">
                  <c:v>42446</c:v>
                </c:pt>
                <c:pt idx="15">
                  <c:v>42439</c:v>
                </c:pt>
                <c:pt idx="16">
                  <c:v>42432</c:v>
                </c:pt>
                <c:pt idx="17">
                  <c:v>42425</c:v>
                </c:pt>
                <c:pt idx="18">
                  <c:v>42418</c:v>
                </c:pt>
                <c:pt idx="19">
                  <c:v>42411</c:v>
                </c:pt>
                <c:pt idx="20">
                  <c:v>42404</c:v>
                </c:pt>
                <c:pt idx="21">
                  <c:v>42397</c:v>
                </c:pt>
                <c:pt idx="22">
                  <c:v>42390</c:v>
                </c:pt>
                <c:pt idx="23">
                  <c:v>42383</c:v>
                </c:pt>
                <c:pt idx="24">
                  <c:v>42376</c:v>
                </c:pt>
                <c:pt idx="25">
                  <c:v>42369</c:v>
                </c:pt>
                <c:pt idx="26">
                  <c:v>42362</c:v>
                </c:pt>
                <c:pt idx="27">
                  <c:v>42355</c:v>
                </c:pt>
                <c:pt idx="28">
                  <c:v>42348</c:v>
                </c:pt>
                <c:pt idx="29">
                  <c:v>42341</c:v>
                </c:pt>
                <c:pt idx="30">
                  <c:v>42333</c:v>
                </c:pt>
                <c:pt idx="31">
                  <c:v>42327</c:v>
                </c:pt>
                <c:pt idx="32">
                  <c:v>42320</c:v>
                </c:pt>
                <c:pt idx="33">
                  <c:v>42313</c:v>
                </c:pt>
                <c:pt idx="34">
                  <c:v>42306</c:v>
                </c:pt>
                <c:pt idx="35">
                  <c:v>42299</c:v>
                </c:pt>
                <c:pt idx="36">
                  <c:v>42292</c:v>
                </c:pt>
                <c:pt idx="37">
                  <c:v>42285</c:v>
                </c:pt>
                <c:pt idx="38">
                  <c:v>42278</c:v>
                </c:pt>
                <c:pt idx="39">
                  <c:v>42271</c:v>
                </c:pt>
                <c:pt idx="40">
                  <c:v>42264</c:v>
                </c:pt>
                <c:pt idx="41">
                  <c:v>42257</c:v>
                </c:pt>
                <c:pt idx="42">
                  <c:v>42250</c:v>
                </c:pt>
                <c:pt idx="43">
                  <c:v>42243</c:v>
                </c:pt>
                <c:pt idx="44">
                  <c:v>42236</c:v>
                </c:pt>
                <c:pt idx="45">
                  <c:v>42229</c:v>
                </c:pt>
                <c:pt idx="46">
                  <c:v>42222</c:v>
                </c:pt>
                <c:pt idx="47">
                  <c:v>42215</c:v>
                </c:pt>
                <c:pt idx="48">
                  <c:v>42208</c:v>
                </c:pt>
                <c:pt idx="49">
                  <c:v>42201</c:v>
                </c:pt>
                <c:pt idx="50">
                  <c:v>42194</c:v>
                </c:pt>
                <c:pt idx="51">
                  <c:v>42187</c:v>
                </c:pt>
                <c:pt idx="52">
                  <c:v>42180</c:v>
                </c:pt>
                <c:pt idx="53">
                  <c:v>42173</c:v>
                </c:pt>
                <c:pt idx="54">
                  <c:v>42166</c:v>
                </c:pt>
                <c:pt idx="55">
                  <c:v>42159</c:v>
                </c:pt>
                <c:pt idx="56">
                  <c:v>42152</c:v>
                </c:pt>
                <c:pt idx="57">
                  <c:v>42145</c:v>
                </c:pt>
                <c:pt idx="58">
                  <c:v>42138</c:v>
                </c:pt>
                <c:pt idx="59">
                  <c:v>42131</c:v>
                </c:pt>
                <c:pt idx="60">
                  <c:v>42124</c:v>
                </c:pt>
                <c:pt idx="61">
                  <c:v>42117</c:v>
                </c:pt>
                <c:pt idx="62">
                  <c:v>42110</c:v>
                </c:pt>
                <c:pt idx="63">
                  <c:v>42103</c:v>
                </c:pt>
                <c:pt idx="64">
                  <c:v>42096</c:v>
                </c:pt>
                <c:pt idx="65">
                  <c:v>42089</c:v>
                </c:pt>
                <c:pt idx="66">
                  <c:v>42082</c:v>
                </c:pt>
                <c:pt idx="67">
                  <c:v>42075</c:v>
                </c:pt>
                <c:pt idx="68">
                  <c:v>42068</c:v>
                </c:pt>
                <c:pt idx="69">
                  <c:v>42061</c:v>
                </c:pt>
                <c:pt idx="70">
                  <c:v>42054</c:v>
                </c:pt>
                <c:pt idx="71">
                  <c:v>42047</c:v>
                </c:pt>
                <c:pt idx="72">
                  <c:v>42040</c:v>
                </c:pt>
                <c:pt idx="73">
                  <c:v>42033</c:v>
                </c:pt>
                <c:pt idx="74">
                  <c:v>42026</c:v>
                </c:pt>
                <c:pt idx="75">
                  <c:v>42019</c:v>
                </c:pt>
                <c:pt idx="76">
                  <c:v>42012</c:v>
                </c:pt>
                <c:pt idx="77">
                  <c:v>42004</c:v>
                </c:pt>
                <c:pt idx="78">
                  <c:v>41997</c:v>
                </c:pt>
                <c:pt idx="79">
                  <c:v>41991</c:v>
                </c:pt>
                <c:pt idx="80">
                  <c:v>41984</c:v>
                </c:pt>
                <c:pt idx="81">
                  <c:v>41977</c:v>
                </c:pt>
                <c:pt idx="82">
                  <c:v>41969</c:v>
                </c:pt>
                <c:pt idx="83">
                  <c:v>41963</c:v>
                </c:pt>
                <c:pt idx="84">
                  <c:v>41956</c:v>
                </c:pt>
                <c:pt idx="85">
                  <c:v>41949</c:v>
                </c:pt>
                <c:pt idx="86">
                  <c:v>41942</c:v>
                </c:pt>
                <c:pt idx="87">
                  <c:v>41935</c:v>
                </c:pt>
                <c:pt idx="88">
                  <c:v>41928</c:v>
                </c:pt>
                <c:pt idx="89">
                  <c:v>41921</c:v>
                </c:pt>
                <c:pt idx="90">
                  <c:v>41914</c:v>
                </c:pt>
                <c:pt idx="91">
                  <c:v>41907</c:v>
                </c:pt>
                <c:pt idx="92">
                  <c:v>41900</c:v>
                </c:pt>
                <c:pt idx="93">
                  <c:v>41893</c:v>
                </c:pt>
                <c:pt idx="94">
                  <c:v>41886</c:v>
                </c:pt>
                <c:pt idx="95">
                  <c:v>41879</c:v>
                </c:pt>
                <c:pt idx="96">
                  <c:v>41872</c:v>
                </c:pt>
                <c:pt idx="97">
                  <c:v>41865</c:v>
                </c:pt>
                <c:pt idx="98">
                  <c:v>41858</c:v>
                </c:pt>
                <c:pt idx="99">
                  <c:v>41851</c:v>
                </c:pt>
                <c:pt idx="100">
                  <c:v>41844</c:v>
                </c:pt>
                <c:pt idx="101">
                  <c:v>41837</c:v>
                </c:pt>
                <c:pt idx="102">
                  <c:v>41830</c:v>
                </c:pt>
                <c:pt idx="103">
                  <c:v>41823</c:v>
                </c:pt>
                <c:pt idx="104">
                  <c:v>41816</c:v>
                </c:pt>
                <c:pt idx="105">
                  <c:v>41809</c:v>
                </c:pt>
                <c:pt idx="106">
                  <c:v>41802</c:v>
                </c:pt>
                <c:pt idx="107">
                  <c:v>41795</c:v>
                </c:pt>
                <c:pt idx="108">
                  <c:v>41788</c:v>
                </c:pt>
                <c:pt idx="109">
                  <c:v>41781</c:v>
                </c:pt>
                <c:pt idx="110">
                  <c:v>41774</c:v>
                </c:pt>
                <c:pt idx="111">
                  <c:v>41767</c:v>
                </c:pt>
                <c:pt idx="112">
                  <c:v>41760</c:v>
                </c:pt>
                <c:pt idx="113">
                  <c:v>41753</c:v>
                </c:pt>
                <c:pt idx="114">
                  <c:v>41746</c:v>
                </c:pt>
                <c:pt idx="115">
                  <c:v>41739</c:v>
                </c:pt>
                <c:pt idx="116">
                  <c:v>41732</c:v>
                </c:pt>
                <c:pt idx="117">
                  <c:v>41725</c:v>
                </c:pt>
                <c:pt idx="118">
                  <c:v>41718</c:v>
                </c:pt>
                <c:pt idx="119">
                  <c:v>41711</c:v>
                </c:pt>
                <c:pt idx="120">
                  <c:v>41704</c:v>
                </c:pt>
                <c:pt idx="121">
                  <c:v>41697</c:v>
                </c:pt>
                <c:pt idx="122">
                  <c:v>41690</c:v>
                </c:pt>
                <c:pt idx="123">
                  <c:v>41683</c:v>
                </c:pt>
                <c:pt idx="124">
                  <c:v>41676</c:v>
                </c:pt>
                <c:pt idx="125">
                  <c:v>41669</c:v>
                </c:pt>
                <c:pt idx="126">
                  <c:v>41662</c:v>
                </c:pt>
                <c:pt idx="127">
                  <c:v>41655</c:v>
                </c:pt>
                <c:pt idx="128">
                  <c:v>41648</c:v>
                </c:pt>
                <c:pt idx="129">
                  <c:v>41641</c:v>
                </c:pt>
                <c:pt idx="130">
                  <c:v>41634</c:v>
                </c:pt>
                <c:pt idx="131">
                  <c:v>41627</c:v>
                </c:pt>
                <c:pt idx="132">
                  <c:v>41620</c:v>
                </c:pt>
                <c:pt idx="133">
                  <c:v>41613</c:v>
                </c:pt>
                <c:pt idx="134">
                  <c:v>41605</c:v>
                </c:pt>
                <c:pt idx="135">
                  <c:v>41599</c:v>
                </c:pt>
                <c:pt idx="136">
                  <c:v>41592</c:v>
                </c:pt>
                <c:pt idx="137">
                  <c:v>41585</c:v>
                </c:pt>
                <c:pt idx="138">
                  <c:v>41578</c:v>
                </c:pt>
                <c:pt idx="139">
                  <c:v>41571</c:v>
                </c:pt>
                <c:pt idx="140">
                  <c:v>41564</c:v>
                </c:pt>
                <c:pt idx="141">
                  <c:v>41557</c:v>
                </c:pt>
                <c:pt idx="142">
                  <c:v>41550</c:v>
                </c:pt>
                <c:pt idx="143">
                  <c:v>41543</c:v>
                </c:pt>
                <c:pt idx="144">
                  <c:v>41536</c:v>
                </c:pt>
                <c:pt idx="145">
                  <c:v>41529</c:v>
                </c:pt>
                <c:pt idx="146">
                  <c:v>41522</c:v>
                </c:pt>
                <c:pt idx="147">
                  <c:v>41515</c:v>
                </c:pt>
                <c:pt idx="148">
                  <c:v>41508</c:v>
                </c:pt>
                <c:pt idx="149">
                  <c:v>41501</c:v>
                </c:pt>
                <c:pt idx="150">
                  <c:v>41494</c:v>
                </c:pt>
                <c:pt idx="151">
                  <c:v>41487</c:v>
                </c:pt>
                <c:pt idx="152">
                  <c:v>41480</c:v>
                </c:pt>
                <c:pt idx="153">
                  <c:v>41473</c:v>
                </c:pt>
                <c:pt idx="154">
                  <c:v>41466</c:v>
                </c:pt>
                <c:pt idx="155">
                  <c:v>41458</c:v>
                </c:pt>
                <c:pt idx="156">
                  <c:v>41452</c:v>
                </c:pt>
                <c:pt idx="157">
                  <c:v>41445</c:v>
                </c:pt>
                <c:pt idx="158">
                  <c:v>41438</c:v>
                </c:pt>
                <c:pt idx="159">
                  <c:v>41431</c:v>
                </c:pt>
                <c:pt idx="160">
                  <c:v>41424</c:v>
                </c:pt>
                <c:pt idx="161">
                  <c:v>41417</c:v>
                </c:pt>
                <c:pt idx="162">
                  <c:v>41410</c:v>
                </c:pt>
                <c:pt idx="163">
                  <c:v>41403</c:v>
                </c:pt>
                <c:pt idx="164">
                  <c:v>41396</c:v>
                </c:pt>
                <c:pt idx="165">
                  <c:v>41389</c:v>
                </c:pt>
                <c:pt idx="166">
                  <c:v>41382</c:v>
                </c:pt>
                <c:pt idx="167">
                  <c:v>41375</c:v>
                </c:pt>
                <c:pt idx="168">
                  <c:v>41368</c:v>
                </c:pt>
                <c:pt idx="169">
                  <c:v>41361</c:v>
                </c:pt>
                <c:pt idx="170">
                  <c:v>41354</c:v>
                </c:pt>
                <c:pt idx="171">
                  <c:v>41347</c:v>
                </c:pt>
                <c:pt idx="172">
                  <c:v>41340</c:v>
                </c:pt>
                <c:pt idx="173">
                  <c:v>41333</c:v>
                </c:pt>
                <c:pt idx="174">
                  <c:v>41326</c:v>
                </c:pt>
                <c:pt idx="175">
                  <c:v>41319</c:v>
                </c:pt>
                <c:pt idx="176">
                  <c:v>41312</c:v>
                </c:pt>
                <c:pt idx="177">
                  <c:v>41305</c:v>
                </c:pt>
                <c:pt idx="178">
                  <c:v>41298</c:v>
                </c:pt>
                <c:pt idx="179">
                  <c:v>41291</c:v>
                </c:pt>
                <c:pt idx="180">
                  <c:v>41284</c:v>
                </c:pt>
                <c:pt idx="181">
                  <c:v>41277</c:v>
                </c:pt>
                <c:pt idx="182">
                  <c:v>41270</c:v>
                </c:pt>
                <c:pt idx="183">
                  <c:v>41263</c:v>
                </c:pt>
                <c:pt idx="184">
                  <c:v>41256</c:v>
                </c:pt>
                <c:pt idx="185">
                  <c:v>41249</c:v>
                </c:pt>
                <c:pt idx="186">
                  <c:v>41242</c:v>
                </c:pt>
                <c:pt idx="187">
                  <c:v>41234</c:v>
                </c:pt>
                <c:pt idx="188">
                  <c:v>41228</c:v>
                </c:pt>
                <c:pt idx="189">
                  <c:v>41221</c:v>
                </c:pt>
                <c:pt idx="190">
                  <c:v>41214</c:v>
                </c:pt>
                <c:pt idx="191">
                  <c:v>41207</c:v>
                </c:pt>
                <c:pt idx="192">
                  <c:v>41200</c:v>
                </c:pt>
                <c:pt idx="193">
                  <c:v>41193</c:v>
                </c:pt>
                <c:pt idx="194">
                  <c:v>41186</c:v>
                </c:pt>
                <c:pt idx="195">
                  <c:v>41179</c:v>
                </c:pt>
                <c:pt idx="196">
                  <c:v>41172</c:v>
                </c:pt>
                <c:pt idx="197">
                  <c:v>41165</c:v>
                </c:pt>
                <c:pt idx="198">
                  <c:v>41158</c:v>
                </c:pt>
                <c:pt idx="199">
                  <c:v>41151</c:v>
                </c:pt>
                <c:pt idx="200">
                  <c:v>41144</c:v>
                </c:pt>
                <c:pt idx="201">
                  <c:v>41137</c:v>
                </c:pt>
                <c:pt idx="202">
                  <c:v>41130</c:v>
                </c:pt>
                <c:pt idx="203">
                  <c:v>41123</c:v>
                </c:pt>
                <c:pt idx="204">
                  <c:v>41116</c:v>
                </c:pt>
                <c:pt idx="205">
                  <c:v>41109</c:v>
                </c:pt>
                <c:pt idx="206">
                  <c:v>41102</c:v>
                </c:pt>
                <c:pt idx="207">
                  <c:v>41095</c:v>
                </c:pt>
                <c:pt idx="208">
                  <c:v>41088</c:v>
                </c:pt>
                <c:pt idx="209">
                  <c:v>41081</c:v>
                </c:pt>
                <c:pt idx="210">
                  <c:v>41074</c:v>
                </c:pt>
                <c:pt idx="211">
                  <c:v>41067</c:v>
                </c:pt>
                <c:pt idx="212">
                  <c:v>41060</c:v>
                </c:pt>
                <c:pt idx="213">
                  <c:v>41053</c:v>
                </c:pt>
                <c:pt idx="214">
                  <c:v>41046</c:v>
                </c:pt>
                <c:pt idx="215">
                  <c:v>41039</c:v>
                </c:pt>
                <c:pt idx="216">
                  <c:v>41032</c:v>
                </c:pt>
                <c:pt idx="217">
                  <c:v>41025</c:v>
                </c:pt>
                <c:pt idx="218">
                  <c:v>41018</c:v>
                </c:pt>
                <c:pt idx="219">
                  <c:v>41011</c:v>
                </c:pt>
                <c:pt idx="220">
                  <c:v>41004</c:v>
                </c:pt>
                <c:pt idx="221">
                  <c:v>40997</c:v>
                </c:pt>
                <c:pt idx="222">
                  <c:v>40990</c:v>
                </c:pt>
                <c:pt idx="223">
                  <c:v>40983</c:v>
                </c:pt>
                <c:pt idx="224">
                  <c:v>40976</c:v>
                </c:pt>
                <c:pt idx="225">
                  <c:v>40969</c:v>
                </c:pt>
                <c:pt idx="226">
                  <c:v>40962</c:v>
                </c:pt>
                <c:pt idx="227">
                  <c:v>40955</c:v>
                </c:pt>
                <c:pt idx="228">
                  <c:v>40948</c:v>
                </c:pt>
                <c:pt idx="229">
                  <c:v>40941</c:v>
                </c:pt>
                <c:pt idx="230">
                  <c:v>40934</c:v>
                </c:pt>
                <c:pt idx="231">
                  <c:v>40927</c:v>
                </c:pt>
                <c:pt idx="232">
                  <c:v>40920</c:v>
                </c:pt>
                <c:pt idx="233">
                  <c:v>40913</c:v>
                </c:pt>
                <c:pt idx="234">
                  <c:v>40906</c:v>
                </c:pt>
                <c:pt idx="235">
                  <c:v>40899</c:v>
                </c:pt>
                <c:pt idx="236">
                  <c:v>40892</c:v>
                </c:pt>
                <c:pt idx="237">
                  <c:v>40885</c:v>
                </c:pt>
                <c:pt idx="238">
                  <c:v>40878</c:v>
                </c:pt>
                <c:pt idx="239">
                  <c:v>40870</c:v>
                </c:pt>
                <c:pt idx="240">
                  <c:v>40864</c:v>
                </c:pt>
                <c:pt idx="241">
                  <c:v>40857</c:v>
                </c:pt>
                <c:pt idx="242">
                  <c:v>40850</c:v>
                </c:pt>
                <c:pt idx="243">
                  <c:v>40843</c:v>
                </c:pt>
                <c:pt idx="244">
                  <c:v>40836</c:v>
                </c:pt>
                <c:pt idx="245">
                  <c:v>40829</c:v>
                </c:pt>
                <c:pt idx="246">
                  <c:v>40822</c:v>
                </c:pt>
                <c:pt idx="247">
                  <c:v>40815</c:v>
                </c:pt>
                <c:pt idx="248">
                  <c:v>40808</c:v>
                </c:pt>
                <c:pt idx="249">
                  <c:v>40801</c:v>
                </c:pt>
                <c:pt idx="250">
                  <c:v>40794</c:v>
                </c:pt>
                <c:pt idx="251">
                  <c:v>40787</c:v>
                </c:pt>
                <c:pt idx="252">
                  <c:v>40780</c:v>
                </c:pt>
                <c:pt idx="253">
                  <c:v>40773</c:v>
                </c:pt>
                <c:pt idx="254">
                  <c:v>40766</c:v>
                </c:pt>
                <c:pt idx="255">
                  <c:v>40759</c:v>
                </c:pt>
                <c:pt idx="256">
                  <c:v>40752</c:v>
                </c:pt>
                <c:pt idx="257">
                  <c:v>40745</c:v>
                </c:pt>
                <c:pt idx="258">
                  <c:v>40738</c:v>
                </c:pt>
                <c:pt idx="259">
                  <c:v>40731</c:v>
                </c:pt>
                <c:pt idx="260">
                  <c:v>40724</c:v>
                </c:pt>
                <c:pt idx="261">
                  <c:v>40717</c:v>
                </c:pt>
                <c:pt idx="262">
                  <c:v>40710</c:v>
                </c:pt>
                <c:pt idx="263">
                  <c:v>40703</c:v>
                </c:pt>
                <c:pt idx="264">
                  <c:v>40696</c:v>
                </c:pt>
                <c:pt idx="265">
                  <c:v>40689</c:v>
                </c:pt>
                <c:pt idx="266">
                  <c:v>40682</c:v>
                </c:pt>
                <c:pt idx="267">
                  <c:v>40675</c:v>
                </c:pt>
                <c:pt idx="268">
                  <c:v>40668</c:v>
                </c:pt>
                <c:pt idx="269">
                  <c:v>40661</c:v>
                </c:pt>
                <c:pt idx="270">
                  <c:v>40654</c:v>
                </c:pt>
                <c:pt idx="271">
                  <c:v>40647</c:v>
                </c:pt>
                <c:pt idx="272">
                  <c:v>40640</c:v>
                </c:pt>
                <c:pt idx="273">
                  <c:v>40633</c:v>
                </c:pt>
                <c:pt idx="274">
                  <c:v>40626</c:v>
                </c:pt>
                <c:pt idx="275">
                  <c:v>40619</c:v>
                </c:pt>
                <c:pt idx="276">
                  <c:v>40612</c:v>
                </c:pt>
                <c:pt idx="277">
                  <c:v>40605</c:v>
                </c:pt>
                <c:pt idx="278">
                  <c:v>40598</c:v>
                </c:pt>
                <c:pt idx="279">
                  <c:v>40591</c:v>
                </c:pt>
                <c:pt idx="280">
                  <c:v>40584</c:v>
                </c:pt>
                <c:pt idx="281">
                  <c:v>40577</c:v>
                </c:pt>
                <c:pt idx="282">
                  <c:v>40570</c:v>
                </c:pt>
                <c:pt idx="283">
                  <c:v>40563</c:v>
                </c:pt>
                <c:pt idx="284">
                  <c:v>40556</c:v>
                </c:pt>
                <c:pt idx="285">
                  <c:v>40549</c:v>
                </c:pt>
              </c:numCache>
            </c:numRef>
          </c:cat>
          <c:val>
            <c:numRef>
              <c:f>Query!$C$3:$C$288</c:f>
              <c:numCache>
                <c:formatCode>0.00%</c:formatCode>
                <c:ptCount val="286"/>
                <c:pt idx="0">
                  <c:v>0.7167324703354373</c:v>
                </c:pt>
                <c:pt idx="1">
                  <c:v>0.75253987999808514</c:v>
                </c:pt>
                <c:pt idx="2">
                  <c:v>0.69956098768104658</c:v>
                </c:pt>
                <c:pt idx="3">
                  <c:v>0.63793331124728792</c:v>
                </c:pt>
                <c:pt idx="4">
                  <c:v>0.65650835056878876</c:v>
                </c:pt>
                <c:pt idx="5">
                  <c:v>0.70043246653920965</c:v>
                </c:pt>
                <c:pt idx="6">
                  <c:v>0.73680774838744401</c:v>
                </c:pt>
                <c:pt idx="7">
                  <c:v>0.66183274133635239</c:v>
                </c:pt>
                <c:pt idx="8">
                  <c:v>0.63320597806195766</c:v>
                </c:pt>
                <c:pt idx="9">
                  <c:v>0.69084006851910684</c:v>
                </c:pt>
                <c:pt idx="10">
                  <c:v>0.73430275346458584</c:v>
                </c:pt>
                <c:pt idx="11">
                  <c:v>0.72654771910757565</c:v>
                </c:pt>
                <c:pt idx="12">
                  <c:v>0.61905319094894284</c:v>
                </c:pt>
                <c:pt idx="13">
                  <c:v>0.61905319094894284</c:v>
                </c:pt>
                <c:pt idx="14">
                  <c:v>0.60446198161737941</c:v>
                </c:pt>
                <c:pt idx="15">
                  <c:v>0.63589181740284295</c:v>
                </c:pt>
                <c:pt idx="16">
                  <c:v>0.66370282397709934</c:v>
                </c:pt>
                <c:pt idx="17">
                  <c:v>0.65949175175836894</c:v>
                </c:pt>
                <c:pt idx="18">
                  <c:v>0.65641625394037817</c:v>
                </c:pt>
                <c:pt idx="19">
                  <c:v>0.65641625394037817</c:v>
                </c:pt>
                <c:pt idx="20">
                  <c:v>0.58869814541408083</c:v>
                </c:pt>
                <c:pt idx="21">
                  <c:v>0.54936137505214511</c:v>
                </c:pt>
                <c:pt idx="22">
                  <c:v>0.53686726891255199</c:v>
                </c:pt>
                <c:pt idx="23">
                  <c:v>0.48424776223671406</c:v>
                </c:pt>
                <c:pt idx="24">
                  <c:v>0.46862901952602543</c:v>
                </c:pt>
                <c:pt idx="25">
                  <c:v>0.44657507929969392</c:v>
                </c:pt>
                <c:pt idx="26">
                  <c:v>0.47802441207346119</c:v>
                </c:pt>
                <c:pt idx="27">
                  <c:v>0.4742419215656577</c:v>
                </c:pt>
                <c:pt idx="28">
                  <c:v>0.48108278915877944</c:v>
                </c:pt>
                <c:pt idx="29">
                  <c:v>0.48721504831495865</c:v>
                </c:pt>
                <c:pt idx="30">
                  <c:v>0.47590352827743421</c:v>
                </c:pt>
                <c:pt idx="31">
                  <c:v>0.47861527230793388</c:v>
                </c:pt>
                <c:pt idx="32">
                  <c:v>0.4725306175940911</c:v>
                </c:pt>
                <c:pt idx="33">
                  <c:v>0.51511509569715663</c:v>
                </c:pt>
                <c:pt idx="34">
                  <c:v>0.57894029457192531</c:v>
                </c:pt>
                <c:pt idx="35">
                  <c:v>0.56317380692680197</c:v>
                </c:pt>
                <c:pt idx="36">
                  <c:v>0.54767612302289337</c:v>
                </c:pt>
                <c:pt idx="37">
                  <c:v>0.57894029457192531</c:v>
                </c:pt>
                <c:pt idx="38">
                  <c:v>0.53391651509517579</c:v>
                </c:pt>
                <c:pt idx="39">
                  <c:v>0.51886914028697095</c:v>
                </c:pt>
                <c:pt idx="40">
                  <c:v>0.50986906278318977</c:v>
                </c:pt>
                <c:pt idx="41">
                  <c:v>0.51338156329073437</c:v>
                </c:pt>
                <c:pt idx="42">
                  <c:v>0.51680555655781346</c:v>
                </c:pt>
                <c:pt idx="43">
                  <c:v>0.54776588117858471</c:v>
                </c:pt>
                <c:pt idx="44">
                  <c:v>0.51006923311843089</c:v>
                </c:pt>
                <c:pt idx="45">
                  <c:v>0.50777768656321565</c:v>
                </c:pt>
                <c:pt idx="46">
                  <c:v>0.51562387102608387</c:v>
                </c:pt>
                <c:pt idx="47">
                  <c:v>0.49912270122048025</c:v>
                </c:pt>
                <c:pt idx="48">
                  <c:v>0.45300783987214877</c:v>
                </c:pt>
                <c:pt idx="49">
                  <c:v>0.42011365068788514</c:v>
                </c:pt>
                <c:pt idx="50">
                  <c:v>0.45300783987214877</c:v>
                </c:pt>
                <c:pt idx="51">
                  <c:v>0.42691007799753877</c:v>
                </c:pt>
                <c:pt idx="52">
                  <c:v>0.45889007356496508</c:v>
                </c:pt>
                <c:pt idx="53">
                  <c:v>0.47504859154397289</c:v>
                </c:pt>
                <c:pt idx="54">
                  <c:v>0.46172473046300011</c:v>
                </c:pt>
                <c:pt idx="55">
                  <c:v>0.54951676769042945</c:v>
                </c:pt>
                <c:pt idx="56">
                  <c:v>0.55902460267794318</c:v>
                </c:pt>
                <c:pt idx="57">
                  <c:v>0.56247001508658589</c:v>
                </c:pt>
                <c:pt idx="58">
                  <c:v>0.57098174826031445</c:v>
                </c:pt>
                <c:pt idx="59">
                  <c:v>0.59037176491848908</c:v>
                </c:pt>
                <c:pt idx="60">
                  <c:v>0.64603046293502864</c:v>
                </c:pt>
                <c:pt idx="61">
                  <c:v>0.65844284474757131</c:v>
                </c:pt>
                <c:pt idx="62">
                  <c:v>0.64019129085731785</c:v>
                </c:pt>
                <c:pt idx="63">
                  <c:v>0.65412296677072113</c:v>
                </c:pt>
                <c:pt idx="64">
                  <c:v>0.63757021314193218</c:v>
                </c:pt>
                <c:pt idx="65">
                  <c:v>0.64890841265420796</c:v>
                </c:pt>
                <c:pt idx="66">
                  <c:v>0.61916808494400521</c:v>
                </c:pt>
                <c:pt idx="67">
                  <c:v>0.58615251978310723</c:v>
                </c:pt>
                <c:pt idx="68">
                  <c:v>0.62830808931498816</c:v>
                </c:pt>
                <c:pt idx="69">
                  <c:v>0.61469145921482737</c:v>
                </c:pt>
                <c:pt idx="70">
                  <c:v>0.62918563533375538</c:v>
                </c:pt>
                <c:pt idx="71">
                  <c:v>0.65089272690592892</c:v>
                </c:pt>
                <c:pt idx="72">
                  <c:v>0.68613791923063638</c:v>
                </c:pt>
                <c:pt idx="73">
                  <c:v>0.66237769243691424</c:v>
                </c:pt>
                <c:pt idx="74">
                  <c:v>0.66443740132152351</c:v>
                </c:pt>
                <c:pt idx="75">
                  <c:v>0.66237769243691424</c:v>
                </c:pt>
                <c:pt idx="76">
                  <c:v>0.63535246046030358</c:v>
                </c:pt>
                <c:pt idx="77">
                  <c:v>0.59452652549193286</c:v>
                </c:pt>
                <c:pt idx="78">
                  <c:v>0.6078826622396406</c:v>
                </c:pt>
                <c:pt idx="79">
                  <c:v>0.61729602418947438</c:v>
                </c:pt>
                <c:pt idx="80">
                  <c:v>0.58317600569372552</c:v>
                </c:pt>
                <c:pt idx="81">
                  <c:v>0.59653157178880079</c:v>
                </c:pt>
                <c:pt idx="82">
                  <c:v>0.57517284737260799</c:v>
                </c:pt>
                <c:pt idx="83">
                  <c:v>0.56861607014134152</c:v>
                </c:pt>
                <c:pt idx="84">
                  <c:v>0.55727419854014459</c:v>
                </c:pt>
                <c:pt idx="85">
                  <c:v>0.55093013331653118</c:v>
                </c:pt>
                <c:pt idx="86">
                  <c:v>0.57465727832154401</c:v>
                </c:pt>
                <c:pt idx="87">
                  <c:v>0.58902995061120811</c:v>
                </c:pt>
                <c:pt idx="88">
                  <c:v>0.57793839140083469</c:v>
                </c:pt>
                <c:pt idx="89">
                  <c:v>0.4741591952243816</c:v>
                </c:pt>
                <c:pt idx="90">
                  <c:v>0.43658809651451691</c:v>
                </c:pt>
                <c:pt idx="91">
                  <c:v>0.41765287093842862</c:v>
                </c:pt>
                <c:pt idx="92">
                  <c:v>0.4028098229838899</c:v>
                </c:pt>
                <c:pt idx="93">
                  <c:v>0.47788907778136447</c:v>
                </c:pt>
                <c:pt idx="94">
                  <c:v>0.49084413664233395</c:v>
                </c:pt>
                <c:pt idx="95">
                  <c:v>0.49450426590474372</c:v>
                </c:pt>
                <c:pt idx="96">
                  <c:v>0.49450426590474372</c:v>
                </c:pt>
                <c:pt idx="97">
                  <c:v>0.45923072088835232</c:v>
                </c:pt>
                <c:pt idx="98">
                  <c:v>0.42761316319375164</c:v>
                </c:pt>
                <c:pt idx="99">
                  <c:v>0.46227032845945415</c:v>
                </c:pt>
                <c:pt idx="100">
                  <c:v>0.45404122340567382</c:v>
                </c:pt>
                <c:pt idx="101">
                  <c:v>0.45404122340567382</c:v>
                </c:pt>
                <c:pt idx="102">
                  <c:v>0.42364839961947226</c:v>
                </c:pt>
                <c:pt idx="103">
                  <c:v>0.48442990028209243</c:v>
                </c:pt>
                <c:pt idx="104">
                  <c:v>0.47018466104096124</c:v>
                </c:pt>
                <c:pt idx="105">
                  <c:v>0.42786281792681791</c:v>
                </c:pt>
                <c:pt idx="106">
                  <c:v>0.4132153406951769</c:v>
                </c:pt>
                <c:pt idx="107">
                  <c:v>0.47018466104096124</c:v>
                </c:pt>
                <c:pt idx="108">
                  <c:v>0.46212093229047874</c:v>
                </c:pt>
                <c:pt idx="109">
                  <c:v>0.44690273635148237</c:v>
                </c:pt>
                <c:pt idx="110">
                  <c:v>0.41535226346324033</c:v>
                </c:pt>
                <c:pt idx="111">
                  <c:v>0.41189601141635707</c:v>
                </c:pt>
                <c:pt idx="112">
                  <c:v>0.37749232793152004</c:v>
                </c:pt>
                <c:pt idx="113">
                  <c:v>0.37795299805706567</c:v>
                </c:pt>
                <c:pt idx="114">
                  <c:v>0.38501077847486359</c:v>
                </c:pt>
                <c:pt idx="115">
                  <c:v>0.37093015775517096</c:v>
                </c:pt>
                <c:pt idx="116">
                  <c:v>0.35962750862378579</c:v>
                </c:pt>
                <c:pt idx="117">
                  <c:v>0.36918426917853386</c:v>
                </c:pt>
                <c:pt idx="118">
                  <c:v>0.38281318096373629</c:v>
                </c:pt>
                <c:pt idx="119">
                  <c:v>0.37243700930193413</c:v>
                </c:pt>
                <c:pt idx="120">
                  <c:v>0.38532630107916044</c:v>
                </c:pt>
                <c:pt idx="121">
                  <c:v>0.37411351911497304</c:v>
                </c:pt>
                <c:pt idx="122">
                  <c:v>0.37945519055423005</c:v>
                </c:pt>
                <c:pt idx="123">
                  <c:v>0.38811614070914796</c:v>
                </c:pt>
                <c:pt idx="124">
                  <c:v>0.40297154475851232</c:v>
                </c:pt>
                <c:pt idx="125">
                  <c:v>0.38688449383864632</c:v>
                </c:pt>
                <c:pt idx="126">
                  <c:v>0.37647743708570247</c:v>
                </c:pt>
                <c:pt idx="127">
                  <c:v>0.37338021104571051</c:v>
                </c:pt>
                <c:pt idx="128">
                  <c:v>0.29562447577972156</c:v>
                </c:pt>
                <c:pt idx="129">
                  <c:v>0.26713898011245318</c:v>
                </c:pt>
                <c:pt idx="130">
                  <c:v>0.33707254184688035</c:v>
                </c:pt>
                <c:pt idx="131">
                  <c:v>0.34660194288586071</c:v>
                </c:pt>
                <c:pt idx="132">
                  <c:v>0.37693581248534513</c:v>
                </c:pt>
                <c:pt idx="133">
                  <c:v>0.37955489771721246</c:v>
                </c:pt>
                <c:pt idx="134">
                  <c:v>0.4012610510109535</c:v>
                </c:pt>
                <c:pt idx="135">
                  <c:v>0.41528178559290679</c:v>
                </c:pt>
                <c:pt idx="136">
                  <c:v>0.39324233603958814</c:v>
                </c:pt>
                <c:pt idx="137">
                  <c:v>0.42241812473217372</c:v>
                </c:pt>
                <c:pt idx="138">
                  <c:v>0.45812068858697386</c:v>
                </c:pt>
                <c:pt idx="139">
                  <c:v>0.42936473511090067</c:v>
                </c:pt>
                <c:pt idx="140">
                  <c:v>0.40745334709317088</c:v>
                </c:pt>
                <c:pt idx="141">
                  <c:v>0.41309884742174274</c:v>
                </c:pt>
                <c:pt idx="142">
                  <c:v>0.41413970489530927</c:v>
                </c:pt>
                <c:pt idx="143">
                  <c:v>0.41584354527777323</c:v>
                </c:pt>
                <c:pt idx="144">
                  <c:v>0.34352499045119317</c:v>
                </c:pt>
                <c:pt idx="145">
                  <c:v>0.28418148180009006</c:v>
                </c:pt>
                <c:pt idx="146">
                  <c:v>0.29149943706266673</c:v>
                </c:pt>
                <c:pt idx="147">
                  <c:v>0.34144008855173769</c:v>
                </c:pt>
                <c:pt idx="148">
                  <c:v>0.29455543788744365</c:v>
                </c:pt>
                <c:pt idx="149">
                  <c:v>0.42309347536926606</c:v>
                </c:pt>
                <c:pt idx="150">
                  <c:v>0.42309347536926606</c:v>
                </c:pt>
                <c:pt idx="151">
                  <c:v>0.4242223603405651</c:v>
                </c:pt>
                <c:pt idx="152">
                  <c:v>0.44748005520806433</c:v>
                </c:pt>
                <c:pt idx="153">
                  <c:v>0.44439106685925217</c:v>
                </c:pt>
                <c:pt idx="154">
                  <c:v>0.33290156371151358</c:v>
                </c:pt>
                <c:pt idx="155">
                  <c:v>0.45140989566277362</c:v>
                </c:pt>
                <c:pt idx="156">
                  <c:v>0.40700739043562867</c:v>
                </c:pt>
                <c:pt idx="157">
                  <c:v>0.60892644255269435</c:v>
                </c:pt>
                <c:pt idx="158">
                  <c:v>0.59423864514046321</c:v>
                </c:pt>
                <c:pt idx="159">
                  <c:v>0.6263848307897435</c:v>
                </c:pt>
                <c:pt idx="160">
                  <c:v>0.65480493130822182</c:v>
                </c:pt>
                <c:pt idx="161">
                  <c:v>0.71597160462029186</c:v>
                </c:pt>
                <c:pt idx="162">
                  <c:v>0.79936031324337575</c:v>
                </c:pt>
                <c:pt idx="163">
                  <c:v>0.8256608129051427</c:v>
                </c:pt>
                <c:pt idx="164">
                  <c:v>0.83257474781957852</c:v>
                </c:pt>
                <c:pt idx="165">
                  <c:v>0.84305925134198079</c:v>
                </c:pt>
                <c:pt idx="166">
                  <c:v>0.84439179341474835</c:v>
                </c:pt>
                <c:pt idx="167">
                  <c:v>0.83798948836137577</c:v>
                </c:pt>
                <c:pt idx="168">
                  <c:v>0.76832708554350626</c:v>
                </c:pt>
                <c:pt idx="169">
                  <c:v>0.74949629336244095</c:v>
                </c:pt>
                <c:pt idx="170">
                  <c:v>0.78721266500464782</c:v>
                </c:pt>
                <c:pt idx="171">
                  <c:v>0.72169822774356485</c:v>
                </c:pt>
                <c:pt idx="172">
                  <c:v>0.83079065598448121</c:v>
                </c:pt>
                <c:pt idx="173">
                  <c:v>0.84063472269635875</c:v>
                </c:pt>
                <c:pt idx="174">
                  <c:v>0.78197458672123177</c:v>
                </c:pt>
                <c:pt idx="175">
                  <c:v>0.82228594543390077</c:v>
                </c:pt>
                <c:pt idx="176">
                  <c:v>0.82228594543390077</c:v>
                </c:pt>
                <c:pt idx="177">
                  <c:v>0.87254552435126431</c:v>
                </c:pt>
                <c:pt idx="178">
                  <c:v>0.90688789142571524</c:v>
                </c:pt>
                <c:pt idx="179">
                  <c:v>0.90904564835754453</c:v>
                </c:pt>
                <c:pt idx="180">
                  <c:v>0.90782006120518755</c:v>
                </c:pt>
                <c:pt idx="181">
                  <c:v>0.9105479087849232</c:v>
                </c:pt>
                <c:pt idx="182">
                  <c:v>0.92736895436677724</c:v>
                </c:pt>
                <c:pt idx="183">
                  <c:v>0.92693774833595899</c:v>
                </c:pt>
                <c:pt idx="184">
                  <c:v>0.92962672480790975</c:v>
                </c:pt>
                <c:pt idx="185">
                  <c:v>0.92772026190850965</c:v>
                </c:pt>
                <c:pt idx="186">
                  <c:v>0.95324471839825531</c:v>
                </c:pt>
                <c:pt idx="187">
                  <c:v>0.95520978776140819</c:v>
                </c:pt>
                <c:pt idx="188">
                  <c:v>0.95335910637163435</c:v>
                </c:pt>
                <c:pt idx="189">
                  <c:v>0.95122523158751371</c:v>
                </c:pt>
                <c:pt idx="190">
                  <c:v>0.95159604304738465</c:v>
                </c:pt>
                <c:pt idx="191">
                  <c:v>0.96333796137203465</c:v>
                </c:pt>
                <c:pt idx="192">
                  <c:v>0.96475073661562716</c:v>
                </c:pt>
                <c:pt idx="193">
                  <c:v>0.96375870927153184</c:v>
                </c:pt>
                <c:pt idx="194">
                  <c:v>0.96549727195050905</c:v>
                </c:pt>
                <c:pt idx="195">
                  <c:v>0.97972824609281739</c:v>
                </c:pt>
                <c:pt idx="196">
                  <c:v>0.97557589212912299</c:v>
                </c:pt>
                <c:pt idx="197">
                  <c:v>0.95934690244536402</c:v>
                </c:pt>
                <c:pt idx="198">
                  <c:v>0.9385222539497815</c:v>
                </c:pt>
                <c:pt idx="199">
                  <c:v>0.94205857388199854</c:v>
                </c:pt>
                <c:pt idx="200">
                  <c:v>0.87748700775465949</c:v>
                </c:pt>
                <c:pt idx="201">
                  <c:v>0.90339137243763723</c:v>
                </c:pt>
                <c:pt idx="202">
                  <c:v>0.94205857388199854</c:v>
                </c:pt>
                <c:pt idx="203">
                  <c:v>0.95587425416287319</c:v>
                </c:pt>
                <c:pt idx="204">
                  <c:v>0.99027447530696866</c:v>
                </c:pt>
                <c:pt idx="205">
                  <c:v>0.97847366123619861</c:v>
                </c:pt>
                <c:pt idx="206">
                  <c:v>0.95580172872477098</c:v>
                </c:pt>
                <c:pt idx="207">
                  <c:v>0.89815584955046668</c:v>
                </c:pt>
                <c:pt idx="208">
                  <c:v>0.90433551745614671</c:v>
                </c:pt>
                <c:pt idx="209">
                  <c:v>0.90433551745614671</c:v>
                </c:pt>
                <c:pt idx="210">
                  <c:v>0.89875319576913215</c:v>
                </c:pt>
                <c:pt idx="211">
                  <c:v>0.90226538815009849</c:v>
                </c:pt>
                <c:pt idx="212">
                  <c:v>0.91172389347479832</c:v>
                </c:pt>
                <c:pt idx="213">
                  <c:v>0.91139854356807648</c:v>
                </c:pt>
                <c:pt idx="214">
                  <c:v>0.91158635954379463</c:v>
                </c:pt>
                <c:pt idx="215">
                  <c:v>0.91043730151525848</c:v>
                </c:pt>
                <c:pt idx="216">
                  <c:v>0.90933155768623286</c:v>
                </c:pt>
                <c:pt idx="217">
                  <c:v>0.92081224691907704</c:v>
                </c:pt>
                <c:pt idx="218">
                  <c:v>0.91584710240533518</c:v>
                </c:pt>
                <c:pt idx="219">
                  <c:v>0.92081224691907704</c:v>
                </c:pt>
                <c:pt idx="220">
                  <c:v>0.88207169423008958</c:v>
                </c:pt>
                <c:pt idx="221">
                  <c:v>0.89839647193495631</c:v>
                </c:pt>
                <c:pt idx="222">
                  <c:v>0.81613042553286597</c:v>
                </c:pt>
                <c:pt idx="223">
                  <c:v>0.92731884222020211</c:v>
                </c:pt>
                <c:pt idx="224">
                  <c:v>0.94021222625007095</c:v>
                </c:pt>
                <c:pt idx="225">
                  <c:v>0.93754446570186334</c:v>
                </c:pt>
                <c:pt idx="226">
                  <c:v>0.92213501804792164</c:v>
                </c:pt>
                <c:pt idx="227">
                  <c:v>0.95301550179731664</c:v>
                </c:pt>
                <c:pt idx="228">
                  <c:v>0.95301550179731664</c:v>
                </c:pt>
                <c:pt idx="229">
                  <c:v>0.95301550179731664</c:v>
                </c:pt>
                <c:pt idx="230">
                  <c:v>0.93095663396698869</c:v>
                </c:pt>
                <c:pt idx="231">
                  <c:v>0.9605332037897929</c:v>
                </c:pt>
                <c:pt idx="232">
                  <c:v>0.96186747708451303</c:v>
                </c:pt>
                <c:pt idx="233">
                  <c:v>0.95441320378126659</c:v>
                </c:pt>
                <c:pt idx="234">
                  <c:v>0.96468401373452672</c:v>
                </c:pt>
                <c:pt idx="235">
                  <c:v>0.97266763503004883</c:v>
                </c:pt>
                <c:pt idx="236">
                  <c:v>0.95776869813018495</c:v>
                </c:pt>
                <c:pt idx="237">
                  <c:v>0.94404770550683115</c:v>
                </c:pt>
                <c:pt idx="238">
                  <c:v>0.93485323798856346</c:v>
                </c:pt>
                <c:pt idx="239">
                  <c:v>0.96106992079841158</c:v>
                </c:pt>
                <c:pt idx="240">
                  <c:v>0.94774748297200118</c:v>
                </c:pt>
                <c:pt idx="241">
                  <c:v>0.95604869553761263</c:v>
                </c:pt>
                <c:pt idx="242">
                  <c:v>0.94774748297200118</c:v>
                </c:pt>
                <c:pt idx="243">
                  <c:v>0.87447330791091027</c:v>
                </c:pt>
                <c:pt idx="244">
                  <c:v>0.86610822666592668</c:v>
                </c:pt>
                <c:pt idx="245">
                  <c:v>0.85855481757872876</c:v>
                </c:pt>
                <c:pt idx="246">
                  <c:v>0.97239746277661943</c:v>
                </c:pt>
                <c:pt idx="247">
                  <c:v>0.94760091430176863</c:v>
                </c:pt>
                <c:pt idx="248">
                  <c:v>0.90530545432094578</c:v>
                </c:pt>
                <c:pt idx="249">
                  <c:v>0.90530545432094578</c:v>
                </c:pt>
                <c:pt idx="250">
                  <c:v>0.88187964847597478</c:v>
                </c:pt>
                <c:pt idx="251">
                  <c:v>0.84714025108084823</c:v>
                </c:pt>
                <c:pt idx="252">
                  <c:v>0.85057469901096172</c:v>
                </c:pt>
                <c:pt idx="253">
                  <c:v>0.86318334905076011</c:v>
                </c:pt>
                <c:pt idx="254">
                  <c:v>0.83807343208953389</c:v>
                </c:pt>
                <c:pt idx="255">
                  <c:v>0.82222220988865746</c:v>
                </c:pt>
                <c:pt idx="256">
                  <c:v>0.62275368206073134</c:v>
                </c:pt>
                <c:pt idx="257">
                  <c:v>0.67230326575429078</c:v>
                </c:pt>
                <c:pt idx="258">
                  <c:v>0.69050447134038251</c:v>
                </c:pt>
                <c:pt idx="259">
                  <c:v>0.61033542977678468</c:v>
                </c:pt>
                <c:pt idx="260">
                  <c:v>0.6939569757734102</c:v>
                </c:pt>
                <c:pt idx="261">
                  <c:v>0.66754333395655185</c:v>
                </c:pt>
                <c:pt idx="262">
                  <c:v>0.72609301543362903</c:v>
                </c:pt>
                <c:pt idx="263">
                  <c:v>0.74663166442725448</c:v>
                </c:pt>
                <c:pt idx="264">
                  <c:v>0.66754333395655185</c:v>
                </c:pt>
                <c:pt idx="265">
                  <c:v>0.62123716526554651</c:v>
                </c:pt>
                <c:pt idx="266">
                  <c:v>0.6180222680328239</c:v>
                </c:pt>
                <c:pt idx="267">
                  <c:v>0.61208356800738151</c:v>
                </c:pt>
                <c:pt idx="268">
                  <c:v>0.59958841658177919</c:v>
                </c:pt>
                <c:pt idx="269">
                  <c:v>0.60103263205619939</c:v>
                </c:pt>
                <c:pt idx="270">
                  <c:v>0.60029604092737399</c:v>
                </c:pt>
                <c:pt idx="271">
                  <c:v>0.58845851438886132</c:v>
                </c:pt>
                <c:pt idx="272">
                  <c:v>0.59224775585706535</c:v>
                </c:pt>
                <c:pt idx="273">
                  <c:v>0.604601625895822</c:v>
                </c:pt>
                <c:pt idx="274">
                  <c:v>0.61074045486204243</c:v>
                </c:pt>
                <c:pt idx="275">
                  <c:v>0.61389489282556919</c:v>
                </c:pt>
                <c:pt idx="276">
                  <c:v>0.60233041560273004</c:v>
                </c:pt>
                <c:pt idx="277">
                  <c:v>0.6037352344540472</c:v>
                </c:pt>
                <c:pt idx="278">
                  <c:v>0.58942459149155479</c:v>
                </c:pt>
                <c:pt idx="279">
                  <c:v>0.54205032767488659</c:v>
                </c:pt>
                <c:pt idx="280">
                  <c:v>0.52056927566475342</c:v>
                </c:pt>
                <c:pt idx="281">
                  <c:v>0.61889055550431171</c:v>
                </c:pt>
                <c:pt idx="282">
                  <c:v>0.63857444674020136</c:v>
                </c:pt>
                <c:pt idx="283">
                  <c:v>0.64069519706314115</c:v>
                </c:pt>
                <c:pt idx="284">
                  <c:v>0.64288827641604773</c:v>
                </c:pt>
                <c:pt idx="285">
                  <c:v>0.63874575831359703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Query!$D$2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Query!$B$3:$B$288</c:f>
              <c:numCache>
                <c:formatCode>m/d/yyyy</c:formatCode>
                <c:ptCount val="286"/>
                <c:pt idx="0">
                  <c:v>42544</c:v>
                </c:pt>
                <c:pt idx="1">
                  <c:v>42537</c:v>
                </c:pt>
                <c:pt idx="2">
                  <c:v>42530</c:v>
                </c:pt>
                <c:pt idx="3">
                  <c:v>42523</c:v>
                </c:pt>
                <c:pt idx="4">
                  <c:v>42516</c:v>
                </c:pt>
                <c:pt idx="5">
                  <c:v>42509</c:v>
                </c:pt>
                <c:pt idx="6">
                  <c:v>42502</c:v>
                </c:pt>
                <c:pt idx="7">
                  <c:v>42495</c:v>
                </c:pt>
                <c:pt idx="8">
                  <c:v>42488</c:v>
                </c:pt>
                <c:pt idx="9">
                  <c:v>42481</c:v>
                </c:pt>
                <c:pt idx="10">
                  <c:v>42474</c:v>
                </c:pt>
                <c:pt idx="11">
                  <c:v>42467</c:v>
                </c:pt>
                <c:pt idx="12">
                  <c:v>42460</c:v>
                </c:pt>
                <c:pt idx="13">
                  <c:v>42453</c:v>
                </c:pt>
                <c:pt idx="14">
                  <c:v>42446</c:v>
                </c:pt>
                <c:pt idx="15">
                  <c:v>42439</c:v>
                </c:pt>
                <c:pt idx="16">
                  <c:v>42432</c:v>
                </c:pt>
                <c:pt idx="17">
                  <c:v>42425</c:v>
                </c:pt>
                <c:pt idx="18">
                  <c:v>42418</c:v>
                </c:pt>
                <c:pt idx="19">
                  <c:v>42411</c:v>
                </c:pt>
                <c:pt idx="20">
                  <c:v>42404</c:v>
                </c:pt>
                <c:pt idx="21">
                  <c:v>42397</c:v>
                </c:pt>
                <c:pt idx="22">
                  <c:v>42390</c:v>
                </c:pt>
                <c:pt idx="23">
                  <c:v>42383</c:v>
                </c:pt>
                <c:pt idx="24">
                  <c:v>42376</c:v>
                </c:pt>
                <c:pt idx="25">
                  <c:v>42369</c:v>
                </c:pt>
                <c:pt idx="26">
                  <c:v>42362</c:v>
                </c:pt>
                <c:pt idx="27">
                  <c:v>42355</c:v>
                </c:pt>
                <c:pt idx="28">
                  <c:v>42348</c:v>
                </c:pt>
                <c:pt idx="29">
                  <c:v>42341</c:v>
                </c:pt>
                <c:pt idx="30">
                  <c:v>42333</c:v>
                </c:pt>
                <c:pt idx="31">
                  <c:v>42327</c:v>
                </c:pt>
                <c:pt idx="32">
                  <c:v>42320</c:v>
                </c:pt>
                <c:pt idx="33">
                  <c:v>42313</c:v>
                </c:pt>
                <c:pt idx="34">
                  <c:v>42306</c:v>
                </c:pt>
                <c:pt idx="35">
                  <c:v>42299</c:v>
                </c:pt>
                <c:pt idx="36">
                  <c:v>42292</c:v>
                </c:pt>
                <c:pt idx="37">
                  <c:v>42285</c:v>
                </c:pt>
                <c:pt idx="38">
                  <c:v>42278</c:v>
                </c:pt>
                <c:pt idx="39">
                  <c:v>42271</c:v>
                </c:pt>
                <c:pt idx="40">
                  <c:v>42264</c:v>
                </c:pt>
                <c:pt idx="41">
                  <c:v>42257</c:v>
                </c:pt>
                <c:pt idx="42">
                  <c:v>42250</c:v>
                </c:pt>
                <c:pt idx="43">
                  <c:v>42243</c:v>
                </c:pt>
                <c:pt idx="44">
                  <c:v>42236</c:v>
                </c:pt>
                <c:pt idx="45">
                  <c:v>42229</c:v>
                </c:pt>
                <c:pt idx="46">
                  <c:v>42222</c:v>
                </c:pt>
                <c:pt idx="47">
                  <c:v>42215</c:v>
                </c:pt>
                <c:pt idx="48">
                  <c:v>42208</c:v>
                </c:pt>
                <c:pt idx="49">
                  <c:v>42201</c:v>
                </c:pt>
                <c:pt idx="50">
                  <c:v>42194</c:v>
                </c:pt>
                <c:pt idx="51">
                  <c:v>42187</c:v>
                </c:pt>
                <c:pt idx="52">
                  <c:v>42180</c:v>
                </c:pt>
                <c:pt idx="53">
                  <c:v>42173</c:v>
                </c:pt>
                <c:pt idx="54">
                  <c:v>42166</c:v>
                </c:pt>
                <c:pt idx="55">
                  <c:v>42159</c:v>
                </c:pt>
                <c:pt idx="56">
                  <c:v>42152</c:v>
                </c:pt>
                <c:pt idx="57">
                  <c:v>42145</c:v>
                </c:pt>
                <c:pt idx="58">
                  <c:v>42138</c:v>
                </c:pt>
                <c:pt idx="59">
                  <c:v>42131</c:v>
                </c:pt>
                <c:pt idx="60">
                  <c:v>42124</c:v>
                </c:pt>
                <c:pt idx="61">
                  <c:v>42117</c:v>
                </c:pt>
                <c:pt idx="62">
                  <c:v>42110</c:v>
                </c:pt>
                <c:pt idx="63">
                  <c:v>42103</c:v>
                </c:pt>
                <c:pt idx="64">
                  <c:v>42096</c:v>
                </c:pt>
                <c:pt idx="65">
                  <c:v>42089</c:v>
                </c:pt>
                <c:pt idx="66">
                  <c:v>42082</c:v>
                </c:pt>
                <c:pt idx="67">
                  <c:v>42075</c:v>
                </c:pt>
                <c:pt idx="68">
                  <c:v>42068</c:v>
                </c:pt>
                <c:pt idx="69">
                  <c:v>42061</c:v>
                </c:pt>
                <c:pt idx="70">
                  <c:v>42054</c:v>
                </c:pt>
                <c:pt idx="71">
                  <c:v>42047</c:v>
                </c:pt>
                <c:pt idx="72">
                  <c:v>42040</c:v>
                </c:pt>
                <c:pt idx="73">
                  <c:v>42033</c:v>
                </c:pt>
                <c:pt idx="74">
                  <c:v>42026</c:v>
                </c:pt>
                <c:pt idx="75">
                  <c:v>42019</c:v>
                </c:pt>
                <c:pt idx="76">
                  <c:v>42012</c:v>
                </c:pt>
                <c:pt idx="77">
                  <c:v>42004</c:v>
                </c:pt>
                <c:pt idx="78">
                  <c:v>41997</c:v>
                </c:pt>
                <c:pt idx="79">
                  <c:v>41991</c:v>
                </c:pt>
                <c:pt idx="80">
                  <c:v>41984</c:v>
                </c:pt>
                <c:pt idx="81">
                  <c:v>41977</c:v>
                </c:pt>
                <c:pt idx="82">
                  <c:v>41969</c:v>
                </c:pt>
                <c:pt idx="83">
                  <c:v>41963</c:v>
                </c:pt>
                <c:pt idx="84">
                  <c:v>41956</c:v>
                </c:pt>
                <c:pt idx="85">
                  <c:v>41949</c:v>
                </c:pt>
                <c:pt idx="86">
                  <c:v>41942</c:v>
                </c:pt>
                <c:pt idx="87">
                  <c:v>41935</c:v>
                </c:pt>
                <c:pt idx="88">
                  <c:v>41928</c:v>
                </c:pt>
                <c:pt idx="89">
                  <c:v>41921</c:v>
                </c:pt>
                <c:pt idx="90">
                  <c:v>41914</c:v>
                </c:pt>
                <c:pt idx="91">
                  <c:v>41907</c:v>
                </c:pt>
                <c:pt idx="92">
                  <c:v>41900</c:v>
                </c:pt>
                <c:pt idx="93">
                  <c:v>41893</c:v>
                </c:pt>
                <c:pt idx="94">
                  <c:v>41886</c:v>
                </c:pt>
                <c:pt idx="95">
                  <c:v>41879</c:v>
                </c:pt>
                <c:pt idx="96">
                  <c:v>41872</c:v>
                </c:pt>
                <c:pt idx="97">
                  <c:v>41865</c:v>
                </c:pt>
                <c:pt idx="98">
                  <c:v>41858</c:v>
                </c:pt>
                <c:pt idx="99">
                  <c:v>41851</c:v>
                </c:pt>
                <c:pt idx="100">
                  <c:v>41844</c:v>
                </c:pt>
                <c:pt idx="101">
                  <c:v>41837</c:v>
                </c:pt>
                <c:pt idx="102">
                  <c:v>41830</c:v>
                </c:pt>
                <c:pt idx="103">
                  <c:v>41823</c:v>
                </c:pt>
                <c:pt idx="104">
                  <c:v>41816</c:v>
                </c:pt>
                <c:pt idx="105">
                  <c:v>41809</c:v>
                </c:pt>
                <c:pt idx="106">
                  <c:v>41802</c:v>
                </c:pt>
                <c:pt idx="107">
                  <c:v>41795</c:v>
                </c:pt>
                <c:pt idx="108">
                  <c:v>41788</c:v>
                </c:pt>
                <c:pt idx="109">
                  <c:v>41781</c:v>
                </c:pt>
                <c:pt idx="110">
                  <c:v>41774</c:v>
                </c:pt>
                <c:pt idx="111">
                  <c:v>41767</c:v>
                </c:pt>
                <c:pt idx="112">
                  <c:v>41760</c:v>
                </c:pt>
                <c:pt idx="113">
                  <c:v>41753</c:v>
                </c:pt>
                <c:pt idx="114">
                  <c:v>41746</c:v>
                </c:pt>
                <c:pt idx="115">
                  <c:v>41739</c:v>
                </c:pt>
                <c:pt idx="116">
                  <c:v>41732</c:v>
                </c:pt>
                <c:pt idx="117">
                  <c:v>41725</c:v>
                </c:pt>
                <c:pt idx="118">
                  <c:v>41718</c:v>
                </c:pt>
                <c:pt idx="119">
                  <c:v>41711</c:v>
                </c:pt>
                <c:pt idx="120">
                  <c:v>41704</c:v>
                </c:pt>
                <c:pt idx="121">
                  <c:v>41697</c:v>
                </c:pt>
                <c:pt idx="122">
                  <c:v>41690</c:v>
                </c:pt>
                <c:pt idx="123">
                  <c:v>41683</c:v>
                </c:pt>
                <c:pt idx="124">
                  <c:v>41676</c:v>
                </c:pt>
                <c:pt idx="125">
                  <c:v>41669</c:v>
                </c:pt>
                <c:pt idx="126">
                  <c:v>41662</c:v>
                </c:pt>
                <c:pt idx="127">
                  <c:v>41655</c:v>
                </c:pt>
                <c:pt idx="128">
                  <c:v>41648</c:v>
                </c:pt>
                <c:pt idx="129">
                  <c:v>41641</c:v>
                </c:pt>
                <c:pt idx="130">
                  <c:v>41634</c:v>
                </c:pt>
                <c:pt idx="131">
                  <c:v>41627</c:v>
                </c:pt>
                <c:pt idx="132">
                  <c:v>41620</c:v>
                </c:pt>
                <c:pt idx="133">
                  <c:v>41613</c:v>
                </c:pt>
                <c:pt idx="134">
                  <c:v>41605</c:v>
                </c:pt>
                <c:pt idx="135">
                  <c:v>41599</c:v>
                </c:pt>
                <c:pt idx="136">
                  <c:v>41592</c:v>
                </c:pt>
                <c:pt idx="137">
                  <c:v>41585</c:v>
                </c:pt>
                <c:pt idx="138">
                  <c:v>41578</c:v>
                </c:pt>
                <c:pt idx="139">
                  <c:v>41571</c:v>
                </c:pt>
                <c:pt idx="140">
                  <c:v>41564</c:v>
                </c:pt>
                <c:pt idx="141">
                  <c:v>41557</c:v>
                </c:pt>
                <c:pt idx="142">
                  <c:v>41550</c:v>
                </c:pt>
                <c:pt idx="143">
                  <c:v>41543</c:v>
                </c:pt>
                <c:pt idx="144">
                  <c:v>41536</c:v>
                </c:pt>
                <c:pt idx="145">
                  <c:v>41529</c:v>
                </c:pt>
                <c:pt idx="146">
                  <c:v>41522</c:v>
                </c:pt>
                <c:pt idx="147">
                  <c:v>41515</c:v>
                </c:pt>
                <c:pt idx="148">
                  <c:v>41508</c:v>
                </c:pt>
                <c:pt idx="149">
                  <c:v>41501</c:v>
                </c:pt>
                <c:pt idx="150">
                  <c:v>41494</c:v>
                </c:pt>
                <c:pt idx="151">
                  <c:v>41487</c:v>
                </c:pt>
                <c:pt idx="152">
                  <c:v>41480</c:v>
                </c:pt>
                <c:pt idx="153">
                  <c:v>41473</c:v>
                </c:pt>
                <c:pt idx="154">
                  <c:v>41466</c:v>
                </c:pt>
                <c:pt idx="155">
                  <c:v>41458</c:v>
                </c:pt>
                <c:pt idx="156">
                  <c:v>41452</c:v>
                </c:pt>
                <c:pt idx="157">
                  <c:v>41445</c:v>
                </c:pt>
                <c:pt idx="158">
                  <c:v>41438</c:v>
                </c:pt>
                <c:pt idx="159">
                  <c:v>41431</c:v>
                </c:pt>
                <c:pt idx="160">
                  <c:v>41424</c:v>
                </c:pt>
                <c:pt idx="161">
                  <c:v>41417</c:v>
                </c:pt>
                <c:pt idx="162">
                  <c:v>41410</c:v>
                </c:pt>
                <c:pt idx="163">
                  <c:v>41403</c:v>
                </c:pt>
                <c:pt idx="164">
                  <c:v>41396</c:v>
                </c:pt>
                <c:pt idx="165">
                  <c:v>41389</c:v>
                </c:pt>
                <c:pt idx="166">
                  <c:v>41382</c:v>
                </c:pt>
                <c:pt idx="167">
                  <c:v>41375</c:v>
                </c:pt>
                <c:pt idx="168">
                  <c:v>41368</c:v>
                </c:pt>
                <c:pt idx="169">
                  <c:v>41361</c:v>
                </c:pt>
                <c:pt idx="170">
                  <c:v>41354</c:v>
                </c:pt>
                <c:pt idx="171">
                  <c:v>41347</c:v>
                </c:pt>
                <c:pt idx="172">
                  <c:v>41340</c:v>
                </c:pt>
                <c:pt idx="173">
                  <c:v>41333</c:v>
                </c:pt>
                <c:pt idx="174">
                  <c:v>41326</c:v>
                </c:pt>
                <c:pt idx="175">
                  <c:v>41319</c:v>
                </c:pt>
                <c:pt idx="176">
                  <c:v>41312</c:v>
                </c:pt>
                <c:pt idx="177">
                  <c:v>41305</c:v>
                </c:pt>
                <c:pt idx="178">
                  <c:v>41298</c:v>
                </c:pt>
                <c:pt idx="179">
                  <c:v>41291</c:v>
                </c:pt>
                <c:pt idx="180">
                  <c:v>41284</c:v>
                </c:pt>
                <c:pt idx="181">
                  <c:v>41277</c:v>
                </c:pt>
                <c:pt idx="182">
                  <c:v>41270</c:v>
                </c:pt>
                <c:pt idx="183">
                  <c:v>41263</c:v>
                </c:pt>
                <c:pt idx="184">
                  <c:v>41256</c:v>
                </c:pt>
                <c:pt idx="185">
                  <c:v>41249</c:v>
                </c:pt>
                <c:pt idx="186">
                  <c:v>41242</c:v>
                </c:pt>
                <c:pt idx="187">
                  <c:v>41234</c:v>
                </c:pt>
                <c:pt idx="188">
                  <c:v>41228</c:v>
                </c:pt>
                <c:pt idx="189">
                  <c:v>41221</c:v>
                </c:pt>
                <c:pt idx="190">
                  <c:v>41214</c:v>
                </c:pt>
                <c:pt idx="191">
                  <c:v>41207</c:v>
                </c:pt>
                <c:pt idx="192">
                  <c:v>41200</c:v>
                </c:pt>
                <c:pt idx="193">
                  <c:v>41193</c:v>
                </c:pt>
                <c:pt idx="194">
                  <c:v>41186</c:v>
                </c:pt>
                <c:pt idx="195">
                  <c:v>41179</c:v>
                </c:pt>
                <c:pt idx="196">
                  <c:v>41172</c:v>
                </c:pt>
                <c:pt idx="197">
                  <c:v>41165</c:v>
                </c:pt>
                <c:pt idx="198">
                  <c:v>41158</c:v>
                </c:pt>
                <c:pt idx="199">
                  <c:v>41151</c:v>
                </c:pt>
                <c:pt idx="200">
                  <c:v>41144</c:v>
                </c:pt>
                <c:pt idx="201">
                  <c:v>41137</c:v>
                </c:pt>
                <c:pt idx="202">
                  <c:v>41130</c:v>
                </c:pt>
                <c:pt idx="203">
                  <c:v>41123</c:v>
                </c:pt>
                <c:pt idx="204">
                  <c:v>41116</c:v>
                </c:pt>
                <c:pt idx="205">
                  <c:v>41109</c:v>
                </c:pt>
                <c:pt idx="206">
                  <c:v>41102</c:v>
                </c:pt>
                <c:pt idx="207">
                  <c:v>41095</c:v>
                </c:pt>
                <c:pt idx="208">
                  <c:v>41088</c:v>
                </c:pt>
                <c:pt idx="209">
                  <c:v>41081</c:v>
                </c:pt>
                <c:pt idx="210">
                  <c:v>41074</c:v>
                </c:pt>
                <c:pt idx="211">
                  <c:v>41067</c:v>
                </c:pt>
                <c:pt idx="212">
                  <c:v>41060</c:v>
                </c:pt>
                <c:pt idx="213">
                  <c:v>41053</c:v>
                </c:pt>
                <c:pt idx="214">
                  <c:v>41046</c:v>
                </c:pt>
                <c:pt idx="215">
                  <c:v>41039</c:v>
                </c:pt>
                <c:pt idx="216">
                  <c:v>41032</c:v>
                </c:pt>
                <c:pt idx="217">
                  <c:v>41025</c:v>
                </c:pt>
                <c:pt idx="218">
                  <c:v>41018</c:v>
                </c:pt>
                <c:pt idx="219">
                  <c:v>41011</c:v>
                </c:pt>
                <c:pt idx="220">
                  <c:v>41004</c:v>
                </c:pt>
                <c:pt idx="221">
                  <c:v>40997</c:v>
                </c:pt>
                <c:pt idx="222">
                  <c:v>40990</c:v>
                </c:pt>
                <c:pt idx="223">
                  <c:v>40983</c:v>
                </c:pt>
                <c:pt idx="224">
                  <c:v>40976</c:v>
                </c:pt>
                <c:pt idx="225">
                  <c:v>40969</c:v>
                </c:pt>
                <c:pt idx="226">
                  <c:v>40962</c:v>
                </c:pt>
                <c:pt idx="227">
                  <c:v>40955</c:v>
                </c:pt>
                <c:pt idx="228">
                  <c:v>40948</c:v>
                </c:pt>
                <c:pt idx="229">
                  <c:v>40941</c:v>
                </c:pt>
                <c:pt idx="230">
                  <c:v>40934</c:v>
                </c:pt>
                <c:pt idx="231">
                  <c:v>40927</c:v>
                </c:pt>
                <c:pt idx="232">
                  <c:v>40920</c:v>
                </c:pt>
                <c:pt idx="233">
                  <c:v>40913</c:v>
                </c:pt>
                <c:pt idx="234">
                  <c:v>40906</c:v>
                </c:pt>
                <c:pt idx="235">
                  <c:v>40899</c:v>
                </c:pt>
                <c:pt idx="236">
                  <c:v>40892</c:v>
                </c:pt>
                <c:pt idx="237">
                  <c:v>40885</c:v>
                </c:pt>
                <c:pt idx="238">
                  <c:v>40878</c:v>
                </c:pt>
                <c:pt idx="239">
                  <c:v>40870</c:v>
                </c:pt>
                <c:pt idx="240">
                  <c:v>40864</c:v>
                </c:pt>
                <c:pt idx="241">
                  <c:v>40857</c:v>
                </c:pt>
                <c:pt idx="242">
                  <c:v>40850</c:v>
                </c:pt>
                <c:pt idx="243">
                  <c:v>40843</c:v>
                </c:pt>
                <c:pt idx="244">
                  <c:v>40836</c:v>
                </c:pt>
                <c:pt idx="245">
                  <c:v>40829</c:v>
                </c:pt>
                <c:pt idx="246">
                  <c:v>40822</c:v>
                </c:pt>
                <c:pt idx="247">
                  <c:v>40815</c:v>
                </c:pt>
                <c:pt idx="248">
                  <c:v>40808</c:v>
                </c:pt>
                <c:pt idx="249">
                  <c:v>40801</c:v>
                </c:pt>
                <c:pt idx="250">
                  <c:v>40794</c:v>
                </c:pt>
                <c:pt idx="251">
                  <c:v>40787</c:v>
                </c:pt>
                <c:pt idx="252">
                  <c:v>40780</c:v>
                </c:pt>
                <c:pt idx="253">
                  <c:v>40773</c:v>
                </c:pt>
                <c:pt idx="254">
                  <c:v>40766</c:v>
                </c:pt>
                <c:pt idx="255">
                  <c:v>40759</c:v>
                </c:pt>
                <c:pt idx="256">
                  <c:v>40752</c:v>
                </c:pt>
                <c:pt idx="257">
                  <c:v>40745</c:v>
                </c:pt>
                <c:pt idx="258">
                  <c:v>40738</c:v>
                </c:pt>
                <c:pt idx="259">
                  <c:v>40731</c:v>
                </c:pt>
                <c:pt idx="260">
                  <c:v>40724</c:v>
                </c:pt>
                <c:pt idx="261">
                  <c:v>40717</c:v>
                </c:pt>
                <c:pt idx="262">
                  <c:v>40710</c:v>
                </c:pt>
                <c:pt idx="263">
                  <c:v>40703</c:v>
                </c:pt>
                <c:pt idx="264">
                  <c:v>40696</c:v>
                </c:pt>
                <c:pt idx="265">
                  <c:v>40689</c:v>
                </c:pt>
                <c:pt idx="266">
                  <c:v>40682</c:v>
                </c:pt>
                <c:pt idx="267">
                  <c:v>40675</c:v>
                </c:pt>
                <c:pt idx="268">
                  <c:v>40668</c:v>
                </c:pt>
                <c:pt idx="269">
                  <c:v>40661</c:v>
                </c:pt>
                <c:pt idx="270">
                  <c:v>40654</c:v>
                </c:pt>
                <c:pt idx="271">
                  <c:v>40647</c:v>
                </c:pt>
                <c:pt idx="272">
                  <c:v>40640</c:v>
                </c:pt>
                <c:pt idx="273">
                  <c:v>40633</c:v>
                </c:pt>
                <c:pt idx="274">
                  <c:v>40626</c:v>
                </c:pt>
                <c:pt idx="275">
                  <c:v>40619</c:v>
                </c:pt>
                <c:pt idx="276">
                  <c:v>40612</c:v>
                </c:pt>
                <c:pt idx="277">
                  <c:v>40605</c:v>
                </c:pt>
                <c:pt idx="278">
                  <c:v>40598</c:v>
                </c:pt>
                <c:pt idx="279">
                  <c:v>40591</c:v>
                </c:pt>
                <c:pt idx="280">
                  <c:v>40584</c:v>
                </c:pt>
                <c:pt idx="281">
                  <c:v>40577</c:v>
                </c:pt>
                <c:pt idx="282">
                  <c:v>40570</c:v>
                </c:pt>
                <c:pt idx="283">
                  <c:v>40563</c:v>
                </c:pt>
                <c:pt idx="284">
                  <c:v>40556</c:v>
                </c:pt>
                <c:pt idx="285">
                  <c:v>40549</c:v>
                </c:pt>
              </c:numCache>
            </c:numRef>
          </c:cat>
          <c:val>
            <c:numRef>
              <c:f>Query!$D$3:$D$288</c:f>
              <c:numCache>
                <c:formatCode>0.00%</c:formatCode>
                <c:ptCount val="286"/>
                <c:pt idx="0">
                  <c:v>0.65141115100369107</c:v>
                </c:pt>
                <c:pt idx="1">
                  <c:v>0.67872358251423159</c:v>
                </c:pt>
                <c:pt idx="2">
                  <c:v>0.63358604177011002</c:v>
                </c:pt>
                <c:pt idx="3">
                  <c:v>0.59315061833233318</c:v>
                </c:pt>
                <c:pt idx="4">
                  <c:v>0.60819317871948908</c:v>
                </c:pt>
                <c:pt idx="5">
                  <c:v>0.65017472870897264</c:v>
                </c:pt>
                <c:pt idx="6">
                  <c:v>0.65876191295949094</c:v>
                </c:pt>
                <c:pt idx="7">
                  <c:v>0.59722461281341566</c:v>
                </c:pt>
                <c:pt idx="8">
                  <c:v>0.58783386272770355</c:v>
                </c:pt>
                <c:pt idx="9">
                  <c:v>0.6407197706290888</c:v>
                </c:pt>
                <c:pt idx="10">
                  <c:v>0.64928657440476223</c:v>
                </c:pt>
                <c:pt idx="11">
                  <c:v>0.65363062834528973</c:v>
                </c:pt>
                <c:pt idx="12">
                  <c:v>0.57556705570856714</c:v>
                </c:pt>
                <c:pt idx="13">
                  <c:v>#N/A</c:v>
                </c:pt>
                <c:pt idx="14">
                  <c:v>0.57171535395944317</c:v>
                </c:pt>
                <c:pt idx="15">
                  <c:v>0.61112530790993402</c:v>
                </c:pt>
                <c:pt idx="16">
                  <c:v>0.6251498693313029</c:v>
                </c:pt>
                <c:pt idx="17">
                  <c:v>0.6248793189875167</c:v>
                </c:pt>
                <c:pt idx="18">
                  <c:v>0.62446269212048289</c:v>
                </c:pt>
                <c:pt idx="19">
                  <c:v>0.62446269212048289</c:v>
                </c:pt>
                <c:pt idx="20">
                  <c:v>0.58251501649996351</c:v>
                </c:pt>
                <c:pt idx="21">
                  <c:v>0.52755859000000005</c:v>
                </c:pt>
                <c:pt idx="22">
                  <c:v>0.51058732016564734</c:v>
                </c:pt>
                <c:pt idx="23">
                  <c:v>0.44103197340208022</c:v>
                </c:pt>
                <c:pt idx="24">
                  <c:v>0.44103197340208022</c:v>
                </c:pt>
                <c:pt idx="25">
                  <c:v>0.41128790488114564</c:v>
                </c:pt>
                <c:pt idx="26">
                  <c:v>0.44353361272975167</c:v>
                </c:pt>
                <c:pt idx="27">
                  <c:v>0.4426892560799261</c:v>
                </c:pt>
                <c:pt idx="28">
                  <c:v>0.44439599984148415</c:v>
                </c:pt>
                <c:pt idx="29">
                  <c:v>0.44656607927794312</c:v>
                </c:pt>
                <c:pt idx="30">
                  <c:v>0.44809866053416347</c:v>
                </c:pt>
                <c:pt idx="31">
                  <c:v>0.44227071864556189</c:v>
                </c:pt>
                <c:pt idx="32">
                  <c:v>0.41424676173976599</c:v>
                </c:pt>
                <c:pt idx="33">
                  <c:v>0.47756205149100972</c:v>
                </c:pt>
                <c:pt idx="34">
                  <c:v>0.55255659565598092</c:v>
                </c:pt>
                <c:pt idx="35">
                  <c:v>0.52254107122394533</c:v>
                </c:pt>
                <c:pt idx="36">
                  <c:v>0.52010113675112479</c:v>
                </c:pt>
                <c:pt idx="37">
                  <c:v>0.55255659565598092</c:v>
                </c:pt>
                <c:pt idx="38">
                  <c:v>0.51784913770324514</c:v>
                </c:pt>
                <c:pt idx="39">
                  <c:v>0.48860274852887836</c:v>
                </c:pt>
                <c:pt idx="40">
                  <c:v>0.48469774680333999</c:v>
                </c:pt>
                <c:pt idx="41">
                  <c:v>0.48663724314238854</c:v>
                </c:pt>
                <c:pt idx="42">
                  <c:v>0.4874742059346423</c:v>
                </c:pt>
                <c:pt idx="43">
                  <c:v>0.53237291122190666</c:v>
                </c:pt>
                <c:pt idx="44">
                  <c:v>0.44680494601844289</c:v>
                </c:pt>
                <c:pt idx="45">
                  <c:v>0.44651143610405097</c:v>
                </c:pt>
                <c:pt idx="46">
                  <c:v>0.47053858271925847</c:v>
                </c:pt>
                <c:pt idx="47">
                  <c:v>0.42269076065729377</c:v>
                </c:pt>
                <c:pt idx="48">
                  <c:v>0.39501005586426785</c:v>
                </c:pt>
                <c:pt idx="49">
                  <c:v>0.39138037249660224</c:v>
                </c:pt>
                <c:pt idx="50">
                  <c:v>0.39501005586426785</c:v>
                </c:pt>
                <c:pt idx="51">
                  <c:v>0.39179509217736908</c:v>
                </c:pt>
                <c:pt idx="52">
                  <c:v>0.39696021691334338</c:v>
                </c:pt>
                <c:pt idx="53">
                  <c:v>0.42202391195455535</c:v>
                </c:pt>
                <c:pt idx="54">
                  <c:v>0.39779633268543002</c:v>
                </c:pt>
                <c:pt idx="55">
                  <c:v>0.49151040605794738</c:v>
                </c:pt>
                <c:pt idx="56">
                  <c:v>0.49518214427458052</c:v>
                </c:pt>
                <c:pt idx="57">
                  <c:v>0.49530657385961702</c:v>
                </c:pt>
                <c:pt idx="58">
                  <c:v>0.52626041924754496</c:v>
                </c:pt>
                <c:pt idx="59">
                  <c:v>0.53238458781035902</c:v>
                </c:pt>
                <c:pt idx="60">
                  <c:v>0.608876308109219</c:v>
                </c:pt>
                <c:pt idx="61">
                  <c:v>0.63350921207897204</c:v>
                </c:pt>
                <c:pt idx="62">
                  <c:v>0.60745911385405604</c:v>
                </c:pt>
                <c:pt idx="63">
                  <c:v>0.63179874985391804</c:v>
                </c:pt>
                <c:pt idx="64">
                  <c:v>0.60618674833379105</c:v>
                </c:pt>
                <c:pt idx="65">
                  <c:v>0.61985540937113104</c:v>
                </c:pt>
                <c:pt idx="66">
                  <c:v>0.58146564562660097</c:v>
                </c:pt>
                <c:pt idx="67">
                  <c:v>0.51703371456013503</c:v>
                </c:pt>
                <c:pt idx="68">
                  <c:v>0.58384753948448997</c:v>
                </c:pt>
                <c:pt idx="69">
                  <c:v>0.56144623129586702</c:v>
                </c:pt>
                <c:pt idx="70">
                  <c:v>0.59003468905342005</c:v>
                </c:pt>
                <c:pt idx="71">
                  <c:v>0.62719075850631201</c:v>
                </c:pt>
                <c:pt idx="72">
                  <c:v>0.65455905311871299</c:v>
                </c:pt>
                <c:pt idx="73">
                  <c:v>0.65582330233583797</c:v>
                </c:pt>
                <c:pt idx="74">
                  <c:v>0.65720471867066899</c:v>
                </c:pt>
                <c:pt idx="75">
                  <c:v>0.65582330233583797</c:v>
                </c:pt>
                <c:pt idx="76">
                  <c:v>0.59931706558407905</c:v>
                </c:pt>
                <c:pt idx="77">
                  <c:v>0.53680415412734395</c:v>
                </c:pt>
                <c:pt idx="78">
                  <c:v>0.57166642614489205</c:v>
                </c:pt>
                <c:pt idx="79">
                  <c:v>0.57447022909045797</c:v>
                </c:pt>
                <c:pt idx="80">
                  <c:v>0.53353274326337596</c:v>
                </c:pt>
                <c:pt idx="81">
                  <c:v>0.53685925114667898</c:v>
                </c:pt>
                <c:pt idx="82">
                  <c:v>0.51222876537846296</c:v>
                </c:pt>
                <c:pt idx="83">
                  <c:v>0.51126312077979097</c:v>
                </c:pt>
                <c:pt idx="84">
                  <c:v>0.47696082053878203</c:v>
                </c:pt>
                <c:pt idx="85">
                  <c:v>0.47679161148246502</c:v>
                </c:pt>
                <c:pt idx="86">
                  <c:v>0.519221652370358</c:v>
                </c:pt>
                <c:pt idx="87">
                  <c:v>0.54838604953283498</c:v>
                </c:pt>
                <c:pt idx="88">
                  <c:v>0.51982909302980596</c:v>
                </c:pt>
                <c:pt idx="89">
                  <c:v>0.45168042618119703</c:v>
                </c:pt>
                <c:pt idx="90">
                  <c:v>0.419925946793896</c:v>
                </c:pt>
                <c:pt idx="91">
                  <c:v>0.40569534905697002</c:v>
                </c:pt>
                <c:pt idx="92">
                  <c:v>0.403775681059653</c:v>
                </c:pt>
                <c:pt idx="93">
                  <c:v>0.45995272695767497</c:v>
                </c:pt>
                <c:pt idx="94">
                  <c:v>0.46145357757128402</c:v>
                </c:pt>
                <c:pt idx="95">
                  <c:v>0.46725416935729103</c:v>
                </c:pt>
                <c:pt idx="96">
                  <c:v>0.46725416935729103</c:v>
                </c:pt>
                <c:pt idx="97">
                  <c:v>0.437009219217877</c:v>
                </c:pt>
                <c:pt idx="98">
                  <c:v>0.41284557270170602</c:v>
                </c:pt>
                <c:pt idx="99">
                  <c:v>0.44366576481104603</c:v>
                </c:pt>
                <c:pt idx="100">
                  <c:v>0.44241787954298001</c:v>
                </c:pt>
                <c:pt idx="101">
                  <c:v>0.44241787954298001</c:v>
                </c:pt>
                <c:pt idx="102">
                  <c:v>0.41926854513922601</c:v>
                </c:pt>
                <c:pt idx="103">
                  <c:v>0.47241973099249801</c:v>
                </c:pt>
                <c:pt idx="104">
                  <c:v>0.447997908024105</c:v>
                </c:pt>
                <c:pt idx="105">
                  <c:v>0.42434402519227898</c:v>
                </c:pt>
                <c:pt idx="106">
                  <c:v>0.42258598579352902</c:v>
                </c:pt>
                <c:pt idx="107">
                  <c:v>0.447997908024105</c:v>
                </c:pt>
                <c:pt idx="108">
                  <c:v>0.44740081291084099</c:v>
                </c:pt>
                <c:pt idx="109">
                  <c:v>0.44562837110466802</c:v>
                </c:pt>
                <c:pt idx="110">
                  <c:v>0.42349289634896597</c:v>
                </c:pt>
                <c:pt idx="111">
                  <c:v>0.42315654967107302</c:v>
                </c:pt>
                <c:pt idx="112">
                  <c:v>0.37348002875422498</c:v>
                </c:pt>
                <c:pt idx="113">
                  <c:v>0.37394334466633</c:v>
                </c:pt>
                <c:pt idx="114">
                  <c:v>0.37550642358643799</c:v>
                </c:pt>
                <c:pt idx="115">
                  <c:v>0.34451093908200903</c:v>
                </c:pt>
                <c:pt idx="116">
                  <c:v>0.31383635422742501</c:v>
                </c:pt>
                <c:pt idx="117">
                  <c:v>0.34373332978073601</c:v>
                </c:pt>
                <c:pt idx="118">
                  <c:v>0.37475184713589199</c:v>
                </c:pt>
                <c:pt idx="119">
                  <c:v>0.34537825411835699</c:v>
                </c:pt>
                <c:pt idx="120">
                  <c:v>0.37584545219724702</c:v>
                </c:pt>
                <c:pt idx="121">
                  <c:v>0.34853875137296803</c:v>
                </c:pt>
                <c:pt idx="122">
                  <c:v>0.35043602810261099</c:v>
                </c:pt>
                <c:pt idx="123">
                  <c:v>0.380280894786581</c:v>
                </c:pt>
                <c:pt idx="124">
                  <c:v>0.407383000493176</c:v>
                </c:pt>
                <c:pt idx="125">
                  <c:v>0.38449844249950499</c:v>
                </c:pt>
                <c:pt idx="126">
                  <c:v>0.32547727058860199</c:v>
                </c:pt>
                <c:pt idx="127">
                  <c:v>0.32467403778332998</c:v>
                </c:pt>
                <c:pt idx="128">
                  <c:v>0.29015447722721099</c:v>
                </c:pt>
                <c:pt idx="129">
                  <c:v>0.265306805945277</c:v>
                </c:pt>
                <c:pt idx="130">
                  <c:v>0.29162362501885603</c:v>
                </c:pt>
                <c:pt idx="131">
                  <c:v>0.29198850689481598</c:v>
                </c:pt>
                <c:pt idx="132">
                  <c:v>0.33082970500556302</c:v>
                </c:pt>
                <c:pt idx="133">
                  <c:v>0.331227934580689</c:v>
                </c:pt>
                <c:pt idx="134">
                  <c:v>0.401262959025458</c:v>
                </c:pt>
                <c:pt idx="135">
                  <c:v>0.42989701258795199</c:v>
                </c:pt>
                <c:pt idx="136">
                  <c:v>0.37120289750535601</c:v>
                </c:pt>
                <c:pt idx="137">
                  <c:v>0.44788779304034998</c:v>
                </c:pt>
                <c:pt idx="138">
                  <c:v>0.47501022290439499</c:v>
                </c:pt>
                <c:pt idx="139">
                  <c:v>0.45648777309490202</c:v>
                </c:pt>
                <c:pt idx="140">
                  <c:v>0.40902347477168999</c:v>
                </c:pt>
                <c:pt idx="141">
                  <c:v>0.43701315967767701</c:v>
                </c:pt>
                <c:pt idx="142">
                  <c:v>0.43751781158176101</c:v>
                </c:pt>
                <c:pt idx="143">
                  <c:v>0.41607421536967498</c:v>
                </c:pt>
                <c:pt idx="144">
                  <c:v>0.32091811677951898</c:v>
                </c:pt>
                <c:pt idx="145">
                  <c:v>0.28251411119681702</c:v>
                </c:pt>
                <c:pt idx="146">
                  <c:v>0.29894428975906101</c:v>
                </c:pt>
                <c:pt idx="147">
                  <c:v>0.32738957382411199</c:v>
                </c:pt>
                <c:pt idx="148">
                  <c:v>0.28848466841060699</c:v>
                </c:pt>
                <c:pt idx="149">
                  <c:v>0.36292296585782302</c:v>
                </c:pt>
                <c:pt idx="150">
                  <c:v>0.36292296585782302</c:v>
                </c:pt>
                <c:pt idx="151">
                  <c:v>0.36357930006355599</c:v>
                </c:pt>
                <c:pt idx="152">
                  <c:v>0.40895553727695599</c:v>
                </c:pt>
                <c:pt idx="153">
                  <c:v>0.407195502334876</c:v>
                </c:pt>
                <c:pt idx="154">
                  <c:v>0.32003461094412999</c:v>
                </c:pt>
                <c:pt idx="155">
                  <c:v>0.439218479739446</c:v>
                </c:pt>
                <c:pt idx="156">
                  <c:v>0.35042164075900101</c:v>
                </c:pt>
                <c:pt idx="157">
                  <c:v>0.55919632116239604</c:v>
                </c:pt>
                <c:pt idx="158">
                  <c:v>0.55842108987699401</c:v>
                </c:pt>
                <c:pt idx="159">
                  <c:v>0.57861777554698002</c:v>
                </c:pt>
                <c:pt idx="160">
                  <c:v>0.61546645850988302</c:v>
                </c:pt>
                <c:pt idx="161">
                  <c:v>0.68530860108825797</c:v>
                </c:pt>
                <c:pt idx="162">
                  <c:v>0.72159050384319001</c:v>
                </c:pt>
                <c:pt idx="163">
                  <c:v>0.75094523370436095</c:v>
                </c:pt>
                <c:pt idx="164">
                  <c:v>0.77520531199879605</c:v>
                </c:pt>
                <c:pt idx="165">
                  <c:v>0.759939269856726</c:v>
                </c:pt>
                <c:pt idx="166">
                  <c:v>0.76108985756873504</c:v>
                </c:pt>
                <c:pt idx="167">
                  <c:v>0.73719138808657003</c:v>
                </c:pt>
                <c:pt idx="168">
                  <c:v>0.71361316522728502</c:v>
                </c:pt>
                <c:pt idx="169">
                  <c:v>0.712062870316722</c:v>
                </c:pt>
                <c:pt idx="170">
                  <c:v>0.72870485724391698</c:v>
                </c:pt>
                <c:pt idx="171">
                  <c:v>0.69793386100167498</c:v>
                </c:pt>
                <c:pt idx="172">
                  <c:v>0.731898053840778</c:v>
                </c:pt>
                <c:pt idx="173">
                  <c:v>0.75332777657917305</c:v>
                </c:pt>
                <c:pt idx="174">
                  <c:v>0.73462902469773095</c:v>
                </c:pt>
                <c:pt idx="175">
                  <c:v>0.75155379277106704</c:v>
                </c:pt>
                <c:pt idx="176">
                  <c:v>0.75155379277106704</c:v>
                </c:pt>
                <c:pt idx="177">
                  <c:v>0.77322369572310801</c:v>
                </c:pt>
                <c:pt idx="178">
                  <c:v>0.81634992305868503</c:v>
                </c:pt>
                <c:pt idx="179">
                  <c:v>0.83503612629874802</c:v>
                </c:pt>
                <c:pt idx="180">
                  <c:v>0.81798384699460103</c:v>
                </c:pt>
                <c:pt idx="181">
                  <c:v>0.83696581575361895</c:v>
                </c:pt>
                <c:pt idx="182">
                  <c:v>0.85626060279274896</c:v>
                </c:pt>
                <c:pt idx="183">
                  <c:v>0.85522983991809798</c:v>
                </c:pt>
                <c:pt idx="184">
                  <c:v>0.87412257034895602</c:v>
                </c:pt>
                <c:pt idx="185">
                  <c:v>0.85662578219432695</c:v>
                </c:pt>
                <c:pt idx="186">
                  <c:v>0.86996445945149903</c:v>
                </c:pt>
                <c:pt idx="187">
                  <c:v>0.88773399472374204</c:v>
                </c:pt>
                <c:pt idx="188">
                  <c:v>0.86999483052125803</c:v>
                </c:pt>
                <c:pt idx="189">
                  <c:v>0.85194480836680198</c:v>
                </c:pt>
                <c:pt idx="190">
                  <c:v>0.85225052894835196</c:v>
                </c:pt>
                <c:pt idx="191">
                  <c:v>0.87683234085301398</c:v>
                </c:pt>
                <c:pt idx="192">
                  <c:v>0.89368551357821302</c:v>
                </c:pt>
                <c:pt idx="193">
                  <c:v>0.87811016351224602</c:v>
                </c:pt>
                <c:pt idx="194">
                  <c:v>0.89522709255279198</c:v>
                </c:pt>
                <c:pt idx="195">
                  <c:v>0.91259028169208301</c:v>
                </c:pt>
                <c:pt idx="196">
                  <c:v>0.87344930653794395</c:v>
                </c:pt>
                <c:pt idx="197">
                  <c:v>0.85731125996939705</c:v>
                </c:pt>
                <c:pt idx="198">
                  <c:v>0.854493626143913</c:v>
                </c:pt>
                <c:pt idx="199">
                  <c:v>0.86745968477328095</c:v>
                </c:pt>
                <c:pt idx="200">
                  <c:v>0.83819941388679298</c:v>
                </c:pt>
                <c:pt idx="201">
                  <c:v>0.85198632502448901</c:v>
                </c:pt>
                <c:pt idx="202">
                  <c:v>0.86745968477328095</c:v>
                </c:pt>
                <c:pt idx="203">
                  <c:v>0.86768818253450297</c:v>
                </c:pt>
                <c:pt idx="204">
                  <c:v>0.89814744996460805</c:v>
                </c:pt>
                <c:pt idx="205">
                  <c:v>0.88516739973977598</c:v>
                </c:pt>
                <c:pt idx="206">
                  <c:v>0.88265848165302496</c:v>
                </c:pt>
                <c:pt idx="207">
                  <c:v>0.85531584833132801</c:v>
                </c:pt>
                <c:pt idx="208">
                  <c:v>0.86306170802286497</c:v>
                </c:pt>
                <c:pt idx="209">
                  <c:v>0.86306170802286497</c:v>
                </c:pt>
                <c:pt idx="210">
                  <c:v>0.84549296973434196</c:v>
                </c:pt>
                <c:pt idx="211">
                  <c:v>0.86243439572202496</c:v>
                </c:pt>
                <c:pt idx="212">
                  <c:v>0.83268888035603505</c:v>
                </c:pt>
                <c:pt idx="213">
                  <c:v>0.82948257912141399</c:v>
                </c:pt>
                <c:pt idx="214">
                  <c:v>0.83152220645888697</c:v>
                </c:pt>
                <c:pt idx="215">
                  <c:v>0.807152941952609</c:v>
                </c:pt>
                <c:pt idx="216">
                  <c:v>0.80437080516661097</c:v>
                </c:pt>
                <c:pt idx="217">
                  <c:v>0.80193881910043296</c:v>
                </c:pt>
                <c:pt idx="218">
                  <c:v>0.77781138796328697</c:v>
                </c:pt>
                <c:pt idx="219">
                  <c:v>0.80193881910043296</c:v>
                </c:pt>
                <c:pt idx="220">
                  <c:v>0.75253147533014197</c:v>
                </c:pt>
                <c:pt idx="221">
                  <c:v>0.749723434167341</c:v>
                </c:pt>
                <c:pt idx="222">
                  <c:v>0.69937061468571404</c:v>
                </c:pt>
                <c:pt idx="223">
                  <c:v>0.77421402081353796</c:v>
                </c:pt>
                <c:pt idx="224">
                  <c:v>0.78283886771012201</c:v>
                </c:pt>
                <c:pt idx="225">
                  <c:v>0.77480777056815697</c:v>
                </c:pt>
                <c:pt idx="226">
                  <c:v>0.76669716579457303</c:v>
                </c:pt>
                <c:pt idx="227">
                  <c:v>0.79842547980239797</c:v>
                </c:pt>
                <c:pt idx="228">
                  <c:v>0.79842547980239797</c:v>
                </c:pt>
                <c:pt idx="229">
                  <c:v>0.79842547980239797</c:v>
                </c:pt>
                <c:pt idx="230">
                  <c:v>0.78339393568549298</c:v>
                </c:pt>
                <c:pt idx="231">
                  <c:v>0.81461584859780101</c:v>
                </c:pt>
                <c:pt idx="232">
                  <c:v>0.81626218699844599</c:v>
                </c:pt>
                <c:pt idx="233">
                  <c:v>0.80629912189469399</c:v>
                </c:pt>
                <c:pt idx="234">
                  <c:v>0.81734633197465201</c:v>
                </c:pt>
                <c:pt idx="235">
                  <c:v>0.82537040355923197</c:v>
                </c:pt>
                <c:pt idx="236">
                  <c:v>0.79646175435893696</c:v>
                </c:pt>
                <c:pt idx="237">
                  <c:v>0.79445840936885304</c:v>
                </c:pt>
                <c:pt idx="238">
                  <c:v>0.79441104681633201</c:v>
                </c:pt>
                <c:pt idx="239">
                  <c:v>0.80850149462655696</c:v>
                </c:pt>
                <c:pt idx="240">
                  <c:v>0.80719780316763601</c:v>
                </c:pt>
                <c:pt idx="241">
                  <c:v>0.80724570771905702</c:v>
                </c:pt>
                <c:pt idx="242">
                  <c:v>0.80719780316763601</c:v>
                </c:pt>
                <c:pt idx="243">
                  <c:v>0.77033919514702098</c:v>
                </c:pt>
                <c:pt idx="244">
                  <c:v>0.76889855223368597</c:v>
                </c:pt>
                <c:pt idx="245">
                  <c:v>0.75043074974252599</c:v>
                </c:pt>
                <c:pt idx="246">
                  <c:v>0.82324225699227804</c:v>
                </c:pt>
                <c:pt idx="247">
                  <c:v>0.83535228019697605</c:v>
                </c:pt>
                <c:pt idx="248">
                  <c:v>0.78804143101353397</c:v>
                </c:pt>
                <c:pt idx="249">
                  <c:v>0.78804143101353397</c:v>
                </c:pt>
                <c:pt idx="250">
                  <c:v>0.78586619764471199</c:v>
                </c:pt>
                <c:pt idx="251">
                  <c:v>0.72518805605942505</c:v>
                </c:pt>
                <c:pt idx="252">
                  <c:v>0.73013076231760698</c:v>
                </c:pt>
                <c:pt idx="253">
                  <c:v>0.76968967049094095</c:v>
                </c:pt>
                <c:pt idx="254">
                  <c:v>0.68796050816059295</c:v>
                </c:pt>
                <c:pt idx="255">
                  <c:v>0.59636201439054404</c:v>
                </c:pt>
                <c:pt idx="256">
                  <c:v>0.52333294764067595</c:v>
                </c:pt>
                <c:pt idx="257">
                  <c:v>0.53018048409344898</c:v>
                </c:pt>
                <c:pt idx="258">
                  <c:v>0.55014388201104203</c:v>
                </c:pt>
                <c:pt idx="259">
                  <c:v>0.49771283747510803</c:v>
                </c:pt>
                <c:pt idx="260">
                  <c:v>0.55445082777023702</c:v>
                </c:pt>
                <c:pt idx="261">
                  <c:v>0.53450860338875705</c:v>
                </c:pt>
                <c:pt idx="262">
                  <c:v>0.55544034698333999</c:v>
                </c:pt>
                <c:pt idx="263">
                  <c:v>0.55556126357331004</c:v>
                </c:pt>
                <c:pt idx="264">
                  <c:v>0.53450860338875705</c:v>
                </c:pt>
                <c:pt idx="265">
                  <c:v>0.50568534347274297</c:v>
                </c:pt>
                <c:pt idx="266">
                  <c:v>0.50447592982476996</c:v>
                </c:pt>
                <c:pt idx="267">
                  <c:v>0.50042582297659</c:v>
                </c:pt>
                <c:pt idx="268">
                  <c:v>0.45891120103405703</c:v>
                </c:pt>
                <c:pt idx="269">
                  <c:v>0.44565511936132601</c:v>
                </c:pt>
                <c:pt idx="270">
                  <c:v>0.44381782258269298</c:v>
                </c:pt>
                <c:pt idx="271">
                  <c:v>0.41340612440810998</c:v>
                </c:pt>
                <c:pt idx="272">
                  <c:v>0.414778538159287</c:v>
                </c:pt>
                <c:pt idx="273">
                  <c:v>0.42282958858632702</c:v>
                </c:pt>
                <c:pt idx="274">
                  <c:v>0.450158099668103</c:v>
                </c:pt>
                <c:pt idx="275">
                  <c:v>0.46784663358763601</c:v>
                </c:pt>
                <c:pt idx="276">
                  <c:v>0.42124985629360401</c:v>
                </c:pt>
                <c:pt idx="277">
                  <c:v>0.42215163100202302</c:v>
                </c:pt>
                <c:pt idx="278">
                  <c:v>0.41551493659156002</c:v>
                </c:pt>
                <c:pt idx="279">
                  <c:v>0.37678804128174298</c:v>
                </c:pt>
                <c:pt idx="280">
                  <c:v>0.35529176669040102</c:v>
                </c:pt>
                <c:pt idx="281">
                  <c:v>0.43462013043084002</c:v>
                </c:pt>
                <c:pt idx="282">
                  <c:v>0.47679593730615699</c:v>
                </c:pt>
                <c:pt idx="283">
                  <c:v>0.48029569588235599</c:v>
                </c:pt>
                <c:pt idx="284">
                  <c:v>0.49650185657562101</c:v>
                </c:pt>
                <c:pt idx="285">
                  <c:v>0.477996028899563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295424"/>
        <c:axId val="186296960"/>
      </c:lineChart>
      <c:lineChart>
        <c:grouping val="standard"/>
        <c:varyColors val="0"/>
        <c:ser>
          <c:idx val="3"/>
          <c:order val="3"/>
          <c:tx>
            <c:strRef>
              <c:f>Query!$F$2</c:f>
              <c:strCache>
                <c:ptCount val="1"/>
                <c:pt idx="0">
                  <c:v>Refi Index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none"/>
          </c:marker>
          <c:cat>
            <c:numRef>
              <c:f>Query!$B$3:$B$288</c:f>
              <c:numCache>
                <c:formatCode>m/d/yyyy</c:formatCode>
                <c:ptCount val="286"/>
                <c:pt idx="0">
                  <c:v>42544</c:v>
                </c:pt>
                <c:pt idx="1">
                  <c:v>42537</c:v>
                </c:pt>
                <c:pt idx="2">
                  <c:v>42530</c:v>
                </c:pt>
                <c:pt idx="3">
                  <c:v>42523</c:v>
                </c:pt>
                <c:pt idx="4">
                  <c:v>42516</c:v>
                </c:pt>
                <c:pt idx="5">
                  <c:v>42509</c:v>
                </c:pt>
                <c:pt idx="6">
                  <c:v>42502</c:v>
                </c:pt>
                <c:pt idx="7">
                  <c:v>42495</c:v>
                </c:pt>
                <c:pt idx="8">
                  <c:v>42488</c:v>
                </c:pt>
                <c:pt idx="9">
                  <c:v>42481</c:v>
                </c:pt>
                <c:pt idx="10">
                  <c:v>42474</c:v>
                </c:pt>
                <c:pt idx="11">
                  <c:v>42467</c:v>
                </c:pt>
                <c:pt idx="12">
                  <c:v>42460</c:v>
                </c:pt>
                <c:pt idx="13">
                  <c:v>42453</c:v>
                </c:pt>
                <c:pt idx="14">
                  <c:v>42446</c:v>
                </c:pt>
                <c:pt idx="15">
                  <c:v>42439</c:v>
                </c:pt>
                <c:pt idx="16">
                  <c:v>42432</c:v>
                </c:pt>
                <c:pt idx="17">
                  <c:v>42425</c:v>
                </c:pt>
                <c:pt idx="18">
                  <c:v>42418</c:v>
                </c:pt>
                <c:pt idx="19">
                  <c:v>42411</c:v>
                </c:pt>
                <c:pt idx="20">
                  <c:v>42404</c:v>
                </c:pt>
                <c:pt idx="21">
                  <c:v>42397</c:v>
                </c:pt>
                <c:pt idx="22">
                  <c:v>42390</c:v>
                </c:pt>
                <c:pt idx="23">
                  <c:v>42383</c:v>
                </c:pt>
                <c:pt idx="24">
                  <c:v>42376</c:v>
                </c:pt>
                <c:pt idx="25">
                  <c:v>42369</c:v>
                </c:pt>
                <c:pt idx="26">
                  <c:v>42362</c:v>
                </c:pt>
                <c:pt idx="27">
                  <c:v>42355</c:v>
                </c:pt>
                <c:pt idx="28">
                  <c:v>42348</c:v>
                </c:pt>
                <c:pt idx="29">
                  <c:v>42341</c:v>
                </c:pt>
                <c:pt idx="30">
                  <c:v>42333</c:v>
                </c:pt>
                <c:pt idx="31">
                  <c:v>42327</c:v>
                </c:pt>
                <c:pt idx="32">
                  <c:v>42320</c:v>
                </c:pt>
                <c:pt idx="33">
                  <c:v>42313</c:v>
                </c:pt>
                <c:pt idx="34">
                  <c:v>42306</c:v>
                </c:pt>
                <c:pt idx="35">
                  <c:v>42299</c:v>
                </c:pt>
                <c:pt idx="36">
                  <c:v>42292</c:v>
                </c:pt>
                <c:pt idx="37">
                  <c:v>42285</c:v>
                </c:pt>
                <c:pt idx="38">
                  <c:v>42278</c:v>
                </c:pt>
                <c:pt idx="39">
                  <c:v>42271</c:v>
                </c:pt>
                <c:pt idx="40">
                  <c:v>42264</c:v>
                </c:pt>
                <c:pt idx="41">
                  <c:v>42257</c:v>
                </c:pt>
                <c:pt idx="42">
                  <c:v>42250</c:v>
                </c:pt>
                <c:pt idx="43">
                  <c:v>42243</c:v>
                </c:pt>
                <c:pt idx="44">
                  <c:v>42236</c:v>
                </c:pt>
                <c:pt idx="45">
                  <c:v>42229</c:v>
                </c:pt>
                <c:pt idx="46">
                  <c:v>42222</c:v>
                </c:pt>
                <c:pt idx="47">
                  <c:v>42215</c:v>
                </c:pt>
                <c:pt idx="48">
                  <c:v>42208</c:v>
                </c:pt>
                <c:pt idx="49">
                  <c:v>42201</c:v>
                </c:pt>
                <c:pt idx="50">
                  <c:v>42194</c:v>
                </c:pt>
                <c:pt idx="51">
                  <c:v>42187</c:v>
                </c:pt>
                <c:pt idx="52">
                  <c:v>42180</c:v>
                </c:pt>
                <c:pt idx="53">
                  <c:v>42173</c:v>
                </c:pt>
                <c:pt idx="54">
                  <c:v>42166</c:v>
                </c:pt>
                <c:pt idx="55">
                  <c:v>42159</c:v>
                </c:pt>
                <c:pt idx="56">
                  <c:v>42152</c:v>
                </c:pt>
                <c:pt idx="57">
                  <c:v>42145</c:v>
                </c:pt>
                <c:pt idx="58">
                  <c:v>42138</c:v>
                </c:pt>
                <c:pt idx="59">
                  <c:v>42131</c:v>
                </c:pt>
                <c:pt idx="60">
                  <c:v>42124</c:v>
                </c:pt>
                <c:pt idx="61">
                  <c:v>42117</c:v>
                </c:pt>
                <c:pt idx="62">
                  <c:v>42110</c:v>
                </c:pt>
                <c:pt idx="63">
                  <c:v>42103</c:v>
                </c:pt>
                <c:pt idx="64">
                  <c:v>42096</c:v>
                </c:pt>
                <c:pt idx="65">
                  <c:v>42089</c:v>
                </c:pt>
                <c:pt idx="66">
                  <c:v>42082</c:v>
                </c:pt>
                <c:pt idx="67">
                  <c:v>42075</c:v>
                </c:pt>
                <c:pt idx="68">
                  <c:v>42068</c:v>
                </c:pt>
                <c:pt idx="69">
                  <c:v>42061</c:v>
                </c:pt>
                <c:pt idx="70">
                  <c:v>42054</c:v>
                </c:pt>
                <c:pt idx="71">
                  <c:v>42047</c:v>
                </c:pt>
                <c:pt idx="72">
                  <c:v>42040</c:v>
                </c:pt>
                <c:pt idx="73">
                  <c:v>42033</c:v>
                </c:pt>
                <c:pt idx="74">
                  <c:v>42026</c:v>
                </c:pt>
                <c:pt idx="75">
                  <c:v>42019</c:v>
                </c:pt>
                <c:pt idx="76">
                  <c:v>42012</c:v>
                </c:pt>
                <c:pt idx="77">
                  <c:v>42004</c:v>
                </c:pt>
                <c:pt idx="78">
                  <c:v>41997</c:v>
                </c:pt>
                <c:pt idx="79">
                  <c:v>41991</c:v>
                </c:pt>
                <c:pt idx="80">
                  <c:v>41984</c:v>
                </c:pt>
                <c:pt idx="81">
                  <c:v>41977</c:v>
                </c:pt>
                <c:pt idx="82">
                  <c:v>41969</c:v>
                </c:pt>
                <c:pt idx="83">
                  <c:v>41963</c:v>
                </c:pt>
                <c:pt idx="84">
                  <c:v>41956</c:v>
                </c:pt>
                <c:pt idx="85">
                  <c:v>41949</c:v>
                </c:pt>
                <c:pt idx="86">
                  <c:v>41942</c:v>
                </c:pt>
                <c:pt idx="87">
                  <c:v>41935</c:v>
                </c:pt>
                <c:pt idx="88">
                  <c:v>41928</c:v>
                </c:pt>
                <c:pt idx="89">
                  <c:v>41921</c:v>
                </c:pt>
                <c:pt idx="90">
                  <c:v>41914</c:v>
                </c:pt>
                <c:pt idx="91">
                  <c:v>41907</c:v>
                </c:pt>
                <c:pt idx="92">
                  <c:v>41900</c:v>
                </c:pt>
                <c:pt idx="93">
                  <c:v>41893</c:v>
                </c:pt>
                <c:pt idx="94">
                  <c:v>41886</c:v>
                </c:pt>
                <c:pt idx="95">
                  <c:v>41879</c:v>
                </c:pt>
                <c:pt idx="96">
                  <c:v>41872</c:v>
                </c:pt>
                <c:pt idx="97">
                  <c:v>41865</c:v>
                </c:pt>
                <c:pt idx="98">
                  <c:v>41858</c:v>
                </c:pt>
                <c:pt idx="99">
                  <c:v>41851</c:v>
                </c:pt>
                <c:pt idx="100">
                  <c:v>41844</c:v>
                </c:pt>
                <c:pt idx="101">
                  <c:v>41837</c:v>
                </c:pt>
                <c:pt idx="102">
                  <c:v>41830</c:v>
                </c:pt>
                <c:pt idx="103">
                  <c:v>41823</c:v>
                </c:pt>
                <c:pt idx="104">
                  <c:v>41816</c:v>
                </c:pt>
                <c:pt idx="105">
                  <c:v>41809</c:v>
                </c:pt>
                <c:pt idx="106">
                  <c:v>41802</c:v>
                </c:pt>
                <c:pt idx="107">
                  <c:v>41795</c:v>
                </c:pt>
                <c:pt idx="108">
                  <c:v>41788</c:v>
                </c:pt>
                <c:pt idx="109">
                  <c:v>41781</c:v>
                </c:pt>
                <c:pt idx="110">
                  <c:v>41774</c:v>
                </c:pt>
                <c:pt idx="111">
                  <c:v>41767</c:v>
                </c:pt>
                <c:pt idx="112">
                  <c:v>41760</c:v>
                </c:pt>
                <c:pt idx="113">
                  <c:v>41753</c:v>
                </c:pt>
                <c:pt idx="114">
                  <c:v>41746</c:v>
                </c:pt>
                <c:pt idx="115">
                  <c:v>41739</c:v>
                </c:pt>
                <c:pt idx="116">
                  <c:v>41732</c:v>
                </c:pt>
                <c:pt idx="117">
                  <c:v>41725</c:v>
                </c:pt>
                <c:pt idx="118">
                  <c:v>41718</c:v>
                </c:pt>
                <c:pt idx="119">
                  <c:v>41711</c:v>
                </c:pt>
                <c:pt idx="120">
                  <c:v>41704</c:v>
                </c:pt>
                <c:pt idx="121">
                  <c:v>41697</c:v>
                </c:pt>
                <c:pt idx="122">
                  <c:v>41690</c:v>
                </c:pt>
                <c:pt idx="123">
                  <c:v>41683</c:v>
                </c:pt>
                <c:pt idx="124">
                  <c:v>41676</c:v>
                </c:pt>
                <c:pt idx="125">
                  <c:v>41669</c:v>
                </c:pt>
                <c:pt idx="126">
                  <c:v>41662</c:v>
                </c:pt>
                <c:pt idx="127">
                  <c:v>41655</c:v>
                </c:pt>
                <c:pt idx="128">
                  <c:v>41648</c:v>
                </c:pt>
                <c:pt idx="129">
                  <c:v>41641</c:v>
                </c:pt>
                <c:pt idx="130">
                  <c:v>41634</c:v>
                </c:pt>
                <c:pt idx="131">
                  <c:v>41627</c:v>
                </c:pt>
                <c:pt idx="132">
                  <c:v>41620</c:v>
                </c:pt>
                <c:pt idx="133">
                  <c:v>41613</c:v>
                </c:pt>
                <c:pt idx="134">
                  <c:v>41605</c:v>
                </c:pt>
                <c:pt idx="135">
                  <c:v>41599</c:v>
                </c:pt>
                <c:pt idx="136">
                  <c:v>41592</c:v>
                </c:pt>
                <c:pt idx="137">
                  <c:v>41585</c:v>
                </c:pt>
                <c:pt idx="138">
                  <c:v>41578</c:v>
                </c:pt>
                <c:pt idx="139">
                  <c:v>41571</c:v>
                </c:pt>
                <c:pt idx="140">
                  <c:v>41564</c:v>
                </c:pt>
                <c:pt idx="141">
                  <c:v>41557</c:v>
                </c:pt>
                <c:pt idx="142">
                  <c:v>41550</c:v>
                </c:pt>
                <c:pt idx="143">
                  <c:v>41543</c:v>
                </c:pt>
                <c:pt idx="144">
                  <c:v>41536</c:v>
                </c:pt>
                <c:pt idx="145">
                  <c:v>41529</c:v>
                </c:pt>
                <c:pt idx="146">
                  <c:v>41522</c:v>
                </c:pt>
                <c:pt idx="147">
                  <c:v>41515</c:v>
                </c:pt>
                <c:pt idx="148">
                  <c:v>41508</c:v>
                </c:pt>
                <c:pt idx="149">
                  <c:v>41501</c:v>
                </c:pt>
                <c:pt idx="150">
                  <c:v>41494</c:v>
                </c:pt>
                <c:pt idx="151">
                  <c:v>41487</c:v>
                </c:pt>
                <c:pt idx="152">
                  <c:v>41480</c:v>
                </c:pt>
                <c:pt idx="153">
                  <c:v>41473</c:v>
                </c:pt>
                <c:pt idx="154">
                  <c:v>41466</c:v>
                </c:pt>
                <c:pt idx="155">
                  <c:v>41458</c:v>
                </c:pt>
                <c:pt idx="156">
                  <c:v>41452</c:v>
                </c:pt>
                <c:pt idx="157">
                  <c:v>41445</c:v>
                </c:pt>
                <c:pt idx="158">
                  <c:v>41438</c:v>
                </c:pt>
                <c:pt idx="159">
                  <c:v>41431</c:v>
                </c:pt>
                <c:pt idx="160">
                  <c:v>41424</c:v>
                </c:pt>
                <c:pt idx="161">
                  <c:v>41417</c:v>
                </c:pt>
                <c:pt idx="162">
                  <c:v>41410</c:v>
                </c:pt>
                <c:pt idx="163">
                  <c:v>41403</c:v>
                </c:pt>
                <c:pt idx="164">
                  <c:v>41396</c:v>
                </c:pt>
                <c:pt idx="165">
                  <c:v>41389</c:v>
                </c:pt>
                <c:pt idx="166">
                  <c:v>41382</c:v>
                </c:pt>
                <c:pt idx="167">
                  <c:v>41375</c:v>
                </c:pt>
                <c:pt idx="168">
                  <c:v>41368</c:v>
                </c:pt>
                <c:pt idx="169">
                  <c:v>41361</c:v>
                </c:pt>
                <c:pt idx="170">
                  <c:v>41354</c:v>
                </c:pt>
                <c:pt idx="171">
                  <c:v>41347</c:v>
                </c:pt>
                <c:pt idx="172">
                  <c:v>41340</c:v>
                </c:pt>
                <c:pt idx="173">
                  <c:v>41333</c:v>
                </c:pt>
                <c:pt idx="174">
                  <c:v>41326</c:v>
                </c:pt>
                <c:pt idx="175">
                  <c:v>41319</c:v>
                </c:pt>
                <c:pt idx="176">
                  <c:v>41312</c:v>
                </c:pt>
                <c:pt idx="177">
                  <c:v>41305</c:v>
                </c:pt>
                <c:pt idx="178">
                  <c:v>41298</c:v>
                </c:pt>
                <c:pt idx="179">
                  <c:v>41291</c:v>
                </c:pt>
                <c:pt idx="180">
                  <c:v>41284</c:v>
                </c:pt>
                <c:pt idx="181">
                  <c:v>41277</c:v>
                </c:pt>
                <c:pt idx="182">
                  <c:v>41270</c:v>
                </c:pt>
                <c:pt idx="183">
                  <c:v>41263</c:v>
                </c:pt>
                <c:pt idx="184">
                  <c:v>41256</c:v>
                </c:pt>
                <c:pt idx="185">
                  <c:v>41249</c:v>
                </c:pt>
                <c:pt idx="186">
                  <c:v>41242</c:v>
                </c:pt>
                <c:pt idx="187">
                  <c:v>41234</c:v>
                </c:pt>
                <c:pt idx="188">
                  <c:v>41228</c:v>
                </c:pt>
                <c:pt idx="189">
                  <c:v>41221</c:v>
                </c:pt>
                <c:pt idx="190">
                  <c:v>41214</c:v>
                </c:pt>
                <c:pt idx="191">
                  <c:v>41207</c:v>
                </c:pt>
                <c:pt idx="192">
                  <c:v>41200</c:v>
                </c:pt>
                <c:pt idx="193">
                  <c:v>41193</c:v>
                </c:pt>
                <c:pt idx="194">
                  <c:v>41186</c:v>
                </c:pt>
                <c:pt idx="195">
                  <c:v>41179</c:v>
                </c:pt>
                <c:pt idx="196">
                  <c:v>41172</c:v>
                </c:pt>
                <c:pt idx="197">
                  <c:v>41165</c:v>
                </c:pt>
                <c:pt idx="198">
                  <c:v>41158</c:v>
                </c:pt>
                <c:pt idx="199">
                  <c:v>41151</c:v>
                </c:pt>
                <c:pt idx="200">
                  <c:v>41144</c:v>
                </c:pt>
                <c:pt idx="201">
                  <c:v>41137</c:v>
                </c:pt>
                <c:pt idx="202">
                  <c:v>41130</c:v>
                </c:pt>
                <c:pt idx="203">
                  <c:v>41123</c:v>
                </c:pt>
                <c:pt idx="204">
                  <c:v>41116</c:v>
                </c:pt>
                <c:pt idx="205">
                  <c:v>41109</c:v>
                </c:pt>
                <c:pt idx="206">
                  <c:v>41102</c:v>
                </c:pt>
                <c:pt idx="207">
                  <c:v>41095</c:v>
                </c:pt>
                <c:pt idx="208">
                  <c:v>41088</c:v>
                </c:pt>
                <c:pt idx="209">
                  <c:v>41081</c:v>
                </c:pt>
                <c:pt idx="210">
                  <c:v>41074</c:v>
                </c:pt>
                <c:pt idx="211">
                  <c:v>41067</c:v>
                </c:pt>
                <c:pt idx="212">
                  <c:v>41060</c:v>
                </c:pt>
                <c:pt idx="213">
                  <c:v>41053</c:v>
                </c:pt>
                <c:pt idx="214">
                  <c:v>41046</c:v>
                </c:pt>
                <c:pt idx="215">
                  <c:v>41039</c:v>
                </c:pt>
                <c:pt idx="216">
                  <c:v>41032</c:v>
                </c:pt>
                <c:pt idx="217">
                  <c:v>41025</c:v>
                </c:pt>
                <c:pt idx="218">
                  <c:v>41018</c:v>
                </c:pt>
                <c:pt idx="219">
                  <c:v>41011</c:v>
                </c:pt>
                <c:pt idx="220">
                  <c:v>41004</c:v>
                </c:pt>
                <c:pt idx="221">
                  <c:v>40997</c:v>
                </c:pt>
                <c:pt idx="222">
                  <c:v>40990</c:v>
                </c:pt>
                <c:pt idx="223">
                  <c:v>40983</c:v>
                </c:pt>
                <c:pt idx="224">
                  <c:v>40976</c:v>
                </c:pt>
                <c:pt idx="225">
                  <c:v>40969</c:v>
                </c:pt>
                <c:pt idx="226">
                  <c:v>40962</c:v>
                </c:pt>
                <c:pt idx="227">
                  <c:v>40955</c:v>
                </c:pt>
                <c:pt idx="228">
                  <c:v>40948</c:v>
                </c:pt>
                <c:pt idx="229">
                  <c:v>40941</c:v>
                </c:pt>
                <c:pt idx="230">
                  <c:v>40934</c:v>
                </c:pt>
                <c:pt idx="231">
                  <c:v>40927</c:v>
                </c:pt>
                <c:pt idx="232">
                  <c:v>40920</c:v>
                </c:pt>
                <c:pt idx="233">
                  <c:v>40913</c:v>
                </c:pt>
                <c:pt idx="234">
                  <c:v>40906</c:v>
                </c:pt>
                <c:pt idx="235">
                  <c:v>40899</c:v>
                </c:pt>
                <c:pt idx="236">
                  <c:v>40892</c:v>
                </c:pt>
                <c:pt idx="237">
                  <c:v>40885</c:v>
                </c:pt>
                <c:pt idx="238">
                  <c:v>40878</c:v>
                </c:pt>
                <c:pt idx="239">
                  <c:v>40870</c:v>
                </c:pt>
                <c:pt idx="240">
                  <c:v>40864</c:v>
                </c:pt>
                <c:pt idx="241">
                  <c:v>40857</c:v>
                </c:pt>
                <c:pt idx="242">
                  <c:v>40850</c:v>
                </c:pt>
                <c:pt idx="243">
                  <c:v>40843</c:v>
                </c:pt>
                <c:pt idx="244">
                  <c:v>40836</c:v>
                </c:pt>
                <c:pt idx="245">
                  <c:v>40829</c:v>
                </c:pt>
                <c:pt idx="246">
                  <c:v>40822</c:v>
                </c:pt>
                <c:pt idx="247">
                  <c:v>40815</c:v>
                </c:pt>
                <c:pt idx="248">
                  <c:v>40808</c:v>
                </c:pt>
                <c:pt idx="249">
                  <c:v>40801</c:v>
                </c:pt>
                <c:pt idx="250">
                  <c:v>40794</c:v>
                </c:pt>
                <c:pt idx="251">
                  <c:v>40787</c:v>
                </c:pt>
                <c:pt idx="252">
                  <c:v>40780</c:v>
                </c:pt>
                <c:pt idx="253">
                  <c:v>40773</c:v>
                </c:pt>
                <c:pt idx="254">
                  <c:v>40766</c:v>
                </c:pt>
                <c:pt idx="255">
                  <c:v>40759</c:v>
                </c:pt>
                <c:pt idx="256">
                  <c:v>40752</c:v>
                </c:pt>
                <c:pt idx="257">
                  <c:v>40745</c:v>
                </c:pt>
                <c:pt idx="258">
                  <c:v>40738</c:v>
                </c:pt>
                <c:pt idx="259">
                  <c:v>40731</c:v>
                </c:pt>
                <c:pt idx="260">
                  <c:v>40724</c:v>
                </c:pt>
                <c:pt idx="261">
                  <c:v>40717</c:v>
                </c:pt>
                <c:pt idx="262">
                  <c:v>40710</c:v>
                </c:pt>
                <c:pt idx="263">
                  <c:v>40703</c:v>
                </c:pt>
                <c:pt idx="264">
                  <c:v>40696</c:v>
                </c:pt>
                <c:pt idx="265">
                  <c:v>40689</c:v>
                </c:pt>
                <c:pt idx="266">
                  <c:v>40682</c:v>
                </c:pt>
                <c:pt idx="267">
                  <c:v>40675</c:v>
                </c:pt>
                <c:pt idx="268">
                  <c:v>40668</c:v>
                </c:pt>
                <c:pt idx="269">
                  <c:v>40661</c:v>
                </c:pt>
                <c:pt idx="270">
                  <c:v>40654</c:v>
                </c:pt>
                <c:pt idx="271">
                  <c:v>40647</c:v>
                </c:pt>
                <c:pt idx="272">
                  <c:v>40640</c:v>
                </c:pt>
                <c:pt idx="273">
                  <c:v>40633</c:v>
                </c:pt>
                <c:pt idx="274">
                  <c:v>40626</c:v>
                </c:pt>
                <c:pt idx="275">
                  <c:v>40619</c:v>
                </c:pt>
                <c:pt idx="276">
                  <c:v>40612</c:v>
                </c:pt>
                <c:pt idx="277">
                  <c:v>40605</c:v>
                </c:pt>
                <c:pt idx="278">
                  <c:v>40598</c:v>
                </c:pt>
                <c:pt idx="279">
                  <c:v>40591</c:v>
                </c:pt>
                <c:pt idx="280">
                  <c:v>40584</c:v>
                </c:pt>
                <c:pt idx="281">
                  <c:v>40577</c:v>
                </c:pt>
                <c:pt idx="282">
                  <c:v>40570</c:v>
                </c:pt>
                <c:pt idx="283">
                  <c:v>40563</c:v>
                </c:pt>
                <c:pt idx="284">
                  <c:v>40556</c:v>
                </c:pt>
                <c:pt idx="285">
                  <c:v>40549</c:v>
                </c:pt>
              </c:numCache>
            </c:numRef>
          </c:cat>
          <c:val>
            <c:numRef>
              <c:f>Query!$F$3:$F$288</c:f>
              <c:numCache>
                <c:formatCode>0.00</c:formatCode>
                <c:ptCount val="28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1922.8</c:v>
                </c:pt>
                <c:pt idx="4">
                  <c:v>1770.1</c:v>
                </c:pt>
                <c:pt idx="5">
                  <c:v>1866.3</c:v>
                </c:pt>
                <c:pt idx="6">
                  <c:v>1849.7</c:v>
                </c:pt>
                <c:pt idx="7">
                  <c:v>1812</c:v>
                </c:pt>
                <c:pt idx="8">
                  <c:v>1791.9</c:v>
                </c:pt>
                <c:pt idx="9">
                  <c:v>1910.1</c:v>
                </c:pt>
                <c:pt idx="10">
                  <c:v>2072.6</c:v>
                </c:pt>
                <c:pt idx="11">
                  <c:v>2061.1</c:v>
                </c:pt>
                <c:pt idx="12">
                  <c:v>1815.4</c:v>
                </c:pt>
                <c:pt idx="13">
                  <c:v>1671.6</c:v>
                </c:pt>
                <c:pt idx="14">
                  <c:v>1743.3</c:v>
                </c:pt>
                <c:pt idx="15">
                  <c:v>1841.2</c:v>
                </c:pt>
                <c:pt idx="16">
                  <c:v>1928</c:v>
                </c:pt>
                <c:pt idx="17">
                  <c:v>1992.9</c:v>
                </c:pt>
                <c:pt idx="18">
                  <c:v>2099.9</c:v>
                </c:pt>
                <c:pt idx="19">
                  <c:v>2341.5</c:v>
                </c:pt>
                <c:pt idx="20">
                  <c:v>2015.4</c:v>
                </c:pt>
                <c:pt idx="21">
                  <c:v>1726.6</c:v>
                </c:pt>
                <c:pt idx="22">
                  <c:v>1734.4</c:v>
                </c:pt>
                <c:pt idx="23">
                  <c:v>1544.6</c:v>
                </c:pt>
                <c:pt idx="24">
                  <c:v>1273.8</c:v>
                </c:pt>
                <c:pt idx="25">
                  <c:v>1020.5</c:v>
                </c:pt>
                <c:pt idx="26">
                  <c:v>1174.0999999999999</c:v>
                </c:pt>
                <c:pt idx="27">
                  <c:v>1667.4</c:v>
                </c:pt>
                <c:pt idx="28">
                  <c:v>1470.6</c:v>
                </c:pt>
                <c:pt idx="29">
                  <c:v>1451.5</c:v>
                </c:pt>
                <c:pt idx="30">
                  <c:v>1410.2</c:v>
                </c:pt>
                <c:pt idx="31">
                  <c:v>1489</c:v>
                </c:pt>
                <c:pt idx="32">
                  <c:v>1528.7</c:v>
                </c:pt>
                <c:pt idx="33">
                  <c:v>1514.1</c:v>
                </c:pt>
                <c:pt idx="34">
                  <c:v>1548.6</c:v>
                </c:pt>
                <c:pt idx="35">
                  <c:v>1544.8</c:v>
                </c:pt>
                <c:pt idx="36">
                  <c:v>1575.3</c:v>
                </c:pt>
                <c:pt idx="37">
                  <c:v>1534.5</c:v>
                </c:pt>
                <c:pt idx="38">
                  <c:v>2071.6</c:v>
                </c:pt>
                <c:pt idx="39">
                  <c:v>1589.5</c:v>
                </c:pt>
                <c:pt idx="40">
                  <c:v>1759.9</c:v>
                </c:pt>
                <c:pt idx="41">
                  <c:v>1473.7</c:v>
                </c:pt>
                <c:pt idx="42">
                  <c:v>1626.9</c:v>
                </c:pt>
                <c:pt idx="43">
                  <c:v>1857.7</c:v>
                </c:pt>
                <c:pt idx="44">
                  <c:v>1545.5</c:v>
                </c:pt>
                <c:pt idx="45">
                  <c:v>1561.2</c:v>
                </c:pt>
                <c:pt idx="46">
                  <c:v>1455.2</c:v>
                </c:pt>
                <c:pt idx="47">
                  <c:v>1418</c:v>
                </c:pt>
                <c:pt idx="48">
                  <c:v>1339.9</c:v>
                </c:pt>
                <c:pt idx="49">
                  <c:v>1305.5999999999999</c:v>
                </c:pt>
                <c:pt idx="50">
                  <c:v>1332.4</c:v>
                </c:pt>
                <c:pt idx="51">
                  <c:v>1299.9000000000001</c:v>
                </c:pt>
                <c:pt idx="52">
                  <c:v>1246.0999999999999</c:v>
                </c:pt>
                <c:pt idx="53">
                  <c:v>1318.3</c:v>
                </c:pt>
                <c:pt idx="54">
                  <c:v>1273.4000000000001</c:v>
                </c:pt>
                <c:pt idx="55">
                  <c:v>1342.4</c:v>
                </c:pt>
                <c:pt idx="56">
                  <c:v>1233.9000000000001</c:v>
                </c:pt>
                <c:pt idx="57">
                  <c:v>1408.1</c:v>
                </c:pt>
                <c:pt idx="58">
                  <c:v>1448.8</c:v>
                </c:pt>
                <c:pt idx="59">
                  <c:v>1477.8</c:v>
                </c:pt>
                <c:pt idx="60">
                  <c:v>1559.4</c:v>
                </c:pt>
                <c:pt idx="61">
                  <c:v>1723</c:v>
                </c:pt>
                <c:pt idx="62">
                  <c:v>1817</c:v>
                </c:pt>
                <c:pt idx="63">
                  <c:v>1804.6</c:v>
                </c:pt>
                <c:pt idx="64">
                  <c:v>1854.7</c:v>
                </c:pt>
                <c:pt idx="65">
                  <c:v>1941.6</c:v>
                </c:pt>
                <c:pt idx="66">
                  <c:v>1860.8</c:v>
                </c:pt>
                <c:pt idx="67">
                  <c:v>1623.6</c:v>
                </c:pt>
                <c:pt idx="68">
                  <c:v>1685.7</c:v>
                </c:pt>
                <c:pt idx="69">
                  <c:v>1740.3</c:v>
                </c:pt>
                <c:pt idx="70">
                  <c:v>1703.1</c:v>
                </c:pt>
                <c:pt idx="71">
                  <c:v>1904.2</c:v>
                </c:pt>
                <c:pt idx="72">
                  <c:v>2291.3000000000002</c:v>
                </c:pt>
                <c:pt idx="73">
                  <c:v>2584.8000000000002</c:v>
                </c:pt>
                <c:pt idx="74">
                  <c:v>2572.3000000000002</c:v>
                </c:pt>
                <c:pt idx="75">
                  <c:v>2799.3</c:v>
                </c:pt>
                <c:pt idx="76">
                  <c:v>2271.5</c:v>
                </c:pt>
                <c:pt idx="77">
                  <c:v>1347.6</c:v>
                </c:pt>
                <c:pt idx="78">
                  <c:v>1164.2</c:v>
                </c:pt>
                <c:pt idx="79">
                  <c:v>1538.7</c:v>
                </c:pt>
                <c:pt idx="80">
                  <c:v>1518.8</c:v>
                </c:pt>
                <c:pt idx="81">
                  <c:v>1548.6</c:v>
                </c:pt>
                <c:pt idx="82">
                  <c:v>#N/A</c:v>
                </c:pt>
                <c:pt idx="83">
                  <c:v>1547.9</c:v>
                </c:pt>
                <c:pt idx="84">
                  <c:v>1563.2</c:v>
                </c:pt>
                <c:pt idx="85">
                  <c:v>1565.3</c:v>
                </c:pt>
                <c:pt idx="86">
                  <c:v>1604.8</c:v>
                </c:pt>
                <c:pt idx="87">
                  <c:v>1713.6</c:v>
                </c:pt>
                <c:pt idx="88">
                  <c:v>1898.2</c:v>
                </c:pt>
                <c:pt idx="89">
                  <c:v>1560.6</c:v>
                </c:pt>
                <c:pt idx="90">
                  <c:v>1387.1</c:v>
                </c:pt>
                <c:pt idx="91">
                  <c:v>1326.2</c:v>
                </c:pt>
                <c:pt idx="92">
                  <c:v>1335.1</c:v>
                </c:pt>
                <c:pt idx="93">
                  <c:v>1398.4</c:v>
                </c:pt>
                <c:pt idx="94">
                  <c:v>1275.8</c:v>
                </c:pt>
                <c:pt idx="95">
                  <c:v>1436</c:v>
                </c:pt>
                <c:pt idx="96">
                  <c:v>1439.4</c:v>
                </c:pt>
                <c:pt idx="97">
                  <c:v>1404.9</c:v>
                </c:pt>
                <c:pt idx="98">
                  <c:v>1342.6</c:v>
                </c:pt>
                <c:pt idx="99">
                  <c:v>1373.9</c:v>
                </c:pt>
                <c:pt idx="100">
                  <c:v>1327.5</c:v>
                </c:pt>
                <c:pt idx="101">
                  <c:v>1400.7</c:v>
                </c:pt>
                <c:pt idx="102">
                  <c:v>1329.7</c:v>
                </c:pt>
                <c:pt idx="103">
                  <c:v>1346.8</c:v>
                </c:pt>
                <c:pt idx="104">
                  <c:v>1341.8</c:v>
                </c:pt>
                <c:pt idx="105">
                  <c:v>1333.5</c:v>
                </c:pt>
                <c:pt idx="106">
                  <c:v>1321.3</c:v>
                </c:pt>
                <c:pt idx="107">
                  <c:v>1516.9</c:v>
                </c:pt>
                <c:pt idx="108">
                  <c:v>1382.6</c:v>
                </c:pt>
                <c:pt idx="109">
                  <c:v>1453.4</c:v>
                </c:pt>
                <c:pt idx="110">
                  <c:v>1460.6</c:v>
                </c:pt>
                <c:pt idx="111">
                  <c:v>1400.9</c:v>
                </c:pt>
                <c:pt idx="112">
                  <c:v>1323.9</c:v>
                </c:pt>
                <c:pt idx="113">
                  <c:v>1298.0999999999999</c:v>
                </c:pt>
                <c:pt idx="114">
                  <c:v>1370.9</c:v>
                </c:pt>
                <c:pt idx="115">
                  <c:v>1429.9</c:v>
                </c:pt>
                <c:pt idx="116">
                  <c:v>1324.7</c:v>
                </c:pt>
                <c:pt idx="117">
                  <c:v>1383.5</c:v>
                </c:pt>
                <c:pt idx="118">
                  <c:v>1426.3</c:v>
                </c:pt>
                <c:pt idx="119">
                  <c:v>1552.1</c:v>
                </c:pt>
                <c:pt idx="120">
                  <c:v>1528</c:v>
                </c:pt>
                <c:pt idx="121">
                  <c:v>1600.6</c:v>
                </c:pt>
                <c:pt idx="122">
                  <c:v>1442.3</c:v>
                </c:pt>
                <c:pt idx="123">
                  <c:v>1650.6</c:v>
                </c:pt>
                <c:pt idx="124">
                  <c:v>1674.2</c:v>
                </c:pt>
                <c:pt idx="125">
                  <c:v>1667.5</c:v>
                </c:pt>
                <c:pt idx="126">
                  <c:v>1601.2</c:v>
                </c:pt>
                <c:pt idx="127">
                  <c:v>1675.8</c:v>
                </c:pt>
                <c:pt idx="128">
                  <c:v>1507</c:v>
                </c:pt>
                <c:pt idx="129">
                  <c:v>1352.7</c:v>
                </c:pt>
                <c:pt idx="130">
                  <c:v>1277.8</c:v>
                </c:pt>
                <c:pt idx="131">
                  <c:v>1426.7</c:v>
                </c:pt>
                <c:pt idx="132">
                  <c:v>1529.8</c:v>
                </c:pt>
                <c:pt idx="133">
                  <c:v>1599.4</c:v>
                </c:pt>
                <c:pt idx="134">
                  <c:v>#N/A</c:v>
                </c:pt>
                <c:pt idx="135">
                  <c:v>1917.2</c:v>
                </c:pt>
                <c:pt idx="136">
                  <c:v>1903.5</c:v>
                </c:pt>
                <c:pt idx="137">
                  <c:v>2056.9</c:v>
                </c:pt>
                <c:pt idx="138">
                  <c:v>2105.6</c:v>
                </c:pt>
                <c:pt idx="139">
                  <c:v>2211.8000000000002</c:v>
                </c:pt>
                <c:pt idx="140">
                  <c:v>2033.7</c:v>
                </c:pt>
                <c:pt idx="141">
                  <c:v>2102.6999999999998</c:v>
                </c:pt>
                <c:pt idx="142">
                  <c:v>2025.3</c:v>
                </c:pt>
                <c:pt idx="143">
                  <c:v>1956.6</c:v>
                </c:pt>
                <c:pt idx="144">
                  <c:v>1922.9</c:v>
                </c:pt>
                <c:pt idx="145">
                  <c:v>1814</c:v>
                </c:pt>
                <c:pt idx="146">
                  <c:v>1512.9</c:v>
                </c:pt>
                <c:pt idx="147">
                  <c:v>1909</c:v>
                </c:pt>
                <c:pt idx="148">
                  <c:v>1842.6</c:v>
                </c:pt>
                <c:pt idx="149">
                  <c:v>1935.1</c:v>
                </c:pt>
                <c:pt idx="150">
                  <c:v>2110.6</c:v>
                </c:pt>
                <c:pt idx="151">
                  <c:v>2228.9</c:v>
                </c:pt>
                <c:pt idx="152">
                  <c:v>2218.3000000000002</c:v>
                </c:pt>
                <c:pt idx="153">
                  <c:v>2288</c:v>
                </c:pt>
                <c:pt idx="154">
                  <c:v>2242.1999999999998</c:v>
                </c:pt>
                <c:pt idx="155">
                  <c:v>#N/A</c:v>
                </c:pt>
                <c:pt idx="156">
                  <c:v>2573.4</c:v>
                </c:pt>
                <c:pt idx="157">
                  <c:v>3040.1</c:v>
                </c:pt>
                <c:pt idx="158">
                  <c:v>3214.4</c:v>
                </c:pt>
                <c:pt idx="159">
                  <c:v>3339.8</c:v>
                </c:pt>
                <c:pt idx="160">
                  <c:v>3163.6</c:v>
                </c:pt>
                <c:pt idx="161">
                  <c:v>3709.4</c:v>
                </c:pt>
                <c:pt idx="162">
                  <c:v>4241.5</c:v>
                </c:pt>
                <c:pt idx="163">
                  <c:v>4797.2</c:v>
                </c:pt>
                <c:pt idx="164">
                  <c:v>5279.9</c:v>
                </c:pt>
                <c:pt idx="165">
                  <c:v>4854.1000000000004</c:v>
                </c:pt>
                <c:pt idx="166">
                  <c:v>4672.1000000000004</c:v>
                </c:pt>
                <c:pt idx="167">
                  <c:v>4726.8999999999996</c:v>
                </c:pt>
                <c:pt idx="168">
                  <c:v>4528.8999999999996</c:v>
                </c:pt>
                <c:pt idx="169">
                  <c:v>4119.2</c:v>
                </c:pt>
                <c:pt idx="170">
                  <c:v>4412.8999999999996</c:v>
                </c:pt>
                <c:pt idx="171">
                  <c:v>4111.3</c:v>
                </c:pt>
                <c:pt idx="172">
                  <c:v>4485.2</c:v>
                </c:pt>
                <c:pt idx="173">
                  <c:v>4724.8999999999996</c:v>
                </c:pt>
                <c:pt idx="174">
                  <c:v>4136.3</c:v>
                </c:pt>
                <c:pt idx="175">
                  <c:v>4261.8</c:v>
                </c:pt>
                <c:pt idx="176">
                  <c:v>4284.3</c:v>
                </c:pt>
                <c:pt idx="177">
                  <c:v>4579</c:v>
                </c:pt>
                <c:pt idx="178">
                  <c:v>4433.6000000000004</c:v>
                </c:pt>
                <c:pt idx="179">
                  <c:v>4937.3999999999996</c:v>
                </c:pt>
                <c:pt idx="180">
                  <c:v>4554.3999999999996</c:v>
                </c:pt>
                <c:pt idx="181">
                  <c:v>3896.4</c:v>
                </c:pt>
                <c:pt idx="182">
                  <c:v>3488.9</c:v>
                </c:pt>
                <c:pt idx="183">
                  <c:v>3983.2</c:v>
                </c:pt>
                <c:pt idx="184">
                  <c:v>4564.3999999999996</c:v>
                </c:pt>
                <c:pt idx="185">
                  <c:v>5368.1</c:v>
                </c:pt>
                <c:pt idx="186">
                  <c:v>4943</c:v>
                </c:pt>
                <c:pt idx="187">
                  <c:v>#N/A</c:v>
                </c:pt>
                <c:pt idx="188">
                  <c:v>4702.3999999999996</c:v>
                </c:pt>
                <c:pt idx="189">
                  <c:v>4856.1000000000004</c:v>
                </c:pt>
                <c:pt idx="190">
                  <c:v>4297.7</c:v>
                </c:pt>
                <c:pt idx="191">
                  <c:v>4550.7</c:v>
                </c:pt>
                <c:pt idx="192">
                  <c:v>4847.2</c:v>
                </c:pt>
                <c:pt idx="193">
                  <c:v>5572.2</c:v>
                </c:pt>
                <c:pt idx="194">
                  <c:v>5892.5</c:v>
                </c:pt>
                <c:pt idx="195">
                  <c:v>5965.5</c:v>
                </c:pt>
                <c:pt idx="196">
                  <c:v>4979</c:v>
                </c:pt>
                <c:pt idx="197">
                  <c:v>4823.3</c:v>
                </c:pt>
                <c:pt idx="198">
                  <c:v>4779.1000000000004</c:v>
                </c:pt>
                <c:pt idx="199">
                  <c:v>4274.8</c:v>
                </c:pt>
                <c:pt idx="200">
                  <c:v>4414.6000000000004</c:v>
                </c:pt>
                <c:pt idx="201">
                  <c:v>4671.1000000000004</c:v>
                </c:pt>
                <c:pt idx="202">
                  <c:v>5172.2</c:v>
                </c:pt>
                <c:pt idx="203">
                  <c:v>5444.3</c:v>
                </c:pt>
                <c:pt idx="204">
                  <c:v>5492.1</c:v>
                </c:pt>
                <c:pt idx="205">
                  <c:v>5383.1</c:v>
                </c:pt>
                <c:pt idx="206">
                  <c:v>5246.8</c:v>
                </c:pt>
                <c:pt idx="207">
                  <c:v>4267.8999999999996</c:v>
                </c:pt>
                <c:pt idx="208">
                  <c:v>4372.2</c:v>
                </c:pt>
                <c:pt idx="209">
                  <c:v>4585.8</c:v>
                </c:pt>
                <c:pt idx="210">
                  <c:v>4719.6000000000004</c:v>
                </c:pt>
                <c:pt idx="211">
                  <c:v>5590</c:v>
                </c:pt>
                <c:pt idx="212">
                  <c:v>4736</c:v>
                </c:pt>
                <c:pt idx="213">
                  <c:v>4675.8999999999996</c:v>
                </c:pt>
                <c:pt idx="214">
                  <c:v>4732</c:v>
                </c:pt>
                <c:pt idx="215">
                  <c:v>4482</c:v>
                </c:pt>
                <c:pt idx="216">
                  <c:v>3924.4</c:v>
                </c:pt>
                <c:pt idx="217">
                  <c:v>3856</c:v>
                </c:pt>
                <c:pt idx="218">
                  <c:v>3892.2</c:v>
                </c:pt>
                <c:pt idx="219">
                  <c:v>4144.3</c:v>
                </c:pt>
                <c:pt idx="220">
                  <c:v>3549.3</c:v>
                </c:pt>
                <c:pt idx="221">
                  <c:v>3699.5</c:v>
                </c:pt>
                <c:pt idx="222">
                  <c:v>3588.4</c:v>
                </c:pt>
                <c:pt idx="223">
                  <c:v>3715.2</c:v>
                </c:pt>
                <c:pt idx="224">
                  <c:v>4063.4</c:v>
                </c:pt>
                <c:pt idx="225">
                  <c:v>4277.6000000000004</c:v>
                </c:pt>
                <c:pt idx="226">
                  <c:v>4379.1000000000004</c:v>
                </c:pt>
                <c:pt idx="227">
                  <c:v>4466.8999999999996</c:v>
                </c:pt>
                <c:pt idx="228">
                  <c:v>4716.1000000000004</c:v>
                </c:pt>
                <c:pt idx="229">
                  <c:v>4617.1000000000004</c:v>
                </c:pt>
                <c:pt idx="230">
                  <c:v>4184.3</c:v>
                </c:pt>
                <c:pt idx="231">
                  <c:v>4326.3999999999996</c:v>
                </c:pt>
                <c:pt idx="232">
                  <c:v>4626.5</c:v>
                </c:pt>
                <c:pt idx="233">
                  <c:v>3668.3</c:v>
                </c:pt>
                <c:pt idx="234">
                  <c:v>3608.1</c:v>
                </c:pt>
                <c:pt idx="235">
                  <c:v>3684.5</c:v>
                </c:pt>
                <c:pt idx="236">
                  <c:v>3676.1</c:v>
                </c:pt>
                <c:pt idx="237">
                  <c:v>3708.6</c:v>
                </c:pt>
                <c:pt idx="238">
                  <c:v>3394.7</c:v>
                </c:pt>
                <c:pt idx="239">
                  <c:v>#N/A</c:v>
                </c:pt>
                <c:pt idx="240">
                  <c:v>3466.8</c:v>
                </c:pt>
                <c:pt idx="241">
                  <c:v>3664.5</c:v>
                </c:pt>
                <c:pt idx="242">
                  <c:v>4137.6000000000004</c:v>
                </c:pt>
                <c:pt idx="243">
                  <c:v>3695</c:v>
                </c:pt>
                <c:pt idx="244">
                  <c:v>3719.3</c:v>
                </c:pt>
                <c:pt idx="245">
                  <c:v>3553.2</c:v>
                </c:pt>
                <c:pt idx="246">
                  <c:v>4251.1000000000004</c:v>
                </c:pt>
                <c:pt idx="247">
                  <c:v>4241.8</c:v>
                </c:pt>
                <c:pt idx="248">
                  <c:v>4512.1000000000004</c:v>
                </c:pt>
                <c:pt idx="249">
                  <c:v>4033.8</c:v>
                </c:pt>
                <c:pt idx="250">
                  <c:v>3571.7</c:v>
                </c:pt>
                <c:pt idx="251">
                  <c:v>3372</c:v>
                </c:pt>
                <c:pt idx="252">
                  <c:v>3601.3</c:v>
                </c:pt>
                <c:pt idx="253">
                  <c:v>4110.8</c:v>
                </c:pt>
                <c:pt idx="254">
                  <c:v>4184.3999999999996</c:v>
                </c:pt>
                <c:pt idx="255">
                  <c:v>3880.9</c:v>
                </c:pt>
                <c:pt idx="256">
                  <c:v>2974.1</c:v>
                </c:pt>
                <c:pt idx="257">
                  <c:v>2769.6</c:v>
                </c:pt>
                <c:pt idx="258">
                  <c:v>2923.8</c:v>
                </c:pt>
                <c:pt idx="259">
                  <c:v>2362.6999999999998</c:v>
                </c:pt>
                <c:pt idx="260">
                  <c:v>2527.5</c:v>
                </c:pt>
                <c:pt idx="261">
                  <c:v>2809.5</c:v>
                </c:pt>
                <c:pt idx="262">
                  <c:v>2857.9</c:v>
                </c:pt>
                <c:pt idx="263">
                  <c:v>3101.7</c:v>
                </c:pt>
                <c:pt idx="264">
                  <c:v>2648</c:v>
                </c:pt>
                <c:pt idx="265">
                  <c:v>2619.6999999999998</c:v>
                </c:pt>
                <c:pt idx="266">
                  <c:v>2764.6</c:v>
                </c:pt>
                <c:pt idx="267">
                  <c:v>2742.2</c:v>
                </c:pt>
                <c:pt idx="268">
                  <c:v>2414.9</c:v>
                </c:pt>
                <c:pt idx="269">
                  <c:v>2220.1</c:v>
                </c:pt>
                <c:pt idx="270">
                  <c:v>2091.4</c:v>
                </c:pt>
                <c:pt idx="271">
                  <c:v>2065.3000000000002</c:v>
                </c:pt>
                <c:pt idx="272">
                  <c:v>2010.6</c:v>
                </c:pt>
                <c:pt idx="273">
                  <c:v>2194.4</c:v>
                </c:pt>
                <c:pt idx="274">
                  <c:v>2350.6999999999998</c:v>
                </c:pt>
                <c:pt idx="275">
                  <c:v>2620.8000000000002</c:v>
                </c:pt>
                <c:pt idx="276">
                  <c:v>2563.6</c:v>
                </c:pt>
                <c:pt idx="277">
                  <c:v>2539.4</c:v>
                </c:pt>
                <c:pt idx="278">
                  <c:v>2155.5</c:v>
                </c:pt>
                <c:pt idx="279">
                  <c:v>2325.3000000000002</c:v>
                </c:pt>
                <c:pt idx="280">
                  <c:v>1953.2</c:v>
                </c:pt>
                <c:pt idx="281">
                  <c:v>2190.4</c:v>
                </c:pt>
                <c:pt idx="282">
                  <c:v>2371.1</c:v>
                </c:pt>
                <c:pt idx="283">
                  <c:v>2129.6999999999998</c:v>
                </c:pt>
                <c:pt idx="284">
                  <c:v>2528.6999999999998</c:v>
                </c:pt>
                <c:pt idx="285">
                  <c:v>2344.3000000000002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763328"/>
        <c:axId val="187761408"/>
      </c:lineChart>
      <c:dateAx>
        <c:axId val="1862954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6296960"/>
        <c:crosses val="autoZero"/>
        <c:auto val="1"/>
        <c:lblOffset val="100"/>
        <c:baseTimeUnit val="days"/>
        <c:majorUnit val="6"/>
      </c:dateAx>
      <c:valAx>
        <c:axId val="1862969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86295424"/>
        <c:crosses val="autoZero"/>
        <c:crossBetween val="between"/>
      </c:valAx>
      <c:valAx>
        <c:axId val="18776140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 Index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187763328"/>
        <c:crosses val="max"/>
        <c:crossBetween val="between"/>
      </c:valAx>
      <c:dateAx>
        <c:axId val="1877633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87761408"/>
        <c:crosses val="autoZero"/>
        <c:auto val="1"/>
        <c:lblOffset val="100"/>
        <c:baseTimeUnit val="days"/>
      </c:date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'Function Of Rate'!$E$16</c:f>
              <c:strCache>
                <c:ptCount val="1"/>
                <c:pt idx="0">
                  <c:v>Pool Level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circle"/>
            <c:size val="5"/>
            <c:spPr>
              <a:solidFill>
                <a:srgbClr val="2E398A"/>
              </a:solidFill>
            </c:spPr>
          </c:marker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3.26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Rate'!$F$16:$P$16</c:f>
              <c:numCache>
                <c:formatCode>0.00%</c:formatCode>
                <c:ptCount val="11"/>
                <c:pt idx="0">
                  <c:v>0.99534271101835481</c:v>
                </c:pt>
                <c:pt idx="1">
                  <c:v>0.99309084338869724</c:v>
                </c:pt>
                <c:pt idx="2">
                  <c:v>0.98032470607620636</c:v>
                </c:pt>
                <c:pt idx="3">
                  <c:v>0.92054525386511077</c:v>
                </c:pt>
                <c:pt idx="4">
                  <c:v>0.86780305961886917</c:v>
                </c:pt>
                <c:pt idx="5">
                  <c:v>0.82400633293325309</c:v>
                </c:pt>
                <c:pt idx="6">
                  <c:v>0.78087106650525595</c:v>
                </c:pt>
                <c:pt idx="7">
                  <c:v>0.71705357610031506</c:v>
                </c:pt>
                <c:pt idx="8">
                  <c:v>0.62254060055954819</c:v>
                </c:pt>
                <c:pt idx="9">
                  <c:v>0.55057294746074981</c:v>
                </c:pt>
                <c:pt idx="10">
                  <c:v>0.4815257429408441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'Function Of Rate'!$E$17</c:f>
              <c:strCache>
                <c:ptCount val="1"/>
                <c:pt idx="0">
                  <c:v>Loan Level</c:v>
                </c:pt>
              </c:strCache>
            </c:strRef>
          </c:tx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3.26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Rate'!$F$17:$P$17</c:f>
              <c:numCache>
                <c:formatCode>0.00%</c:formatCode>
                <c:ptCount val="11"/>
                <c:pt idx="0">
                  <c:v>0.95796090605897977</c:v>
                </c:pt>
                <c:pt idx="1">
                  <c:v>0.9480466283384581</c:v>
                </c:pt>
                <c:pt idx="2">
                  <c:v>0.9204968692348956</c:v>
                </c:pt>
                <c:pt idx="3">
                  <c:v>0.88627091507150169</c:v>
                </c:pt>
                <c:pt idx="4">
                  <c:v>0.82971999708177202</c:v>
                </c:pt>
                <c:pt idx="5">
                  <c:v>0.76820710968905215</c:v>
                </c:pt>
                <c:pt idx="6">
                  <c:v>0.73025178030643412</c:v>
                </c:pt>
                <c:pt idx="7">
                  <c:v>0.65144160982525479</c:v>
                </c:pt>
                <c:pt idx="8">
                  <c:v>0.59174042770958979</c:v>
                </c:pt>
                <c:pt idx="9">
                  <c:v>0.51802081489105689</c:v>
                </c:pt>
                <c:pt idx="10">
                  <c:v>0.44995203652408217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'Function Of Rate'!$E$18</c:f>
              <c:strCache>
                <c:ptCount val="1"/>
                <c:pt idx="0">
                  <c:v>With Lowest Rate</c:v>
                </c:pt>
              </c:strCache>
            </c:strRef>
          </c:tx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3.26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Rate'!$F$18:$P$18</c:f>
              <c:numCache>
                <c:formatCode>0.00%</c:formatCode>
                <c:ptCount val="11"/>
                <c:pt idx="0">
                  <c:v>0.95796090605897977</c:v>
                </c:pt>
                <c:pt idx="1">
                  <c:v>0.9480466283384581</c:v>
                </c:pt>
                <c:pt idx="2">
                  <c:v>0.9204968692348956</c:v>
                </c:pt>
                <c:pt idx="3">
                  <c:v>0.88627091507150169</c:v>
                </c:pt>
                <c:pt idx="4">
                  <c:v>0.82971999708177202</c:v>
                </c:pt>
                <c:pt idx="5">
                  <c:v>0.37030553917620573</c:v>
                </c:pt>
                <c:pt idx="6">
                  <c:v>0.31661918314072179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716608"/>
        <c:axId val="193718144"/>
      </c:lineChart>
      <c:catAx>
        <c:axId val="19371660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93718144"/>
        <c:crosses val="autoZero"/>
        <c:auto val="1"/>
        <c:lblAlgn val="ctr"/>
        <c:lblOffset val="100"/>
        <c:noMultiLvlLbl val="0"/>
      </c:catAx>
      <c:valAx>
        <c:axId val="193718144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93716608"/>
        <c:crosses val="autoZero"/>
        <c:crossBetween val="midCat"/>
      </c:valAx>
      <c:spPr>
        <a:ln w="12700">
          <a:solidFill>
            <a:schemeClr val="tx1"/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57150</xdr:colOff>
      <xdr:row>5</xdr:row>
      <xdr:rowOff>76201</xdr:rowOff>
    </xdr:from>
    <xdr:to>
      <xdr:col>26</xdr:col>
      <xdr:colOff>2695575</xdr:colOff>
      <xdr:row>7</xdr:row>
      <xdr:rowOff>80011</xdr:rowOff>
    </xdr:to>
    <xdr:sp macro="[0]!RunRefinancibleUniverse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27</xdr:col>
      <xdr:colOff>295276</xdr:colOff>
      <xdr:row>5</xdr:row>
      <xdr:rowOff>85726</xdr:rowOff>
    </xdr:from>
    <xdr:to>
      <xdr:col>29</xdr:col>
      <xdr:colOff>66676</xdr:colOff>
      <xdr:row>7</xdr:row>
      <xdr:rowOff>89536</xdr:rowOff>
    </xdr:to>
    <xdr:sp macro="[0]!CreatePDFReport" textlink="">
      <xdr:nvSpPr>
        <xdr:cNvPr id="3" name="Rounded Rectangle 2"/>
        <xdr:cNvSpPr/>
      </xdr:nvSpPr>
      <xdr:spPr>
        <a:xfrm>
          <a:off x="20402551" y="895351"/>
          <a:ext cx="1371600" cy="3276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24</xdr:col>
      <xdr:colOff>514350</xdr:colOff>
      <xdr:row>17</xdr:row>
      <xdr:rowOff>104775</xdr:rowOff>
    </xdr:from>
    <xdr:to>
      <xdr:col>26</xdr:col>
      <xdr:colOff>1657350</xdr:colOff>
      <xdr:row>28</xdr:row>
      <xdr:rowOff>66675</xdr:rowOff>
    </xdr:to>
    <xdr:sp macro="" textlink="">
      <xdr:nvSpPr>
        <xdr:cNvPr id="5" name="TextBox 4"/>
        <xdr:cNvSpPr txBox="1"/>
      </xdr:nvSpPr>
      <xdr:spPr>
        <a:xfrm>
          <a:off x="16344900" y="2857500"/>
          <a:ext cx="2695575" cy="1743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Bloomberg Index: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(Update on Wednesday)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S:\Research\Cello\Refi Index\Historical MBA Refi Index Projections.xlsx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Tag: MBAVCMRS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Column: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 Actual</a:t>
          </a:r>
        </a:p>
      </xdr:txBody>
    </xdr:sp>
    <xdr:clientData/>
  </xdr:twoCellAnchor>
  <xdr:twoCellAnchor>
    <xdr:from>
      <xdr:col>13</xdr:col>
      <xdr:colOff>600076</xdr:colOff>
      <xdr:row>10</xdr:row>
      <xdr:rowOff>146049</xdr:rowOff>
    </xdr:from>
    <xdr:to>
      <xdr:col>20</xdr:col>
      <xdr:colOff>31750</xdr:colOff>
      <xdr:row>36</xdr:row>
      <xdr:rowOff>57150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371475</xdr:colOff>
      <xdr:row>10</xdr:row>
      <xdr:rowOff>133350</xdr:rowOff>
    </xdr:from>
    <xdr:to>
      <xdr:col>13</xdr:col>
      <xdr:colOff>381000</xdr:colOff>
      <xdr:row>35</xdr:row>
      <xdr:rowOff>104775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619126</xdr:colOff>
      <xdr:row>33</xdr:row>
      <xdr:rowOff>123824</xdr:rowOff>
    </xdr:from>
    <xdr:to>
      <xdr:col>13</xdr:col>
      <xdr:colOff>552451</xdr:colOff>
      <xdr:row>36</xdr:row>
      <xdr:rowOff>76200</xdr:rowOff>
    </xdr:to>
    <xdr:sp macro="" textlink="">
      <xdr:nvSpPr>
        <xdr:cNvPr id="4" name="TextBox 3"/>
        <xdr:cNvSpPr txBox="1"/>
      </xdr:nvSpPr>
      <xdr:spPr>
        <a:xfrm>
          <a:off x="7248526" y="5467349"/>
          <a:ext cx="1962150" cy="4381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 Fannie</a:t>
          </a:r>
          <a:r>
            <a:rPr lang="en-US" sz="900" baseline="0"/>
            <a:t> Mae; Freddie Mac; </a:t>
          </a:r>
        </a:p>
        <a:p>
          <a:r>
            <a:rPr lang="en-US" sz="900" baseline="0"/>
            <a:t>                 Bloomberg; Cello Database</a:t>
          </a:r>
          <a:endParaRPr lang="en-US" sz="9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47624</xdr:colOff>
      <xdr:row>14</xdr:row>
      <xdr:rowOff>14287</xdr:rowOff>
    </xdr:from>
    <xdr:to>
      <xdr:col>27</xdr:col>
      <xdr:colOff>266699</xdr:colOff>
      <xdr:row>30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sheetDataSet>
      <sheetData sheetId="0">
        <row r="2">
          <cell r="V2">
            <v>42083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name="Query from Agency_6" backgroundRefresh="0" adjustColumnWidth="0" connectionId="17" autoFormatId="16" applyNumberFormats="0" applyBorderFormats="0" applyFontFormats="0" applyPatternFormats="0" applyAlignmentFormats="0" applyWidthHeightFormats="0">
  <queryTableRefresh nextId="79" unboundColumnsRight="3">
    <queryTableFields count="5">
      <queryTableField id="62" name="AsOfDate" tableColumnId="1"/>
      <queryTableField id="64" name="refinancible" tableColumnId="3"/>
      <queryTableField id="76" dataBound="0" tableColumnId="5"/>
      <queryTableField id="78" dataBound="0" tableColumnId="2"/>
      <queryTableField id="77" dataBound="0" tableColumnId="6"/>
    </queryTableFields>
    <queryTableDeletedFields count="1">
      <deletedField name="refinancible_satoAdj"/>
    </queryTableDeletedFields>
  </queryTableRefresh>
</queryTable>
</file>

<file path=xl/queryTables/queryTable2.xml><?xml version="1.0" encoding="utf-8"?>
<queryTable xmlns="http://schemas.openxmlformats.org/spreadsheetml/2006/main" name="Query from Agency_11" backgroundRefresh="0" adjustColumnWidth="0" connectionId="9" autoFormatId="16" applyNumberFormats="0" applyBorderFormats="0" applyFontFormats="0" applyPatternFormats="0" applyAlignmentFormats="0" applyWidthHeightFormats="0">
  <queryTableRefresh nextId="78">
    <queryTableFields count="2">
      <queryTableField id="62" name="AsOfDate" tableColumnId="1"/>
      <queryTableField id="77" name="refinancible" tableColumnId="2"/>
    </queryTableFields>
    <queryTableDeletedFields count="1">
      <deletedField name="refinancible_satoAdj"/>
    </queryTableDeletedFields>
  </queryTableRefresh>
</queryTable>
</file>

<file path=xl/queryTables/queryTable3.xml><?xml version="1.0" encoding="utf-8"?>
<queryTable xmlns="http://schemas.openxmlformats.org/spreadsheetml/2006/main" name="Query from Agency_12" backgroundRefresh="0" adjustColumnWidth="0" connectionId="8" autoFormatId="16" applyNumberFormats="0" applyBorderFormats="0" applyFontFormats="0" applyPatternFormats="0" applyAlignmentFormats="0" applyWidthHeightFormats="0">
  <queryTableRefresh nextId="78">
    <queryTableFields count="2">
      <queryTableField id="62" name="AsOfDate" tableColumnId="1"/>
      <queryTableField id="77" name="refinancible" tableColumnId="2"/>
    </queryTableFields>
    <queryTableDeletedFields count="1">
      <deletedField name="refinancible_satoAdj"/>
    </queryTableDeletedFields>
  </queryTableRefresh>
</queryTable>
</file>

<file path=xl/queryTables/queryTable4.xml><?xml version="1.0" encoding="utf-8"?>
<queryTable xmlns="http://schemas.openxmlformats.org/spreadsheetml/2006/main" name="Query from Agency_13" backgroundRefresh="0" adjustColumnWidth="0" connectionId="18" autoFormatId="16" applyNumberFormats="0" applyBorderFormats="0" applyFontFormats="0" applyPatternFormats="0" applyAlignmentFormats="0" applyWidthHeightFormats="0">
  <queryTableRefresh nextId="78">
    <queryTableFields count="2">
      <queryTableField id="62" name="AsOfDate" tableColumnId="1"/>
      <queryTableField id="77" name="refinancible" tableColumnId="2"/>
    </queryTableFields>
    <queryTableDeletedFields count="1">
      <deletedField name="refinancible_satoAdj"/>
    </queryTableDeletedFields>
  </queryTableRefresh>
</queryTable>
</file>

<file path=xl/queryTables/queryTable5.xml><?xml version="1.0" encoding="utf-8"?>
<queryTable xmlns="http://schemas.openxmlformats.org/spreadsheetml/2006/main" name="Query from Agency_14" backgroundRefresh="0" adjustColumnWidth="0" connectionId="7" autoFormatId="16" applyNumberFormats="0" applyBorderFormats="0" applyFontFormats="0" applyPatternFormats="0" applyAlignmentFormats="0" applyWidthHeightFormats="0">
  <queryTableRefresh nextId="78">
    <queryTableFields count="2">
      <queryTableField id="62" name="AsOfDate" tableColumnId="1"/>
      <queryTableField id="77" name="refinancible" tableColumnId="2"/>
    </queryTableFields>
    <queryTableDeletedFields count="1">
      <deletedField name="refinancible_satoAdj"/>
    </queryTableDeletedFields>
  </queryTableRefresh>
</queryTable>
</file>

<file path=xl/queryTables/queryTable6.xml><?xml version="1.0" encoding="utf-8"?>
<queryTable xmlns="http://schemas.openxmlformats.org/spreadsheetml/2006/main" name="temp_2" connectionId="2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temp" connectionId="2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uery from Agency_11" backgroundRefresh="0" adjustColumnWidth="0" connectionId="16" autoFormatId="16" applyNumberFormats="0" applyBorderFormats="0" applyFontFormats="0" applyPatternFormats="0" applyAlignmentFormats="0" applyWidthHeightFormats="0">
  <queryTableRefresh nextId="78">
    <queryTableFields count="2">
      <queryTableField id="62" name="AsOfDate" tableColumnId="1"/>
      <queryTableField id="77" name="SeriesNumValue" tableColumnId="6"/>
    </queryTableFields>
    <queryTableDeletedFields count="1">
      <deletedField name="refinancible_satoAdj"/>
    </queryTableDeletedFields>
  </queryTableRefresh>
</queryTable>
</file>

<file path=xl/queryTables/queryTable9.xml><?xml version="1.0" encoding="utf-8"?>
<queryTable xmlns="http://schemas.openxmlformats.org/spreadsheetml/2006/main" name="Query from Agency_12" backgroundRefresh="0" adjustColumnWidth="0" connectionId="6" autoFormatId="16" applyNumberFormats="0" applyBorderFormats="0" applyFontFormats="0" applyPatternFormats="0" applyAlignmentFormats="0" applyWidthHeightFormats="0">
  <queryTableRefresh nextId="89">
    <queryTableFields count="11">
      <queryTableField id="78" name="refinancible1" tableColumnId="7"/>
      <queryTableField id="79" name="refinancible2" tableColumnId="8"/>
      <queryTableField id="80" name="refinancible3" tableColumnId="9"/>
      <queryTableField id="81" name="refinancible4" tableColumnId="10"/>
      <queryTableField id="82" name="refinancible5" tableColumnId="11"/>
      <queryTableField id="83" name="refinancible6" tableColumnId="12"/>
      <queryTableField id="84" name="refinancible7" tableColumnId="13"/>
      <queryTableField id="85" name="refinancible8" tableColumnId="14"/>
      <queryTableField id="86" name="refinancible9" tableColumnId="15"/>
      <queryTableField id="87" name="refinancible10" tableColumnId="16"/>
      <queryTableField id="88" name="refinancible11" tableColumnId="17"/>
    </queryTableFields>
    <queryTableDeletedFields count="1">
      <deletedField name="refinancible_satoAdj"/>
    </queryTableDeletedFields>
  </queryTableRefresh>
</queryTable>
</file>

<file path=xl/queryTables/queryTable10.xml><?xml version="1.0" encoding="utf-8"?>
<queryTable xmlns="http://schemas.openxmlformats.org/spreadsheetml/2006/main" name="Query from Agency_13" backgroundRefresh="0" adjustColumnWidth="0" connectionId="3" autoFormatId="16" applyNumberFormats="0" applyBorderFormats="0" applyFontFormats="0" applyPatternFormats="0" applyAlignmentFormats="0" applyWidthHeightFormats="0">
  <queryTableRefresh nextId="112">
    <queryTableFields count="11">
      <queryTableField id="101" name="refinancible1" tableColumnId="1"/>
      <queryTableField id="102" name="refinancible2" tableColumnId="2"/>
      <queryTableField id="103" name="refinancible3" tableColumnId="3"/>
      <queryTableField id="104" name="refinancible4" tableColumnId="4"/>
      <queryTableField id="105" name="refinancible5" tableColumnId="5"/>
      <queryTableField id="106" name="refinancible6" tableColumnId="6"/>
      <queryTableField id="107" name="refinancible7" tableColumnId="7"/>
      <queryTableField id="108" name="refinancible8" tableColumnId="8"/>
      <queryTableField id="109" name="refinancible9" tableColumnId="9"/>
      <queryTableField id="110" name="refinancible10" tableColumnId="10"/>
      <queryTableField id="111" name="refinancible11" tableColumnId="11"/>
    </queryTableFields>
    <queryTableDeletedFields count="1">
      <deletedField name="refinancible_satoAdj"/>
    </queryTableDeletedFields>
  </queryTableRefresh>
</queryTable>
</file>

<file path=xl/queryTables/queryTable11.xml><?xml version="1.0" encoding="utf-8"?>
<queryTable xmlns="http://schemas.openxmlformats.org/spreadsheetml/2006/main" name="Query from Agency_14" backgroundRefresh="0" adjustColumnWidth="0" connectionId="4" autoFormatId="16" applyNumberFormats="0" applyBorderFormats="0" applyFontFormats="0" applyPatternFormats="0" applyAlignmentFormats="0" applyWidthHeightFormats="0">
  <queryTableRefresh nextId="112">
    <queryTableFields count="11">
      <queryTableField id="101" name="refinancible1" tableColumnId="1"/>
      <queryTableField id="102" name="refinancible2" tableColumnId="2"/>
      <queryTableField id="103" name="refinancible3" tableColumnId="3"/>
      <queryTableField id="104" name="refinancible4" tableColumnId="4"/>
      <queryTableField id="105" name="refinancible5" tableColumnId="5"/>
      <queryTableField id="106" name="refinancible6" tableColumnId="6"/>
      <queryTableField id="107" name="refinancible7" tableColumnId="7"/>
      <queryTableField id="108" name="refinancible8" tableColumnId="8"/>
      <queryTableField id="109" name="refinancible9" tableColumnId="9"/>
      <queryTableField id="110" name="refinancible10" tableColumnId="10"/>
      <queryTableField id="111" name="refinancible11" tableColumnId="11"/>
    </queryTableFields>
    <queryTableDeletedFields count="1">
      <deletedField name="refinancible_satoAdj"/>
    </queryTableDeletedFields>
  </queryTableRefresh>
</queryTable>
</file>

<file path=xl/queryTables/queryTable12.xml><?xml version="1.0" encoding="utf-8"?>
<queryTable xmlns="http://schemas.openxmlformats.org/spreadsheetml/2006/main" name="Query from Agency_15" backgroundRefresh="0" adjustColumnWidth="0" connectionId="5" autoFormatId="16" applyNumberFormats="0" applyBorderFormats="0" applyFontFormats="0" applyPatternFormats="0" applyAlignmentFormats="0" applyWidthHeightFormats="0">
  <queryTableRefresh nextId="112">
    <queryTableFields count="11">
      <queryTableField id="101" name="refinancible1" tableColumnId="1"/>
      <queryTableField id="102" name="refinancible2" tableColumnId="2"/>
      <queryTableField id="103" name="refinancible3" tableColumnId="3"/>
      <queryTableField id="104" name="refinancible4" tableColumnId="4"/>
      <queryTableField id="105" name="refinancible5" tableColumnId="5"/>
      <queryTableField id="106" name="refinancible6" tableColumnId="6"/>
      <queryTableField id="107" name="refinancible7" tableColumnId="7"/>
      <queryTableField id="108" name="refinancible8" tableColumnId="8"/>
      <queryTableField id="109" name="refinancible9" tableColumnId="9"/>
      <queryTableField id="110" name="refinancible10" tableColumnId="10"/>
      <queryTableField id="111" name="refinancible11" tableColumnId="11"/>
    </queryTableFields>
    <queryTableDeletedFields count="1">
      <deletedField name="refinancible_satoAdj"/>
    </queryTableDeletedFields>
  </queryTableRefresh>
</queryTable>
</file>

<file path=xl/queryTables/queryTable13.xml><?xml version="1.0" encoding="utf-8"?>
<queryTable xmlns="http://schemas.openxmlformats.org/spreadsheetml/2006/main" name="Query from Agency_7" backgroundRefresh="0" adjustColumnWidth="0" connectionId="2" autoFormatId="16" applyNumberFormats="0" applyBorderFormats="0" applyFontFormats="0" applyPatternFormats="0" applyAlignmentFormats="0" applyWidthHeightFormats="0">
  <queryTableRefresh nextId="83">
    <queryTableFields count="3">
      <queryTableField id="51" name="AsOfDate" tableColumnId="10"/>
      <queryTableField id="68" name="SeriesNumValue" tableColumnId="5"/>
      <queryTableField id="82" name="TickerName" tableColumnId="1"/>
    </queryTableFields>
    <queryTableDeletedFields count="1">
      <deletedField name="Rate"/>
    </queryTableDeletedFields>
  </queryTableRefresh>
</queryTable>
</file>

<file path=xl/queryTables/queryTable14.xml><?xml version="1.0" encoding="utf-8"?>
<queryTable xmlns="http://schemas.openxmlformats.org/spreadsheetml/2006/main" name="Query from Agency_8" backgroundRefresh="0" adjustColumnWidth="0" connectionId="1" autoFormatId="16" applyNumberFormats="0" applyBorderFormats="0" applyFontFormats="0" applyPatternFormats="0" applyAlignmentFormats="0" applyWidthHeightFormats="0">
  <queryTableRefresh nextId="82" unboundColumnsRight="10">
    <queryTableFields count="13">
      <queryTableField id="51" name="AsOfDate" tableColumnId="10"/>
      <queryTableField id="68" name="SeriesNumValue" tableColumnId="5"/>
      <queryTableField id="69" name="Rate" tableColumnId="1"/>
      <queryTableField id="70" dataBound="0" tableColumnId="2"/>
      <queryTableField id="75" dataBound="0" tableColumnId="3"/>
      <queryTableField id="74" dataBound="0" tableColumnId="4"/>
      <queryTableField id="73" dataBound="0" tableColumnId="6"/>
      <queryTableField id="72" dataBound="0" tableColumnId="7"/>
      <queryTableField id="71" dataBound="0" tableColumnId="8"/>
      <queryTableField id="76" dataBound="0" tableColumnId="9"/>
      <queryTableField id="77" dataBound="0" tableColumnId="11"/>
      <queryTableField id="78" dataBound="0" tableColumnId="12"/>
      <queryTableField id="81" dataBound="0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table1.xml><?xml version="1.0" encoding="utf-8"?>
<table xmlns="http://schemas.openxmlformats.org/spreadsheetml/2006/main" id="4" name="CurrentMtgRatesDataTable825" displayName="CurrentMtgRatesDataTable825" ref="B2:F288" tableType="queryTable" totalsRowShown="0" headerRowDxfId="106" dataDxfId="105">
  <tableColumns count="5">
    <tableColumn id="1" uniqueName="1" name="asOfDate" queryTableFieldId="62" dataDxfId="47"/>
    <tableColumn id="3" uniqueName="3" name="refinancible" queryTableFieldId="64" dataDxfId="46" dataCellStyle="Percent"/>
    <tableColumn id="5" uniqueName="5" name="Loan Level" queryTableFieldId="76" dataDxfId="45" dataCellStyle="Percent">
      <calculatedColumnFormula>VLOOKUP(CurrentMtgRatesDataTable825[[#This Row],[asOfDate]],H:I,2,0)</calculatedColumnFormula>
    </tableColumn>
    <tableColumn id="2" uniqueName="2" name="With Lowest Rate" queryTableFieldId="78" dataDxfId="44" dataCellStyle="Percent">
      <calculatedColumnFormula>VLOOKUP(CurrentMtgRatesDataTable825[[#This Row],[asOfDate]],O:P,2,0)</calculatedColumnFormula>
    </tableColumn>
    <tableColumn id="6" uniqueName="6" name="Refi Index" queryTableFieldId="77" dataDxfId="43" dataCellStyle="Percent">
      <calculatedColumnFormula>VLOOKUP(CurrentMtgRatesDataTable825[[#This Row],[asOfDate]]+1,Bloomberg!B:C,2,0)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" name="CurrentMtgRatesDataTable8252" displayName="CurrentMtgRatesDataTable8252" ref="K2:L3" tableType="queryTable" insertRow="1" totalsRowShown="0" headerRowDxfId="104" dataDxfId="103">
  <tableColumns count="2">
    <tableColumn id="1" uniqueName="1" name="asOfDate" queryTableFieldId="62" dataDxfId="40"/>
    <tableColumn id="2" uniqueName="2" name="refinancible" queryTableFieldId="77" dataDxfId="39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6" name="CurrentMtgRatesDataTable82527" displayName="CurrentMtgRatesDataTable82527" ref="R2:S3" tableType="queryTable" insertRow="1" totalsRowShown="0" headerRowDxfId="102" dataDxfId="101">
  <tableColumns count="2">
    <tableColumn id="1" uniqueName="1" name="asOfDate" queryTableFieldId="62" dataDxfId="38"/>
    <tableColumn id="2" uniqueName="2" name="refinancible" queryTableFieldId="77" dataDxfId="37" dataCellStyle="Percent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8" name="CurrentMtgRatesDataTable82529" displayName="CurrentMtgRatesDataTable82529" ref="W2:X3" tableType="queryTable" insertRow="1" totalsRowShown="0" headerRowDxfId="100" dataDxfId="99">
  <tableColumns count="2">
    <tableColumn id="1" uniqueName="1" name="asOfDate" queryTableFieldId="62" dataDxfId="42"/>
    <tableColumn id="2" uniqueName="2" name="refinancible" queryTableFieldId="77" dataDxfId="41" dataCellStyle="Percent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12" name="CurrentMtgRatesDataTable8252713" displayName="CurrentMtgRatesDataTable8252713" ref="AB2:AC3" tableType="queryTable" insertRow="1" totalsRowShown="0" headerRowDxfId="98" dataDxfId="97">
  <tableColumns count="2">
    <tableColumn id="1" uniqueName="1" name="asOfDate" queryTableFieldId="62" dataDxfId="36"/>
    <tableColumn id="2" uniqueName="2" name="refinancible" queryTableFieldId="77" dataDxfId="35" dataCellStyle="Percent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2" name="CurrentMtgRatesDataTable82523" displayName="CurrentMtgRatesDataTable82523" ref="B2:C3" tableType="queryTable" totalsRowShown="0" headerRowDxfId="96" dataDxfId="95">
  <tableColumns count="2">
    <tableColumn id="1" uniqueName="1" name="AsOfDate" queryTableFieldId="62" dataDxfId="34"/>
    <tableColumn id="6" uniqueName="6" name="SeriesNumValue" queryTableFieldId="77" dataDxfId="33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3" name="CurrentMtgRatesDataTable825234" displayName="CurrentMtgRatesDataTable825234" ref="F2:P3" tableType="queryTable" totalsRowShown="0" headerRowDxfId="94" dataDxfId="93">
  <tableColumns count="11">
    <tableColumn id="7" uniqueName="7" name="refinancible1" queryTableFieldId="78" dataDxfId="32"/>
    <tableColumn id="8" uniqueName="8" name="refinancible2" queryTableFieldId="79" dataDxfId="31"/>
    <tableColumn id="9" uniqueName="9" name="refinancible3" queryTableFieldId="80" dataDxfId="30"/>
    <tableColumn id="10" uniqueName="10" name="refinancible4" queryTableFieldId="81" dataDxfId="29"/>
    <tableColumn id="11" uniqueName="11" name="refinancible5" queryTableFieldId="82" dataDxfId="28"/>
    <tableColumn id="12" uniqueName="12" name="refinancible6" queryTableFieldId="83" dataDxfId="27"/>
    <tableColumn id="13" uniqueName="13" name="refinancible7" queryTableFieldId="84" dataDxfId="26"/>
    <tableColumn id="14" uniqueName="14" name="refinancible8" queryTableFieldId="85" dataDxfId="25"/>
    <tableColumn id="15" uniqueName="15" name="refinancible9" queryTableFieldId="86" dataDxfId="24"/>
    <tableColumn id="16" uniqueName="16" name="refinancible10" queryTableFieldId="87" dataDxfId="23"/>
    <tableColumn id="17" uniqueName="17" name="refinancible11" queryTableFieldId="88" dataDxfId="22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5" name="CurrentMtgRatesDataTable8252346" displayName="CurrentMtgRatesDataTable8252346" ref="F7:P8" tableType="queryTable" totalsRowShown="0" headerRowDxfId="92" dataDxfId="91">
  <tableColumns count="11">
    <tableColumn id="1" uniqueName="1" name="refinancible1" queryTableFieldId="101" dataDxfId="21"/>
    <tableColumn id="2" uniqueName="2" name="refinancible2" queryTableFieldId="102" dataDxfId="20"/>
    <tableColumn id="3" uniqueName="3" name="refinancible3" queryTableFieldId="103" dataDxfId="19"/>
    <tableColumn id="4" uniqueName="4" name="refinancible4" queryTableFieldId="104" dataDxfId="18"/>
    <tableColumn id="5" uniqueName="5" name="refinancible5" queryTableFieldId="105" dataDxfId="17"/>
    <tableColumn id="6" uniqueName="6" name="refinancible6" queryTableFieldId="106" dataDxfId="16"/>
    <tableColumn id="7" uniqueName="7" name="refinancible7" queryTableFieldId="107" dataDxfId="15"/>
    <tableColumn id="8" uniqueName="8" name="refinancible8" queryTableFieldId="108" dataDxfId="14"/>
    <tableColumn id="9" uniqueName="9" name="refinancible9" queryTableFieldId="109" dataDxfId="13"/>
    <tableColumn id="10" uniqueName="10" name="refinancible10" queryTableFieldId="110" dataDxfId="12"/>
    <tableColumn id="11" uniqueName="11" name="refinancible11" queryTableFieldId="111" dataDxfId="11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id="7" name="CurrentMtgRatesDataTable82523468" displayName="CurrentMtgRatesDataTable82523468" ref="F11:P12" tableType="queryTable" totalsRowShown="0" headerRowDxfId="90" dataDxfId="89">
  <tableColumns count="11">
    <tableColumn id="1" uniqueName="1" name="refinancible1" queryTableFieldId="101" dataDxfId="10"/>
    <tableColumn id="2" uniqueName="2" name="refinancible2" queryTableFieldId="102" dataDxfId="9"/>
    <tableColumn id="3" uniqueName="3" name="refinancible3" queryTableFieldId="103" dataDxfId="8"/>
    <tableColumn id="4" uniqueName="4" name="refinancible4" queryTableFieldId="104" dataDxfId="7"/>
    <tableColumn id="5" uniqueName="5" name="refinancible5" queryTableFieldId="105" dataDxfId="6"/>
    <tableColumn id="6" uniqueName="6" name="refinancible6" queryTableFieldId="106" dataDxfId="5"/>
    <tableColumn id="7" uniqueName="7" name="refinancible7" queryTableFieldId="107" dataDxfId="4"/>
    <tableColumn id="8" uniqueName="8" name="refinancible8" queryTableFieldId="108" dataDxfId="3"/>
    <tableColumn id="9" uniqueName="9" name="refinancible9" queryTableFieldId="109" dataDxfId="2"/>
    <tableColumn id="10" uniqueName="10" name="refinancible10" queryTableFieldId="110" dataDxfId="1"/>
    <tableColumn id="11" uniqueName="11" name="refinancible11" queryTableFieldId="111" dataDxfId="0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id="11" name="CurrentMtgRatesDataTable825234682" displayName="CurrentMtgRatesDataTable825234682" ref="F31:P32" tableType="queryTable" totalsRowShown="0" headerRowDxfId="88">
  <tableColumns count="11">
    <tableColumn id="1" uniqueName="1" name="refinancible1" queryTableFieldId="101"/>
    <tableColumn id="2" uniqueName="2" name="refinancible2" queryTableFieldId="102"/>
    <tableColumn id="3" uniqueName="3" name="refinancible3" queryTableFieldId="103"/>
    <tableColumn id="4" uniqueName="4" name="refinancible4" queryTableFieldId="104"/>
    <tableColumn id="5" uniqueName="5" name="refinancible5" queryTableFieldId="105"/>
    <tableColumn id="6" uniqueName="6" name="refinancible6" queryTableFieldId="106"/>
    <tableColumn id="7" uniqueName="7" name="refinancible7" queryTableFieldId="107"/>
    <tableColumn id="8" uniqueName="8" name="refinancible8" queryTableFieldId="108"/>
    <tableColumn id="9" uniqueName="9" name="refinancible9" queryTableFieldId="109"/>
    <tableColumn id="10" uniqueName="10" name="refinancible10" queryTableFieldId="110"/>
    <tableColumn id="11" uniqueName="11" name="refinancible11" queryTableFieldId="111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id="9" name="CurrentMtgRatesDataTable810" displayName="CurrentMtgRatesDataTable810" ref="S4:U9" tableType="queryTable" totalsRowShown="0" headerRowDxfId="87" dataDxfId="86">
  <tableColumns count="3">
    <tableColumn id="10" uniqueName="10" name="AsOfDate" queryTableFieldId="51" dataDxfId="50" dataCellStyle="Normal 2 7"/>
    <tableColumn id="5" uniqueName="5" name="SeriesNumValue" queryTableFieldId="68" dataDxfId="49" dataCellStyle="Normal 2 7"/>
    <tableColumn id="1" uniqueName="1" name="TickerName" queryTableFieldId="82" dataDxfId="48" dataCellStyle="Normal 2 7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id="10" name="CurrentMtgRatesDataTable811" displayName="CurrentMtgRatesDataTable811" ref="A4:M41" tableType="queryTable" totalsRowShown="0" headerRowDxfId="85" dataDxfId="84">
  <tableColumns count="13">
    <tableColumn id="10" uniqueName="10" name="AsOfDate" queryTableFieldId="51" dataDxfId="83" dataCellStyle="Normal 2 7"/>
    <tableColumn id="5" uniqueName="5" name="SeriesNumValue" queryTableFieldId="68" dataDxfId="82"/>
    <tableColumn id="1" uniqueName="1" name="Rate" queryTableFieldId="69" dataDxfId="81"/>
    <tableColumn id="2" uniqueName="2" name="Weekday" queryTableFieldId="70" dataDxfId="80" dataCellStyle="Normal 2 7">
      <calculatedColumnFormula>WEEKDAY(A5,14)</calculatedColumnFormula>
    </tableColumn>
    <tableColumn id="3" uniqueName="3" name="Weight" queryTableFieldId="75" dataDxfId="79" dataCellStyle="Normal 2 7">
      <calculatedColumnFormula>VLOOKUP(D5,P$5:Q$11,2,FALSE)</calculatedColumnFormula>
    </tableColumn>
    <tableColumn id="4" uniqueName="4" name="Counter" queryTableFieldId="74" dataDxfId="78" dataCellStyle="Normal 2 7">
      <calculatedColumnFormula>IF(AND(D5&gt;D4,F4&lt;6),F4+1,1)</calculatedColumnFormula>
    </tableColumn>
    <tableColumn id="6" uniqueName="6" name="Accumulated Weighted CC" queryTableFieldId="73" dataDxfId="77" dataCellStyle="Normal 2 7">
      <calculatedColumnFormula>IF(F5&gt;F4,G4+B5*E5,B5*E5)</calculatedColumnFormula>
    </tableColumn>
    <tableColumn id="7" uniqueName="7" name="AccumulatedWeight" queryTableFieldId="72" dataDxfId="76" dataCellStyle="Normal 2 7">
      <calculatedColumnFormula>IF(AND(F5&lt;6,F5&gt;F4),E5+H4,E5)</calculatedColumnFormula>
    </tableColumn>
    <tableColumn id="8" uniqueName="8" name="WA CC" queryTableFieldId="71" dataDxfId="75" dataCellStyle="Normal 2 7">
      <calculatedColumnFormula>IF(F5&gt;F6,G5/H5,0)</calculatedColumnFormula>
    </tableColumn>
    <tableColumn id="9" uniqueName="9" name="Servicing Spread" queryTableFieldId="76" dataDxfId="74" dataCellStyle="Normal 2 7">
      <calculatedColumnFormula>IF(CurrentMtgRatesDataTable811[[#This Row],[WA CC]]&lt;&gt;0,C4-CurrentMtgRatesDataTable811[[#This Row],[WA CC]],0)</calculatedColumnFormula>
    </tableColumn>
    <tableColumn id="11" uniqueName="11" name="Servicing Spread Non-Zero" queryTableFieldId="77" dataDxfId="73" dataCellStyle="Normal 2 7">
      <calculatedColumnFormula>IF(CurrentMtgRatesDataTable811[[#This Row],[Servicing Spread]]&lt;=0,K4,CurrentMtgRatesDataTable811[[#This Row],[Servicing Spread]])</calculatedColumnFormula>
    </tableColumn>
    <tableColumn id="12" uniqueName="12" name="Servicing Spread 1m chg" queryTableFieldId="78" dataDxfId="72" dataCellStyle="Normal 2 7">
      <calculatedColumnFormula>CurrentMtgRatesDataTable811[[#This Row],[Servicing Spread Non-Zero]]-K4</calculatedColumnFormula>
    </tableColumn>
    <tableColumn id="15" uniqueName="15" name="Survey Rate 1m chg" queryTableFieldId="81" dataDxfId="71" dataCellStyle="Normal 2 7">
      <calculatedColumnFormula>IF(I4&lt;&gt;0,CurrentMtgRatesDataTable811[[#This Row],[Rate]]-C4,M4)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3" Type="http://schemas.openxmlformats.org/officeDocument/2006/relationships/table" Target="../tables/table2.xml"/><Relationship Id="rId7" Type="http://schemas.openxmlformats.org/officeDocument/2006/relationships/queryTable" Target="../queryTables/query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AC92"/>
  <sheetViews>
    <sheetView showGridLines="0" zoomScaleNormal="100" workbookViewId="0">
      <selection activeCell="V58" sqref="V58"/>
    </sheetView>
  </sheetViews>
  <sheetFormatPr defaultRowHeight="12.75"/>
  <cols>
    <col min="1" max="1" width="9.140625" style="6" customWidth="1"/>
    <col min="2" max="2" width="9.140625" style="6"/>
    <col min="3" max="13" width="10.140625" style="6" customWidth="1"/>
    <col min="14" max="14" width="10.28515625" style="6" customWidth="1"/>
    <col min="15" max="15" width="8.42578125" style="6" customWidth="1"/>
    <col min="16" max="16" width="8.7109375" style="6" customWidth="1"/>
    <col min="17" max="19" width="8.42578125" style="6" customWidth="1"/>
    <col min="20" max="20" width="10.7109375" style="6" bestFit="1" customWidth="1"/>
    <col min="21" max="21" width="5.140625" style="6" customWidth="1"/>
    <col min="22" max="23" width="7.5703125" style="6" customWidth="1"/>
    <col min="24" max="24" width="10.28515625" style="6" customWidth="1"/>
    <col min="25" max="25" width="9.140625" style="6"/>
    <col min="26" max="26" width="14.140625" style="6" customWidth="1"/>
    <col min="27" max="27" width="40.85546875" style="6" bestFit="1" customWidth="1"/>
    <col min="28" max="28" width="14.85546875" style="6" bestFit="1" customWidth="1"/>
    <col min="29" max="16384" width="9.140625" style="6"/>
  </cols>
  <sheetData>
    <row r="1" spans="3:29">
      <c r="Z1" s="2" t="s">
        <v>1</v>
      </c>
      <c r="AA1" s="3" t="s">
        <v>2</v>
      </c>
      <c r="AB1" s="6" t="s">
        <v>3</v>
      </c>
      <c r="AC1" s="3" t="s">
        <v>4</v>
      </c>
    </row>
    <row r="2" spans="3:29">
      <c r="Z2" s="2" t="s">
        <v>5</v>
      </c>
      <c r="AA2" s="4">
        <v>42550</v>
      </c>
    </row>
    <row r="3" spans="3:29">
      <c r="Z3" s="2" t="s">
        <v>19</v>
      </c>
      <c r="AA3" s="19" t="s">
        <v>128</v>
      </c>
    </row>
    <row r="4" spans="3:29">
      <c r="Z4" s="2" t="s">
        <v>6</v>
      </c>
      <c r="AA4" s="3" t="str">
        <f>PDFReportDir&amp;"Refinancible Universe " &amp; TEXT(CurrentCloseDate, "yyyy-mm-dd") &amp; ".pdf"</f>
        <v>S:\IT\Production\Daily Reports\Primary Market\2016-06\Refinancible Universe 2016-06-29.pdf</v>
      </c>
    </row>
    <row r="5" spans="3:29">
      <c r="Z5" s="7"/>
    </row>
    <row r="6" spans="3:29">
      <c r="Z6" s="7"/>
    </row>
    <row r="9" spans="3:29" s="8" customFormat="1"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R9" s="6"/>
      <c r="S9" s="6"/>
      <c r="T9" s="6"/>
      <c r="U9" s="6"/>
      <c r="V9" s="6"/>
      <c r="W9" s="6"/>
      <c r="X9" s="6"/>
      <c r="Z9" s="8" t="s">
        <v>15</v>
      </c>
      <c r="AA9" s="13">
        <f>IF(DAY(CurrentCloseDate)&lt;0,(CurrentCloseDate-DAY(CurrentCloseDate))-DAY((CurrentCloseDate-DAY(CurrentCloseDate)))+1,CurrentCloseDate-DAY(CurrentCloseDate)+1)</f>
        <v>42522</v>
      </c>
      <c r="AB9" s="71" t="s">
        <v>74</v>
      </c>
    </row>
    <row r="10" spans="3:29" s="9" customFormat="1"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R10" s="6"/>
      <c r="S10" s="6"/>
      <c r="T10" s="6"/>
      <c r="U10" s="6"/>
      <c r="V10" s="6"/>
      <c r="W10" s="6"/>
      <c r="X10" s="6"/>
      <c r="Z10" s="9" t="s">
        <v>16</v>
      </c>
      <c r="AA10" s="14">
        <f>(AA9-1)-DAY((AA9-1))+1</f>
        <v>42491</v>
      </c>
    </row>
    <row r="11" spans="3:29" s="9" customFormat="1"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R11" s="6"/>
      <c r="S11" s="6"/>
      <c r="T11" s="6"/>
      <c r="U11" s="6"/>
      <c r="V11" s="6"/>
      <c r="W11" s="6"/>
      <c r="X11" s="6"/>
    </row>
    <row r="12" spans="3:29" s="9" customFormat="1"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R12" s="6"/>
      <c r="S12" s="6"/>
      <c r="T12" s="6"/>
      <c r="U12" s="6"/>
      <c r="V12" s="6"/>
      <c r="W12" s="6"/>
      <c r="X12" s="6"/>
      <c r="AA12" s="14"/>
    </row>
    <row r="13" spans="3:29" s="9" customFormat="1"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R13" s="6"/>
      <c r="S13" s="6"/>
      <c r="T13" s="6"/>
      <c r="U13" s="6"/>
      <c r="V13" s="6"/>
      <c r="W13" s="6"/>
      <c r="X13" s="6"/>
      <c r="Z13" s="9" t="s">
        <v>103</v>
      </c>
      <c r="AA13" s="14">
        <f>IF(WEEKDAY(CurrentCloseDate,2)&lt;4,CurrentCloseDate-WEEKDAY(CurrentCloseDate,2)-3,CurrentCloseDate-WEEKDAY(CurrentCloseDate,2)+4)</f>
        <v>42544</v>
      </c>
    </row>
    <row r="14" spans="3:29" s="9" customFormat="1"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R14" s="6"/>
      <c r="S14" s="6"/>
      <c r="T14" s="6"/>
      <c r="U14" s="6"/>
      <c r="V14" s="6"/>
      <c r="W14" s="6"/>
      <c r="X14" s="6"/>
    </row>
    <row r="15" spans="3:29" s="9" customFormat="1"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R15" s="6"/>
      <c r="S15" s="6"/>
      <c r="T15" s="6"/>
      <c r="U15" s="6"/>
      <c r="V15" s="6"/>
      <c r="W15" s="6"/>
      <c r="X15" s="6"/>
    </row>
    <row r="16" spans="3:29" s="9" customFormat="1"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R16" s="6"/>
      <c r="S16" s="6"/>
      <c r="T16" s="6"/>
      <c r="U16" s="6"/>
      <c r="V16" s="6"/>
      <c r="W16" s="6"/>
      <c r="X16" s="6"/>
    </row>
    <row r="17" spans="3:24" s="9" customFormat="1"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R17" s="6"/>
      <c r="S17" s="6"/>
      <c r="T17" s="6"/>
      <c r="U17" s="6"/>
      <c r="V17" s="6"/>
      <c r="W17" s="6"/>
      <c r="X17" s="6"/>
    </row>
    <row r="18" spans="3:24" s="9" customFormat="1"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R18" s="6"/>
      <c r="S18" s="6"/>
      <c r="T18" s="6"/>
      <c r="U18" s="6"/>
      <c r="V18" s="6"/>
      <c r="W18" s="6"/>
      <c r="X18" s="6"/>
    </row>
    <row r="19" spans="3:24" s="9" customFormat="1"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R19" s="6"/>
      <c r="S19" s="6"/>
      <c r="T19" s="6"/>
      <c r="U19" s="6"/>
      <c r="V19" s="6"/>
      <c r="W19" s="6"/>
      <c r="X19" s="6"/>
    </row>
    <row r="20" spans="3:24" s="9" customFormat="1"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R20" s="6"/>
      <c r="S20" s="6"/>
      <c r="T20" s="6"/>
      <c r="U20" s="6"/>
      <c r="V20" s="6"/>
      <c r="W20" s="6"/>
      <c r="X20" s="6"/>
    </row>
    <row r="21" spans="3:24" s="9" customFormat="1"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R21" s="6"/>
      <c r="S21" s="6"/>
      <c r="T21" s="6"/>
      <c r="U21" s="6"/>
      <c r="V21" s="6"/>
      <c r="W21" s="6"/>
      <c r="X21" s="6"/>
    </row>
    <row r="38" spans="3:20">
      <c r="O38" s="40" t="s">
        <v>100</v>
      </c>
      <c r="P38" s="40"/>
      <c r="Q38" s="83">
        <f>'Function Of Rate'!C8</f>
        <v>2.2865529695176998</v>
      </c>
      <c r="S38" s="41" t="s">
        <v>101</v>
      </c>
      <c r="T38" s="83">
        <f>'Function Of Rate'!C9</f>
        <v>0.97208037975313788</v>
      </c>
    </row>
    <row r="39" spans="3:20" ht="15.75" thickBot="1">
      <c r="C39" s="5" t="s">
        <v>33</v>
      </c>
      <c r="E39" s="26"/>
      <c r="F39" s="27"/>
      <c r="J39" s="41" t="s">
        <v>75</v>
      </c>
      <c r="K39" s="85">
        <f>CurrentMtgRatesDataTable82523[SeriesNumValue]</f>
        <v>3.46</v>
      </c>
      <c r="L39" s="41" t="s">
        <v>62</v>
      </c>
      <c r="M39" s="64">
        <f>CurrentMtgRatesDataTable82523[AsOfDate]</f>
        <v>42544</v>
      </c>
      <c r="O39" s="40" t="s">
        <v>102</v>
      </c>
      <c r="P39" s="40"/>
      <c r="Q39" s="84">
        <f>ImpliedRate</f>
        <v>3.2586333492708377</v>
      </c>
      <c r="S39" s="41" t="s">
        <v>62</v>
      </c>
      <c r="T39" s="72">
        <f>CurrentCloseDate</f>
        <v>42550</v>
      </c>
    </row>
    <row r="40" spans="3:20" s="36" customFormat="1" ht="13.5" customHeight="1">
      <c r="C40" s="47"/>
      <c r="D40" s="130" t="s">
        <v>28</v>
      </c>
      <c r="E40" s="131"/>
      <c r="F40" s="132"/>
      <c r="G40" s="133" t="s">
        <v>25</v>
      </c>
      <c r="H40" s="134"/>
      <c r="I40" s="135"/>
      <c r="J40" s="65" t="s">
        <v>72</v>
      </c>
      <c r="K40" s="136" t="s">
        <v>31</v>
      </c>
      <c r="L40" s="134"/>
      <c r="M40" s="135"/>
      <c r="O40" s="58"/>
      <c r="P40" s="134" t="s">
        <v>28</v>
      </c>
      <c r="Q40" s="135"/>
      <c r="R40" s="136" t="s">
        <v>25</v>
      </c>
      <c r="S40" s="135"/>
      <c r="T40" s="128" t="s">
        <v>72</v>
      </c>
    </row>
    <row r="41" spans="3:20" s="36" customFormat="1" ht="13.5" customHeight="1">
      <c r="C41" s="48" t="s">
        <v>32</v>
      </c>
      <c r="D41" s="42" t="s">
        <v>30</v>
      </c>
      <c r="E41" s="29" t="s">
        <v>12</v>
      </c>
      <c r="F41" s="43" t="s">
        <v>13</v>
      </c>
      <c r="G41" s="89" t="s">
        <v>30</v>
      </c>
      <c r="H41" s="29" t="s">
        <v>12</v>
      </c>
      <c r="I41" s="43" t="s">
        <v>13</v>
      </c>
      <c r="J41" s="66" t="s">
        <v>73</v>
      </c>
      <c r="K41" s="42" t="s">
        <v>30</v>
      </c>
      <c r="L41" s="29" t="s">
        <v>12</v>
      </c>
      <c r="M41" s="43" t="s">
        <v>13</v>
      </c>
      <c r="O41" s="42" t="s">
        <v>58</v>
      </c>
      <c r="P41" s="29" t="s">
        <v>59</v>
      </c>
      <c r="Q41" s="43" t="s">
        <v>60</v>
      </c>
      <c r="R41" s="42" t="s">
        <v>59</v>
      </c>
      <c r="S41" s="43" t="s">
        <v>60</v>
      </c>
      <c r="T41" s="129"/>
    </row>
    <row r="42" spans="3:20" s="36" customFormat="1" ht="13.5" customHeight="1">
      <c r="C42" s="49">
        <f>Query!B3</f>
        <v>42544</v>
      </c>
      <c r="D42" s="51">
        <f>Query!C3</f>
        <v>0.7167324703354373</v>
      </c>
      <c r="E42" s="37">
        <f>Query!C7-Query!C3</f>
        <v>-6.0224119766648543E-2</v>
      </c>
      <c r="F42" s="52">
        <f>Query!C16-Query!C3</f>
        <v>-9.7679279386494455E-2</v>
      </c>
      <c r="G42" s="90">
        <f>Query!D3</f>
        <v>0.65141115100369107</v>
      </c>
      <c r="H42" s="37">
        <f>Query!D6-Query!D3</f>
        <v>-5.826053267135789E-2</v>
      </c>
      <c r="I42" s="52" t="e">
        <f>Query!D16-Query!D3</f>
        <v>#N/A</v>
      </c>
      <c r="J42" s="67">
        <f>Query!E3</f>
        <v>0</v>
      </c>
      <c r="K42" s="55" t="e">
        <f ca="1">Query!F3</f>
        <v>#N/A</v>
      </c>
      <c r="L42" s="37" t="e">
        <f ca="1">(Query!F7-Query!F3)/Query!F3</f>
        <v>#N/A</v>
      </c>
      <c r="M42" s="52" t="e">
        <f ca="1">(Query!F16-Query!F3)/Query!F3</f>
        <v>#N/A</v>
      </c>
      <c r="O42" s="44" t="s">
        <v>52</v>
      </c>
      <c r="P42" s="37">
        <f>'Function Of Rate'!F$16</f>
        <v>0.99534271101835481</v>
      </c>
      <c r="Q42" s="52">
        <f t="shared" ref="Q42:Q45" si="0">P42-$P$47</f>
        <v>0.17133637808510171</v>
      </c>
      <c r="R42" s="61">
        <f>'Function Of Rate'!F$17</f>
        <v>0.95796090605897977</v>
      </c>
      <c r="S42" s="52">
        <f t="shared" ref="S42:S45" si="1">R42-$R$47</f>
        <v>0.18975379636992762</v>
      </c>
      <c r="T42" s="52">
        <f>'Function Of Rate'!F18</f>
        <v>0.95796090605897977</v>
      </c>
    </row>
    <row r="43" spans="3:20" s="36" customFormat="1" ht="13.5" customHeight="1">
      <c r="C43" s="49">
        <f>Query!B4</f>
        <v>42537</v>
      </c>
      <c r="D43" s="51">
        <f>Query!C4</f>
        <v>0.75253987999808514</v>
      </c>
      <c r="E43" s="37">
        <f>Query!C8-Query!C4</f>
        <v>-5.2107413458875484E-2</v>
      </c>
      <c r="F43" s="52">
        <f>Query!C17-Query!C4</f>
        <v>-0.14807789838070573</v>
      </c>
      <c r="G43" s="90">
        <f>Query!D4</f>
        <v>0.67872358251423159</v>
      </c>
      <c r="H43" s="37">
        <f>Query!D8-Query!D4</f>
        <v>-2.8548853805258956E-2</v>
      </c>
      <c r="I43" s="52">
        <f>Query!D17-Query!D4</f>
        <v>-0.10700822855478842</v>
      </c>
      <c r="J43" s="67">
        <f>Query!E4</f>
        <v>0.29550467881742942</v>
      </c>
      <c r="K43" s="55" t="e">
        <f ca="1">Query!F4</f>
        <v>#N/A</v>
      </c>
      <c r="L43" s="37" t="e">
        <f ca="1">(Query!F8-Query!F4)/Query!F4</f>
        <v>#N/A</v>
      </c>
      <c r="M43" s="52" t="e">
        <f ca="1">(Query!F17-Query!F4)/Query!F4</f>
        <v>#N/A</v>
      </c>
      <c r="O43" s="44" t="s">
        <v>51</v>
      </c>
      <c r="P43" s="37">
        <f>'Function Of Rate'!G$16</f>
        <v>0.99309084338869724</v>
      </c>
      <c r="Q43" s="52">
        <f t="shared" si="0"/>
        <v>0.16908451045544415</v>
      </c>
      <c r="R43" s="61">
        <f>'Function Of Rate'!G$17</f>
        <v>0.9480466283384581</v>
      </c>
      <c r="S43" s="52">
        <f t="shared" si="1"/>
        <v>0.17983951864940595</v>
      </c>
      <c r="T43" s="52">
        <f>'Function Of Rate'!G18</f>
        <v>0.9480466283384581</v>
      </c>
    </row>
    <row r="44" spans="3:20" s="36" customFormat="1" ht="13.5" customHeight="1">
      <c r="C44" s="49">
        <f>Query!B5</f>
        <v>42530</v>
      </c>
      <c r="D44" s="51">
        <f>Query!C5</f>
        <v>0.69956098768104658</v>
      </c>
      <c r="E44" s="37">
        <f>Query!C9-Query!C5</f>
        <v>3.724676070639743E-2</v>
      </c>
      <c r="F44" s="52">
        <f>Query!C18-Query!C5</f>
        <v>-6.3669170278203624E-2</v>
      </c>
      <c r="G44" s="90">
        <f>Query!D5</f>
        <v>0.63358604177011002</v>
      </c>
      <c r="H44" s="37">
        <f>Query!D9-Query!D5</f>
        <v>2.5175871189380916E-2</v>
      </c>
      <c r="I44" s="52">
        <f>Query!D18-Query!D5</f>
        <v>-2.2460733860175996E-2</v>
      </c>
      <c r="J44" s="67">
        <f>Query!E5</f>
        <v>1.8055734190198806E-4</v>
      </c>
      <c r="K44" s="55" t="e">
        <f ca="1">Query!F5</f>
        <v>#N/A</v>
      </c>
      <c r="L44" s="37" t="e">
        <f ca="1">(Query!F9-Query!F5)/Query!F5</f>
        <v>#N/A</v>
      </c>
      <c r="M44" s="52" t="e">
        <f ca="1">(Query!F18-Query!F5)/Query!F5</f>
        <v>#N/A</v>
      </c>
      <c r="O44" s="44" t="s">
        <v>50</v>
      </c>
      <c r="P44" s="37">
        <f>'Function Of Rate'!H$16</f>
        <v>0.98032470607620636</v>
      </c>
      <c r="Q44" s="52">
        <f t="shared" si="0"/>
        <v>0.15631837314295327</v>
      </c>
      <c r="R44" s="61">
        <f>'Function Of Rate'!H$17</f>
        <v>0.9204968692348956</v>
      </c>
      <c r="S44" s="52">
        <f t="shared" si="1"/>
        <v>0.15228975954584345</v>
      </c>
      <c r="T44" s="52">
        <f>'Function Of Rate'!H18</f>
        <v>0.9204968692348956</v>
      </c>
    </row>
    <row r="45" spans="3:20" s="36" customFormat="1" ht="13.5" customHeight="1">
      <c r="C45" s="49">
        <f>Query!B6</f>
        <v>42523</v>
      </c>
      <c r="D45" s="51">
        <f>Query!C6</f>
        <v>0.63793331124728792</v>
      </c>
      <c r="E45" s="37">
        <f>Query!C10-Query!C6</f>
        <v>2.3899430089064477E-2</v>
      </c>
      <c r="F45" s="52">
        <f>Query!C19-Query!C6</f>
        <v>2.5769512729811428E-2</v>
      </c>
      <c r="G45" s="90">
        <f>Query!D6</f>
        <v>0.59315061833233318</v>
      </c>
      <c r="H45" s="37">
        <f>Query!D10-Query!D6</f>
        <v>4.0739944810824769E-3</v>
      </c>
      <c r="I45" s="52">
        <f>Query!D19-Query!D6</f>
        <v>3.1999250998969719E-2</v>
      </c>
      <c r="J45" s="67">
        <f>Query!E6</f>
        <v>0</v>
      </c>
      <c r="K45" s="55">
        <f ca="1">Query!F6</f>
        <v>1922.8</v>
      </c>
      <c r="L45" s="37">
        <f ca="1">(Query!F10-Query!F6)/Query!F6</f>
        <v>-5.762429789889742E-2</v>
      </c>
      <c r="M45" s="52">
        <f ca="1">(Query!F19-Query!F6)/Query!F6</f>
        <v>2.7043894320782432E-3</v>
      </c>
      <c r="O45" s="44" t="s">
        <v>49</v>
      </c>
      <c r="P45" s="37">
        <f>'Function Of Rate'!I$16</f>
        <v>0.92054525386511077</v>
      </c>
      <c r="Q45" s="52">
        <f t="shared" si="0"/>
        <v>9.6538920931857675E-2</v>
      </c>
      <c r="R45" s="61">
        <f>'Function Of Rate'!I$17</f>
        <v>0.88627091507150169</v>
      </c>
      <c r="S45" s="52">
        <f t="shared" si="1"/>
        <v>0.11806380538244954</v>
      </c>
      <c r="T45" s="52">
        <f>'Function Of Rate'!I18</f>
        <v>0.88627091507150169</v>
      </c>
    </row>
    <row r="46" spans="3:20" s="36" customFormat="1" ht="13.5" customHeight="1">
      <c r="C46" s="49">
        <f>Query!B7</f>
        <v>42516</v>
      </c>
      <c r="D46" s="51">
        <f>Query!C7</f>
        <v>0.65650835056878876</v>
      </c>
      <c r="E46" s="37">
        <f>Query!C11-Query!C7</f>
        <v>-2.3302372506831093E-2</v>
      </c>
      <c r="F46" s="52">
        <f>Query!C20-Query!C7</f>
        <v>2.9834011895801815E-3</v>
      </c>
      <c r="G46" s="90">
        <f>Query!D7</f>
        <v>0.60819317871948908</v>
      </c>
      <c r="H46" s="37">
        <f>Query!D11-Query!D7</f>
        <v>-2.0359315991785532E-2</v>
      </c>
      <c r="I46" s="52">
        <f>Query!D20-Query!D7</f>
        <v>1.6686140268027616E-2</v>
      </c>
      <c r="J46" s="67">
        <f>Query!E7</f>
        <v>0</v>
      </c>
      <c r="K46" s="55">
        <f ca="1">Query!F7</f>
        <v>1770.1</v>
      </c>
      <c r="L46" s="37">
        <f ca="1">(Query!F11-Query!F7)/Query!F7</f>
        <v>1.2315688379187719E-2</v>
      </c>
      <c r="M46" s="52">
        <f ca="1">(Query!F20-Query!F7)/Query!F7</f>
        <v>0.12586859499463318</v>
      </c>
      <c r="O46" s="44" t="s">
        <v>48</v>
      </c>
      <c r="P46" s="37">
        <f>'Function Of Rate'!J$16</f>
        <v>0.86780305961886917</v>
      </c>
      <c r="Q46" s="52">
        <f>P46-$P$47</f>
        <v>4.3796726685616072E-2</v>
      </c>
      <c r="R46" s="61">
        <f>'Function Of Rate'!J$17</f>
        <v>0.82971999708177202</v>
      </c>
      <c r="S46" s="52">
        <f>R46-$R$47</f>
        <v>6.1512887392719873E-2</v>
      </c>
      <c r="T46" s="52">
        <f>'Function Of Rate'!J18</f>
        <v>0.82971999708177202</v>
      </c>
    </row>
    <row r="47" spans="3:20" s="36" customFormat="1" ht="13.5" customHeight="1">
      <c r="C47" s="49">
        <f>Query!B8</f>
        <v>42509</v>
      </c>
      <c r="D47" s="51">
        <f>Query!C8</f>
        <v>0.70043246653920965</v>
      </c>
      <c r="E47" s="37">
        <f>Query!C12-Query!C8</f>
        <v>-9.5923980201028103E-3</v>
      </c>
      <c r="F47" s="52">
        <f>Query!C21-Query!C8</f>
        <v>-4.4016212598831483E-2</v>
      </c>
      <c r="G47" s="90">
        <f>Query!D8</f>
        <v>0.65017472870897264</v>
      </c>
      <c r="H47" s="37">
        <f>Query!D12-Query!D8</f>
        <v>-9.4549580798838351E-3</v>
      </c>
      <c r="I47" s="52">
        <f>Query!D21-Query!D8</f>
        <v>-2.5712036588489751E-2</v>
      </c>
      <c r="J47" s="67">
        <f>Query!E8</f>
        <v>0</v>
      </c>
      <c r="K47" s="55">
        <f ca="1">Query!F8</f>
        <v>1866.3</v>
      </c>
      <c r="L47" s="37">
        <f ca="1">(Query!F12-Query!F8)/Query!F8</f>
        <v>2.3468895675936321E-2</v>
      </c>
      <c r="M47" s="52">
        <f ca="1">(Query!F21-Query!F8)/Query!F8</f>
        <v>0.12516744360499391</v>
      </c>
      <c r="O47" s="59">
        <f>'Function Of Rate'!$K$15</f>
        <v>3.2586333492708377</v>
      </c>
      <c r="P47" s="57">
        <f>'Function Of Rate'!K$16</f>
        <v>0.82400633293325309</v>
      </c>
      <c r="Q47" s="60" t="s">
        <v>61</v>
      </c>
      <c r="R47" s="62">
        <f>'Function Of Rate'!K$17</f>
        <v>0.76820710968905215</v>
      </c>
      <c r="S47" s="60" t="s">
        <v>61</v>
      </c>
      <c r="T47" s="60">
        <f>'Function Of Rate'!K18</f>
        <v>0.37030553917620573</v>
      </c>
    </row>
    <row r="48" spans="3:20" s="36" customFormat="1" ht="13.5" customHeight="1">
      <c r="C48" s="49">
        <f>Query!B9</f>
        <v>42502</v>
      </c>
      <c r="D48" s="51">
        <f>Query!C9</f>
        <v>0.73680774838744401</v>
      </c>
      <c r="E48" s="37">
        <f>Query!C13-Query!C9</f>
        <v>-2.5049949228581614E-3</v>
      </c>
      <c r="F48" s="52">
        <f>Query!C22-Query!C9</f>
        <v>-8.0391494447065837E-2</v>
      </c>
      <c r="G48" s="90">
        <f>Query!D9</f>
        <v>0.65876191295949094</v>
      </c>
      <c r="H48" s="37">
        <f>Query!D13-Query!D9</f>
        <v>-9.4753385547287072E-3</v>
      </c>
      <c r="I48" s="52">
        <f>Query!D22-Query!D9</f>
        <v>-3.4299220839008049E-2</v>
      </c>
      <c r="J48" s="67">
        <f>Query!E9</f>
        <v>0.27513372654931118</v>
      </c>
      <c r="K48" s="55">
        <f ca="1">Query!F9</f>
        <v>1849.7</v>
      </c>
      <c r="L48" s="37">
        <f ca="1">(Query!F13-Query!F9)/Query!F9</f>
        <v>0.1205060280045412</v>
      </c>
      <c r="M48" s="52">
        <f ca="1">(Query!F22-Query!F9)/Query!F9</f>
        <v>0.26588095366816239</v>
      </c>
      <c r="O48" s="44" t="s">
        <v>53</v>
      </c>
      <c r="P48" s="37">
        <f>'Function Of Rate'!L$16</f>
        <v>0.78087106650525595</v>
      </c>
      <c r="Q48" s="52">
        <f t="shared" ref="Q48:Q52" si="2">P48-$P$47</f>
        <v>-4.3135266427997143E-2</v>
      </c>
      <c r="R48" s="61">
        <f>'Function Of Rate'!L$17</f>
        <v>0.73025178030643412</v>
      </c>
      <c r="S48" s="52">
        <f>R48-$R$47</f>
        <v>-3.795532938261803E-2</v>
      </c>
      <c r="T48" s="52">
        <f>'Function Of Rate'!L18</f>
        <v>0.31661918314072179</v>
      </c>
    </row>
    <row r="49" spans="3:20" s="36" customFormat="1" ht="13.5" customHeight="1">
      <c r="C49" s="49">
        <f>Query!B10</f>
        <v>42495</v>
      </c>
      <c r="D49" s="51">
        <f>Query!C10</f>
        <v>0.66183274133635239</v>
      </c>
      <c r="E49" s="37">
        <f>Query!C14-Query!C10</f>
        <v>6.4714977771223259E-2</v>
      </c>
      <c r="F49" s="52">
        <f>Query!C23-Query!C10</f>
        <v>-7.3134595922271561E-2</v>
      </c>
      <c r="G49" s="90">
        <f>Query!D10</f>
        <v>0.59722461281341566</v>
      </c>
      <c r="H49" s="37">
        <f>Query!D14-Query!D10</f>
        <v>5.6406015531874076E-2</v>
      </c>
      <c r="I49" s="52">
        <f>Query!D23-Query!D10</f>
        <v>-1.4709596313452145E-2</v>
      </c>
      <c r="J49" s="67">
        <f>Query!E10</f>
        <v>0</v>
      </c>
      <c r="K49" s="55">
        <f ca="1">Query!F10</f>
        <v>1812</v>
      </c>
      <c r="L49" s="37">
        <f ca="1">(Query!F14-Query!F10)/Query!F10</f>
        <v>0.13747240618101539</v>
      </c>
      <c r="M49" s="52">
        <f ca="1">(Query!F23-Query!F10)/Query!F10</f>
        <v>0.11225165562913912</v>
      </c>
      <c r="O49" s="44" t="s">
        <v>54</v>
      </c>
      <c r="P49" s="37">
        <f>'Function Of Rate'!M$16</f>
        <v>0.71705357610031506</v>
      </c>
      <c r="Q49" s="52">
        <f t="shared" si="2"/>
        <v>-0.10695275683293803</v>
      </c>
      <c r="R49" s="61">
        <f>'Function Of Rate'!M$17</f>
        <v>0.65144160982525479</v>
      </c>
      <c r="S49" s="52">
        <f t="shared" ref="S49:S52" si="3">R49-$R$47</f>
        <v>-0.11676549986379736</v>
      </c>
      <c r="T49" s="52">
        <f>'Function Of Rate'!M18</f>
        <v>0</v>
      </c>
    </row>
    <row r="50" spans="3:20" s="36" customFormat="1" ht="13.5" customHeight="1">
      <c r="C50" s="49">
        <f>Query!B11</f>
        <v>42488</v>
      </c>
      <c r="D50" s="51">
        <f>Query!C11</f>
        <v>0.63320597806195766</v>
      </c>
      <c r="E50" s="37">
        <f>Query!C15-Query!C11</f>
        <v>-1.415278711301482E-2</v>
      </c>
      <c r="F50" s="52">
        <f>Query!C24-Query!C11</f>
        <v>-8.3844603009812557E-2</v>
      </c>
      <c r="G50" s="90">
        <f>Query!D11</f>
        <v>0.58783386272770355</v>
      </c>
      <c r="H50" s="37">
        <f>Query!D15-Query!D11</f>
        <v>-1.2266807019136405E-2</v>
      </c>
      <c r="I50" s="52">
        <f>Query!D24-Query!D11</f>
        <v>-6.0275272727703499E-2</v>
      </c>
      <c r="J50" s="67">
        <f>Query!E11</f>
        <v>0</v>
      </c>
      <c r="K50" s="55">
        <f ca="1">Query!F11</f>
        <v>1791.9</v>
      </c>
      <c r="L50" s="37">
        <f ca="1">(Query!F15-Query!F11)/Query!F11</f>
        <v>1.3114571125620849E-2</v>
      </c>
      <c r="M50" s="52">
        <f ca="1">(Query!F24-Query!F11)/Query!F11</f>
        <v>-3.6441765723533782E-2</v>
      </c>
      <c r="O50" s="44" t="s">
        <v>55</v>
      </c>
      <c r="P50" s="37">
        <f>'Function Of Rate'!N$16</f>
        <v>0.62254060055954819</v>
      </c>
      <c r="Q50" s="52">
        <f t="shared" si="2"/>
        <v>-0.20146573237370491</v>
      </c>
      <c r="R50" s="61">
        <f>'Function Of Rate'!N$17</f>
        <v>0.59174042770958979</v>
      </c>
      <c r="S50" s="52">
        <f t="shared" si="3"/>
        <v>-0.17646668197946236</v>
      </c>
      <c r="T50" s="52">
        <f>'Function Of Rate'!N18</f>
        <v>0</v>
      </c>
    </row>
    <row r="51" spans="3:20" s="36" customFormat="1" ht="13.5" customHeight="1" thickBot="1">
      <c r="C51" s="50">
        <f>Query!B12</f>
        <v>42481</v>
      </c>
      <c r="D51" s="53">
        <f>Query!C12</f>
        <v>0.69084006851910684</v>
      </c>
      <c r="E51" s="46">
        <f>Query!C16-Query!C12</f>
        <v>-7.1786877570163998E-2</v>
      </c>
      <c r="F51" s="54">
        <f>Query!C25-Query!C12</f>
        <v>-0.15397279960655486</v>
      </c>
      <c r="G51" s="91">
        <f>Query!D12</f>
        <v>0.6407197706290888</v>
      </c>
      <c r="H51" s="46" t="e">
        <f>Query!D16-Query!D12</f>
        <v>#N/A</v>
      </c>
      <c r="I51" s="54">
        <f>Query!D25-Query!D12</f>
        <v>-0.13013245046344146</v>
      </c>
      <c r="J51" s="68">
        <f>Query!E12</f>
        <v>0</v>
      </c>
      <c r="K51" s="56">
        <f ca="1">Query!F12</f>
        <v>1910.1</v>
      </c>
      <c r="L51" s="46">
        <f ca="1">(Query!F16-Query!F12)/Query!F12</f>
        <v>-0.12486257264017592</v>
      </c>
      <c r="M51" s="54">
        <f ca="1">(Query!F25-Query!F12)/Query!F12</f>
        <v>-9.1984712842259481E-2</v>
      </c>
      <c r="O51" s="44" t="s">
        <v>56</v>
      </c>
      <c r="P51" s="37">
        <f>'Function Of Rate'!O$16</f>
        <v>0.55057294746074981</v>
      </c>
      <c r="Q51" s="52">
        <f t="shared" si="2"/>
        <v>-0.27343338547250329</v>
      </c>
      <c r="R51" s="61">
        <f>'Function Of Rate'!O$17</f>
        <v>0.51802081489105689</v>
      </c>
      <c r="S51" s="52">
        <f t="shared" si="3"/>
        <v>-0.25018629479799526</v>
      </c>
      <c r="T51" s="52">
        <f>'Function Of Rate'!O18</f>
        <v>0</v>
      </c>
    </row>
    <row r="52" spans="3:20" ht="13.5" customHeight="1" thickBot="1">
      <c r="C52" s="39" t="s">
        <v>64</v>
      </c>
      <c r="H52"/>
      <c r="I52"/>
      <c r="J52"/>
      <c r="L52"/>
      <c r="M52" s="86" t="s">
        <v>66</v>
      </c>
      <c r="O52" s="45" t="s">
        <v>57</v>
      </c>
      <c r="P52" s="46">
        <f>'Function Of Rate'!P$16</f>
        <v>0.4815257429408441</v>
      </c>
      <c r="Q52" s="54">
        <f t="shared" si="2"/>
        <v>-0.34248058999240899</v>
      </c>
      <c r="R52" s="63">
        <f>'Function Of Rate'!P$17</f>
        <v>0.44995203652408217</v>
      </c>
      <c r="S52" s="54">
        <f t="shared" si="3"/>
        <v>-0.31825507316496998</v>
      </c>
      <c r="T52" s="54">
        <f>'Function Of Rate'!P18</f>
        <v>0</v>
      </c>
    </row>
    <row r="53" spans="3:20" ht="12" customHeight="1">
      <c r="C53" s="39" t="s">
        <v>63</v>
      </c>
      <c r="O53" s="126" t="s">
        <v>99</v>
      </c>
      <c r="P53" s="126"/>
      <c r="Q53" s="126"/>
      <c r="R53" s="126"/>
      <c r="S53" s="126"/>
      <c r="T53" s="126"/>
    </row>
    <row r="54" spans="3:20">
      <c r="O54" s="127"/>
      <c r="P54" s="127"/>
      <c r="Q54" s="127"/>
      <c r="R54" s="127"/>
      <c r="S54" s="127"/>
      <c r="T54" s="127"/>
    </row>
    <row r="55" spans="3:20" ht="15">
      <c r="D55"/>
      <c r="E55"/>
      <c r="F55"/>
      <c r="G55"/>
      <c r="H55"/>
      <c r="I55"/>
      <c r="J55"/>
    </row>
    <row r="56" spans="3:20" ht="15">
      <c r="D56"/>
      <c r="E56"/>
      <c r="F56"/>
      <c r="G56"/>
      <c r="H56"/>
      <c r="I56"/>
      <c r="J56"/>
    </row>
    <row r="57" spans="3:20" ht="15">
      <c r="D57"/>
      <c r="E57"/>
      <c r="F57"/>
      <c r="G57"/>
      <c r="H57"/>
      <c r="I57"/>
      <c r="J57"/>
    </row>
    <row r="58" spans="3:20" ht="15">
      <c r="D58"/>
      <c r="E58"/>
      <c r="F58"/>
      <c r="G58"/>
      <c r="H58"/>
      <c r="I58"/>
      <c r="J58"/>
      <c r="K58" s="17"/>
    </row>
    <row r="59" spans="3:20" ht="15">
      <c r="D59"/>
      <c r="E59"/>
      <c r="F59"/>
      <c r="G59"/>
      <c r="H59"/>
      <c r="I59"/>
      <c r="J59"/>
    </row>
    <row r="61" spans="3:20">
      <c r="D61" s="15"/>
      <c r="E61" s="16"/>
      <c r="F61" s="16"/>
      <c r="G61" s="17"/>
      <c r="H61" s="17"/>
      <c r="I61" s="17"/>
      <c r="J61" s="17"/>
      <c r="K61" s="17"/>
    </row>
    <row r="81" spans="3:23" ht="15">
      <c r="C81" s="5" t="s">
        <v>18</v>
      </c>
      <c r="E81" s="26" t="s">
        <v>21</v>
      </c>
      <c r="F81" s="27">
        <f>AA56</f>
        <v>0</v>
      </c>
    </row>
    <row r="82" spans="3:23">
      <c r="C82" s="20" t="s">
        <v>0</v>
      </c>
      <c r="D82" s="21" t="s">
        <v>17</v>
      </c>
      <c r="E82" s="21" t="s">
        <v>14</v>
      </c>
      <c r="F82" s="22" t="s">
        <v>20</v>
      </c>
    </row>
    <row r="83" spans="3:23">
      <c r="C83" s="20">
        <v>1</v>
      </c>
      <c r="D83" s="23" t="e">
        <f t="array" ref="D83">VLOOKUP(C83&amp;$AA$9,IF({1,0},#REF!&amp;#REF!,#REF!),2,0)</f>
        <v>#N/A</v>
      </c>
      <c r="E83" s="24" t="e">
        <f t="array" ref="E83">VLOOKUP(C83&amp;$AA$9,IF({1,0},#REF!&amp;#REF!,#REF!),2,0)/VLOOKUP($AA$9,#REF!,2,0)</f>
        <v>#N/A</v>
      </c>
      <c r="F83" s="25" t="e">
        <f t="array" ref="F83">VLOOKUP(C83&amp;$AA$9,IF({1,0},#REF!&amp;#REF!,#REF!),2,0)/1000000</f>
        <v>#N/A</v>
      </c>
    </row>
    <row r="84" spans="3:23">
      <c r="C84" s="20">
        <v>2</v>
      </c>
      <c r="D84" s="23" t="e">
        <f t="array" ref="D84">VLOOKUP(C84&amp;$AA$9,IF({1,0},#REF!&amp;#REF!,#REF!),2,0)</f>
        <v>#N/A</v>
      </c>
      <c r="E84" s="24" t="e">
        <f t="array" ref="E84">VLOOKUP(C84&amp;$AA$9,IF({1,0},#REF!&amp;#REF!,#REF!),2,0)/VLOOKUP($AA$9,#REF!,2,0)</f>
        <v>#N/A</v>
      </c>
      <c r="F84" s="25" t="e">
        <f t="array" ref="F84">VLOOKUP(C84&amp;$AA$9,IF({1,0},#REF!&amp;#REF!,#REF!),2,0)/1000000</f>
        <v>#N/A</v>
      </c>
    </row>
    <row r="85" spans="3:23">
      <c r="C85" s="20">
        <v>3</v>
      </c>
      <c r="D85" s="23" t="e">
        <f t="array" ref="D85">VLOOKUP(C85&amp;$AA$9,IF({1,0},#REF!&amp;#REF!,#REF!),2,0)</f>
        <v>#N/A</v>
      </c>
      <c r="E85" s="24" t="e">
        <f t="array" ref="E85">VLOOKUP(C85&amp;$AA$9,IF({1,0},#REF!&amp;#REF!,#REF!),2,0)/VLOOKUP($AA$9,#REF!,2,0)</f>
        <v>#N/A</v>
      </c>
      <c r="F85" s="25" t="e">
        <f t="array" ref="F85">VLOOKUP(C85&amp;$AA$9,IF({1,0},#REF!&amp;#REF!,#REF!),2,0)/1000000</f>
        <v>#N/A</v>
      </c>
    </row>
    <row r="86" spans="3:23">
      <c r="C86" s="20">
        <v>4</v>
      </c>
      <c r="D86" s="23" t="e">
        <f t="array" ref="D86">VLOOKUP(C86&amp;$AA$9,IF({1,0},#REF!&amp;#REF!,#REF!),2,0)</f>
        <v>#N/A</v>
      </c>
      <c r="E86" s="24" t="e">
        <f t="array" ref="E86">VLOOKUP(C86&amp;$AA$9,IF({1,0},#REF!&amp;#REF!,#REF!),2,0)/VLOOKUP($AA$9,#REF!,2,0)</f>
        <v>#N/A</v>
      </c>
      <c r="F86" s="25" t="e">
        <f t="array" ref="F86">VLOOKUP(C86&amp;$AA$9,IF({1,0},#REF!&amp;#REF!,#REF!),2,0)/1000000</f>
        <v>#N/A</v>
      </c>
      <c r="Q86" s="10" t="s">
        <v>11</v>
      </c>
      <c r="R86" s="11" t="s">
        <v>7</v>
      </c>
      <c r="S86" s="11"/>
      <c r="T86" s="11"/>
      <c r="V86" s="11"/>
      <c r="W86" s="11"/>
    </row>
    <row r="87" spans="3:23">
      <c r="C87" s="20">
        <v>5</v>
      </c>
      <c r="D87" s="23" t="e">
        <f t="array" ref="D87">VLOOKUP(C87&amp;$AA$9,IF({1,0},#REF!&amp;#REF!,#REF!),2,0)</f>
        <v>#N/A</v>
      </c>
      <c r="E87" s="24" t="e">
        <f t="array" ref="E87">VLOOKUP(C87&amp;$AA$9,IF({1,0},#REF!&amp;#REF!,#REF!),2,0)/VLOOKUP($AA$9,#REF!,2,0)</f>
        <v>#N/A</v>
      </c>
      <c r="F87" s="25" t="e">
        <f t="array" ref="F87">VLOOKUP(C87&amp;$AA$9,IF({1,0},#REF!&amp;#REF!,#REF!),2,0)/1000000</f>
        <v>#N/A</v>
      </c>
      <c r="R87" s="11" t="s">
        <v>8</v>
      </c>
      <c r="S87" s="11"/>
      <c r="T87" s="11"/>
      <c r="V87" s="11"/>
      <c r="W87" s="11"/>
    </row>
    <row r="88" spans="3:23">
      <c r="C88" s="20">
        <v>6</v>
      </c>
      <c r="D88" s="23" t="e">
        <f t="array" ref="D88">VLOOKUP(C88&amp;$AA$9,IF({1,0},#REF!&amp;#REF!,#REF!),2,0)</f>
        <v>#N/A</v>
      </c>
      <c r="E88" s="24" t="e">
        <f t="array" ref="E88">VLOOKUP(C88&amp;$AA$9,IF({1,0},#REF!&amp;#REF!,#REF!),2,0)/VLOOKUP($AA$9,#REF!,2,0)</f>
        <v>#N/A</v>
      </c>
      <c r="F88" s="25" t="e">
        <f t="array" ref="F88">VLOOKUP(C88&amp;$AA$9,IF({1,0},#REF!&amp;#REF!,#REF!),2,0)/1000000</f>
        <v>#N/A</v>
      </c>
      <c r="R88" s="11" t="s">
        <v>9</v>
      </c>
      <c r="S88" s="11"/>
      <c r="T88" s="11"/>
      <c r="V88" s="11"/>
      <c r="W88" s="11"/>
    </row>
    <row r="89" spans="3:23">
      <c r="C89" s="20">
        <v>7</v>
      </c>
      <c r="D89" s="23" t="e">
        <f t="array" ref="D89">VLOOKUP(C89&amp;$AA$9,IF({1,0},#REF!&amp;#REF!,#REF!),2,0)</f>
        <v>#N/A</v>
      </c>
      <c r="E89" s="24" t="e">
        <f t="array" ref="E89">VLOOKUP(C89&amp;$AA$9,IF({1,0},#REF!&amp;#REF!,#REF!),2,0)/VLOOKUP($AA$9,#REF!,2,0)</f>
        <v>#N/A</v>
      </c>
      <c r="F89" s="25" t="e">
        <f t="array" ref="F89">VLOOKUP(C89&amp;$AA$9,IF({1,0},#REF!&amp;#REF!,#REF!),2,0)/1000000</f>
        <v>#N/A</v>
      </c>
      <c r="R89" s="12" t="s">
        <v>10</v>
      </c>
      <c r="S89" s="12"/>
      <c r="T89" s="12"/>
      <c r="V89" s="12"/>
      <c r="W89" s="12"/>
    </row>
    <row r="90" spans="3:23">
      <c r="C90" s="20">
        <v>8</v>
      </c>
      <c r="D90" s="23" t="e">
        <f t="array" ref="D90">VLOOKUP(C90&amp;$AA$9,IF({1,0},#REF!&amp;#REF!,#REF!),2,0)</f>
        <v>#N/A</v>
      </c>
      <c r="E90" s="24" t="e">
        <f t="array" ref="E90">VLOOKUP(C90&amp;$AA$9,IF({1,0},#REF!&amp;#REF!,#REF!),2,0)/VLOOKUP($AA$9,#REF!,2,0)</f>
        <v>#N/A</v>
      </c>
      <c r="F90" s="25" t="e">
        <f t="array" ref="F90">VLOOKUP(C90&amp;$AA$9,IF({1,0},#REF!&amp;#REF!,#REF!),2,0)/1000000</f>
        <v>#N/A</v>
      </c>
    </row>
    <row r="91" spans="3:23">
      <c r="C91" s="20">
        <v>9</v>
      </c>
      <c r="D91" s="23" t="e">
        <f t="array" ref="D91">VLOOKUP(C91&amp;$AA$9,IF({1,0},#REF!&amp;#REF!,#REF!),2,0)</f>
        <v>#N/A</v>
      </c>
      <c r="E91" s="24" t="e">
        <f t="array" ref="E91">VLOOKUP(C91&amp;$AA$9,IF({1,0},#REF!&amp;#REF!,#REF!),2,0)/VLOOKUP($AA$9,#REF!,2,0)</f>
        <v>#N/A</v>
      </c>
      <c r="F91" s="25" t="e">
        <f t="array" ref="F91">VLOOKUP(C91&amp;$AA$9,IF({1,0},#REF!&amp;#REF!,#REF!),2,0)/1000000</f>
        <v>#N/A</v>
      </c>
    </row>
    <row r="92" spans="3:23">
      <c r="C92" s="20">
        <v>10</v>
      </c>
      <c r="D92" s="23" t="e">
        <f t="array" ref="D92">VLOOKUP(C92&amp;$AA$9,IF({1,0},#REF!&amp;#REF!,#REF!),2,0)</f>
        <v>#N/A</v>
      </c>
      <c r="E92" s="24" t="e">
        <f t="array" ref="E92">VLOOKUP(C92&amp;$AA$9,IF({1,0},#REF!&amp;#REF!,#REF!),2,0)/VLOOKUP($AA$9,#REF!,2,0)</f>
        <v>#N/A</v>
      </c>
      <c r="F92" s="25" t="e">
        <f t="array" ref="F92">VLOOKUP(C92&amp;$AA$9,IF({1,0},#REF!&amp;#REF!,#REF!),2,0)/1000000</f>
        <v>#N/A</v>
      </c>
    </row>
  </sheetData>
  <mergeCells count="7">
    <mergeCell ref="O53:T54"/>
    <mergeCell ref="T40:T41"/>
    <mergeCell ref="D40:F40"/>
    <mergeCell ref="G40:I40"/>
    <mergeCell ref="K40:M40"/>
    <mergeCell ref="P40:Q40"/>
    <mergeCell ref="R40:S40"/>
  </mergeCells>
  <conditionalFormatting sqref="E42:F51">
    <cfRule type="cellIs" dxfId="70" priority="28" operator="lessThan">
      <formula>0</formula>
    </cfRule>
  </conditionalFormatting>
  <conditionalFormatting sqref="H42:H51">
    <cfRule type="cellIs" dxfId="69" priority="27" operator="lessThan">
      <formula>0</formula>
    </cfRule>
  </conditionalFormatting>
  <conditionalFormatting sqref="L42:L51">
    <cfRule type="cellIs" dxfId="68" priority="26" operator="lessThan">
      <formula>0</formula>
    </cfRule>
  </conditionalFormatting>
  <conditionalFormatting sqref="I42:J51">
    <cfRule type="cellIs" dxfId="67" priority="25" operator="lessThan">
      <formula>0</formula>
    </cfRule>
  </conditionalFormatting>
  <conditionalFormatting sqref="M42:M51">
    <cfRule type="cellIs" dxfId="66" priority="24" operator="lessThan">
      <formula>0</formula>
    </cfRule>
  </conditionalFormatting>
  <conditionalFormatting sqref="D42:M51">
    <cfRule type="containsErrors" dxfId="65" priority="22">
      <formula>ISERROR(D42)</formula>
    </cfRule>
    <cfRule type="containsErrors" priority="23">
      <formula>ISERROR(D42)</formula>
    </cfRule>
  </conditionalFormatting>
  <conditionalFormatting sqref="Q42:Q52">
    <cfRule type="cellIs" dxfId="64" priority="21" operator="lessThan">
      <formula>0</formula>
    </cfRule>
  </conditionalFormatting>
  <conditionalFormatting sqref="Q42:Q52">
    <cfRule type="containsErrors" dxfId="63" priority="19">
      <formula>ISERROR(Q42)</formula>
    </cfRule>
    <cfRule type="containsErrors" priority="20">
      <formula>ISERROR(Q42)</formula>
    </cfRule>
  </conditionalFormatting>
  <conditionalFormatting sqref="P42:Q42 P42:P52">
    <cfRule type="cellIs" dxfId="62" priority="18" operator="lessThan">
      <formula>0</formula>
    </cfRule>
  </conditionalFormatting>
  <conditionalFormatting sqref="P42:Q42 P42:P52">
    <cfRule type="containsErrors" dxfId="61" priority="16">
      <formula>ISERROR(P42)</formula>
    </cfRule>
    <cfRule type="containsErrors" priority="17">
      <formula>ISERROR(P42)</formula>
    </cfRule>
  </conditionalFormatting>
  <conditionalFormatting sqref="R42:S42 R43:R52">
    <cfRule type="containsErrors" dxfId="60" priority="10">
      <formula>ISERROR(R42)</formula>
    </cfRule>
    <cfRule type="containsErrors" priority="11">
      <formula>ISERROR(R42)</formula>
    </cfRule>
  </conditionalFormatting>
  <conditionalFormatting sqref="S42:S52">
    <cfRule type="cellIs" dxfId="59" priority="15" operator="lessThan">
      <formula>0</formula>
    </cfRule>
  </conditionalFormatting>
  <conditionalFormatting sqref="S42:S52">
    <cfRule type="containsErrors" dxfId="58" priority="13">
      <formula>ISERROR(S42)</formula>
    </cfRule>
    <cfRule type="containsErrors" priority="14">
      <formula>ISERROR(S42)</formula>
    </cfRule>
  </conditionalFormatting>
  <conditionalFormatting sqref="R42:S42 R43:R52">
    <cfRule type="cellIs" dxfId="57" priority="12" operator="lessThan">
      <formula>0</formula>
    </cfRule>
  </conditionalFormatting>
  <conditionalFormatting sqref="T42">
    <cfRule type="containsErrors" dxfId="56" priority="3">
      <formula>ISERROR(T42)</formula>
    </cfRule>
    <cfRule type="containsErrors" priority="4">
      <formula>ISERROR(T42)</formula>
    </cfRule>
  </conditionalFormatting>
  <conditionalFormatting sqref="T42:T52">
    <cfRule type="cellIs" dxfId="55" priority="8" operator="lessThan">
      <formula>0</formula>
    </cfRule>
  </conditionalFormatting>
  <conditionalFormatting sqref="T42:T52">
    <cfRule type="containsErrors" dxfId="54" priority="6">
      <formula>ISERROR(T42)</formula>
    </cfRule>
    <cfRule type="containsErrors" priority="7">
      <formula>ISERROR(T42)</formula>
    </cfRule>
  </conditionalFormatting>
  <conditionalFormatting sqref="T42">
    <cfRule type="cellIs" dxfId="53" priority="5" operator="lessThan">
      <formula>0</formula>
    </cfRule>
  </conditionalFormatting>
  <conditionalFormatting sqref="M42:M50">
    <cfRule type="cellIs" dxfId="52" priority="2" operator="lessThan">
      <formula>0</formula>
    </cfRule>
  </conditionalFormatting>
  <conditionalFormatting sqref="H42:H51">
    <cfRule type="cellIs" dxfId="51" priority="1" operator="lessThan">
      <formula>0</formula>
    </cfRule>
  </conditionalFormatting>
  <dataValidations disablePrompts="1" count="2">
    <dataValidation type="list" allowBlank="1" showInputMessage="1" showErrorMessage="1" sqref="AC1">
      <formula1>"Yes, No"</formula1>
    </dataValidation>
    <dataValidation type="list" allowBlank="1" showInputMessage="1" showErrorMessage="1" sqref="AA1">
      <formula1>"PROD, DEV"</formula1>
    </dataValidation>
  </dataValidations>
  <hyperlinks>
    <hyperlink ref="R86" r:id="rId1" location="closeModal"/>
    <hyperlink ref="R87" r:id="rId2"/>
    <hyperlink ref="R89" r:id="rId3"/>
    <hyperlink ref="R88" r:id="rId4" location="key-benefits"/>
  </hyperlinks>
  <pageMargins left="0.25" right="0.25" top="0.255" bottom="0.25" header="0.1" footer="0.1"/>
  <pageSetup scale="32" orientation="landscape" horizontalDpi="1200" verticalDpi="1200" r:id="rId5"/>
  <headerFooter scaleWithDoc="0">
    <oddHeader>&amp;L&amp;G&amp;C&amp;"-,Bold"&amp;10&amp;K2E398A
&amp;15Refinancible Universe&amp;R&amp;"-,Bold"&amp;10&amp;K2E398A
As of 06/29/2016</oddHeader>
    <oddFooter>&amp;L&amp;10&amp;K2E398AReport created on &amp;D &amp;T&amp;C&amp;G
&amp;8&amp;K2E398APage &amp;P of &amp;N</oddFooter>
  </headerFooter>
  <colBreaks count="1" manualBreakCount="1">
    <brk id="24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C293"/>
  <sheetViews>
    <sheetView tabSelected="1" topLeftCell="K270" zoomScaleNormal="100" workbookViewId="0">
      <selection activeCell="O293" sqref="O293:P293"/>
    </sheetView>
  </sheetViews>
  <sheetFormatPr defaultRowHeight="15"/>
  <cols>
    <col min="2" max="2" width="10.42578125" bestFit="1" customWidth="1"/>
    <col min="6" max="6" width="10.7109375" bestFit="1" customWidth="1"/>
    <col min="7" max="7" width="17.5703125" bestFit="1" customWidth="1"/>
    <col min="8" max="8" width="10.7109375" bestFit="1" customWidth="1"/>
    <col min="9" max="9" width="12.85546875" bestFit="1" customWidth="1"/>
    <col min="11" max="12" width="19.42578125" customWidth="1"/>
    <col min="15" max="15" width="10.7109375" bestFit="1" customWidth="1"/>
    <col min="16" max="16" width="12.85546875" bestFit="1" customWidth="1"/>
    <col min="17" max="17" width="11.7109375" bestFit="1" customWidth="1"/>
  </cols>
  <sheetData>
    <row r="1" spans="2:29">
      <c r="B1" t="s">
        <v>28</v>
      </c>
      <c r="H1" t="s">
        <v>25</v>
      </c>
      <c r="K1" t="s">
        <v>34</v>
      </c>
      <c r="O1" t="s">
        <v>67</v>
      </c>
      <c r="R1" t="s">
        <v>68</v>
      </c>
      <c r="W1" t="s">
        <v>104</v>
      </c>
      <c r="AC1" t="s">
        <v>106</v>
      </c>
    </row>
    <row r="2" spans="2:29">
      <c r="B2" s="6" t="s">
        <v>22</v>
      </c>
      <c r="C2" s="6" t="s">
        <v>23</v>
      </c>
      <c r="D2" s="6" t="s">
        <v>25</v>
      </c>
      <c r="E2" s="6" t="s">
        <v>70</v>
      </c>
      <c r="F2" s="6" t="s">
        <v>65</v>
      </c>
      <c r="H2" t="s">
        <v>22</v>
      </c>
      <c r="I2" t="s">
        <v>24</v>
      </c>
      <c r="K2" s="6" t="s">
        <v>22</v>
      </c>
      <c r="L2" s="6" t="s">
        <v>23</v>
      </c>
      <c r="P2" t="s">
        <v>69</v>
      </c>
      <c r="R2" s="6" t="s">
        <v>22</v>
      </c>
      <c r="S2" s="6" t="s">
        <v>23</v>
      </c>
      <c r="W2" s="6" t="s">
        <v>22</v>
      </c>
      <c r="X2" s="6" t="s">
        <v>23</v>
      </c>
      <c r="AB2" s="6" t="s">
        <v>22</v>
      </c>
      <c r="AC2" s="6" t="s">
        <v>23</v>
      </c>
    </row>
    <row r="3" spans="2:29">
      <c r="B3" s="18">
        <v>42544</v>
      </c>
      <c r="C3" s="30">
        <v>0.7167324703354373</v>
      </c>
      <c r="D3" s="30">
        <f>VLOOKUP(CurrentMtgRatesDataTable825[[#This Row],[asOfDate]],H:I,2,0)</f>
        <v>0.65141115100369107</v>
      </c>
      <c r="E3" s="30">
        <f>VLOOKUP(CurrentMtgRatesDataTable825[[#This Row],[asOfDate]],O:P,2,0)</f>
        <v>0</v>
      </c>
      <c r="F3" s="34" t="e">
        <f ca="1">VLOOKUP(CurrentMtgRatesDataTable825[[#This Row],[asOfDate]]+1,Bloomberg!B:C,2,0)</f>
        <v>#N/A</v>
      </c>
      <c r="H3" s="1">
        <v>40549</v>
      </c>
      <c r="I3" s="33">
        <v>0.477996028899563</v>
      </c>
      <c r="K3" s="18"/>
      <c r="L3" s="31"/>
      <c r="R3" s="18"/>
      <c r="S3" s="87"/>
      <c r="W3" s="18"/>
      <c r="X3" s="92"/>
      <c r="AB3" s="18"/>
      <c r="AC3" s="104"/>
    </row>
    <row r="4" spans="2:29">
      <c r="B4" s="98">
        <v>42537</v>
      </c>
      <c r="C4" s="99">
        <v>0.75253987999808514</v>
      </c>
      <c r="D4" s="99">
        <f>VLOOKUP(CurrentMtgRatesDataTable825[[#This Row],[asOfDate]],H:I,2,0)</f>
        <v>0.67872358251423159</v>
      </c>
      <c r="E4" s="99">
        <f>VLOOKUP(CurrentMtgRatesDataTable825[[#This Row],[asOfDate]],O:P,2,0)</f>
        <v>0.29550467881742942</v>
      </c>
      <c r="F4" s="100" t="e">
        <f ca="1">VLOOKUP(CurrentMtgRatesDataTable825[[#This Row],[asOfDate]]+1,Bloomberg!B:C,2,0)</f>
        <v>#N/A</v>
      </c>
      <c r="H4" s="1">
        <v>40556</v>
      </c>
      <c r="I4" s="33">
        <v>0.49650185657562101</v>
      </c>
      <c r="O4" s="1">
        <v>40556</v>
      </c>
      <c r="P4" s="33">
        <v>5.80030998251819E-5</v>
      </c>
    </row>
    <row r="5" spans="2:29">
      <c r="B5" s="98">
        <v>42530</v>
      </c>
      <c r="C5" s="99">
        <v>0.69956098768104658</v>
      </c>
      <c r="D5" s="99">
        <f>VLOOKUP(CurrentMtgRatesDataTable825[[#This Row],[asOfDate]],H:I,2,0)</f>
        <v>0.63358604177011002</v>
      </c>
      <c r="E5" s="99">
        <f>VLOOKUP(CurrentMtgRatesDataTable825[[#This Row],[asOfDate]],O:P,2,0)</f>
        <v>1.8055734190198806E-4</v>
      </c>
      <c r="F5" s="100" t="e">
        <f ca="1">VLOOKUP(CurrentMtgRatesDataTable825[[#This Row],[asOfDate]]+1,Bloomberg!B:C,2,0)</f>
        <v>#N/A</v>
      </c>
      <c r="H5" s="1">
        <v>40563</v>
      </c>
      <c r="I5" s="33">
        <v>0.48029569588235599</v>
      </c>
      <c r="O5" s="1">
        <v>40563</v>
      </c>
      <c r="P5" s="33">
        <v>0</v>
      </c>
    </row>
    <row r="6" spans="2:29">
      <c r="B6" s="98">
        <v>42523</v>
      </c>
      <c r="C6" s="99">
        <v>0.63793331124728792</v>
      </c>
      <c r="D6" s="99">
        <f>VLOOKUP(CurrentMtgRatesDataTable825[[#This Row],[asOfDate]],H:I,2,0)</f>
        <v>0.59315061833233318</v>
      </c>
      <c r="E6" s="99">
        <f>VLOOKUP(CurrentMtgRatesDataTable825[[#This Row],[asOfDate]],O:P,2,0)</f>
        <v>0</v>
      </c>
      <c r="F6" s="100">
        <f ca="1">VLOOKUP(CurrentMtgRatesDataTable825[[#This Row],[asOfDate]]+1,Bloomberg!B:C,2,0)</f>
        <v>1922.8</v>
      </c>
      <c r="H6" s="1">
        <v>40570</v>
      </c>
      <c r="I6" s="33">
        <v>0.47679593730615699</v>
      </c>
      <c r="O6" s="1">
        <v>40570</v>
      </c>
      <c r="P6" s="33">
        <v>0</v>
      </c>
    </row>
    <row r="7" spans="2:29">
      <c r="B7" s="98">
        <v>42516</v>
      </c>
      <c r="C7" s="99">
        <v>0.65650835056878876</v>
      </c>
      <c r="D7" s="99">
        <f>VLOOKUP(CurrentMtgRatesDataTable825[[#This Row],[asOfDate]],H:I,2,0)</f>
        <v>0.60819317871948908</v>
      </c>
      <c r="E7" s="99">
        <f>VLOOKUP(CurrentMtgRatesDataTable825[[#This Row],[asOfDate]],O:P,2,0)</f>
        <v>0</v>
      </c>
      <c r="F7" s="100">
        <f ca="1">VLOOKUP(CurrentMtgRatesDataTable825[[#This Row],[asOfDate]]+1,Bloomberg!B:C,2,0)</f>
        <v>1770.1</v>
      </c>
      <c r="H7" s="1">
        <v>40577</v>
      </c>
      <c r="I7" s="33">
        <v>0.43462013043084002</v>
      </c>
      <c r="O7" s="1">
        <v>40577</v>
      </c>
      <c r="P7" s="33">
        <v>0</v>
      </c>
    </row>
    <row r="8" spans="2:29">
      <c r="B8" s="98">
        <v>42509</v>
      </c>
      <c r="C8" s="99">
        <v>0.70043246653920965</v>
      </c>
      <c r="D8" s="99">
        <f>VLOOKUP(CurrentMtgRatesDataTable825[[#This Row],[asOfDate]],H:I,2,0)</f>
        <v>0.65017472870897264</v>
      </c>
      <c r="E8" s="99">
        <f>VLOOKUP(CurrentMtgRatesDataTable825[[#This Row],[asOfDate]],O:P,2,0)</f>
        <v>0</v>
      </c>
      <c r="F8" s="100">
        <f ca="1">VLOOKUP(CurrentMtgRatesDataTable825[[#This Row],[asOfDate]]+1,Bloomberg!B:C,2,0)</f>
        <v>1866.3</v>
      </c>
      <c r="H8" s="1">
        <v>40584</v>
      </c>
      <c r="I8" s="33">
        <v>0.35529176669040102</v>
      </c>
      <c r="O8" s="1">
        <v>40584</v>
      </c>
      <c r="P8" s="33">
        <v>0</v>
      </c>
    </row>
    <row r="9" spans="2:29">
      <c r="B9" s="98">
        <v>42502</v>
      </c>
      <c r="C9" s="99">
        <v>0.73680774838744401</v>
      </c>
      <c r="D9" s="99">
        <f>VLOOKUP(CurrentMtgRatesDataTable825[[#This Row],[asOfDate]],H:I,2,0)</f>
        <v>0.65876191295949094</v>
      </c>
      <c r="E9" s="99">
        <f>VLOOKUP(CurrentMtgRatesDataTable825[[#This Row],[asOfDate]],O:P,2,0)</f>
        <v>0.27513372654931118</v>
      </c>
      <c r="F9" s="100">
        <f ca="1">VLOOKUP(CurrentMtgRatesDataTable825[[#This Row],[asOfDate]]+1,Bloomberg!B:C,2,0)</f>
        <v>1849.7</v>
      </c>
      <c r="H9" s="1">
        <v>40591</v>
      </c>
      <c r="I9" s="33">
        <v>0.37678804128174298</v>
      </c>
      <c r="O9" s="1">
        <v>40591</v>
      </c>
      <c r="P9" s="33">
        <v>0</v>
      </c>
    </row>
    <row r="10" spans="2:29">
      <c r="B10" s="98">
        <v>42495</v>
      </c>
      <c r="C10" s="99">
        <v>0.66183274133635239</v>
      </c>
      <c r="D10" s="99">
        <f>VLOOKUP(CurrentMtgRatesDataTable825[[#This Row],[asOfDate]],H:I,2,0)</f>
        <v>0.59722461281341566</v>
      </c>
      <c r="E10" s="99">
        <f>VLOOKUP(CurrentMtgRatesDataTable825[[#This Row],[asOfDate]],O:P,2,0)</f>
        <v>0</v>
      </c>
      <c r="F10" s="100">
        <f ca="1">VLOOKUP(CurrentMtgRatesDataTable825[[#This Row],[asOfDate]]+1,Bloomberg!B:C,2,0)</f>
        <v>1812</v>
      </c>
      <c r="H10" s="1">
        <v>40598</v>
      </c>
      <c r="I10" s="33">
        <v>0.41551493659156002</v>
      </c>
      <c r="O10" s="1">
        <v>40598</v>
      </c>
      <c r="P10" s="33">
        <v>0</v>
      </c>
    </row>
    <row r="11" spans="2:29">
      <c r="B11" s="98">
        <v>42488</v>
      </c>
      <c r="C11" s="99">
        <v>0.63320597806195766</v>
      </c>
      <c r="D11" s="99">
        <f>VLOOKUP(CurrentMtgRatesDataTable825[[#This Row],[asOfDate]],H:I,2,0)</f>
        <v>0.58783386272770355</v>
      </c>
      <c r="E11" s="99">
        <f>VLOOKUP(CurrentMtgRatesDataTable825[[#This Row],[asOfDate]],O:P,2,0)</f>
        <v>0</v>
      </c>
      <c r="F11" s="100">
        <f ca="1">VLOOKUP(CurrentMtgRatesDataTable825[[#This Row],[asOfDate]]+1,Bloomberg!B:C,2,0)</f>
        <v>1791.9</v>
      </c>
      <c r="H11" s="1">
        <v>40605</v>
      </c>
      <c r="I11" s="33">
        <v>0.42215163100202302</v>
      </c>
      <c r="O11" s="1">
        <v>40605</v>
      </c>
      <c r="P11" s="33">
        <v>0</v>
      </c>
    </row>
    <row r="12" spans="2:29">
      <c r="B12" s="98">
        <v>42481</v>
      </c>
      <c r="C12" s="99">
        <v>0.69084006851910684</v>
      </c>
      <c r="D12" s="99">
        <f>VLOOKUP(CurrentMtgRatesDataTable825[[#This Row],[asOfDate]],H:I,2,0)</f>
        <v>0.6407197706290888</v>
      </c>
      <c r="E12" s="99">
        <f>VLOOKUP(CurrentMtgRatesDataTable825[[#This Row],[asOfDate]],O:P,2,0)</f>
        <v>0</v>
      </c>
      <c r="F12" s="100">
        <f ca="1">VLOOKUP(CurrentMtgRatesDataTable825[[#This Row],[asOfDate]]+1,Bloomberg!B:C,2,0)</f>
        <v>1910.1</v>
      </c>
      <c r="H12" s="1">
        <v>40612</v>
      </c>
      <c r="I12" s="33">
        <v>0.42124985629360401</v>
      </c>
      <c r="O12" s="1">
        <v>40612</v>
      </c>
      <c r="P12" s="33">
        <v>0</v>
      </c>
    </row>
    <row r="13" spans="2:29">
      <c r="B13" s="98">
        <v>42474</v>
      </c>
      <c r="C13" s="99">
        <v>0.73430275346458584</v>
      </c>
      <c r="D13" s="99">
        <f>VLOOKUP(CurrentMtgRatesDataTable825[[#This Row],[asOfDate]],H:I,2,0)</f>
        <v>0.64928657440476223</v>
      </c>
      <c r="E13" s="99">
        <f>VLOOKUP(CurrentMtgRatesDataTable825[[#This Row],[asOfDate]],O:P,2,0)</f>
        <v>0.26115463207010864</v>
      </c>
      <c r="F13" s="100">
        <f ca="1">VLOOKUP(CurrentMtgRatesDataTable825[[#This Row],[asOfDate]]+1,Bloomberg!B:C,2,0)</f>
        <v>2072.6</v>
      </c>
      <c r="H13" s="1">
        <v>40619</v>
      </c>
      <c r="I13" s="33">
        <v>0.46784663358763601</v>
      </c>
      <c r="O13" s="1">
        <v>40619</v>
      </c>
      <c r="P13" s="33">
        <v>4.9225242343752603E-4</v>
      </c>
    </row>
    <row r="14" spans="2:29">
      <c r="B14" s="98">
        <v>42467</v>
      </c>
      <c r="C14" s="99">
        <v>0.72654771910757565</v>
      </c>
      <c r="D14" s="99">
        <f>VLOOKUP(CurrentMtgRatesDataTable825[[#This Row],[asOfDate]],H:I,2,0)</f>
        <v>0.65363062834528973</v>
      </c>
      <c r="E14" s="99">
        <f>VLOOKUP(CurrentMtgRatesDataTable825[[#This Row],[asOfDate]],O:P,2,0)</f>
        <v>0.26614339248341778</v>
      </c>
      <c r="F14" s="100">
        <f ca="1">VLOOKUP(CurrentMtgRatesDataTable825[[#This Row],[asOfDate]]+1,Bloomberg!B:C,2,0)</f>
        <v>2061.1</v>
      </c>
      <c r="H14" s="1">
        <v>40626</v>
      </c>
      <c r="I14" s="33">
        <v>0.450158099668103</v>
      </c>
      <c r="O14" s="1">
        <v>40626</v>
      </c>
      <c r="P14" s="33">
        <v>0</v>
      </c>
    </row>
    <row r="15" spans="2:29">
      <c r="B15" s="98">
        <v>42460</v>
      </c>
      <c r="C15" s="99">
        <v>0.61905319094894284</v>
      </c>
      <c r="D15" s="99">
        <f>VLOOKUP(CurrentMtgRatesDataTable825[[#This Row],[asOfDate]],H:I,2,0)</f>
        <v>0.57556705570856714</v>
      </c>
      <c r="E15" s="99">
        <f>VLOOKUP(CurrentMtgRatesDataTable825[[#This Row],[asOfDate]],O:P,2,0)</f>
        <v>0</v>
      </c>
      <c r="F15" s="100">
        <f ca="1">VLOOKUP(CurrentMtgRatesDataTable825[[#This Row],[asOfDate]]+1,Bloomberg!B:C,2,0)</f>
        <v>1815.4</v>
      </c>
      <c r="H15" s="1">
        <v>40633</v>
      </c>
      <c r="I15" s="33">
        <v>0.42282958858632702</v>
      </c>
      <c r="O15" s="1">
        <v>40633</v>
      </c>
      <c r="P15" s="33">
        <v>0</v>
      </c>
    </row>
    <row r="16" spans="2:29">
      <c r="B16" s="98">
        <v>42453</v>
      </c>
      <c r="C16" s="99">
        <v>0.61905319094894284</v>
      </c>
      <c r="D16" s="99" t="e">
        <f>VLOOKUP(CurrentMtgRatesDataTable825[[#This Row],[asOfDate]],H:I,2,0)</f>
        <v>#N/A</v>
      </c>
      <c r="E16" s="99" t="e">
        <f>VLOOKUP(CurrentMtgRatesDataTable825[[#This Row],[asOfDate]],O:P,2,0)</f>
        <v>#N/A</v>
      </c>
      <c r="F16" s="100">
        <f ca="1">VLOOKUP(CurrentMtgRatesDataTable825[[#This Row],[asOfDate]]+1,Bloomberg!B:C,2,0)</f>
        <v>1671.6</v>
      </c>
      <c r="H16" s="1">
        <v>40640</v>
      </c>
      <c r="I16" s="33">
        <v>0.414778538159287</v>
      </c>
      <c r="O16" s="1">
        <v>40640</v>
      </c>
      <c r="P16" s="33">
        <v>0</v>
      </c>
    </row>
    <row r="17" spans="2:16">
      <c r="B17" s="98">
        <v>42446</v>
      </c>
      <c r="C17" s="99">
        <v>0.60446198161737941</v>
      </c>
      <c r="D17" s="99">
        <f>VLOOKUP(CurrentMtgRatesDataTable825[[#This Row],[asOfDate]],H:I,2,0)</f>
        <v>0.57171535395944317</v>
      </c>
      <c r="E17" s="99">
        <f>VLOOKUP(CurrentMtgRatesDataTable825[[#This Row],[asOfDate]],O:P,2,0)</f>
        <v>0</v>
      </c>
      <c r="F17" s="100">
        <f ca="1">VLOOKUP(CurrentMtgRatesDataTable825[[#This Row],[asOfDate]]+1,Bloomberg!B:C,2,0)</f>
        <v>1743.3</v>
      </c>
      <c r="H17" s="1">
        <v>40647</v>
      </c>
      <c r="I17" s="33">
        <v>0.41340612440810998</v>
      </c>
      <c r="O17" s="1">
        <v>40647</v>
      </c>
      <c r="P17" s="33">
        <v>0</v>
      </c>
    </row>
    <row r="18" spans="2:16">
      <c r="B18" s="98">
        <v>42439</v>
      </c>
      <c r="C18" s="99">
        <v>0.63589181740284295</v>
      </c>
      <c r="D18" s="99">
        <f>VLOOKUP(CurrentMtgRatesDataTable825[[#This Row],[asOfDate]],H:I,2,0)</f>
        <v>0.61112530790993402</v>
      </c>
      <c r="E18" s="99">
        <f>VLOOKUP(CurrentMtgRatesDataTable825[[#This Row],[asOfDate]],O:P,2,0)</f>
        <v>0</v>
      </c>
      <c r="F18" s="100">
        <f ca="1">VLOOKUP(CurrentMtgRatesDataTable825[[#This Row],[asOfDate]]+1,Bloomberg!B:C,2,0)</f>
        <v>1841.2</v>
      </c>
      <c r="H18" s="1">
        <v>40654</v>
      </c>
      <c r="I18" s="33">
        <v>0.44381782258269298</v>
      </c>
      <c r="O18" s="1">
        <v>40654</v>
      </c>
      <c r="P18" s="33">
        <v>3.6012387911354998E-4</v>
      </c>
    </row>
    <row r="19" spans="2:16">
      <c r="B19" s="98">
        <v>42432</v>
      </c>
      <c r="C19" s="99">
        <v>0.66370282397709934</v>
      </c>
      <c r="D19" s="99">
        <f>VLOOKUP(CurrentMtgRatesDataTable825[[#This Row],[asOfDate]],H:I,2,0)</f>
        <v>0.6251498693313029</v>
      </c>
      <c r="E19" s="99">
        <f>VLOOKUP(CurrentMtgRatesDataTable825[[#This Row],[asOfDate]],O:P,2,0)</f>
        <v>6.9720702068001003E-2</v>
      </c>
      <c r="F19" s="100">
        <f ca="1">VLOOKUP(CurrentMtgRatesDataTable825[[#This Row],[asOfDate]]+1,Bloomberg!B:C,2,0)</f>
        <v>1928</v>
      </c>
      <c r="H19" s="1">
        <v>40661</v>
      </c>
      <c r="I19" s="33">
        <v>0.44565511936132601</v>
      </c>
      <c r="O19" s="1">
        <v>40661</v>
      </c>
      <c r="P19" s="33">
        <v>3.6290053539469699E-4</v>
      </c>
    </row>
    <row r="20" spans="2:16">
      <c r="B20" s="98">
        <v>42425</v>
      </c>
      <c r="C20" s="99">
        <v>0.65949175175836894</v>
      </c>
      <c r="D20" s="99">
        <f>VLOOKUP(CurrentMtgRatesDataTable825[[#This Row],[asOfDate]],H:I,2,0)</f>
        <v>0.6248793189875167</v>
      </c>
      <c r="E20" s="99">
        <f>VLOOKUP(CurrentMtgRatesDataTable825[[#This Row],[asOfDate]],O:P,2,0)</f>
        <v>6.5185964798979965E-2</v>
      </c>
      <c r="F20" s="100">
        <f ca="1">VLOOKUP(CurrentMtgRatesDataTable825[[#This Row],[asOfDate]]+1,Bloomberg!B:C,2,0)</f>
        <v>1992.9</v>
      </c>
      <c r="H20" s="1">
        <v>40668</v>
      </c>
      <c r="I20" s="33">
        <v>0.45891120103405703</v>
      </c>
      <c r="O20" s="1">
        <v>40668</v>
      </c>
      <c r="P20" s="33">
        <v>1.82362980081562E-3</v>
      </c>
    </row>
    <row r="21" spans="2:16">
      <c r="B21" s="98">
        <v>42418</v>
      </c>
      <c r="C21" s="99">
        <v>0.65641625394037817</v>
      </c>
      <c r="D21" s="99">
        <f>VLOOKUP(CurrentMtgRatesDataTable825[[#This Row],[asOfDate]],H:I,2,0)</f>
        <v>0.62446269212048289</v>
      </c>
      <c r="E21" s="99">
        <f>VLOOKUP(CurrentMtgRatesDataTable825[[#This Row],[asOfDate]],O:P,2,0)</f>
        <v>6.5143440640601957E-2</v>
      </c>
      <c r="F21" s="100">
        <f ca="1">VLOOKUP(CurrentMtgRatesDataTable825[[#This Row],[asOfDate]]+1,Bloomberg!B:C,2,0)</f>
        <v>2099.9</v>
      </c>
      <c r="H21" s="1">
        <v>40675</v>
      </c>
      <c r="I21" s="33">
        <v>0.50042582297659</v>
      </c>
      <c r="O21" s="1">
        <v>40675</v>
      </c>
      <c r="P21" s="33">
        <v>4.5959167751793003E-3</v>
      </c>
    </row>
    <row r="22" spans="2:16">
      <c r="B22" s="98">
        <v>42411</v>
      </c>
      <c r="C22" s="99">
        <v>0.65641625394037817</v>
      </c>
      <c r="D22" s="99">
        <f>VLOOKUP(CurrentMtgRatesDataTable825[[#This Row],[asOfDate]],H:I,2,0)</f>
        <v>0.62446269212048289</v>
      </c>
      <c r="E22" s="99">
        <f>VLOOKUP(CurrentMtgRatesDataTable825[[#This Row],[asOfDate]],O:P,2,0)</f>
        <v>6.5143440640601957E-2</v>
      </c>
      <c r="F22" s="100">
        <f ca="1">VLOOKUP(CurrentMtgRatesDataTable825[[#This Row],[asOfDate]]+1,Bloomberg!B:C,2,0)</f>
        <v>2341.5</v>
      </c>
      <c r="H22" s="1">
        <v>40682</v>
      </c>
      <c r="I22" s="33">
        <v>0.50447592982476996</v>
      </c>
      <c r="O22" s="1">
        <v>40682</v>
      </c>
      <c r="P22" s="33">
        <v>4.6431452038205798E-3</v>
      </c>
    </row>
    <row r="23" spans="2:16">
      <c r="B23" s="98">
        <v>42404</v>
      </c>
      <c r="C23" s="99">
        <v>0.58869814541408083</v>
      </c>
      <c r="D23" s="99">
        <f>VLOOKUP(CurrentMtgRatesDataTable825[[#This Row],[asOfDate]],H:I,2,0)</f>
        <v>0.58251501649996351</v>
      </c>
      <c r="E23" s="99">
        <f>VLOOKUP(CurrentMtgRatesDataTable825[[#This Row],[asOfDate]],O:P,2,0)</f>
        <v>3.9152008465200644E-2</v>
      </c>
      <c r="F23" s="100">
        <f ca="1">VLOOKUP(CurrentMtgRatesDataTable825[[#This Row],[asOfDate]]+1,Bloomberg!B:C,2,0)</f>
        <v>2015.4</v>
      </c>
      <c r="H23" s="1">
        <v>40689</v>
      </c>
      <c r="I23" s="33">
        <v>0.50568534347274297</v>
      </c>
      <c r="O23" s="1">
        <v>40689</v>
      </c>
      <c r="P23" s="33">
        <v>4.6547514757033599E-3</v>
      </c>
    </row>
    <row r="24" spans="2:16">
      <c r="B24" s="98">
        <v>42397</v>
      </c>
      <c r="C24" s="99">
        <v>0.54936137505214511</v>
      </c>
      <c r="D24" s="99">
        <f>VLOOKUP(CurrentMtgRatesDataTable825[[#This Row],[asOfDate]],H:I,2,0)</f>
        <v>0.52755859000000005</v>
      </c>
      <c r="E24" s="99">
        <f>VLOOKUP(CurrentMtgRatesDataTable825[[#This Row],[asOfDate]],O:P,2,0)</f>
        <v>6.7056099999999999E-3</v>
      </c>
      <c r="F24" s="100">
        <f ca="1">VLOOKUP(CurrentMtgRatesDataTable825[[#This Row],[asOfDate]]+1,Bloomberg!B:C,2,0)</f>
        <v>1726.6</v>
      </c>
      <c r="H24" s="1">
        <v>40696</v>
      </c>
      <c r="I24" s="33">
        <v>0.53450860338875705</v>
      </c>
      <c r="O24" s="1">
        <v>40696</v>
      </c>
      <c r="P24" s="33">
        <v>7.3340957383171597E-3</v>
      </c>
    </row>
    <row r="25" spans="2:16">
      <c r="B25" s="98">
        <v>42390</v>
      </c>
      <c r="C25" s="99">
        <v>0.53686726891255199</v>
      </c>
      <c r="D25" s="99">
        <f>VLOOKUP(CurrentMtgRatesDataTable825[[#This Row],[asOfDate]],H:I,2,0)</f>
        <v>0.51058732016564734</v>
      </c>
      <c r="E25" s="99">
        <f>VLOOKUP(CurrentMtgRatesDataTable825[[#This Row],[asOfDate]],O:P,2,0)</f>
        <v>5.9883323412895321E-3</v>
      </c>
      <c r="F25" s="100">
        <f ca="1">VLOOKUP(CurrentMtgRatesDataTable825[[#This Row],[asOfDate]]+1,Bloomberg!B:C,2,0)</f>
        <v>1734.4</v>
      </c>
      <c r="H25" s="1">
        <v>40703</v>
      </c>
      <c r="I25" s="33">
        <v>0.55556126357331004</v>
      </c>
      <c r="O25" s="1">
        <v>40703</v>
      </c>
      <c r="P25" s="33">
        <v>1.05889699277147E-2</v>
      </c>
    </row>
    <row r="26" spans="2:16">
      <c r="B26" s="98">
        <v>42383</v>
      </c>
      <c r="C26" s="99">
        <v>0.48424776223671406</v>
      </c>
      <c r="D26" s="99">
        <f>VLOOKUP(CurrentMtgRatesDataTable825[[#This Row],[asOfDate]],H:I,2,0)</f>
        <v>0.44103197340208022</v>
      </c>
      <c r="E26" s="99">
        <f>VLOOKUP(CurrentMtgRatesDataTable825[[#This Row],[asOfDate]],O:P,2,0)</f>
        <v>1.567204072611725E-3</v>
      </c>
      <c r="F26" s="100">
        <f ca="1">VLOOKUP(CurrentMtgRatesDataTable825[[#This Row],[asOfDate]]+1,Bloomberg!B:C,2,0)</f>
        <v>1544.6</v>
      </c>
      <c r="H26" s="1">
        <v>40710</v>
      </c>
      <c r="I26" s="33">
        <v>0.55544034698333999</v>
      </c>
      <c r="O26" s="1">
        <v>40710</v>
      </c>
      <c r="P26" s="33">
        <v>0</v>
      </c>
    </row>
    <row r="27" spans="2:16">
      <c r="B27" s="98">
        <v>42376</v>
      </c>
      <c r="C27" s="99">
        <v>0.46862901952602543</v>
      </c>
      <c r="D27" s="99">
        <f>VLOOKUP(CurrentMtgRatesDataTable825[[#This Row],[asOfDate]],H:I,2,0)</f>
        <v>0.44103197340208022</v>
      </c>
      <c r="E27" s="99">
        <f>VLOOKUP(CurrentMtgRatesDataTable825[[#This Row],[asOfDate]],O:P,2,0)</f>
        <v>1.567204072611725E-3</v>
      </c>
      <c r="F27" s="100">
        <f ca="1">VLOOKUP(CurrentMtgRatesDataTable825[[#This Row],[asOfDate]]+1,Bloomberg!B:C,2,0)</f>
        <v>1273.8</v>
      </c>
      <c r="H27" s="1">
        <v>40717</v>
      </c>
      <c r="I27" s="33">
        <v>0.53450860338875705</v>
      </c>
      <c r="O27" s="1">
        <v>40717</v>
      </c>
      <c r="P27" s="33">
        <v>0</v>
      </c>
    </row>
    <row r="28" spans="2:16">
      <c r="B28" s="98">
        <v>42369</v>
      </c>
      <c r="C28" s="99">
        <v>0.44657507929969392</v>
      </c>
      <c r="D28" s="99">
        <f>VLOOKUP(CurrentMtgRatesDataTable825[[#This Row],[asOfDate]],H:I,2,0)</f>
        <v>0.41128790488114564</v>
      </c>
      <c r="E28" s="99">
        <f>VLOOKUP(CurrentMtgRatesDataTable825[[#This Row],[asOfDate]],O:P,2,0)</f>
        <v>0</v>
      </c>
      <c r="F28" s="100">
        <f ca="1">VLOOKUP(CurrentMtgRatesDataTable825[[#This Row],[asOfDate]]+1,Bloomberg!B:C,2,0)</f>
        <v>1020.5</v>
      </c>
      <c r="H28" s="1">
        <v>40724</v>
      </c>
      <c r="I28" s="33">
        <v>0.55445082777023702</v>
      </c>
      <c r="O28" s="1">
        <v>40724</v>
      </c>
      <c r="P28" s="33">
        <v>0</v>
      </c>
    </row>
    <row r="29" spans="2:16">
      <c r="B29" s="98">
        <v>42362</v>
      </c>
      <c r="C29" s="99">
        <v>0.47802441207346119</v>
      </c>
      <c r="D29" s="99">
        <f>VLOOKUP(CurrentMtgRatesDataTable825[[#This Row],[asOfDate]],H:I,2,0)</f>
        <v>0.44353361272975167</v>
      </c>
      <c r="E29" s="99">
        <f>VLOOKUP(CurrentMtgRatesDataTable825[[#This Row],[asOfDate]],O:P,2,0)</f>
        <v>0</v>
      </c>
      <c r="F29" s="100">
        <f ca="1">VLOOKUP(CurrentMtgRatesDataTable825[[#This Row],[asOfDate]]+1,Bloomberg!B:C,2,0)</f>
        <v>1174.0999999999999</v>
      </c>
      <c r="H29" s="1">
        <v>40731</v>
      </c>
      <c r="I29" s="33">
        <v>0.49771283747510803</v>
      </c>
      <c r="O29" s="1">
        <v>40731</v>
      </c>
      <c r="P29" s="33">
        <v>0</v>
      </c>
    </row>
    <row r="30" spans="2:16">
      <c r="B30" s="98">
        <v>42355</v>
      </c>
      <c r="C30" s="99">
        <v>0.4742419215656577</v>
      </c>
      <c r="D30" s="99">
        <f>VLOOKUP(CurrentMtgRatesDataTable825[[#This Row],[asOfDate]],H:I,2,0)</f>
        <v>0.4426892560799261</v>
      </c>
      <c r="E30" s="99">
        <f>VLOOKUP(CurrentMtgRatesDataTable825[[#This Row],[asOfDate]],O:P,2,0)</f>
        <v>0</v>
      </c>
      <c r="F30" s="100">
        <f ca="1">VLOOKUP(CurrentMtgRatesDataTable825[[#This Row],[asOfDate]]+1,Bloomberg!B:C,2,0)</f>
        <v>1667.4</v>
      </c>
      <c r="H30" s="1">
        <v>40738</v>
      </c>
      <c r="I30" s="33">
        <v>0.55014388201104203</v>
      </c>
      <c r="O30" s="1">
        <v>40738</v>
      </c>
      <c r="P30" s="33">
        <v>6.2583851957797503E-4</v>
      </c>
    </row>
    <row r="31" spans="2:16">
      <c r="B31" s="98">
        <v>42348</v>
      </c>
      <c r="C31" s="99">
        <v>0.48108278915877944</v>
      </c>
      <c r="D31" s="99">
        <f>VLOOKUP(CurrentMtgRatesDataTable825[[#This Row],[asOfDate]],H:I,2,0)</f>
        <v>0.44439599984148415</v>
      </c>
      <c r="E31" s="99">
        <f>VLOOKUP(CurrentMtgRatesDataTable825[[#This Row],[asOfDate]],O:P,2,0)</f>
        <v>0</v>
      </c>
      <c r="F31" s="100">
        <f ca="1">VLOOKUP(CurrentMtgRatesDataTable825[[#This Row],[asOfDate]]+1,Bloomberg!B:C,2,0)</f>
        <v>1470.6</v>
      </c>
      <c r="H31" s="1">
        <v>40745</v>
      </c>
      <c r="I31" s="33">
        <v>0.53018048409344898</v>
      </c>
      <c r="O31" s="1">
        <v>40745</v>
      </c>
      <c r="P31" s="33">
        <v>0</v>
      </c>
    </row>
    <row r="32" spans="2:16">
      <c r="B32" s="98">
        <v>42341</v>
      </c>
      <c r="C32" s="99">
        <v>0.48721504831495865</v>
      </c>
      <c r="D32" s="99">
        <f>VLOOKUP(CurrentMtgRatesDataTable825[[#This Row],[asOfDate]],H:I,2,0)</f>
        <v>0.44656607927794312</v>
      </c>
      <c r="E32" s="99">
        <f>VLOOKUP(CurrentMtgRatesDataTable825[[#This Row],[asOfDate]],O:P,2,0)</f>
        <v>0</v>
      </c>
      <c r="F32" s="100">
        <f ca="1">VLOOKUP(CurrentMtgRatesDataTable825[[#This Row],[asOfDate]]+1,Bloomberg!B:C,2,0)</f>
        <v>1451.5</v>
      </c>
      <c r="H32" s="1">
        <v>40752</v>
      </c>
      <c r="I32" s="33">
        <v>0.52333294764067595</v>
      </c>
      <c r="O32" s="1">
        <v>40752</v>
      </c>
      <c r="P32" s="33">
        <v>0</v>
      </c>
    </row>
    <row r="33" spans="2:16">
      <c r="B33" s="98">
        <v>42333</v>
      </c>
      <c r="C33" s="99">
        <v>0.47590352827743421</v>
      </c>
      <c r="D33" s="99">
        <f>VLOOKUP(CurrentMtgRatesDataTable825[[#This Row],[asOfDate]],H:I,2,0)</f>
        <v>0.44809866053416347</v>
      </c>
      <c r="E33" s="99">
        <f>VLOOKUP(CurrentMtgRatesDataTable825[[#This Row],[asOfDate]],O:P,2,0)</f>
        <v>0</v>
      </c>
      <c r="F33" s="100">
        <f ca="1">VLOOKUP(CurrentMtgRatesDataTable825[[#This Row],[asOfDate]]+1,Bloomberg!B:C,2,0)</f>
        <v>1410.2</v>
      </c>
      <c r="H33" s="1">
        <v>40759</v>
      </c>
      <c r="I33" s="33">
        <v>0.59636201439054404</v>
      </c>
      <c r="O33" s="1">
        <v>40759</v>
      </c>
      <c r="P33" s="33">
        <v>1.93393301571353E-2</v>
      </c>
    </row>
    <row r="34" spans="2:16">
      <c r="B34" s="98">
        <v>42327</v>
      </c>
      <c r="C34" s="99">
        <v>0.47861527230793388</v>
      </c>
      <c r="D34" s="99">
        <f>VLOOKUP(CurrentMtgRatesDataTable825[[#This Row],[asOfDate]],H:I,2,0)</f>
        <v>0.44227071864556189</v>
      </c>
      <c r="E34" s="99">
        <f>VLOOKUP(CurrentMtgRatesDataTable825[[#This Row],[asOfDate]],O:P,2,0)</f>
        <v>0</v>
      </c>
      <c r="F34" s="100">
        <f ca="1">VLOOKUP(CurrentMtgRatesDataTable825[[#This Row],[asOfDate]]+1,Bloomberg!B:C,2,0)</f>
        <v>1489</v>
      </c>
      <c r="H34" s="1">
        <v>40766</v>
      </c>
      <c r="I34" s="33">
        <v>0.68796050816059295</v>
      </c>
      <c r="O34" s="1">
        <v>40766</v>
      </c>
      <c r="P34" s="33">
        <v>3.6312412114141997E-2</v>
      </c>
    </row>
    <row r="35" spans="2:16">
      <c r="B35" s="98">
        <v>42320</v>
      </c>
      <c r="C35" s="99">
        <v>0.4725306175940911</v>
      </c>
      <c r="D35" s="99">
        <f>VLOOKUP(CurrentMtgRatesDataTable825[[#This Row],[asOfDate]],H:I,2,0)</f>
        <v>0.41424676173976599</v>
      </c>
      <c r="E35" s="99">
        <f>VLOOKUP(CurrentMtgRatesDataTable825[[#This Row],[asOfDate]],O:P,2,0)</f>
        <v>0</v>
      </c>
      <c r="F35" s="100">
        <f ca="1">VLOOKUP(CurrentMtgRatesDataTable825[[#This Row],[asOfDate]]+1,Bloomberg!B:C,2,0)</f>
        <v>1528.7</v>
      </c>
      <c r="H35" s="1">
        <v>40773</v>
      </c>
      <c r="I35" s="33">
        <v>0.76968967049094095</v>
      </c>
      <c r="O35" s="1">
        <v>40773</v>
      </c>
      <c r="P35" s="33">
        <v>0.76977670194978398</v>
      </c>
    </row>
    <row r="36" spans="2:16">
      <c r="B36" s="98">
        <v>42313</v>
      </c>
      <c r="C36" s="99">
        <v>0.51511509569715663</v>
      </c>
      <c r="D36" s="99">
        <f>VLOOKUP(CurrentMtgRatesDataTable825[[#This Row],[asOfDate]],H:I,2,0)</f>
        <v>0.47756205149100972</v>
      </c>
      <c r="E36" s="99">
        <f>VLOOKUP(CurrentMtgRatesDataTable825[[#This Row],[asOfDate]],O:P,2,0)</f>
        <v>0</v>
      </c>
      <c r="F36" s="100">
        <f ca="1">VLOOKUP(CurrentMtgRatesDataTable825[[#This Row],[asOfDate]]+1,Bloomberg!B:C,2,0)</f>
        <v>1514.1</v>
      </c>
      <c r="H36" s="1">
        <v>40780</v>
      </c>
      <c r="I36" s="33">
        <v>0.73013076231760698</v>
      </c>
      <c r="O36" s="1">
        <v>40780</v>
      </c>
      <c r="P36" s="33">
        <v>0</v>
      </c>
    </row>
    <row r="37" spans="2:16">
      <c r="B37" s="98">
        <v>42306</v>
      </c>
      <c r="C37" s="99">
        <v>0.57894029457192531</v>
      </c>
      <c r="D37" s="99">
        <f>VLOOKUP(CurrentMtgRatesDataTable825[[#This Row],[asOfDate]],H:I,2,0)</f>
        <v>0.55255659565598092</v>
      </c>
      <c r="E37" s="99">
        <f>VLOOKUP(CurrentMtgRatesDataTable825[[#This Row],[asOfDate]],O:P,2,0)</f>
        <v>0</v>
      </c>
      <c r="F37" s="100">
        <f ca="1">VLOOKUP(CurrentMtgRatesDataTable825[[#This Row],[asOfDate]]+1,Bloomberg!B:C,2,0)</f>
        <v>1548.6</v>
      </c>
      <c r="H37" s="1">
        <v>40787</v>
      </c>
      <c r="I37" s="33">
        <v>0.72518805605942505</v>
      </c>
      <c r="O37" s="1">
        <v>40787</v>
      </c>
      <c r="P37" s="33">
        <v>0</v>
      </c>
    </row>
    <row r="38" spans="2:16">
      <c r="B38" s="98">
        <v>42299</v>
      </c>
      <c r="C38" s="99">
        <v>0.56317380692680197</v>
      </c>
      <c r="D38" s="99">
        <f>VLOOKUP(CurrentMtgRatesDataTable825[[#This Row],[asOfDate]],H:I,2,0)</f>
        <v>0.52254107122394533</v>
      </c>
      <c r="E38" s="99">
        <f>VLOOKUP(CurrentMtgRatesDataTable825[[#This Row],[asOfDate]],O:P,2,0)</f>
        <v>0</v>
      </c>
      <c r="F38" s="100">
        <f ca="1">VLOOKUP(CurrentMtgRatesDataTable825[[#This Row],[asOfDate]]+1,Bloomberg!B:C,2,0)</f>
        <v>1544.8</v>
      </c>
      <c r="H38" s="1">
        <v>40794</v>
      </c>
      <c r="I38" s="33">
        <v>0.78586619764471199</v>
      </c>
      <c r="O38" s="1">
        <v>40794</v>
      </c>
      <c r="P38" s="33">
        <v>0.786160649616369</v>
      </c>
    </row>
    <row r="39" spans="2:16">
      <c r="B39" s="98">
        <v>42292</v>
      </c>
      <c r="C39" s="99">
        <v>0.54767612302289337</v>
      </c>
      <c r="D39" s="99">
        <f>VLOOKUP(CurrentMtgRatesDataTable825[[#This Row],[asOfDate]],H:I,2,0)</f>
        <v>0.52010113675112479</v>
      </c>
      <c r="E39" s="99">
        <f>VLOOKUP(CurrentMtgRatesDataTable825[[#This Row],[asOfDate]],O:P,2,0)</f>
        <v>0</v>
      </c>
      <c r="F39" s="100">
        <f ca="1">VLOOKUP(CurrentMtgRatesDataTable825[[#This Row],[asOfDate]]+1,Bloomberg!B:C,2,0)</f>
        <v>1575.3</v>
      </c>
      <c r="H39" s="1">
        <v>40801</v>
      </c>
      <c r="I39" s="33">
        <v>0.78804143101353397</v>
      </c>
      <c r="O39" s="1">
        <v>40801</v>
      </c>
      <c r="P39" s="33">
        <v>0.78833832359916201</v>
      </c>
    </row>
    <row r="40" spans="2:16">
      <c r="B40" s="98">
        <v>42285</v>
      </c>
      <c r="C40" s="99">
        <v>0.57894029457192531</v>
      </c>
      <c r="D40" s="99">
        <f>VLOOKUP(CurrentMtgRatesDataTable825[[#This Row],[asOfDate]],H:I,2,0)</f>
        <v>0.55255659565598092</v>
      </c>
      <c r="E40" s="99">
        <f>VLOOKUP(CurrentMtgRatesDataTable825[[#This Row],[asOfDate]],O:P,2,0)</f>
        <v>1.4441528640997686E-2</v>
      </c>
      <c r="F40" s="100">
        <f ca="1">VLOOKUP(CurrentMtgRatesDataTable825[[#This Row],[asOfDate]]+1,Bloomberg!B:C,2,0)</f>
        <v>1534.5</v>
      </c>
      <c r="H40" s="1">
        <v>40808</v>
      </c>
      <c r="I40" s="33">
        <v>0.78804143101353397</v>
      </c>
      <c r="O40" s="1">
        <v>40808</v>
      </c>
      <c r="P40" s="33">
        <v>0</v>
      </c>
    </row>
    <row r="41" spans="2:16">
      <c r="B41" s="98">
        <v>42278</v>
      </c>
      <c r="C41" s="99">
        <v>0.53391651509517579</v>
      </c>
      <c r="D41" s="99">
        <f>VLOOKUP(CurrentMtgRatesDataTable825[[#This Row],[asOfDate]],H:I,2,0)</f>
        <v>0.51784913770324514</v>
      </c>
      <c r="E41" s="99">
        <f>VLOOKUP(CurrentMtgRatesDataTable825[[#This Row],[asOfDate]],O:P,2,0)</f>
        <v>2.9859537173618188E-3</v>
      </c>
      <c r="F41" s="100">
        <f ca="1">VLOOKUP(CurrentMtgRatesDataTable825[[#This Row],[asOfDate]]+1,Bloomberg!B:C,2,0)</f>
        <v>2071.6</v>
      </c>
      <c r="H41" s="1">
        <v>40815</v>
      </c>
      <c r="I41" s="33">
        <v>0.83535228019697605</v>
      </c>
      <c r="O41" s="1">
        <v>40815</v>
      </c>
      <c r="P41" s="33">
        <v>0.83561176946303795</v>
      </c>
    </row>
    <row r="42" spans="2:16">
      <c r="B42" s="98">
        <v>42271</v>
      </c>
      <c r="C42" s="99">
        <v>0.51886914028697095</v>
      </c>
      <c r="D42" s="99">
        <f>VLOOKUP(CurrentMtgRatesDataTable825[[#This Row],[asOfDate]],H:I,2,0)</f>
        <v>0.48860274852887836</v>
      </c>
      <c r="E42" s="99">
        <f>VLOOKUP(CurrentMtgRatesDataTable825[[#This Row],[asOfDate]],O:P,2,0)</f>
        <v>1.3173079222055612E-3</v>
      </c>
      <c r="F42" s="100">
        <f ca="1">VLOOKUP(CurrentMtgRatesDataTable825[[#This Row],[asOfDate]]+1,Bloomberg!B:C,2,0)</f>
        <v>1589.5</v>
      </c>
      <c r="H42" s="1">
        <v>40822</v>
      </c>
      <c r="I42" s="33">
        <v>0.82324225699227804</v>
      </c>
      <c r="O42" s="1">
        <v>40822</v>
      </c>
      <c r="P42" s="33">
        <v>0.82194247765297301</v>
      </c>
    </row>
    <row r="43" spans="2:16">
      <c r="B43" s="98">
        <v>42264</v>
      </c>
      <c r="C43" s="99">
        <v>0.50986906278318977</v>
      </c>
      <c r="D43" s="99">
        <f>VLOOKUP(CurrentMtgRatesDataTable825[[#This Row],[asOfDate]],H:I,2,0)</f>
        <v>0.48469774680333999</v>
      </c>
      <c r="E43" s="99">
        <f>VLOOKUP(CurrentMtgRatesDataTable825[[#This Row],[asOfDate]],O:P,2,0)</f>
        <v>0</v>
      </c>
      <c r="F43" s="100">
        <f ca="1">VLOOKUP(CurrentMtgRatesDataTable825[[#This Row],[asOfDate]]+1,Bloomberg!B:C,2,0)</f>
        <v>1759.9</v>
      </c>
      <c r="H43" s="1">
        <v>40829</v>
      </c>
      <c r="I43" s="33">
        <v>0.75043074974252599</v>
      </c>
      <c r="O43" s="1">
        <v>40829</v>
      </c>
      <c r="P43" s="33">
        <v>0</v>
      </c>
    </row>
    <row r="44" spans="2:16">
      <c r="B44" s="98">
        <v>42257</v>
      </c>
      <c r="C44" s="99">
        <v>0.51338156329073437</v>
      </c>
      <c r="D44" s="99">
        <f>VLOOKUP(CurrentMtgRatesDataTable825[[#This Row],[asOfDate]],H:I,2,0)</f>
        <v>0.48663724314238854</v>
      </c>
      <c r="E44" s="99">
        <f>VLOOKUP(CurrentMtgRatesDataTable825[[#This Row],[asOfDate]],O:P,2,0)</f>
        <v>0</v>
      </c>
      <c r="F44" s="100">
        <f ca="1">VLOOKUP(CurrentMtgRatesDataTable825[[#This Row],[asOfDate]]+1,Bloomberg!B:C,2,0)</f>
        <v>1473.7</v>
      </c>
      <c r="H44" s="1">
        <v>40836</v>
      </c>
      <c r="I44" s="33">
        <v>0.76889855223368597</v>
      </c>
      <c r="O44" s="1">
        <v>40836</v>
      </c>
      <c r="P44" s="33">
        <v>0</v>
      </c>
    </row>
    <row r="45" spans="2:16">
      <c r="B45" s="98">
        <v>42250</v>
      </c>
      <c r="C45" s="99">
        <v>0.51680555655781346</v>
      </c>
      <c r="D45" s="99">
        <f>VLOOKUP(CurrentMtgRatesDataTable825[[#This Row],[asOfDate]],H:I,2,0)</f>
        <v>0.4874742059346423</v>
      </c>
      <c r="E45" s="99">
        <f>VLOOKUP(CurrentMtgRatesDataTable825[[#This Row],[asOfDate]],O:P,2,0)</f>
        <v>0</v>
      </c>
      <c r="F45" s="100">
        <f ca="1">VLOOKUP(CurrentMtgRatesDataTable825[[#This Row],[asOfDate]]+1,Bloomberg!B:C,2,0)</f>
        <v>1626.9</v>
      </c>
      <c r="H45" s="1">
        <v>40843</v>
      </c>
      <c r="I45" s="33">
        <v>0.77033919514702098</v>
      </c>
      <c r="O45" s="1">
        <v>40843</v>
      </c>
      <c r="P45" s="33">
        <v>0</v>
      </c>
    </row>
    <row r="46" spans="2:16">
      <c r="B46" s="98">
        <v>42243</v>
      </c>
      <c r="C46" s="99">
        <v>0.54776588117858471</v>
      </c>
      <c r="D46" s="99">
        <f>VLOOKUP(CurrentMtgRatesDataTable825[[#This Row],[asOfDate]],H:I,2,0)</f>
        <v>0.53237291122190666</v>
      </c>
      <c r="E46" s="99">
        <f>VLOOKUP(CurrentMtgRatesDataTable825[[#This Row],[asOfDate]],O:P,2,0)</f>
        <v>3.1195278145772281E-3</v>
      </c>
      <c r="F46" s="100">
        <f ca="1">VLOOKUP(CurrentMtgRatesDataTable825[[#This Row],[asOfDate]]+1,Bloomberg!B:C,2,0)</f>
        <v>1857.7</v>
      </c>
      <c r="H46" s="1">
        <v>40850</v>
      </c>
      <c r="I46" s="33">
        <v>0.80719780316763601</v>
      </c>
      <c r="O46" s="1">
        <v>40850</v>
      </c>
      <c r="P46" s="33">
        <v>0</v>
      </c>
    </row>
    <row r="47" spans="2:16">
      <c r="B47" s="98">
        <v>42236</v>
      </c>
      <c r="C47" s="99">
        <v>0.51006923311843089</v>
      </c>
      <c r="D47" s="99">
        <f>VLOOKUP(CurrentMtgRatesDataTable825[[#This Row],[asOfDate]],H:I,2,0)</f>
        <v>0.44680494601844289</v>
      </c>
      <c r="E47" s="99">
        <f>VLOOKUP(CurrentMtgRatesDataTable825[[#This Row],[asOfDate]],O:P,2,0)</f>
        <v>0</v>
      </c>
      <c r="F47" s="100">
        <f ca="1">VLOOKUP(CurrentMtgRatesDataTable825[[#This Row],[asOfDate]]+1,Bloomberg!B:C,2,0)</f>
        <v>1545.5</v>
      </c>
      <c r="H47" s="1">
        <v>40857</v>
      </c>
      <c r="I47" s="33">
        <v>0.80724570771905702</v>
      </c>
      <c r="O47" s="1">
        <v>40857</v>
      </c>
      <c r="P47" s="33">
        <v>8.7950076846855297E-4</v>
      </c>
    </row>
    <row r="48" spans="2:16">
      <c r="B48" s="98">
        <v>42229</v>
      </c>
      <c r="C48" s="99">
        <v>0.50777768656321565</v>
      </c>
      <c r="D48" s="99">
        <f>VLOOKUP(CurrentMtgRatesDataTable825[[#This Row],[asOfDate]],H:I,2,0)</f>
        <v>0.44651143610405097</v>
      </c>
      <c r="E48" s="99">
        <f>VLOOKUP(CurrentMtgRatesDataTable825[[#This Row],[asOfDate]],O:P,2,0)</f>
        <v>0</v>
      </c>
      <c r="F48" s="100">
        <f ca="1">VLOOKUP(CurrentMtgRatesDataTable825[[#This Row],[asOfDate]]+1,Bloomberg!B:C,2,0)</f>
        <v>1561.2</v>
      </c>
      <c r="H48" s="1">
        <v>40864</v>
      </c>
      <c r="I48" s="33">
        <v>0.80719780316763601</v>
      </c>
      <c r="O48" s="1">
        <v>40864</v>
      </c>
      <c r="P48" s="33">
        <v>0</v>
      </c>
    </row>
    <row r="49" spans="2:16">
      <c r="B49" s="98">
        <v>42222</v>
      </c>
      <c r="C49" s="99">
        <v>0.51562387102608387</v>
      </c>
      <c r="D49" s="99">
        <f>VLOOKUP(CurrentMtgRatesDataTable825[[#This Row],[asOfDate]],H:I,2,0)</f>
        <v>0.47053858271925847</v>
      </c>
      <c r="E49" s="99">
        <f>VLOOKUP(CurrentMtgRatesDataTable825[[#This Row],[asOfDate]],O:P,2,0)</f>
        <v>6.2347278968544445E-4</v>
      </c>
      <c r="F49" s="100">
        <f ca="1">VLOOKUP(CurrentMtgRatesDataTable825[[#This Row],[asOfDate]]+1,Bloomberg!B:C,2,0)</f>
        <v>1455.2</v>
      </c>
      <c r="H49" s="1">
        <v>40870</v>
      </c>
      <c r="I49" s="33">
        <v>0.80850149462655696</v>
      </c>
      <c r="O49" s="1">
        <v>40870</v>
      </c>
      <c r="P49" s="33">
        <v>8.8101230968728496E-4</v>
      </c>
    </row>
    <row r="50" spans="2:16">
      <c r="B50" s="98">
        <v>42215</v>
      </c>
      <c r="C50" s="99">
        <v>0.49912270122048025</v>
      </c>
      <c r="D50" s="99">
        <f>VLOOKUP(CurrentMtgRatesDataTable825[[#This Row],[asOfDate]],H:I,2,0)</f>
        <v>0.42269076065729377</v>
      </c>
      <c r="E50" s="99">
        <f>VLOOKUP(CurrentMtgRatesDataTable825[[#This Row],[asOfDate]],O:P,2,0)</f>
        <v>1.9969014490481407E-4</v>
      </c>
      <c r="F50" s="100">
        <f ca="1">VLOOKUP(CurrentMtgRatesDataTable825[[#This Row],[asOfDate]]+1,Bloomberg!B:C,2,0)</f>
        <v>1418</v>
      </c>
      <c r="H50" s="1">
        <v>40878</v>
      </c>
      <c r="I50" s="33">
        <v>0.79441104681633201</v>
      </c>
      <c r="O50" s="1">
        <v>40878</v>
      </c>
      <c r="P50" s="33">
        <v>0</v>
      </c>
    </row>
    <row r="51" spans="2:16">
      <c r="B51" s="98">
        <v>42208</v>
      </c>
      <c r="C51" s="99">
        <v>0.45300783987214877</v>
      </c>
      <c r="D51" s="99">
        <f>VLOOKUP(CurrentMtgRatesDataTable825[[#This Row],[asOfDate]],H:I,2,0)</f>
        <v>0.39501005586426785</v>
      </c>
      <c r="E51" s="99">
        <f>VLOOKUP(CurrentMtgRatesDataTable825[[#This Row],[asOfDate]],O:P,2,0)</f>
        <v>1.4184158649271941E-4</v>
      </c>
      <c r="F51" s="100">
        <f ca="1">VLOOKUP(CurrentMtgRatesDataTable825[[#This Row],[asOfDate]]+1,Bloomberg!B:C,2,0)</f>
        <v>1339.9</v>
      </c>
      <c r="H51" s="1">
        <v>40885</v>
      </c>
      <c r="I51" s="33">
        <v>0.79445840936885304</v>
      </c>
      <c r="O51" s="1">
        <v>40885</v>
      </c>
      <c r="P51" s="33">
        <v>6.7786594921879302E-4</v>
      </c>
    </row>
    <row r="52" spans="2:16">
      <c r="B52" s="98">
        <v>42201</v>
      </c>
      <c r="C52" s="99">
        <v>0.42011365068788514</v>
      </c>
      <c r="D52" s="99">
        <f>VLOOKUP(CurrentMtgRatesDataTable825[[#This Row],[asOfDate]],H:I,2,0)</f>
        <v>0.39138037249660224</v>
      </c>
      <c r="E52" s="99">
        <f>VLOOKUP(CurrentMtgRatesDataTable825[[#This Row],[asOfDate]],O:P,2,0)</f>
        <v>0</v>
      </c>
      <c r="F52" s="100">
        <f ca="1">VLOOKUP(CurrentMtgRatesDataTable825[[#This Row],[asOfDate]]+1,Bloomberg!B:C,2,0)</f>
        <v>1305.5999999999999</v>
      </c>
      <c r="H52" s="1">
        <v>40892</v>
      </c>
      <c r="I52" s="33">
        <v>0.79646175435893696</v>
      </c>
      <c r="O52" s="1">
        <v>40892</v>
      </c>
      <c r="P52" s="33">
        <v>0.79669049657242397</v>
      </c>
    </row>
    <row r="53" spans="2:16">
      <c r="B53" s="98">
        <v>42194</v>
      </c>
      <c r="C53" s="99">
        <v>0.45300783987214877</v>
      </c>
      <c r="D53" s="99">
        <f>VLOOKUP(CurrentMtgRatesDataTable825[[#This Row],[asOfDate]],H:I,2,0)</f>
        <v>0.39501005586426785</v>
      </c>
      <c r="E53" s="99">
        <f>VLOOKUP(CurrentMtgRatesDataTable825[[#This Row],[asOfDate]],O:P,2,0)</f>
        <v>1.4184380661503394E-4</v>
      </c>
      <c r="F53" s="100">
        <f ca="1">VLOOKUP(CurrentMtgRatesDataTable825[[#This Row],[asOfDate]]+1,Bloomberg!B:C,2,0)</f>
        <v>1332.4</v>
      </c>
      <c r="H53" s="1">
        <v>40899</v>
      </c>
      <c r="I53" s="33">
        <v>0.82537040355923197</v>
      </c>
      <c r="O53" s="1">
        <v>40899</v>
      </c>
      <c r="P53" s="33">
        <v>0.82559057548597004</v>
      </c>
    </row>
    <row r="54" spans="2:16">
      <c r="B54" s="98">
        <v>42187</v>
      </c>
      <c r="C54" s="99">
        <v>0.42691007799753877</v>
      </c>
      <c r="D54" s="99">
        <f>VLOOKUP(CurrentMtgRatesDataTable825[[#This Row],[asOfDate]],H:I,2,0)</f>
        <v>0.39179509217736908</v>
      </c>
      <c r="E54" s="99">
        <f>VLOOKUP(CurrentMtgRatesDataTable825[[#This Row],[asOfDate]],O:P,2,0)</f>
        <v>0</v>
      </c>
      <c r="F54" s="100">
        <f ca="1">VLOOKUP(CurrentMtgRatesDataTable825[[#This Row],[asOfDate]]+1,Bloomberg!B:C,2,0)</f>
        <v>1299.9000000000001</v>
      </c>
      <c r="H54" s="1">
        <v>40906</v>
      </c>
      <c r="I54" s="33">
        <v>0.81734633197465201</v>
      </c>
      <c r="O54" s="1">
        <v>40906</v>
      </c>
      <c r="P54" s="33">
        <v>0</v>
      </c>
    </row>
    <row r="55" spans="2:16">
      <c r="B55" s="98">
        <v>42180</v>
      </c>
      <c r="C55" s="99">
        <v>0.45889007356496508</v>
      </c>
      <c r="D55" s="99">
        <f>VLOOKUP(CurrentMtgRatesDataTable825[[#This Row],[asOfDate]],H:I,2,0)</f>
        <v>0.39696021691334338</v>
      </c>
      <c r="E55" s="99">
        <f>VLOOKUP(CurrentMtgRatesDataTable825[[#This Row],[asOfDate]],O:P,2,0)</f>
        <v>0</v>
      </c>
      <c r="F55" s="100">
        <f ca="1">VLOOKUP(CurrentMtgRatesDataTable825[[#This Row],[asOfDate]]+1,Bloomberg!B:C,2,0)</f>
        <v>1246.0999999999999</v>
      </c>
      <c r="H55" s="1">
        <v>40913</v>
      </c>
      <c r="I55" s="33">
        <v>0.80629912189469399</v>
      </c>
      <c r="O55" s="1">
        <v>40913</v>
      </c>
      <c r="P55" s="33">
        <v>0</v>
      </c>
    </row>
    <row r="56" spans="2:16">
      <c r="B56" s="98">
        <v>42173</v>
      </c>
      <c r="C56" s="99">
        <v>0.47504859154397289</v>
      </c>
      <c r="D56" s="99">
        <f>VLOOKUP(CurrentMtgRatesDataTable825[[#This Row],[asOfDate]],H:I,2,0)</f>
        <v>0.42202391195455535</v>
      </c>
      <c r="E56" s="99">
        <f>VLOOKUP(CurrentMtgRatesDataTable825[[#This Row],[asOfDate]],O:P,2,0)</f>
        <v>0</v>
      </c>
      <c r="F56" s="100">
        <f ca="1">VLOOKUP(CurrentMtgRatesDataTable825[[#This Row],[asOfDate]]+1,Bloomberg!B:C,2,0)</f>
        <v>1318.3</v>
      </c>
      <c r="H56" s="1">
        <v>40920</v>
      </c>
      <c r="I56" s="33">
        <v>0.81626218699844599</v>
      </c>
      <c r="O56" s="1">
        <v>40920</v>
      </c>
      <c r="P56" s="33">
        <v>0.81663205917875104</v>
      </c>
    </row>
    <row r="57" spans="2:16">
      <c r="B57" s="98">
        <v>42166</v>
      </c>
      <c r="C57" s="99">
        <v>0.46172473046300011</v>
      </c>
      <c r="D57" s="99">
        <f>VLOOKUP(CurrentMtgRatesDataTable825[[#This Row],[asOfDate]],H:I,2,0)</f>
        <v>0.39779633268543002</v>
      </c>
      <c r="E57" s="99">
        <f>VLOOKUP(CurrentMtgRatesDataTable825[[#This Row],[asOfDate]],O:P,2,0)</f>
        <v>0</v>
      </c>
      <c r="F57" s="100">
        <f ca="1">VLOOKUP(CurrentMtgRatesDataTable825[[#This Row],[asOfDate]]+1,Bloomberg!B:C,2,0)</f>
        <v>1273.4000000000001</v>
      </c>
      <c r="H57" s="1">
        <v>40927</v>
      </c>
      <c r="I57" s="33">
        <v>0.81461584859780101</v>
      </c>
      <c r="O57" s="1">
        <v>40927</v>
      </c>
      <c r="P57" s="33">
        <v>0</v>
      </c>
    </row>
    <row r="58" spans="2:16">
      <c r="B58" s="98">
        <v>42159</v>
      </c>
      <c r="C58" s="99">
        <v>0.54951676769042945</v>
      </c>
      <c r="D58" s="99">
        <f>VLOOKUP(CurrentMtgRatesDataTable825[[#This Row],[asOfDate]],H:I,2,0)</f>
        <v>0.49151040605794738</v>
      </c>
      <c r="E58" s="99">
        <f>VLOOKUP(CurrentMtgRatesDataTable825[[#This Row],[asOfDate]],O:P,2,0)</f>
        <v>0</v>
      </c>
      <c r="F58" s="100">
        <f ca="1">VLOOKUP(CurrentMtgRatesDataTable825[[#This Row],[asOfDate]]+1,Bloomberg!B:C,2,0)</f>
        <v>1342.4</v>
      </c>
      <c r="H58" s="1">
        <v>40934</v>
      </c>
      <c r="I58" s="33">
        <v>0.78339393568549298</v>
      </c>
      <c r="O58" s="1">
        <v>40934</v>
      </c>
      <c r="P58" s="33">
        <v>0</v>
      </c>
    </row>
    <row r="59" spans="2:16">
      <c r="B59" s="98">
        <v>42152</v>
      </c>
      <c r="C59" s="99">
        <v>0.55902460267794318</v>
      </c>
      <c r="D59" s="99">
        <f>VLOOKUP(CurrentMtgRatesDataTable825[[#This Row],[asOfDate]],H:I,2,0)</f>
        <v>0.49518214427458052</v>
      </c>
      <c r="E59" s="99">
        <f>VLOOKUP(CurrentMtgRatesDataTable825[[#This Row],[asOfDate]],O:P,2,0)</f>
        <v>0</v>
      </c>
      <c r="F59" s="100">
        <f ca="1">VLOOKUP(CurrentMtgRatesDataTable825[[#This Row],[asOfDate]]+1,Bloomberg!B:C,2,0)</f>
        <v>1233.9000000000001</v>
      </c>
      <c r="H59" s="1">
        <v>40941</v>
      </c>
      <c r="I59" s="33">
        <v>0.79842547980239797</v>
      </c>
      <c r="O59" s="1">
        <v>40941</v>
      </c>
      <c r="P59" s="33">
        <v>0</v>
      </c>
    </row>
    <row r="60" spans="2:16">
      <c r="B60" s="98">
        <v>42145</v>
      </c>
      <c r="C60" s="99">
        <v>0.56247001508658589</v>
      </c>
      <c r="D60" s="99">
        <f>VLOOKUP(CurrentMtgRatesDataTable825[[#This Row],[asOfDate]],H:I,2,0)</f>
        <v>0.49530657385961702</v>
      </c>
      <c r="E60" s="99">
        <f>VLOOKUP(CurrentMtgRatesDataTable825[[#This Row],[asOfDate]],O:P,2,0)</f>
        <v>0</v>
      </c>
      <c r="F60" s="100">
        <f ca="1">VLOOKUP(CurrentMtgRatesDataTable825[[#This Row],[asOfDate]]+1,Bloomberg!B:C,2,0)</f>
        <v>1408.1</v>
      </c>
      <c r="H60" s="1">
        <v>40948</v>
      </c>
      <c r="I60" s="33">
        <v>0.79842547980239797</v>
      </c>
      <c r="O60" s="1">
        <v>40948</v>
      </c>
      <c r="P60" s="33">
        <v>0</v>
      </c>
    </row>
    <row r="61" spans="2:16">
      <c r="B61" s="98">
        <v>42138</v>
      </c>
      <c r="C61" s="99">
        <v>0.57098174826031445</v>
      </c>
      <c r="D61" s="99">
        <f>VLOOKUP(CurrentMtgRatesDataTable825[[#This Row],[asOfDate]],H:I,2,0)</f>
        <v>0.52626041924754496</v>
      </c>
      <c r="E61" s="99">
        <f>VLOOKUP(CurrentMtgRatesDataTable825[[#This Row],[asOfDate]],O:P,2,0)</f>
        <v>0</v>
      </c>
      <c r="F61" s="100">
        <f ca="1">VLOOKUP(CurrentMtgRatesDataTable825[[#This Row],[asOfDate]]+1,Bloomberg!B:C,2,0)</f>
        <v>1448.8</v>
      </c>
      <c r="H61" s="1">
        <v>40955</v>
      </c>
      <c r="I61" s="33">
        <v>0.79842547980239797</v>
      </c>
      <c r="O61" s="1">
        <v>40955</v>
      </c>
      <c r="P61" s="33">
        <v>0</v>
      </c>
    </row>
    <row r="62" spans="2:16">
      <c r="B62" s="98">
        <v>42131</v>
      </c>
      <c r="C62" s="99">
        <v>0.59037176491848908</v>
      </c>
      <c r="D62" s="99">
        <f>VLOOKUP(CurrentMtgRatesDataTable825[[#This Row],[asOfDate]],H:I,2,0)</f>
        <v>0.53238458781035902</v>
      </c>
      <c r="E62" s="99">
        <f>VLOOKUP(CurrentMtgRatesDataTable825[[#This Row],[asOfDate]],O:P,2,0)</f>
        <v>0</v>
      </c>
      <c r="F62" s="100">
        <f ca="1">VLOOKUP(CurrentMtgRatesDataTable825[[#This Row],[asOfDate]]+1,Bloomberg!B:C,2,0)</f>
        <v>1477.8</v>
      </c>
      <c r="H62" s="1">
        <v>40962</v>
      </c>
      <c r="I62" s="33">
        <v>0.76669716579457303</v>
      </c>
      <c r="O62" s="1">
        <v>40962</v>
      </c>
      <c r="P62" s="33">
        <v>0</v>
      </c>
    </row>
    <row r="63" spans="2:16">
      <c r="B63" s="98">
        <v>42124</v>
      </c>
      <c r="C63" s="99">
        <v>0.64603046293502864</v>
      </c>
      <c r="D63" s="99">
        <f>VLOOKUP(CurrentMtgRatesDataTable825[[#This Row],[asOfDate]],H:I,2,0)</f>
        <v>0.608876308109219</v>
      </c>
      <c r="E63" s="99">
        <f>VLOOKUP(CurrentMtgRatesDataTable825[[#This Row],[asOfDate]],O:P,2,0)</f>
        <v>0</v>
      </c>
      <c r="F63" s="100">
        <f ca="1">VLOOKUP(CurrentMtgRatesDataTable825[[#This Row],[asOfDate]]+1,Bloomberg!B:C,2,0)</f>
        <v>1559.4</v>
      </c>
      <c r="H63" s="1">
        <v>40969</v>
      </c>
      <c r="I63" s="33">
        <v>0.77480777056815697</v>
      </c>
      <c r="O63" s="1">
        <v>40969</v>
      </c>
      <c r="P63" s="33">
        <v>0</v>
      </c>
    </row>
    <row r="64" spans="2:16">
      <c r="B64" s="98">
        <v>42117</v>
      </c>
      <c r="C64" s="99">
        <v>0.65844284474757131</v>
      </c>
      <c r="D64" s="99">
        <f>VLOOKUP(CurrentMtgRatesDataTable825[[#This Row],[asOfDate]],H:I,2,0)</f>
        <v>0.63350921207897204</v>
      </c>
      <c r="E64" s="99">
        <f>VLOOKUP(CurrentMtgRatesDataTable825[[#This Row],[asOfDate]],O:P,2,0)</f>
        <v>3.9431628666260904E-3</v>
      </c>
      <c r="F64" s="100">
        <f ca="1">VLOOKUP(CurrentMtgRatesDataTable825[[#This Row],[asOfDate]]+1,Bloomberg!B:C,2,0)</f>
        <v>1723</v>
      </c>
      <c r="H64" s="1">
        <v>40976</v>
      </c>
      <c r="I64" s="33">
        <v>0.78283886771012201</v>
      </c>
      <c r="O64" s="1">
        <v>40976</v>
      </c>
      <c r="P64" s="33">
        <v>7.6028475141971797E-4</v>
      </c>
    </row>
    <row r="65" spans="2:16">
      <c r="B65" s="98">
        <v>42110</v>
      </c>
      <c r="C65" s="99">
        <v>0.64019129085731785</v>
      </c>
      <c r="D65" s="99">
        <f>VLOOKUP(CurrentMtgRatesDataTable825[[#This Row],[asOfDate]],H:I,2,0)</f>
        <v>0.60745911385405604</v>
      </c>
      <c r="E65" s="99">
        <f>VLOOKUP(CurrentMtgRatesDataTable825[[#This Row],[asOfDate]],O:P,2,0)</f>
        <v>0</v>
      </c>
      <c r="F65" s="100">
        <f ca="1">VLOOKUP(CurrentMtgRatesDataTable825[[#This Row],[asOfDate]]+1,Bloomberg!B:C,2,0)</f>
        <v>1817</v>
      </c>
      <c r="H65" s="1">
        <v>40983</v>
      </c>
      <c r="I65" s="33">
        <v>0.77421402081353796</v>
      </c>
      <c r="O65" s="1">
        <v>40983</v>
      </c>
      <c r="P65" s="33">
        <v>0</v>
      </c>
    </row>
    <row r="66" spans="2:16">
      <c r="B66" s="98">
        <v>42103</v>
      </c>
      <c r="C66" s="99">
        <v>0.65412296677072113</v>
      </c>
      <c r="D66" s="99">
        <f>VLOOKUP(CurrentMtgRatesDataTable825[[#This Row],[asOfDate]],H:I,2,0)</f>
        <v>0.63179874985391804</v>
      </c>
      <c r="E66" s="99">
        <f>VLOOKUP(CurrentMtgRatesDataTable825[[#This Row],[asOfDate]],O:P,2,0)</f>
        <v>3.87908393633439E-3</v>
      </c>
      <c r="F66" s="100">
        <f ca="1">VLOOKUP(CurrentMtgRatesDataTable825[[#This Row],[asOfDate]]+1,Bloomberg!B:C,2,0)</f>
        <v>1804.6</v>
      </c>
      <c r="H66" s="1">
        <v>40990</v>
      </c>
      <c r="I66" s="33">
        <v>0.69937061468571404</v>
      </c>
      <c r="O66" s="1">
        <v>40990</v>
      </c>
      <c r="P66" s="33">
        <v>0</v>
      </c>
    </row>
    <row r="67" spans="2:16">
      <c r="B67" s="98">
        <v>42096</v>
      </c>
      <c r="C67" s="99">
        <v>0.63757021314193218</v>
      </c>
      <c r="D67" s="99">
        <f>VLOOKUP(CurrentMtgRatesDataTable825[[#This Row],[asOfDate]],H:I,2,0)</f>
        <v>0.60618674833379105</v>
      </c>
      <c r="E67" s="99">
        <f>VLOOKUP(CurrentMtgRatesDataTable825[[#This Row],[asOfDate]],O:P,2,0)</f>
        <v>0</v>
      </c>
      <c r="F67" s="100">
        <f ca="1">VLOOKUP(CurrentMtgRatesDataTable825[[#This Row],[asOfDate]]+1,Bloomberg!B:C,2,0)</f>
        <v>1854.7</v>
      </c>
      <c r="H67" s="1">
        <v>40997</v>
      </c>
      <c r="I67" s="33">
        <v>0.749723434167341</v>
      </c>
      <c r="O67" s="1">
        <v>40997</v>
      </c>
      <c r="P67" s="33">
        <v>0</v>
      </c>
    </row>
    <row r="68" spans="2:16">
      <c r="B68" s="98">
        <v>42089</v>
      </c>
      <c r="C68" s="99">
        <v>0.64890841265420796</v>
      </c>
      <c r="D68" s="99">
        <f>VLOOKUP(CurrentMtgRatesDataTable825[[#This Row],[asOfDate]],H:I,2,0)</f>
        <v>0.61985540937113104</v>
      </c>
      <c r="E68" s="99">
        <f>VLOOKUP(CurrentMtgRatesDataTable825[[#This Row],[asOfDate]],O:P,2,0)</f>
        <v>9.60298428502188E-4</v>
      </c>
      <c r="F68" s="100">
        <f ca="1">VLOOKUP(CurrentMtgRatesDataTable825[[#This Row],[asOfDate]]+1,Bloomberg!B:C,2,0)</f>
        <v>1941.6</v>
      </c>
      <c r="H68" s="1">
        <v>41004</v>
      </c>
      <c r="I68" s="33">
        <v>0.75253147533014197</v>
      </c>
      <c r="O68" s="1">
        <v>41004</v>
      </c>
      <c r="P68" s="33">
        <v>0</v>
      </c>
    </row>
    <row r="69" spans="2:16">
      <c r="B69" s="98">
        <v>42082</v>
      </c>
      <c r="C69" s="99">
        <v>0.61916808494400521</v>
      </c>
      <c r="D69" s="99">
        <f>VLOOKUP(CurrentMtgRatesDataTable825[[#This Row],[asOfDate]],H:I,2,0)</f>
        <v>0.58146564562660097</v>
      </c>
      <c r="E69" s="99">
        <f>VLOOKUP(CurrentMtgRatesDataTable825[[#This Row],[asOfDate]],O:P,2,0)</f>
        <v>0</v>
      </c>
      <c r="F69" s="100">
        <f ca="1">VLOOKUP(CurrentMtgRatesDataTable825[[#This Row],[asOfDate]]+1,Bloomberg!B:C,2,0)</f>
        <v>1860.8</v>
      </c>
      <c r="H69" s="1">
        <v>41011</v>
      </c>
      <c r="I69" s="33">
        <v>0.80193881910043296</v>
      </c>
      <c r="O69" s="1">
        <v>41011</v>
      </c>
      <c r="P69" s="33">
        <v>0.80265108338267499</v>
      </c>
    </row>
    <row r="70" spans="2:16">
      <c r="B70" s="98">
        <v>42075</v>
      </c>
      <c r="C70" s="99">
        <v>0.58615251978310723</v>
      </c>
      <c r="D70" s="99">
        <f>VLOOKUP(CurrentMtgRatesDataTable825[[#This Row],[asOfDate]],H:I,2,0)</f>
        <v>0.51703371456013503</v>
      </c>
      <c r="E70" s="99">
        <f>VLOOKUP(CurrentMtgRatesDataTable825[[#This Row],[asOfDate]],O:P,2,0)</f>
        <v>0</v>
      </c>
      <c r="F70" s="100">
        <f ca="1">VLOOKUP(CurrentMtgRatesDataTable825[[#This Row],[asOfDate]]+1,Bloomberg!B:C,2,0)</f>
        <v>1623.6</v>
      </c>
      <c r="H70" s="1">
        <v>41018</v>
      </c>
      <c r="I70" s="33">
        <v>0.77781138796328697</v>
      </c>
      <c r="O70" s="1">
        <v>41018</v>
      </c>
      <c r="P70" s="33">
        <v>0</v>
      </c>
    </row>
    <row r="71" spans="2:16">
      <c r="B71" s="98">
        <v>42068</v>
      </c>
      <c r="C71" s="99">
        <v>0.62830808931498816</v>
      </c>
      <c r="D71" s="99">
        <f>VLOOKUP(CurrentMtgRatesDataTable825[[#This Row],[asOfDate]],H:I,2,0)</f>
        <v>0.58384753948448997</v>
      </c>
      <c r="E71" s="99">
        <f>VLOOKUP(CurrentMtgRatesDataTable825[[#This Row],[asOfDate]],O:P,2,0)</f>
        <v>0</v>
      </c>
      <c r="F71" s="100">
        <f ca="1">VLOOKUP(CurrentMtgRatesDataTable825[[#This Row],[asOfDate]]+1,Bloomberg!B:C,2,0)</f>
        <v>1685.7</v>
      </c>
      <c r="H71" s="1">
        <v>41025</v>
      </c>
      <c r="I71" s="33">
        <v>0.80193881910043296</v>
      </c>
      <c r="O71" s="1">
        <v>41025</v>
      </c>
      <c r="P71" s="33">
        <v>0.80265108338267499</v>
      </c>
    </row>
    <row r="72" spans="2:16">
      <c r="B72" s="98">
        <v>42061</v>
      </c>
      <c r="C72" s="99">
        <v>0.61469145921482737</v>
      </c>
      <c r="D72" s="99">
        <f>VLOOKUP(CurrentMtgRatesDataTable825[[#This Row],[asOfDate]],H:I,2,0)</f>
        <v>0.56144623129586702</v>
      </c>
      <c r="E72" s="99">
        <f>VLOOKUP(CurrentMtgRatesDataTable825[[#This Row],[asOfDate]],O:P,2,0)</f>
        <v>0</v>
      </c>
      <c r="F72" s="100">
        <f ca="1">VLOOKUP(CurrentMtgRatesDataTable825[[#This Row],[asOfDate]]+1,Bloomberg!B:C,2,0)</f>
        <v>1740.3</v>
      </c>
      <c r="H72" s="1">
        <v>41032</v>
      </c>
      <c r="I72" s="33">
        <v>0.80437080516661097</v>
      </c>
      <c r="O72" s="1">
        <v>41032</v>
      </c>
      <c r="P72" s="33">
        <v>0.80415566862182497</v>
      </c>
    </row>
    <row r="73" spans="2:16">
      <c r="B73" s="98">
        <v>42054</v>
      </c>
      <c r="C73" s="99">
        <v>0.62918563533375538</v>
      </c>
      <c r="D73" s="99">
        <f>VLOOKUP(CurrentMtgRatesDataTable825[[#This Row],[asOfDate]],H:I,2,0)</f>
        <v>0.59003468905342005</v>
      </c>
      <c r="E73" s="99">
        <f>VLOOKUP(CurrentMtgRatesDataTable825[[#This Row],[asOfDate]],O:P,2,0)</f>
        <v>0</v>
      </c>
      <c r="F73" s="100">
        <f ca="1">VLOOKUP(CurrentMtgRatesDataTable825[[#This Row],[asOfDate]]+1,Bloomberg!B:C,2,0)</f>
        <v>1703.1</v>
      </c>
      <c r="H73" s="1">
        <v>41039</v>
      </c>
      <c r="I73" s="33">
        <v>0.807152941952609</v>
      </c>
      <c r="O73" s="1">
        <v>41039</v>
      </c>
      <c r="P73" s="33">
        <v>0.80754152596055995</v>
      </c>
    </row>
    <row r="74" spans="2:16">
      <c r="B74" s="98">
        <v>42047</v>
      </c>
      <c r="C74" s="99">
        <v>0.65089272690592892</v>
      </c>
      <c r="D74" s="99">
        <f>VLOOKUP(CurrentMtgRatesDataTable825[[#This Row],[asOfDate]],H:I,2,0)</f>
        <v>0.62719075850631201</v>
      </c>
      <c r="E74" s="99">
        <f>VLOOKUP(CurrentMtgRatesDataTable825[[#This Row],[asOfDate]],O:P,2,0)</f>
        <v>0</v>
      </c>
      <c r="F74" s="100">
        <f ca="1">VLOOKUP(CurrentMtgRatesDataTable825[[#This Row],[asOfDate]]+1,Bloomberg!B:C,2,0)</f>
        <v>1904.2</v>
      </c>
      <c r="H74" s="1">
        <v>41046</v>
      </c>
      <c r="I74" s="33">
        <v>0.83152220645888697</v>
      </c>
      <c r="O74" s="1">
        <v>41046</v>
      </c>
      <c r="P74" s="33">
        <v>0.831927164274886</v>
      </c>
    </row>
    <row r="75" spans="2:16">
      <c r="B75" s="98">
        <v>42040</v>
      </c>
      <c r="C75" s="99">
        <v>0.68613791923063638</v>
      </c>
      <c r="D75" s="99">
        <f>VLOOKUP(CurrentMtgRatesDataTable825[[#This Row],[asOfDate]],H:I,2,0)</f>
        <v>0.65455905311871299</v>
      </c>
      <c r="E75" s="99">
        <f>VLOOKUP(CurrentMtgRatesDataTable825[[#This Row],[asOfDate]],O:P,2,0)</f>
        <v>0.17933240004933601</v>
      </c>
      <c r="F75" s="100">
        <f ca="1">VLOOKUP(CurrentMtgRatesDataTable825[[#This Row],[asOfDate]]+1,Bloomberg!B:C,2,0)</f>
        <v>2291.3000000000002</v>
      </c>
      <c r="H75" s="1">
        <v>41053</v>
      </c>
      <c r="I75" s="33">
        <v>0.82948257912141399</v>
      </c>
      <c r="O75" s="1">
        <v>41053</v>
      </c>
      <c r="P75" s="33">
        <v>0</v>
      </c>
    </row>
    <row r="76" spans="2:16">
      <c r="B76" s="98">
        <v>42033</v>
      </c>
      <c r="C76" s="99">
        <v>0.66237769243691424</v>
      </c>
      <c r="D76" s="99">
        <f>VLOOKUP(CurrentMtgRatesDataTable825[[#This Row],[asOfDate]],H:I,2,0)</f>
        <v>0.65582330233583797</v>
      </c>
      <c r="E76" s="99">
        <f>VLOOKUP(CurrentMtgRatesDataTable825[[#This Row],[asOfDate]],O:P,2,0)</f>
        <v>0</v>
      </c>
      <c r="F76" s="100">
        <f ca="1">VLOOKUP(CurrentMtgRatesDataTable825[[#This Row],[asOfDate]]+1,Bloomberg!B:C,2,0)</f>
        <v>2584.8000000000002</v>
      </c>
      <c r="H76" s="1">
        <v>41060</v>
      </c>
      <c r="I76" s="33">
        <v>0.83268888035603505</v>
      </c>
      <c r="O76" s="1">
        <v>41060</v>
      </c>
      <c r="P76" s="33">
        <v>0.83309495413351498</v>
      </c>
    </row>
    <row r="77" spans="2:16">
      <c r="B77" s="98">
        <v>42026</v>
      </c>
      <c r="C77" s="99">
        <v>0.66443740132152351</v>
      </c>
      <c r="D77" s="99">
        <f>VLOOKUP(CurrentMtgRatesDataTable825[[#This Row],[asOfDate]],H:I,2,0)</f>
        <v>0.65720471867066899</v>
      </c>
      <c r="E77" s="99">
        <f>VLOOKUP(CurrentMtgRatesDataTable825[[#This Row],[asOfDate]],O:P,2,0)</f>
        <v>0.17811212012226099</v>
      </c>
      <c r="F77" s="100">
        <f ca="1">VLOOKUP(CurrentMtgRatesDataTable825[[#This Row],[asOfDate]]+1,Bloomberg!B:C,2,0)</f>
        <v>2572.3000000000002</v>
      </c>
      <c r="H77" s="1">
        <v>41067</v>
      </c>
      <c r="I77" s="33">
        <v>0.86243439572202496</v>
      </c>
      <c r="O77" s="1">
        <v>41067</v>
      </c>
      <c r="P77" s="33">
        <v>0.86123151402869003</v>
      </c>
    </row>
    <row r="78" spans="2:16">
      <c r="B78" s="98">
        <v>42019</v>
      </c>
      <c r="C78" s="99">
        <v>0.66237769243691424</v>
      </c>
      <c r="D78" s="99">
        <f>VLOOKUP(CurrentMtgRatesDataTable825[[#This Row],[asOfDate]],H:I,2,0)</f>
        <v>0.65582330233583797</v>
      </c>
      <c r="E78" s="99">
        <f>VLOOKUP(CurrentMtgRatesDataTable825[[#This Row],[asOfDate]],O:P,2,0)</f>
        <v>0.177765501913389</v>
      </c>
      <c r="F78" s="100">
        <f ca="1">VLOOKUP(CurrentMtgRatesDataTable825[[#This Row],[asOfDate]]+1,Bloomberg!B:C,2,0)</f>
        <v>2799.3</v>
      </c>
      <c r="H78" s="1">
        <v>41074</v>
      </c>
      <c r="I78" s="33">
        <v>0.84549296973434196</v>
      </c>
      <c r="O78" s="1">
        <v>41074</v>
      </c>
      <c r="P78" s="33">
        <v>0</v>
      </c>
    </row>
    <row r="79" spans="2:16">
      <c r="B79" s="98">
        <v>42012</v>
      </c>
      <c r="C79" s="99">
        <v>0.63535246046030358</v>
      </c>
      <c r="D79" s="99">
        <f>VLOOKUP(CurrentMtgRatesDataTable825[[#This Row],[asOfDate]],H:I,2,0)</f>
        <v>0.59931706558407905</v>
      </c>
      <c r="E79" s="99">
        <f>VLOOKUP(CurrentMtgRatesDataTable825[[#This Row],[asOfDate]],O:P,2,0)</f>
        <v>0.14268475210645201</v>
      </c>
      <c r="F79" s="100">
        <f ca="1">VLOOKUP(CurrentMtgRatesDataTable825[[#This Row],[asOfDate]]+1,Bloomberg!B:C,2,0)</f>
        <v>2271.5</v>
      </c>
      <c r="H79" s="1">
        <v>41081</v>
      </c>
      <c r="I79" s="33">
        <v>0.86306170802286497</v>
      </c>
      <c r="O79" s="1">
        <v>41081</v>
      </c>
      <c r="P79" s="33">
        <v>0.86355719580735102</v>
      </c>
    </row>
    <row r="80" spans="2:16">
      <c r="B80" s="98">
        <v>42004</v>
      </c>
      <c r="C80" s="99">
        <v>0.59452652549193286</v>
      </c>
      <c r="D80" s="99">
        <f>VLOOKUP(CurrentMtgRatesDataTable825[[#This Row],[asOfDate]],H:I,2,0)</f>
        <v>0.53680415412734395</v>
      </c>
      <c r="E80" s="99">
        <f>VLOOKUP(CurrentMtgRatesDataTable825[[#This Row],[asOfDate]],O:P,2,0)</f>
        <v>0</v>
      </c>
      <c r="F80" s="100">
        <f ca="1">VLOOKUP(CurrentMtgRatesDataTable825[[#This Row],[asOfDate]]+1,Bloomberg!B:C,2,0)</f>
        <v>1347.6</v>
      </c>
      <c r="H80" s="1">
        <v>41088</v>
      </c>
      <c r="I80" s="33">
        <v>0.86306170802286497</v>
      </c>
      <c r="O80" s="1">
        <v>41088</v>
      </c>
      <c r="P80" s="33">
        <v>0.86355719580735102</v>
      </c>
    </row>
    <row r="81" spans="2:16">
      <c r="B81" s="98">
        <v>41997</v>
      </c>
      <c r="C81" s="99">
        <v>0.6078826622396406</v>
      </c>
      <c r="D81" s="99">
        <f>VLOOKUP(CurrentMtgRatesDataTable825[[#This Row],[asOfDate]],H:I,2,0)</f>
        <v>0.57166642614489205</v>
      </c>
      <c r="E81" s="99">
        <f>VLOOKUP(CurrentMtgRatesDataTable825[[#This Row],[asOfDate]],O:P,2,0)</f>
        <v>0</v>
      </c>
      <c r="F81" s="100">
        <f ca="1">VLOOKUP(CurrentMtgRatesDataTable825[[#This Row],[asOfDate]]+1,Bloomberg!B:C,2,0)</f>
        <v>1164.2</v>
      </c>
      <c r="H81" s="1">
        <v>41095</v>
      </c>
      <c r="I81" s="33">
        <v>0.85531584833132801</v>
      </c>
      <c r="O81" s="1">
        <v>41095</v>
      </c>
      <c r="P81" s="33">
        <v>0.85480310148891403</v>
      </c>
    </row>
    <row r="82" spans="2:16">
      <c r="B82" s="98">
        <v>41991</v>
      </c>
      <c r="C82" s="99">
        <v>0.61729602418947438</v>
      </c>
      <c r="D82" s="99">
        <f>VLOOKUP(CurrentMtgRatesDataTable825[[#This Row],[asOfDate]],H:I,2,0)</f>
        <v>0.57447022909045797</v>
      </c>
      <c r="E82" s="99">
        <f>VLOOKUP(CurrentMtgRatesDataTable825[[#This Row],[asOfDate]],O:P,2,0)</f>
        <v>0.127103043508559</v>
      </c>
      <c r="F82" s="100">
        <f ca="1">VLOOKUP(CurrentMtgRatesDataTable825[[#This Row],[asOfDate]]+1,Bloomberg!B:C,2,0)</f>
        <v>1538.7</v>
      </c>
      <c r="H82" s="1">
        <v>41102</v>
      </c>
      <c r="I82" s="33">
        <v>0.88265848165302496</v>
      </c>
      <c r="O82" s="1">
        <v>41102</v>
      </c>
      <c r="P82" s="33">
        <v>0.88306588959651799</v>
      </c>
    </row>
    <row r="83" spans="2:16">
      <c r="B83" s="98">
        <v>41984</v>
      </c>
      <c r="C83" s="99">
        <v>0.58317600569372552</v>
      </c>
      <c r="D83" s="99">
        <f>VLOOKUP(CurrentMtgRatesDataTable825[[#This Row],[asOfDate]],H:I,2,0)</f>
        <v>0.53353274326337596</v>
      </c>
      <c r="E83" s="99">
        <f>VLOOKUP(CurrentMtgRatesDataTable825[[#This Row],[asOfDate]],O:P,2,0)</f>
        <v>0</v>
      </c>
      <c r="F83" s="100">
        <f ca="1">VLOOKUP(CurrentMtgRatesDataTable825[[#This Row],[asOfDate]]+1,Bloomberg!B:C,2,0)</f>
        <v>1518.8</v>
      </c>
      <c r="H83" s="1">
        <v>41109</v>
      </c>
      <c r="I83" s="33">
        <v>0.88516739973977598</v>
      </c>
      <c r="O83" s="1">
        <v>41109</v>
      </c>
      <c r="P83" s="33">
        <v>0.88557582733423201</v>
      </c>
    </row>
    <row r="84" spans="2:16">
      <c r="B84" s="98">
        <v>41977</v>
      </c>
      <c r="C84" s="99">
        <v>0.59653157178880079</v>
      </c>
      <c r="D84" s="99">
        <f>VLOOKUP(CurrentMtgRatesDataTable825[[#This Row],[asOfDate]],H:I,2,0)</f>
        <v>0.53685925114667898</v>
      </c>
      <c r="E84" s="99">
        <f>VLOOKUP(CurrentMtgRatesDataTable825[[#This Row],[asOfDate]],O:P,2,0)</f>
        <v>0.106230521131833</v>
      </c>
      <c r="F84" s="100">
        <f ca="1">VLOOKUP(CurrentMtgRatesDataTable825[[#This Row],[asOfDate]]+1,Bloomberg!B:C,2,0)</f>
        <v>1548.6</v>
      </c>
      <c r="H84" s="1">
        <v>41116</v>
      </c>
      <c r="I84" s="33">
        <v>0.89814744996460805</v>
      </c>
      <c r="O84" s="1">
        <v>41116</v>
      </c>
      <c r="P84" s="33">
        <v>0.89854811201564799</v>
      </c>
    </row>
    <row r="85" spans="2:16">
      <c r="B85" s="98">
        <v>41969</v>
      </c>
      <c r="C85" s="99">
        <v>0.57517284737260799</v>
      </c>
      <c r="D85" s="99">
        <f>VLOOKUP(CurrentMtgRatesDataTable825[[#This Row],[asOfDate]],H:I,2,0)</f>
        <v>0.51222876537846296</v>
      </c>
      <c r="E85" s="99">
        <f>VLOOKUP(CurrentMtgRatesDataTable825[[#This Row],[asOfDate]],O:P,2,0)</f>
        <v>1.9601498700341099E-3</v>
      </c>
      <c r="F85" s="100" t="e">
        <f ca="1">VLOOKUP(CurrentMtgRatesDataTable825[[#This Row],[asOfDate]]+1,Bloomberg!B:C,2,0)</f>
        <v>#N/A</v>
      </c>
      <c r="H85" s="1">
        <v>41123</v>
      </c>
      <c r="I85" s="33">
        <v>0.86768818253450297</v>
      </c>
      <c r="O85" s="1">
        <v>41123</v>
      </c>
      <c r="P85" s="33">
        <v>0</v>
      </c>
    </row>
    <row r="86" spans="2:16">
      <c r="B86" s="98">
        <v>41963</v>
      </c>
      <c r="C86" s="99">
        <v>0.56861607014134152</v>
      </c>
      <c r="D86" s="99">
        <f>VLOOKUP(CurrentMtgRatesDataTable825[[#This Row],[asOfDate]],H:I,2,0)</f>
        <v>0.51126312077979097</v>
      </c>
      <c r="E86" s="99">
        <f>VLOOKUP(CurrentMtgRatesDataTable825[[#This Row],[asOfDate]],O:P,2,0)</f>
        <v>1.9465534524820899E-3</v>
      </c>
      <c r="F86" s="100">
        <f ca="1">VLOOKUP(CurrentMtgRatesDataTable825[[#This Row],[asOfDate]]+1,Bloomberg!B:C,2,0)</f>
        <v>1547.9</v>
      </c>
      <c r="H86" s="1">
        <v>41130</v>
      </c>
      <c r="I86" s="33">
        <v>0.86745968477328095</v>
      </c>
      <c r="O86" s="1">
        <v>41130</v>
      </c>
      <c r="P86" s="33">
        <v>0</v>
      </c>
    </row>
    <row r="87" spans="2:16">
      <c r="B87" s="98">
        <v>41956</v>
      </c>
      <c r="C87" s="99">
        <v>0.55727419854014459</v>
      </c>
      <c r="D87" s="99">
        <f>VLOOKUP(CurrentMtgRatesDataTable825[[#This Row],[asOfDate]],H:I,2,0)</f>
        <v>0.47696082053878203</v>
      </c>
      <c r="E87" s="99">
        <f>VLOOKUP(CurrentMtgRatesDataTable825[[#This Row],[asOfDate]],O:P,2,0)</f>
        <v>1.4902494177175701E-3</v>
      </c>
      <c r="F87" s="100">
        <f ca="1">VLOOKUP(CurrentMtgRatesDataTable825[[#This Row],[asOfDate]]+1,Bloomberg!B:C,2,0)</f>
        <v>1563.2</v>
      </c>
      <c r="H87" s="1">
        <v>41137</v>
      </c>
      <c r="I87" s="33">
        <v>0.85198632502448901</v>
      </c>
      <c r="O87" s="1">
        <v>41137</v>
      </c>
      <c r="P87" s="33">
        <v>0</v>
      </c>
    </row>
    <row r="88" spans="2:16">
      <c r="B88" s="98">
        <v>41949</v>
      </c>
      <c r="C88" s="99">
        <v>0.55093013331653118</v>
      </c>
      <c r="D88" s="99">
        <f>VLOOKUP(CurrentMtgRatesDataTable825[[#This Row],[asOfDate]],H:I,2,0)</f>
        <v>0.47679161148246502</v>
      </c>
      <c r="E88" s="99">
        <f>VLOOKUP(CurrentMtgRatesDataTable825[[#This Row],[asOfDate]],O:P,2,0)</f>
        <v>0</v>
      </c>
      <c r="F88" s="100">
        <f ca="1">VLOOKUP(CurrentMtgRatesDataTable825[[#This Row],[asOfDate]]+1,Bloomberg!B:C,2,0)</f>
        <v>1565.3</v>
      </c>
      <c r="H88" s="1">
        <v>41144</v>
      </c>
      <c r="I88" s="33">
        <v>0.83819941388679298</v>
      </c>
      <c r="O88" s="1">
        <v>41144</v>
      </c>
      <c r="P88" s="33">
        <v>0</v>
      </c>
    </row>
    <row r="89" spans="2:16">
      <c r="B89" s="98">
        <v>41942</v>
      </c>
      <c r="C89" s="99">
        <v>0.57465727832154401</v>
      </c>
      <c r="D89" s="99">
        <f>VLOOKUP(CurrentMtgRatesDataTable825[[#This Row],[asOfDate]],H:I,2,0)</f>
        <v>0.519221652370358</v>
      </c>
      <c r="E89" s="99">
        <f>VLOOKUP(CurrentMtgRatesDataTable825[[#This Row],[asOfDate]],O:P,2,0)</f>
        <v>0</v>
      </c>
      <c r="F89" s="100">
        <f ca="1">VLOOKUP(CurrentMtgRatesDataTable825[[#This Row],[asOfDate]]+1,Bloomberg!B:C,2,0)</f>
        <v>1604.8</v>
      </c>
      <c r="H89" s="1">
        <v>41151</v>
      </c>
      <c r="I89" s="33">
        <v>0.86745968477328095</v>
      </c>
      <c r="O89" s="1">
        <v>41151</v>
      </c>
      <c r="P89" s="33">
        <v>0</v>
      </c>
    </row>
    <row r="90" spans="2:16">
      <c r="B90" s="98">
        <v>41935</v>
      </c>
      <c r="C90" s="99">
        <v>0.58902995061120811</v>
      </c>
      <c r="D90" s="99">
        <f>VLOOKUP(CurrentMtgRatesDataTable825[[#This Row],[asOfDate]],H:I,2,0)</f>
        <v>0.54838604953283498</v>
      </c>
      <c r="E90" s="99">
        <f>VLOOKUP(CurrentMtgRatesDataTable825[[#This Row],[asOfDate]],O:P,2,0)</f>
        <v>0.103644934949105</v>
      </c>
      <c r="F90" s="100">
        <f ca="1">VLOOKUP(CurrentMtgRatesDataTable825[[#This Row],[asOfDate]]+1,Bloomberg!B:C,2,0)</f>
        <v>1713.6</v>
      </c>
      <c r="H90" s="1">
        <v>41158</v>
      </c>
      <c r="I90" s="33">
        <v>0.854493626143913</v>
      </c>
      <c r="O90" s="1">
        <v>41158</v>
      </c>
      <c r="P90" s="33">
        <v>0</v>
      </c>
    </row>
    <row r="91" spans="2:16">
      <c r="B91" s="98">
        <v>41928</v>
      </c>
      <c r="C91" s="99">
        <v>0.57793839140083469</v>
      </c>
      <c r="D91" s="99">
        <f>VLOOKUP(CurrentMtgRatesDataTable825[[#This Row],[asOfDate]],H:I,2,0)</f>
        <v>0.51982909302980596</v>
      </c>
      <c r="E91" s="99">
        <f>VLOOKUP(CurrentMtgRatesDataTable825[[#This Row],[asOfDate]],O:P,2,0)</f>
        <v>9.0356790924596503E-2</v>
      </c>
      <c r="F91" s="100">
        <f ca="1">VLOOKUP(CurrentMtgRatesDataTable825[[#This Row],[asOfDate]]+1,Bloomberg!B:C,2,0)</f>
        <v>1898.2</v>
      </c>
      <c r="H91" s="1">
        <v>41165</v>
      </c>
      <c r="I91" s="33">
        <v>0.85731125996939705</v>
      </c>
      <c r="O91" s="1">
        <v>41165</v>
      </c>
      <c r="P91" s="33">
        <v>3.4287960012666001E-3</v>
      </c>
    </row>
    <row r="92" spans="2:16">
      <c r="B92" s="98">
        <v>41921</v>
      </c>
      <c r="C92" s="99">
        <v>0.4741591952243816</v>
      </c>
      <c r="D92" s="99">
        <f>VLOOKUP(CurrentMtgRatesDataTable825[[#This Row],[asOfDate]],H:I,2,0)</f>
        <v>0.45168042618119703</v>
      </c>
      <c r="E92" s="99">
        <f>VLOOKUP(CurrentMtgRatesDataTable825[[#This Row],[asOfDate]],O:P,2,0)</f>
        <v>1.00775509847578E-3</v>
      </c>
      <c r="F92" s="100">
        <f ca="1">VLOOKUP(CurrentMtgRatesDataTable825[[#This Row],[asOfDate]]+1,Bloomberg!B:C,2,0)</f>
        <v>1560.6</v>
      </c>
      <c r="H92" s="1">
        <v>41172</v>
      </c>
      <c r="I92" s="33">
        <v>0.87344930653794395</v>
      </c>
      <c r="O92" s="1">
        <v>41172</v>
      </c>
      <c r="P92" s="33">
        <v>0.87391634150534703</v>
      </c>
    </row>
    <row r="93" spans="2:16">
      <c r="B93" s="98">
        <v>41914</v>
      </c>
      <c r="C93" s="99">
        <v>0.43658809651451691</v>
      </c>
      <c r="D93" s="99">
        <f>VLOOKUP(CurrentMtgRatesDataTable825[[#This Row],[asOfDate]],H:I,2,0)</f>
        <v>0.419925946793896</v>
      </c>
      <c r="E93" s="99">
        <f>VLOOKUP(CurrentMtgRatesDataTable825[[#This Row],[asOfDate]],O:P,2,0)</f>
        <v>0</v>
      </c>
      <c r="F93" s="100">
        <f ca="1">VLOOKUP(CurrentMtgRatesDataTable825[[#This Row],[asOfDate]]+1,Bloomberg!B:C,2,0)</f>
        <v>1387.1</v>
      </c>
      <c r="H93" s="1">
        <v>41179</v>
      </c>
      <c r="I93" s="33">
        <v>0.91259028169208301</v>
      </c>
      <c r="O93" s="1">
        <v>41179</v>
      </c>
      <c r="P93" s="33">
        <v>0.91307424668051995</v>
      </c>
    </row>
    <row r="94" spans="2:16">
      <c r="B94" s="98">
        <v>41907</v>
      </c>
      <c r="C94" s="99">
        <v>0.41765287093842862</v>
      </c>
      <c r="D94" s="99">
        <f>VLOOKUP(CurrentMtgRatesDataTable825[[#This Row],[asOfDate]],H:I,2,0)</f>
        <v>0.40569534905697002</v>
      </c>
      <c r="E94" s="99">
        <f>VLOOKUP(CurrentMtgRatesDataTable825[[#This Row],[asOfDate]],O:P,2,0)</f>
        <v>0</v>
      </c>
      <c r="F94" s="100">
        <f ca="1">VLOOKUP(CurrentMtgRatesDataTable825[[#This Row],[asOfDate]]+1,Bloomberg!B:C,2,0)</f>
        <v>1326.2</v>
      </c>
      <c r="H94" s="1">
        <v>41186</v>
      </c>
      <c r="I94" s="33">
        <v>0.89522709255279198</v>
      </c>
      <c r="O94" s="1">
        <v>41186</v>
      </c>
      <c r="P94" s="33">
        <v>0.89337068210282</v>
      </c>
    </row>
    <row r="95" spans="2:16">
      <c r="B95" s="98">
        <v>41900</v>
      </c>
      <c r="C95" s="99">
        <v>0.4028098229838899</v>
      </c>
      <c r="D95" s="99">
        <f>VLOOKUP(CurrentMtgRatesDataTable825[[#This Row],[asOfDate]],H:I,2,0)</f>
        <v>0.403775681059653</v>
      </c>
      <c r="E95" s="99">
        <f>VLOOKUP(CurrentMtgRatesDataTable825[[#This Row],[asOfDate]],O:P,2,0)</f>
        <v>0</v>
      </c>
      <c r="F95" s="100">
        <f ca="1">VLOOKUP(CurrentMtgRatesDataTable825[[#This Row],[asOfDate]]+1,Bloomberg!B:C,2,0)</f>
        <v>1335.1</v>
      </c>
      <c r="H95" s="1">
        <v>41193</v>
      </c>
      <c r="I95" s="33">
        <v>0.87811016351224602</v>
      </c>
      <c r="O95" s="1">
        <v>41193</v>
      </c>
      <c r="P95" s="33">
        <v>0</v>
      </c>
    </row>
    <row r="96" spans="2:16">
      <c r="B96" s="98">
        <v>41893</v>
      </c>
      <c r="C96" s="99">
        <v>0.47788907778136447</v>
      </c>
      <c r="D96" s="99">
        <f>VLOOKUP(CurrentMtgRatesDataTable825[[#This Row],[asOfDate]],H:I,2,0)</f>
        <v>0.45995272695767497</v>
      </c>
      <c r="E96" s="99">
        <f>VLOOKUP(CurrentMtgRatesDataTable825[[#This Row],[asOfDate]],O:P,2,0)</f>
        <v>0</v>
      </c>
      <c r="F96" s="100">
        <f ca="1">VLOOKUP(CurrentMtgRatesDataTable825[[#This Row],[asOfDate]]+1,Bloomberg!B:C,2,0)</f>
        <v>1398.4</v>
      </c>
      <c r="H96" s="1">
        <v>41200</v>
      </c>
      <c r="I96" s="33">
        <v>0.89368551357821302</v>
      </c>
      <c r="O96" s="1">
        <v>41200</v>
      </c>
      <c r="P96" s="33">
        <v>0</v>
      </c>
    </row>
    <row r="97" spans="2:16">
      <c r="B97" s="98">
        <v>41886</v>
      </c>
      <c r="C97" s="99">
        <v>0.49084413664233395</v>
      </c>
      <c r="D97" s="99">
        <f>VLOOKUP(CurrentMtgRatesDataTable825[[#This Row],[asOfDate]],H:I,2,0)</f>
        <v>0.46145357757128402</v>
      </c>
      <c r="E97" s="99">
        <f>VLOOKUP(CurrentMtgRatesDataTable825[[#This Row],[asOfDate]],O:P,2,0)</f>
        <v>0</v>
      </c>
      <c r="F97" s="100">
        <f ca="1">VLOOKUP(CurrentMtgRatesDataTable825[[#This Row],[asOfDate]]+1,Bloomberg!B:C,2,0)</f>
        <v>1275.8</v>
      </c>
      <c r="H97" s="1">
        <v>41207</v>
      </c>
      <c r="I97" s="33">
        <v>0.87683234085301398</v>
      </c>
      <c r="O97" s="1">
        <v>41207</v>
      </c>
      <c r="P97" s="33">
        <v>0</v>
      </c>
    </row>
    <row r="98" spans="2:16">
      <c r="B98" s="98">
        <v>41879</v>
      </c>
      <c r="C98" s="99">
        <v>0.49450426590474372</v>
      </c>
      <c r="D98" s="99">
        <f>VLOOKUP(CurrentMtgRatesDataTable825[[#This Row],[asOfDate]],H:I,2,0)</f>
        <v>0.46725416935729103</v>
      </c>
      <c r="E98" s="99">
        <f>VLOOKUP(CurrentMtgRatesDataTable825[[#This Row],[asOfDate]],O:P,2,0)</f>
        <v>0</v>
      </c>
      <c r="F98" s="100">
        <f ca="1">VLOOKUP(CurrentMtgRatesDataTable825[[#This Row],[asOfDate]]+1,Bloomberg!B:C,2,0)</f>
        <v>1436</v>
      </c>
      <c r="H98" s="1">
        <v>41214</v>
      </c>
      <c r="I98" s="33">
        <v>0.85225052894835196</v>
      </c>
      <c r="O98" s="1">
        <v>41214</v>
      </c>
      <c r="P98" s="33">
        <v>0</v>
      </c>
    </row>
    <row r="99" spans="2:16">
      <c r="B99" s="98">
        <v>41872</v>
      </c>
      <c r="C99" s="99">
        <v>0.49450426590474372</v>
      </c>
      <c r="D99" s="99">
        <f>VLOOKUP(CurrentMtgRatesDataTable825[[#This Row],[asOfDate]],H:I,2,0)</f>
        <v>0.46725416935729103</v>
      </c>
      <c r="E99" s="99">
        <f>VLOOKUP(CurrentMtgRatesDataTable825[[#This Row],[asOfDate]],O:P,2,0)</f>
        <v>5.44200843584444E-2</v>
      </c>
      <c r="F99" s="100">
        <f ca="1">VLOOKUP(CurrentMtgRatesDataTable825[[#This Row],[asOfDate]]+1,Bloomberg!B:C,2,0)</f>
        <v>1439.4</v>
      </c>
      <c r="H99" s="1">
        <v>41221</v>
      </c>
      <c r="I99" s="33">
        <v>0.85194480836680198</v>
      </c>
      <c r="O99" s="1">
        <v>41221</v>
      </c>
      <c r="P99" s="33">
        <v>0</v>
      </c>
    </row>
    <row r="100" spans="2:16">
      <c r="B100" s="98">
        <v>41865</v>
      </c>
      <c r="C100" s="99">
        <v>0.45923072088835232</v>
      </c>
      <c r="D100" s="99">
        <f>VLOOKUP(CurrentMtgRatesDataTable825[[#This Row],[asOfDate]],H:I,2,0)</f>
        <v>0.437009219217877</v>
      </c>
      <c r="E100" s="99">
        <f>VLOOKUP(CurrentMtgRatesDataTable825[[#This Row],[asOfDate]],O:P,2,0)</f>
        <v>5.9130346511517896E-4</v>
      </c>
      <c r="F100" s="100">
        <f ca="1">VLOOKUP(CurrentMtgRatesDataTable825[[#This Row],[asOfDate]]+1,Bloomberg!B:C,2,0)</f>
        <v>1404.9</v>
      </c>
      <c r="H100" s="1">
        <v>41228</v>
      </c>
      <c r="I100" s="33">
        <v>0.86999483052125803</v>
      </c>
      <c r="O100" s="1">
        <v>41228</v>
      </c>
      <c r="P100" s="33">
        <v>3.6805392889150699E-3</v>
      </c>
    </row>
    <row r="101" spans="2:16">
      <c r="B101" s="98">
        <v>41858</v>
      </c>
      <c r="C101" s="99">
        <v>0.42761316319375164</v>
      </c>
      <c r="D101" s="99">
        <f>VLOOKUP(CurrentMtgRatesDataTable825[[#This Row],[asOfDate]],H:I,2,0)</f>
        <v>0.41284557270170602</v>
      </c>
      <c r="E101" s="99">
        <f>VLOOKUP(CurrentMtgRatesDataTable825[[#This Row],[asOfDate]],O:P,2,0)</f>
        <v>0</v>
      </c>
      <c r="F101" s="100">
        <f ca="1">VLOOKUP(CurrentMtgRatesDataTable825[[#This Row],[asOfDate]]+1,Bloomberg!B:C,2,0)</f>
        <v>1342.6</v>
      </c>
      <c r="H101" s="1">
        <v>41234</v>
      </c>
      <c r="I101" s="33">
        <v>0.88773399472374204</v>
      </c>
      <c r="O101" s="1">
        <v>41234</v>
      </c>
      <c r="P101" s="33">
        <v>0.88870182147749199</v>
      </c>
    </row>
    <row r="102" spans="2:16">
      <c r="B102" s="98">
        <v>41851</v>
      </c>
      <c r="C102" s="99">
        <v>0.46227032845945415</v>
      </c>
      <c r="D102" s="99">
        <f>VLOOKUP(CurrentMtgRatesDataTable825[[#This Row],[asOfDate]],H:I,2,0)</f>
        <v>0.44366576481104603</v>
      </c>
      <c r="E102" s="99">
        <f>VLOOKUP(CurrentMtgRatesDataTable825[[#This Row],[asOfDate]],O:P,2,0)</f>
        <v>0</v>
      </c>
      <c r="F102" s="100">
        <f ca="1">VLOOKUP(CurrentMtgRatesDataTable825[[#This Row],[asOfDate]]+1,Bloomberg!B:C,2,0)</f>
        <v>1373.9</v>
      </c>
      <c r="H102" s="1">
        <v>41242</v>
      </c>
      <c r="I102" s="33">
        <v>0.86996445945149903</v>
      </c>
      <c r="O102" s="1">
        <v>41242</v>
      </c>
      <c r="P102" s="33">
        <v>0</v>
      </c>
    </row>
    <row r="103" spans="2:16">
      <c r="B103" s="98">
        <v>41844</v>
      </c>
      <c r="C103" s="99">
        <v>0.45404122340567382</v>
      </c>
      <c r="D103" s="99">
        <f>VLOOKUP(CurrentMtgRatesDataTable825[[#This Row],[asOfDate]],H:I,2,0)</f>
        <v>0.44241787954298001</v>
      </c>
      <c r="E103" s="99">
        <f>VLOOKUP(CurrentMtgRatesDataTable825[[#This Row],[asOfDate]],O:P,2,0)</f>
        <v>0</v>
      </c>
      <c r="F103" s="100">
        <f ca="1">VLOOKUP(CurrentMtgRatesDataTable825[[#This Row],[asOfDate]]+1,Bloomberg!B:C,2,0)</f>
        <v>1327.5</v>
      </c>
      <c r="H103" s="1">
        <v>41249</v>
      </c>
      <c r="I103" s="33">
        <v>0.85662578219432695</v>
      </c>
      <c r="O103" s="1">
        <v>41249</v>
      </c>
      <c r="P103" s="33">
        <v>0</v>
      </c>
    </row>
    <row r="104" spans="2:16">
      <c r="B104" s="98">
        <v>41837</v>
      </c>
      <c r="C104" s="99">
        <v>0.45404122340567382</v>
      </c>
      <c r="D104" s="99">
        <f>VLOOKUP(CurrentMtgRatesDataTable825[[#This Row],[asOfDate]],H:I,2,0)</f>
        <v>0.44241787954298001</v>
      </c>
      <c r="E104" s="99">
        <f>VLOOKUP(CurrentMtgRatesDataTable825[[#This Row],[asOfDate]],O:P,2,0)</f>
        <v>0</v>
      </c>
      <c r="F104" s="100">
        <f ca="1">VLOOKUP(CurrentMtgRatesDataTable825[[#This Row],[asOfDate]]+1,Bloomberg!B:C,2,0)</f>
        <v>1400.7</v>
      </c>
      <c r="H104" s="1">
        <v>41256</v>
      </c>
      <c r="I104" s="33">
        <v>0.87412257034895602</v>
      </c>
      <c r="O104" s="1">
        <v>41256</v>
      </c>
      <c r="P104" s="33">
        <v>1.92397129365898E-3</v>
      </c>
    </row>
    <row r="105" spans="2:16">
      <c r="B105" s="98">
        <v>41830</v>
      </c>
      <c r="C105" s="99">
        <v>0.42364839961947226</v>
      </c>
      <c r="D105" s="99">
        <f>VLOOKUP(CurrentMtgRatesDataTable825[[#This Row],[asOfDate]],H:I,2,0)</f>
        <v>0.41926854513922601</v>
      </c>
      <c r="E105" s="99">
        <f>VLOOKUP(CurrentMtgRatesDataTable825[[#This Row],[asOfDate]],O:P,2,0)</f>
        <v>0</v>
      </c>
      <c r="F105" s="100">
        <f ca="1">VLOOKUP(CurrentMtgRatesDataTable825[[#This Row],[asOfDate]]+1,Bloomberg!B:C,2,0)</f>
        <v>1329.7</v>
      </c>
      <c r="H105" s="1">
        <v>41263</v>
      </c>
      <c r="I105" s="33">
        <v>0.85522983991809798</v>
      </c>
      <c r="O105" s="1">
        <v>41263</v>
      </c>
      <c r="P105" s="33">
        <v>0</v>
      </c>
    </row>
    <row r="106" spans="2:16">
      <c r="B106" s="98">
        <v>41823</v>
      </c>
      <c r="C106" s="99">
        <v>0.48442990028209243</v>
      </c>
      <c r="D106" s="99">
        <f>VLOOKUP(CurrentMtgRatesDataTable825[[#This Row],[asOfDate]],H:I,2,0)</f>
        <v>0.47241973099249801</v>
      </c>
      <c r="E106" s="99">
        <f>VLOOKUP(CurrentMtgRatesDataTable825[[#This Row],[asOfDate]],O:P,2,0)</f>
        <v>4.9242422986382497E-2</v>
      </c>
      <c r="F106" s="100">
        <f ca="1">VLOOKUP(CurrentMtgRatesDataTable825[[#This Row],[asOfDate]]+1,Bloomberg!B:C,2,0)</f>
        <v>1346.8</v>
      </c>
      <c r="H106" s="1">
        <v>41270</v>
      </c>
      <c r="I106" s="33">
        <v>0.85626060279274896</v>
      </c>
      <c r="O106" s="1">
        <v>41270</v>
      </c>
      <c r="P106" s="33">
        <v>0</v>
      </c>
    </row>
    <row r="107" spans="2:16">
      <c r="B107" s="98">
        <v>41816</v>
      </c>
      <c r="C107" s="99">
        <v>0.47018466104096124</v>
      </c>
      <c r="D107" s="99">
        <f>VLOOKUP(CurrentMtgRatesDataTable825[[#This Row],[asOfDate]],H:I,2,0)</f>
        <v>0.447997908024105</v>
      </c>
      <c r="E107" s="99">
        <f>VLOOKUP(CurrentMtgRatesDataTable825[[#This Row],[asOfDate]],O:P,2,0)</f>
        <v>0</v>
      </c>
      <c r="F107" s="100">
        <f ca="1">VLOOKUP(CurrentMtgRatesDataTable825[[#This Row],[asOfDate]]+1,Bloomberg!B:C,2,0)</f>
        <v>1341.8</v>
      </c>
      <c r="H107" s="1">
        <v>41277</v>
      </c>
      <c r="I107" s="33">
        <v>0.83696581575361895</v>
      </c>
      <c r="O107" s="1">
        <v>41277</v>
      </c>
      <c r="P107" s="33">
        <v>0</v>
      </c>
    </row>
    <row r="108" spans="2:16">
      <c r="B108" s="98">
        <v>41809</v>
      </c>
      <c r="C108" s="99">
        <v>0.42786281792681791</v>
      </c>
      <c r="D108" s="99">
        <f>VLOOKUP(CurrentMtgRatesDataTable825[[#This Row],[asOfDate]],H:I,2,0)</f>
        <v>0.42434402519227898</v>
      </c>
      <c r="E108" s="99">
        <f>VLOOKUP(CurrentMtgRatesDataTable825[[#This Row],[asOfDate]],O:P,2,0)</f>
        <v>0</v>
      </c>
      <c r="F108" s="100">
        <f ca="1">VLOOKUP(CurrentMtgRatesDataTable825[[#This Row],[asOfDate]]+1,Bloomberg!B:C,2,0)</f>
        <v>1333.5</v>
      </c>
      <c r="H108" s="1">
        <v>41284</v>
      </c>
      <c r="I108" s="33">
        <v>0.81798384699460103</v>
      </c>
      <c r="O108" s="1">
        <v>41284</v>
      </c>
      <c r="P108" s="33">
        <v>0</v>
      </c>
    </row>
    <row r="109" spans="2:16">
      <c r="B109" s="98">
        <v>41802</v>
      </c>
      <c r="C109" s="99">
        <v>0.4132153406951769</v>
      </c>
      <c r="D109" s="99">
        <f>VLOOKUP(CurrentMtgRatesDataTable825[[#This Row],[asOfDate]],H:I,2,0)</f>
        <v>0.42258598579352902</v>
      </c>
      <c r="E109" s="99">
        <f>VLOOKUP(CurrentMtgRatesDataTable825[[#This Row],[asOfDate]],O:P,2,0)</f>
        <v>0</v>
      </c>
      <c r="F109" s="100">
        <f ca="1">VLOOKUP(CurrentMtgRatesDataTable825[[#This Row],[asOfDate]]+1,Bloomberg!B:C,2,0)</f>
        <v>1321.3</v>
      </c>
      <c r="H109" s="1">
        <v>41291</v>
      </c>
      <c r="I109" s="33">
        <v>0.83503612629874802</v>
      </c>
      <c r="O109" s="1">
        <v>41291</v>
      </c>
      <c r="P109" s="33">
        <v>0</v>
      </c>
    </row>
    <row r="110" spans="2:16">
      <c r="B110" s="98">
        <v>41795</v>
      </c>
      <c r="C110" s="99">
        <v>0.47018466104096124</v>
      </c>
      <c r="D110" s="99">
        <f>VLOOKUP(CurrentMtgRatesDataTable825[[#This Row],[asOfDate]],H:I,2,0)</f>
        <v>0.447997908024105</v>
      </c>
      <c r="E110" s="99">
        <f>VLOOKUP(CurrentMtgRatesDataTable825[[#This Row],[asOfDate]],O:P,2,0)</f>
        <v>3.2896088379140397E-2</v>
      </c>
      <c r="F110" s="100">
        <f ca="1">VLOOKUP(CurrentMtgRatesDataTable825[[#This Row],[asOfDate]]+1,Bloomberg!B:C,2,0)</f>
        <v>1516.9</v>
      </c>
      <c r="H110" s="1">
        <v>41298</v>
      </c>
      <c r="I110" s="33">
        <v>0.81634992305868503</v>
      </c>
      <c r="O110" s="1">
        <v>41298</v>
      </c>
      <c r="P110" s="33">
        <v>0</v>
      </c>
    </row>
    <row r="111" spans="2:16">
      <c r="B111" s="98">
        <v>41788</v>
      </c>
      <c r="C111" s="99">
        <v>0.46212093229047874</v>
      </c>
      <c r="D111" s="99">
        <f>VLOOKUP(CurrentMtgRatesDataTable825[[#This Row],[asOfDate]],H:I,2,0)</f>
        <v>0.44740081291084099</v>
      </c>
      <c r="E111" s="99">
        <f>VLOOKUP(CurrentMtgRatesDataTable825[[#This Row],[asOfDate]],O:P,2,0)</f>
        <v>2.8641136811507002E-2</v>
      </c>
      <c r="F111" s="100">
        <f ca="1">VLOOKUP(CurrentMtgRatesDataTable825[[#This Row],[asOfDate]]+1,Bloomberg!B:C,2,0)</f>
        <v>1382.6</v>
      </c>
      <c r="H111" s="1">
        <v>41305</v>
      </c>
      <c r="I111" s="33">
        <v>0.77322369572310801</v>
      </c>
      <c r="O111" s="1">
        <v>41305</v>
      </c>
      <c r="P111" s="33">
        <v>0</v>
      </c>
    </row>
    <row r="112" spans="2:16">
      <c r="B112" s="98">
        <v>41781</v>
      </c>
      <c r="C112" s="99">
        <v>0.44690273635148237</v>
      </c>
      <c r="D112" s="99">
        <f>VLOOKUP(CurrentMtgRatesDataTable825[[#This Row],[asOfDate]],H:I,2,0)</f>
        <v>0.44562837110466802</v>
      </c>
      <c r="E112" s="99">
        <f>VLOOKUP(CurrentMtgRatesDataTable825[[#This Row],[asOfDate]],O:P,2,0)</f>
        <v>1.7600292816905099E-2</v>
      </c>
      <c r="F112" s="100">
        <f ca="1">VLOOKUP(CurrentMtgRatesDataTable825[[#This Row],[asOfDate]]+1,Bloomberg!B:C,2,0)</f>
        <v>1453.4</v>
      </c>
      <c r="H112" s="1">
        <v>41312</v>
      </c>
      <c r="I112" s="33">
        <v>0.75155379277106704</v>
      </c>
      <c r="O112" s="1">
        <v>41312</v>
      </c>
      <c r="P112" s="33">
        <v>0</v>
      </c>
    </row>
    <row r="113" spans="2:16">
      <c r="B113" s="98">
        <v>41774</v>
      </c>
      <c r="C113" s="99">
        <v>0.41535226346324033</v>
      </c>
      <c r="D113" s="99">
        <f>VLOOKUP(CurrentMtgRatesDataTable825[[#This Row],[asOfDate]],H:I,2,0)</f>
        <v>0.42349289634896597</v>
      </c>
      <c r="E113" s="99">
        <f>VLOOKUP(CurrentMtgRatesDataTable825[[#This Row],[asOfDate]],O:P,2,0)</f>
        <v>1.3390108612719401E-2</v>
      </c>
      <c r="F113" s="100">
        <f ca="1">VLOOKUP(CurrentMtgRatesDataTable825[[#This Row],[asOfDate]]+1,Bloomberg!B:C,2,0)</f>
        <v>1460.6</v>
      </c>
      <c r="H113" s="1">
        <v>41319</v>
      </c>
      <c r="I113" s="33">
        <v>0.75155379277106704</v>
      </c>
      <c r="O113" s="1">
        <v>41319</v>
      </c>
      <c r="P113" s="33">
        <v>5.4993651942507197E-4</v>
      </c>
    </row>
    <row r="114" spans="2:16">
      <c r="B114" s="98">
        <v>41767</v>
      </c>
      <c r="C114" s="99">
        <v>0.41189601141635707</v>
      </c>
      <c r="D114" s="99">
        <f>VLOOKUP(CurrentMtgRatesDataTable825[[#This Row],[asOfDate]],H:I,2,0)</f>
        <v>0.42315654967107302</v>
      </c>
      <c r="E114" s="99">
        <f>VLOOKUP(CurrentMtgRatesDataTable825[[#This Row],[asOfDate]],O:P,2,0)</f>
        <v>1.33698656511534E-2</v>
      </c>
      <c r="F114" s="100">
        <f ca="1">VLOOKUP(CurrentMtgRatesDataTable825[[#This Row],[asOfDate]]+1,Bloomberg!B:C,2,0)</f>
        <v>1400.9</v>
      </c>
      <c r="H114" s="1">
        <v>41326</v>
      </c>
      <c r="I114" s="33">
        <v>0.73462902469773095</v>
      </c>
      <c r="O114" s="1">
        <v>41326</v>
      </c>
      <c r="P114" s="33">
        <v>0</v>
      </c>
    </row>
    <row r="115" spans="2:16">
      <c r="B115" s="98">
        <v>41760</v>
      </c>
      <c r="C115" s="99">
        <v>0.37749232793152004</v>
      </c>
      <c r="D115" s="99">
        <f>VLOOKUP(CurrentMtgRatesDataTable825[[#This Row],[asOfDate]],H:I,2,0)</f>
        <v>0.37348002875422498</v>
      </c>
      <c r="E115" s="99">
        <f>VLOOKUP(CurrentMtgRatesDataTable825[[#This Row],[asOfDate]],O:P,2,0)</f>
        <v>0</v>
      </c>
      <c r="F115" s="100">
        <f ca="1">VLOOKUP(CurrentMtgRatesDataTable825[[#This Row],[asOfDate]]+1,Bloomberg!B:C,2,0)</f>
        <v>1323.9</v>
      </c>
      <c r="H115" s="1">
        <v>41333</v>
      </c>
      <c r="I115" s="33">
        <v>0.75332777657917305</v>
      </c>
      <c r="O115" s="1">
        <v>41333</v>
      </c>
      <c r="P115" s="33">
        <v>5.5309707563809801E-4</v>
      </c>
    </row>
    <row r="116" spans="2:16">
      <c r="B116" s="98">
        <v>41753</v>
      </c>
      <c r="C116" s="99">
        <v>0.37795299805706567</v>
      </c>
      <c r="D116" s="99">
        <f>VLOOKUP(CurrentMtgRatesDataTable825[[#This Row],[asOfDate]],H:I,2,0)</f>
        <v>0.37394334466633</v>
      </c>
      <c r="E116" s="99">
        <f>VLOOKUP(CurrentMtgRatesDataTable825[[#This Row],[asOfDate]],O:P,2,0)</f>
        <v>0</v>
      </c>
      <c r="F116" s="100">
        <f ca="1">VLOOKUP(CurrentMtgRatesDataTable825[[#This Row],[asOfDate]]+1,Bloomberg!B:C,2,0)</f>
        <v>1298.0999999999999</v>
      </c>
      <c r="H116" s="1">
        <v>41340</v>
      </c>
      <c r="I116" s="33">
        <v>0.731898053840778</v>
      </c>
      <c r="O116" s="1">
        <v>41340</v>
      </c>
      <c r="P116" s="33">
        <v>7.62863846133132E-4</v>
      </c>
    </row>
    <row r="117" spans="2:16">
      <c r="B117" s="98">
        <v>41746</v>
      </c>
      <c r="C117" s="99">
        <v>0.38501077847486359</v>
      </c>
      <c r="D117" s="99">
        <f>VLOOKUP(CurrentMtgRatesDataTable825[[#This Row],[asOfDate]],H:I,2,0)</f>
        <v>0.37550642358643799</v>
      </c>
      <c r="E117" s="99">
        <f>VLOOKUP(CurrentMtgRatesDataTable825[[#This Row],[asOfDate]],O:P,2,0)</f>
        <v>1.3569924293908599E-3</v>
      </c>
      <c r="F117" s="100">
        <f ca="1">VLOOKUP(CurrentMtgRatesDataTable825[[#This Row],[asOfDate]]+1,Bloomberg!B:C,2,0)</f>
        <v>1370.9</v>
      </c>
      <c r="H117" s="1">
        <v>41347</v>
      </c>
      <c r="I117" s="33">
        <v>0.69793386100167498</v>
      </c>
      <c r="O117" s="1">
        <v>41347</v>
      </c>
      <c r="P117" s="33">
        <v>0</v>
      </c>
    </row>
    <row r="118" spans="2:16">
      <c r="B118" s="98">
        <v>41739</v>
      </c>
      <c r="C118" s="99">
        <v>0.37093015775517096</v>
      </c>
      <c r="D118" s="99">
        <f>VLOOKUP(CurrentMtgRatesDataTable825[[#This Row],[asOfDate]],H:I,2,0)</f>
        <v>0.34451093908200903</v>
      </c>
      <c r="E118" s="99">
        <f>VLOOKUP(CurrentMtgRatesDataTable825[[#This Row],[asOfDate]],O:P,2,0)</f>
        <v>3.2608018628066501E-4</v>
      </c>
      <c r="F118" s="100">
        <f ca="1">VLOOKUP(CurrentMtgRatesDataTable825[[#This Row],[asOfDate]]+1,Bloomberg!B:C,2,0)</f>
        <v>1429.9</v>
      </c>
      <c r="H118" s="1">
        <v>41354</v>
      </c>
      <c r="I118" s="33">
        <v>0.72870485724391698</v>
      </c>
      <c r="O118" s="1">
        <v>41354</v>
      </c>
      <c r="P118" s="33">
        <v>0</v>
      </c>
    </row>
    <row r="119" spans="2:16">
      <c r="B119" s="98">
        <v>41732</v>
      </c>
      <c r="C119" s="99">
        <v>0.35962750862378579</v>
      </c>
      <c r="D119" s="99">
        <f>VLOOKUP(CurrentMtgRatesDataTable825[[#This Row],[asOfDate]],H:I,2,0)</f>
        <v>0.31383635422742501</v>
      </c>
      <c r="E119" s="99">
        <f>VLOOKUP(CurrentMtgRatesDataTable825[[#This Row],[asOfDate]],O:P,2,0)</f>
        <v>0</v>
      </c>
      <c r="F119" s="100">
        <f ca="1">VLOOKUP(CurrentMtgRatesDataTable825[[#This Row],[asOfDate]]+1,Bloomberg!B:C,2,0)</f>
        <v>1324.7</v>
      </c>
      <c r="H119" s="1">
        <v>41361</v>
      </c>
      <c r="I119" s="33">
        <v>0.712062870316722</v>
      </c>
      <c r="O119" s="1">
        <v>41361</v>
      </c>
      <c r="P119" s="33">
        <v>0</v>
      </c>
    </row>
    <row r="120" spans="2:16">
      <c r="B120" s="98">
        <v>41725</v>
      </c>
      <c r="C120" s="99">
        <v>0.36918426917853386</v>
      </c>
      <c r="D120" s="99">
        <f>VLOOKUP(CurrentMtgRatesDataTable825[[#This Row],[asOfDate]],H:I,2,0)</f>
        <v>0.34373332978073601</v>
      </c>
      <c r="E120" s="99">
        <f>VLOOKUP(CurrentMtgRatesDataTable825[[#This Row],[asOfDate]],O:P,2,0)</f>
        <v>0</v>
      </c>
      <c r="F120" s="100">
        <f ca="1">VLOOKUP(CurrentMtgRatesDataTable825[[#This Row],[asOfDate]]+1,Bloomberg!B:C,2,0)</f>
        <v>1383.5</v>
      </c>
      <c r="H120" s="1">
        <v>41368</v>
      </c>
      <c r="I120" s="33">
        <v>0.71361316522728502</v>
      </c>
      <c r="O120" s="1">
        <v>41368</v>
      </c>
      <c r="P120" s="33">
        <v>0</v>
      </c>
    </row>
    <row r="121" spans="2:16">
      <c r="B121" s="98">
        <v>41718</v>
      </c>
      <c r="C121" s="99">
        <v>0.38281318096373629</v>
      </c>
      <c r="D121" s="99">
        <f>VLOOKUP(CurrentMtgRatesDataTable825[[#This Row],[asOfDate]],H:I,2,0)</f>
        <v>0.37475184713589199</v>
      </c>
      <c r="E121" s="99">
        <f>VLOOKUP(CurrentMtgRatesDataTable825[[#This Row],[asOfDate]],O:P,2,0)</f>
        <v>0</v>
      </c>
      <c r="F121" s="100">
        <f ca="1">VLOOKUP(CurrentMtgRatesDataTable825[[#This Row],[asOfDate]]+1,Bloomberg!B:C,2,0)</f>
        <v>1426.3</v>
      </c>
      <c r="H121" s="1">
        <v>41375</v>
      </c>
      <c r="I121" s="33">
        <v>0.73719138808657003</v>
      </c>
      <c r="O121" s="1">
        <v>41375</v>
      </c>
      <c r="P121" s="33">
        <v>3.9681299102296798E-3</v>
      </c>
    </row>
    <row r="122" spans="2:16">
      <c r="B122" s="98">
        <v>41711</v>
      </c>
      <c r="C122" s="99">
        <v>0.37243700930193413</v>
      </c>
      <c r="D122" s="99">
        <f>VLOOKUP(CurrentMtgRatesDataTable825[[#This Row],[asOfDate]],H:I,2,0)</f>
        <v>0.34537825411835699</v>
      </c>
      <c r="E122" s="99">
        <f>VLOOKUP(CurrentMtgRatesDataTable825[[#This Row],[asOfDate]],O:P,2,0)</f>
        <v>0</v>
      </c>
      <c r="F122" s="100">
        <f ca="1">VLOOKUP(CurrentMtgRatesDataTable825[[#This Row],[asOfDate]]+1,Bloomberg!B:C,2,0)</f>
        <v>1552.1</v>
      </c>
      <c r="H122" s="1">
        <v>41382</v>
      </c>
      <c r="I122" s="33">
        <v>0.76108985756873504</v>
      </c>
      <c r="O122" s="1">
        <v>41382</v>
      </c>
      <c r="P122" s="33">
        <v>5.4959854023419203E-3</v>
      </c>
    </row>
    <row r="123" spans="2:16">
      <c r="B123" s="98">
        <v>41704</v>
      </c>
      <c r="C123" s="99">
        <v>0.38532630107916044</v>
      </c>
      <c r="D123" s="99">
        <f>VLOOKUP(CurrentMtgRatesDataTable825[[#This Row],[asOfDate]],H:I,2,0)</f>
        <v>0.37584545219724702</v>
      </c>
      <c r="E123" s="99">
        <f>VLOOKUP(CurrentMtgRatesDataTable825[[#This Row],[asOfDate]],O:P,2,0)</f>
        <v>0</v>
      </c>
      <c r="F123" s="100">
        <f ca="1">VLOOKUP(CurrentMtgRatesDataTable825[[#This Row],[asOfDate]]+1,Bloomberg!B:C,2,0)</f>
        <v>1528</v>
      </c>
      <c r="H123" s="1">
        <v>41389</v>
      </c>
      <c r="I123" s="33">
        <v>0.759939269856726</v>
      </c>
      <c r="O123" s="1">
        <v>41389</v>
      </c>
      <c r="P123" s="33">
        <v>0</v>
      </c>
    </row>
    <row r="124" spans="2:16">
      <c r="B124" s="98">
        <v>41697</v>
      </c>
      <c r="C124" s="99">
        <v>0.37411351911497304</v>
      </c>
      <c r="D124" s="99">
        <f>VLOOKUP(CurrentMtgRatesDataTable825[[#This Row],[asOfDate]],H:I,2,0)</f>
        <v>0.34853875137296803</v>
      </c>
      <c r="E124" s="99">
        <f>VLOOKUP(CurrentMtgRatesDataTable825[[#This Row],[asOfDate]],O:P,2,0)</f>
        <v>0</v>
      </c>
      <c r="F124" s="100">
        <f ca="1">VLOOKUP(CurrentMtgRatesDataTable825[[#This Row],[asOfDate]]+1,Bloomberg!B:C,2,0)</f>
        <v>1600.6</v>
      </c>
      <c r="H124" s="1">
        <v>41396</v>
      </c>
      <c r="I124" s="33">
        <v>0.77520531199879605</v>
      </c>
      <c r="O124" s="1">
        <v>41396</v>
      </c>
      <c r="P124" s="33">
        <v>9.3714860500272602E-3</v>
      </c>
    </row>
    <row r="125" spans="2:16">
      <c r="B125" s="98">
        <v>41690</v>
      </c>
      <c r="C125" s="99">
        <v>0.37945519055423005</v>
      </c>
      <c r="D125" s="99">
        <f>VLOOKUP(CurrentMtgRatesDataTable825[[#This Row],[asOfDate]],H:I,2,0)</f>
        <v>0.35043602810261099</v>
      </c>
      <c r="E125" s="99">
        <f>VLOOKUP(CurrentMtgRatesDataTable825[[#This Row],[asOfDate]],O:P,2,0)</f>
        <v>0</v>
      </c>
      <c r="F125" s="100">
        <f ca="1">VLOOKUP(CurrentMtgRatesDataTable825[[#This Row],[asOfDate]]+1,Bloomberg!B:C,2,0)</f>
        <v>1442.3</v>
      </c>
      <c r="H125" s="1">
        <v>41403</v>
      </c>
      <c r="I125" s="33">
        <v>0.75094523370436095</v>
      </c>
      <c r="O125" s="1">
        <v>41403</v>
      </c>
      <c r="P125" s="33">
        <v>0</v>
      </c>
    </row>
    <row r="126" spans="2:16">
      <c r="B126" s="98">
        <v>41683</v>
      </c>
      <c r="C126" s="99">
        <v>0.38811614070914796</v>
      </c>
      <c r="D126" s="99">
        <f>VLOOKUP(CurrentMtgRatesDataTable825[[#This Row],[asOfDate]],H:I,2,0)</f>
        <v>0.380280894786581</v>
      </c>
      <c r="E126" s="99">
        <f>VLOOKUP(CurrentMtgRatesDataTable825[[#This Row],[asOfDate]],O:P,2,0)</f>
        <v>0</v>
      </c>
      <c r="F126" s="100">
        <f ca="1">VLOOKUP(CurrentMtgRatesDataTable825[[#This Row],[asOfDate]]+1,Bloomberg!B:C,2,0)</f>
        <v>1650.6</v>
      </c>
      <c r="H126" s="1">
        <v>41410</v>
      </c>
      <c r="I126" s="33">
        <v>0.72159050384319001</v>
      </c>
      <c r="O126" s="1">
        <v>41410</v>
      </c>
      <c r="P126" s="33">
        <v>0</v>
      </c>
    </row>
    <row r="127" spans="2:16">
      <c r="B127" s="98">
        <v>41676</v>
      </c>
      <c r="C127" s="99">
        <v>0.40297154475851232</v>
      </c>
      <c r="D127" s="99">
        <f>VLOOKUP(CurrentMtgRatesDataTable825[[#This Row],[asOfDate]],H:I,2,0)</f>
        <v>0.407383000493176</v>
      </c>
      <c r="E127" s="99">
        <f>VLOOKUP(CurrentMtgRatesDataTable825[[#This Row],[asOfDate]],O:P,2,0)</f>
        <v>1.56502134325395E-3</v>
      </c>
      <c r="F127" s="100">
        <f ca="1">VLOOKUP(CurrentMtgRatesDataTable825[[#This Row],[asOfDate]]+1,Bloomberg!B:C,2,0)</f>
        <v>1674.2</v>
      </c>
      <c r="H127" s="1">
        <v>41417</v>
      </c>
      <c r="I127" s="33">
        <v>0.68530860108825797</v>
      </c>
      <c r="O127" s="1">
        <v>41417</v>
      </c>
      <c r="P127" s="33">
        <v>0</v>
      </c>
    </row>
    <row r="128" spans="2:16">
      <c r="B128" s="98">
        <v>41669</v>
      </c>
      <c r="C128" s="99">
        <v>0.38688449383864632</v>
      </c>
      <c r="D128" s="99">
        <f>VLOOKUP(CurrentMtgRatesDataTable825[[#This Row],[asOfDate]],H:I,2,0)</f>
        <v>0.38449844249950499</v>
      </c>
      <c r="E128" s="99">
        <f>VLOOKUP(CurrentMtgRatesDataTable825[[#This Row],[asOfDate]],O:P,2,0)</f>
        <v>9.04155248858617E-4</v>
      </c>
      <c r="F128" s="100">
        <f ca="1">VLOOKUP(CurrentMtgRatesDataTable825[[#This Row],[asOfDate]]+1,Bloomberg!B:C,2,0)</f>
        <v>1667.5</v>
      </c>
      <c r="H128" s="1">
        <v>41424</v>
      </c>
      <c r="I128" s="33">
        <v>0.61546645850988302</v>
      </c>
      <c r="O128" s="1">
        <v>41424</v>
      </c>
      <c r="P128" s="33">
        <v>0</v>
      </c>
    </row>
    <row r="129" spans="2:16">
      <c r="B129" s="98">
        <v>41662</v>
      </c>
      <c r="C129" s="99">
        <v>0.37647743708570247</v>
      </c>
      <c r="D129" s="99">
        <f>VLOOKUP(CurrentMtgRatesDataTable825[[#This Row],[asOfDate]],H:I,2,0)</f>
        <v>0.32547727058860199</v>
      </c>
      <c r="E129" s="99">
        <f>VLOOKUP(CurrentMtgRatesDataTable825[[#This Row],[asOfDate]],O:P,2,0)</f>
        <v>4.3538471617421198E-4</v>
      </c>
      <c r="F129" s="100">
        <f ca="1">VLOOKUP(CurrentMtgRatesDataTable825[[#This Row],[asOfDate]]+1,Bloomberg!B:C,2,0)</f>
        <v>1601.2</v>
      </c>
      <c r="H129" s="1">
        <v>41431</v>
      </c>
      <c r="I129" s="33">
        <v>0.57861777554698002</v>
      </c>
      <c r="O129" s="1">
        <v>41431</v>
      </c>
      <c r="P129" s="33">
        <v>0</v>
      </c>
    </row>
    <row r="130" spans="2:16">
      <c r="B130" s="98">
        <v>41655</v>
      </c>
      <c r="C130" s="99">
        <v>0.37338021104571051</v>
      </c>
      <c r="D130" s="99">
        <f>VLOOKUP(CurrentMtgRatesDataTable825[[#This Row],[asOfDate]],H:I,2,0)</f>
        <v>0.32467403778332998</v>
      </c>
      <c r="E130" s="99">
        <f>VLOOKUP(CurrentMtgRatesDataTable825[[#This Row],[asOfDate]],O:P,2,0)</f>
        <v>4.3244857845843099E-4</v>
      </c>
      <c r="F130" s="100">
        <f ca="1">VLOOKUP(CurrentMtgRatesDataTable825[[#This Row],[asOfDate]]+1,Bloomberg!B:C,2,0)</f>
        <v>1675.8</v>
      </c>
      <c r="H130" s="1">
        <v>41438</v>
      </c>
      <c r="I130" s="33">
        <v>0.55842108987699401</v>
      </c>
      <c r="O130" s="1">
        <v>41438</v>
      </c>
      <c r="P130" s="33">
        <v>0</v>
      </c>
    </row>
    <row r="131" spans="2:16">
      <c r="B131" s="98">
        <v>41648</v>
      </c>
      <c r="C131" s="99">
        <v>0.29562447577972156</v>
      </c>
      <c r="D131" s="99">
        <f>VLOOKUP(CurrentMtgRatesDataTable825[[#This Row],[asOfDate]],H:I,2,0)</f>
        <v>0.29015447722721099</v>
      </c>
      <c r="E131" s="99">
        <f>VLOOKUP(CurrentMtgRatesDataTable825[[#This Row],[asOfDate]],O:P,2,0)</f>
        <v>1.04165660314928E-4</v>
      </c>
      <c r="F131" s="100">
        <f ca="1">VLOOKUP(CurrentMtgRatesDataTable825[[#This Row],[asOfDate]]+1,Bloomberg!B:C,2,0)</f>
        <v>1507</v>
      </c>
      <c r="H131" s="1">
        <v>41445</v>
      </c>
      <c r="I131" s="33">
        <v>0.55919632116239604</v>
      </c>
      <c r="O131" s="1">
        <v>41445</v>
      </c>
      <c r="P131" s="33">
        <v>0</v>
      </c>
    </row>
    <row r="132" spans="2:16">
      <c r="B132" s="98">
        <v>41641</v>
      </c>
      <c r="C132" s="99">
        <v>0.26713898011245318</v>
      </c>
      <c r="D132" s="99">
        <f>VLOOKUP(CurrentMtgRatesDataTable825[[#This Row],[asOfDate]],H:I,2,0)</f>
        <v>0.265306805945277</v>
      </c>
      <c r="E132" s="99">
        <f>VLOOKUP(CurrentMtgRatesDataTable825[[#This Row],[asOfDate]],O:P,2,0)</f>
        <v>0</v>
      </c>
      <c r="F132" s="100">
        <f ca="1">VLOOKUP(CurrentMtgRatesDataTable825[[#This Row],[asOfDate]]+1,Bloomberg!B:C,2,0)</f>
        <v>1352.7</v>
      </c>
      <c r="H132" s="1">
        <v>41452</v>
      </c>
      <c r="I132" s="33">
        <v>0.35042164075900101</v>
      </c>
      <c r="O132" s="1">
        <v>41452</v>
      </c>
      <c r="P132" s="33">
        <v>0</v>
      </c>
    </row>
    <row r="133" spans="2:16">
      <c r="B133" s="98">
        <v>41634</v>
      </c>
      <c r="C133" s="99">
        <v>0.33707254184688035</v>
      </c>
      <c r="D133" s="99">
        <f>VLOOKUP(CurrentMtgRatesDataTable825[[#This Row],[asOfDate]],H:I,2,0)</f>
        <v>0.29162362501885603</v>
      </c>
      <c r="E133" s="99">
        <f>VLOOKUP(CurrentMtgRatesDataTable825[[#This Row],[asOfDate]],O:P,2,0)</f>
        <v>0</v>
      </c>
      <c r="F133" s="100">
        <f ca="1">VLOOKUP(CurrentMtgRatesDataTable825[[#This Row],[asOfDate]]+1,Bloomberg!B:C,2,0)</f>
        <v>1277.8</v>
      </c>
      <c r="H133" s="1">
        <v>41458</v>
      </c>
      <c r="I133" s="33">
        <v>0.439218479739446</v>
      </c>
      <c r="O133" s="1">
        <v>41458</v>
      </c>
      <c r="P133" s="33">
        <v>0</v>
      </c>
    </row>
    <row r="134" spans="2:16">
      <c r="B134" s="98">
        <v>41627</v>
      </c>
      <c r="C134" s="99">
        <v>0.34660194288586071</v>
      </c>
      <c r="D134" s="99">
        <f>VLOOKUP(CurrentMtgRatesDataTable825[[#This Row],[asOfDate]],H:I,2,0)</f>
        <v>0.29198850689481598</v>
      </c>
      <c r="E134" s="99">
        <f>VLOOKUP(CurrentMtgRatesDataTable825[[#This Row],[asOfDate]],O:P,2,0)</f>
        <v>0</v>
      </c>
      <c r="F134" s="100">
        <f ca="1">VLOOKUP(CurrentMtgRatesDataTable825[[#This Row],[asOfDate]]+1,Bloomberg!B:C,2,0)</f>
        <v>1426.7</v>
      </c>
      <c r="H134" s="1">
        <v>41466</v>
      </c>
      <c r="I134" s="33">
        <v>0.32003461094412999</v>
      </c>
      <c r="O134" s="1">
        <v>41466</v>
      </c>
      <c r="P134" s="33">
        <v>0</v>
      </c>
    </row>
    <row r="135" spans="2:16">
      <c r="B135" s="98">
        <v>41620</v>
      </c>
      <c r="C135" s="99">
        <v>0.37693581248534513</v>
      </c>
      <c r="D135" s="99">
        <f>VLOOKUP(CurrentMtgRatesDataTable825[[#This Row],[asOfDate]],H:I,2,0)</f>
        <v>0.33082970500556302</v>
      </c>
      <c r="E135" s="99">
        <f>VLOOKUP(CurrentMtgRatesDataTable825[[#This Row],[asOfDate]],O:P,2,0)</f>
        <v>0</v>
      </c>
      <c r="F135" s="100">
        <f ca="1">VLOOKUP(CurrentMtgRatesDataTable825[[#This Row],[asOfDate]]+1,Bloomberg!B:C,2,0)</f>
        <v>1529.8</v>
      </c>
      <c r="H135" s="1">
        <v>41473</v>
      </c>
      <c r="I135" s="33">
        <v>0.407195502334876</v>
      </c>
      <c r="O135" s="1">
        <v>41473</v>
      </c>
      <c r="P135" s="33">
        <v>0</v>
      </c>
    </row>
    <row r="136" spans="2:16">
      <c r="B136" s="98">
        <v>41613</v>
      </c>
      <c r="C136" s="99">
        <v>0.37955489771721246</v>
      </c>
      <c r="D136" s="99">
        <f>VLOOKUP(CurrentMtgRatesDataTable825[[#This Row],[asOfDate]],H:I,2,0)</f>
        <v>0.331227934580689</v>
      </c>
      <c r="E136" s="99">
        <f>VLOOKUP(CurrentMtgRatesDataTable825[[#This Row],[asOfDate]],O:P,2,0)</f>
        <v>0</v>
      </c>
      <c r="F136" s="100">
        <f ca="1">VLOOKUP(CurrentMtgRatesDataTable825[[#This Row],[asOfDate]]+1,Bloomberg!B:C,2,0)</f>
        <v>1599.4</v>
      </c>
      <c r="H136" s="1">
        <v>41480</v>
      </c>
      <c r="I136" s="33">
        <v>0.40895553727695599</v>
      </c>
      <c r="O136" s="1">
        <v>41480</v>
      </c>
      <c r="P136" s="33">
        <v>0</v>
      </c>
    </row>
    <row r="137" spans="2:16">
      <c r="B137" s="98">
        <v>41605</v>
      </c>
      <c r="C137" s="99">
        <v>0.4012610510109535</v>
      </c>
      <c r="D137" s="99">
        <f>VLOOKUP(CurrentMtgRatesDataTable825[[#This Row],[asOfDate]],H:I,2,0)</f>
        <v>0.401262959025458</v>
      </c>
      <c r="E137" s="99">
        <f>VLOOKUP(CurrentMtgRatesDataTable825[[#This Row],[asOfDate]],O:P,2,0)</f>
        <v>0</v>
      </c>
      <c r="F137" s="100" t="e">
        <f ca="1">VLOOKUP(CurrentMtgRatesDataTable825[[#This Row],[asOfDate]]+1,Bloomberg!B:C,2,0)</f>
        <v>#N/A</v>
      </c>
      <c r="H137" s="1">
        <v>41487</v>
      </c>
      <c r="I137" s="33">
        <v>0.36357930006355599</v>
      </c>
      <c r="O137" s="1">
        <v>41487</v>
      </c>
      <c r="P137" s="33">
        <v>0</v>
      </c>
    </row>
    <row r="138" spans="2:16">
      <c r="B138" s="98">
        <v>41599</v>
      </c>
      <c r="C138" s="99">
        <v>0.41528178559290679</v>
      </c>
      <c r="D138" s="99">
        <f>VLOOKUP(CurrentMtgRatesDataTable825[[#This Row],[asOfDate]],H:I,2,0)</f>
        <v>0.42989701258795199</v>
      </c>
      <c r="E138" s="99">
        <f>VLOOKUP(CurrentMtgRatesDataTable825[[#This Row],[asOfDate]],O:P,2,0)</f>
        <v>0</v>
      </c>
      <c r="F138" s="100">
        <f ca="1">VLOOKUP(CurrentMtgRatesDataTable825[[#This Row],[asOfDate]]+1,Bloomberg!B:C,2,0)</f>
        <v>1917.2</v>
      </c>
      <c r="H138" s="1">
        <v>41494</v>
      </c>
      <c r="I138" s="33">
        <v>0.36292296585782302</v>
      </c>
      <c r="O138" s="1">
        <v>41494</v>
      </c>
      <c r="P138" s="33">
        <v>0</v>
      </c>
    </row>
    <row r="139" spans="2:16">
      <c r="B139" s="98">
        <v>41592</v>
      </c>
      <c r="C139" s="99">
        <v>0.39324233603958814</v>
      </c>
      <c r="D139" s="99">
        <f>VLOOKUP(CurrentMtgRatesDataTable825[[#This Row],[asOfDate]],H:I,2,0)</f>
        <v>0.37120289750535601</v>
      </c>
      <c r="E139" s="99">
        <f>VLOOKUP(CurrentMtgRatesDataTable825[[#This Row],[asOfDate]],O:P,2,0)</f>
        <v>0</v>
      </c>
      <c r="F139" s="100">
        <f ca="1">VLOOKUP(CurrentMtgRatesDataTable825[[#This Row],[asOfDate]]+1,Bloomberg!B:C,2,0)</f>
        <v>1903.5</v>
      </c>
      <c r="H139" s="1">
        <v>41501</v>
      </c>
      <c r="I139" s="33">
        <v>0.36292296585782302</v>
      </c>
      <c r="O139" s="1">
        <v>41501</v>
      </c>
      <c r="P139" s="33">
        <v>0</v>
      </c>
    </row>
    <row r="140" spans="2:16">
      <c r="B140" s="98">
        <v>41585</v>
      </c>
      <c r="C140" s="99">
        <v>0.42241812473217372</v>
      </c>
      <c r="D140" s="99">
        <f>VLOOKUP(CurrentMtgRatesDataTable825[[#This Row],[asOfDate]],H:I,2,0)</f>
        <v>0.44788779304034998</v>
      </c>
      <c r="E140" s="99">
        <f>VLOOKUP(CurrentMtgRatesDataTable825[[#This Row],[asOfDate]],O:P,2,0)</f>
        <v>0</v>
      </c>
      <c r="F140" s="100">
        <f ca="1">VLOOKUP(CurrentMtgRatesDataTable825[[#This Row],[asOfDate]]+1,Bloomberg!B:C,2,0)</f>
        <v>2056.9</v>
      </c>
      <c r="H140" s="1">
        <v>41508</v>
      </c>
      <c r="I140" s="33">
        <v>0.28848466841060699</v>
      </c>
      <c r="O140" s="1">
        <v>41508</v>
      </c>
      <c r="P140" s="33">
        <v>0</v>
      </c>
    </row>
    <row r="141" spans="2:16">
      <c r="B141" s="98">
        <v>41578</v>
      </c>
      <c r="C141" s="99">
        <v>0.45812068858697386</v>
      </c>
      <c r="D141" s="99">
        <f>VLOOKUP(CurrentMtgRatesDataTable825[[#This Row],[asOfDate]],H:I,2,0)</f>
        <v>0.47501022290439499</v>
      </c>
      <c r="E141" s="99">
        <f>VLOOKUP(CurrentMtgRatesDataTable825[[#This Row],[asOfDate]],O:P,2,0)</f>
        <v>6.1587902327108696E-3</v>
      </c>
      <c r="F141" s="100">
        <f ca="1">VLOOKUP(CurrentMtgRatesDataTable825[[#This Row],[asOfDate]]+1,Bloomberg!B:C,2,0)</f>
        <v>2105.6</v>
      </c>
      <c r="H141" s="1">
        <v>41515</v>
      </c>
      <c r="I141" s="33">
        <v>0.32738957382411199</v>
      </c>
      <c r="O141" s="1">
        <v>41515</v>
      </c>
      <c r="P141" s="33">
        <v>0</v>
      </c>
    </row>
    <row r="142" spans="2:16">
      <c r="B142" s="98">
        <v>41571</v>
      </c>
      <c r="C142" s="99">
        <v>0.42936473511090067</v>
      </c>
      <c r="D142" s="99">
        <f>VLOOKUP(CurrentMtgRatesDataTable825[[#This Row],[asOfDate]],H:I,2,0)</f>
        <v>0.45648777309490202</v>
      </c>
      <c r="E142" s="99">
        <f>VLOOKUP(CurrentMtgRatesDataTable825[[#This Row],[asOfDate]],O:P,2,0)</f>
        <v>4.7022607373106203E-3</v>
      </c>
      <c r="F142" s="100">
        <f ca="1">VLOOKUP(CurrentMtgRatesDataTable825[[#This Row],[asOfDate]]+1,Bloomberg!B:C,2,0)</f>
        <v>2211.8000000000002</v>
      </c>
      <c r="H142" s="1">
        <v>41522</v>
      </c>
      <c r="I142" s="33">
        <v>0.29894428975906101</v>
      </c>
      <c r="O142" s="1">
        <v>41522</v>
      </c>
      <c r="P142" s="33">
        <v>0</v>
      </c>
    </row>
    <row r="143" spans="2:16">
      <c r="B143" s="98">
        <v>41564</v>
      </c>
      <c r="C143" s="99">
        <v>0.40745334709317088</v>
      </c>
      <c r="D143" s="99">
        <f>VLOOKUP(CurrentMtgRatesDataTable825[[#This Row],[asOfDate]],H:I,2,0)</f>
        <v>0.40902347477168999</v>
      </c>
      <c r="E143" s="99">
        <f>VLOOKUP(CurrentMtgRatesDataTable825[[#This Row],[asOfDate]],O:P,2,0)</f>
        <v>0</v>
      </c>
      <c r="F143" s="100">
        <f ca="1">VLOOKUP(CurrentMtgRatesDataTable825[[#This Row],[asOfDate]]+1,Bloomberg!B:C,2,0)</f>
        <v>2033.7</v>
      </c>
      <c r="H143" s="1">
        <v>41529</v>
      </c>
      <c r="I143" s="33">
        <v>0.28251411119681702</v>
      </c>
      <c r="O143" s="1">
        <v>41529</v>
      </c>
      <c r="P143" s="33">
        <v>0</v>
      </c>
    </row>
    <row r="144" spans="2:16">
      <c r="B144" s="98">
        <v>41557</v>
      </c>
      <c r="C144" s="99">
        <v>0.41309884742174274</v>
      </c>
      <c r="D144" s="99">
        <f>VLOOKUP(CurrentMtgRatesDataTable825[[#This Row],[asOfDate]],H:I,2,0)</f>
        <v>0.43701315967767701</v>
      </c>
      <c r="E144" s="99">
        <f>VLOOKUP(CurrentMtgRatesDataTable825[[#This Row],[asOfDate]],O:P,2,0)</f>
        <v>0</v>
      </c>
      <c r="F144" s="100">
        <f ca="1">VLOOKUP(CurrentMtgRatesDataTable825[[#This Row],[asOfDate]]+1,Bloomberg!B:C,2,0)</f>
        <v>2102.6999999999998</v>
      </c>
      <c r="H144" s="1">
        <v>41536</v>
      </c>
      <c r="I144" s="33">
        <v>0.32091811677951898</v>
      </c>
      <c r="O144" s="1">
        <v>41536</v>
      </c>
      <c r="P144" s="33">
        <v>1.2070812662829E-4</v>
      </c>
    </row>
    <row r="145" spans="2:16">
      <c r="B145" s="98">
        <v>41550</v>
      </c>
      <c r="C145" s="99">
        <v>0.41413970489530927</v>
      </c>
      <c r="D145" s="99">
        <f>VLOOKUP(CurrentMtgRatesDataTable825[[#This Row],[asOfDate]],H:I,2,0)</f>
        <v>0.43751781158176101</v>
      </c>
      <c r="E145" s="99">
        <f>VLOOKUP(CurrentMtgRatesDataTable825[[#This Row],[asOfDate]],O:P,2,0)</f>
        <v>1.7927762872913E-3</v>
      </c>
      <c r="F145" s="100">
        <f ca="1">VLOOKUP(CurrentMtgRatesDataTable825[[#This Row],[asOfDate]]+1,Bloomberg!B:C,2,0)</f>
        <v>2025.3</v>
      </c>
      <c r="H145" s="1">
        <v>41543</v>
      </c>
      <c r="I145" s="33">
        <v>0.41607421536967498</v>
      </c>
      <c r="O145" s="1">
        <v>41543</v>
      </c>
      <c r="P145" s="33">
        <v>8.9334697556313401E-4</v>
      </c>
    </row>
    <row r="146" spans="2:16">
      <c r="B146" s="98">
        <v>41543</v>
      </c>
      <c r="C146" s="99">
        <v>0.41584354527777323</v>
      </c>
      <c r="D146" s="99">
        <f>VLOOKUP(CurrentMtgRatesDataTable825[[#This Row],[asOfDate]],H:I,2,0)</f>
        <v>0.41607421536967498</v>
      </c>
      <c r="E146" s="99">
        <f>VLOOKUP(CurrentMtgRatesDataTable825[[#This Row],[asOfDate]],O:P,2,0)</f>
        <v>8.9334697556313401E-4</v>
      </c>
      <c r="F146" s="100">
        <f ca="1">VLOOKUP(CurrentMtgRatesDataTable825[[#This Row],[asOfDate]]+1,Bloomberg!B:C,2,0)</f>
        <v>1956.6</v>
      </c>
      <c r="H146" s="1">
        <v>41550</v>
      </c>
      <c r="I146" s="33">
        <v>0.43751781158176101</v>
      </c>
      <c r="O146" s="1">
        <v>41550</v>
      </c>
      <c r="P146" s="33">
        <v>1.7927762872913E-3</v>
      </c>
    </row>
    <row r="147" spans="2:16">
      <c r="B147" s="98">
        <v>41536</v>
      </c>
      <c r="C147" s="99">
        <v>0.34352499045119317</v>
      </c>
      <c r="D147" s="99">
        <f>VLOOKUP(CurrentMtgRatesDataTable825[[#This Row],[asOfDate]],H:I,2,0)</f>
        <v>0.32091811677951898</v>
      </c>
      <c r="E147" s="99">
        <f>VLOOKUP(CurrentMtgRatesDataTable825[[#This Row],[asOfDate]],O:P,2,0)</f>
        <v>1.2070812662829E-4</v>
      </c>
      <c r="F147" s="100">
        <f ca="1">VLOOKUP(CurrentMtgRatesDataTable825[[#This Row],[asOfDate]]+1,Bloomberg!B:C,2,0)</f>
        <v>1922.9</v>
      </c>
      <c r="H147" s="1">
        <v>41557</v>
      </c>
      <c r="I147" s="33">
        <v>0.43701315967767701</v>
      </c>
      <c r="O147" s="1">
        <v>41557</v>
      </c>
      <c r="P147" s="33">
        <v>0</v>
      </c>
    </row>
    <row r="148" spans="2:16">
      <c r="B148" s="98">
        <v>41529</v>
      </c>
      <c r="C148" s="99">
        <v>0.28418148180009006</v>
      </c>
      <c r="D148" s="99">
        <f>VLOOKUP(CurrentMtgRatesDataTable825[[#This Row],[asOfDate]],H:I,2,0)</f>
        <v>0.28251411119681702</v>
      </c>
      <c r="E148" s="99">
        <f>VLOOKUP(CurrentMtgRatesDataTable825[[#This Row],[asOfDate]],O:P,2,0)</f>
        <v>0</v>
      </c>
      <c r="F148" s="100">
        <f ca="1">VLOOKUP(CurrentMtgRatesDataTable825[[#This Row],[asOfDate]]+1,Bloomberg!B:C,2,0)</f>
        <v>1814</v>
      </c>
      <c r="H148" s="1">
        <v>41564</v>
      </c>
      <c r="I148" s="33">
        <v>0.40902347477168999</v>
      </c>
      <c r="O148" s="1">
        <v>41564</v>
      </c>
      <c r="P148" s="33">
        <v>0</v>
      </c>
    </row>
    <row r="149" spans="2:16">
      <c r="B149" s="98">
        <v>41522</v>
      </c>
      <c r="C149" s="99">
        <v>0.29149943706266673</v>
      </c>
      <c r="D149" s="99">
        <f>VLOOKUP(CurrentMtgRatesDataTable825[[#This Row],[asOfDate]],H:I,2,0)</f>
        <v>0.29894428975906101</v>
      </c>
      <c r="E149" s="99">
        <f>VLOOKUP(CurrentMtgRatesDataTable825[[#This Row],[asOfDate]],O:P,2,0)</f>
        <v>0</v>
      </c>
      <c r="F149" s="100">
        <f ca="1">VLOOKUP(CurrentMtgRatesDataTable825[[#This Row],[asOfDate]]+1,Bloomberg!B:C,2,0)</f>
        <v>1512.9</v>
      </c>
      <c r="H149" s="1">
        <v>41571</v>
      </c>
      <c r="I149" s="33">
        <v>0.45648777309490202</v>
      </c>
      <c r="O149" s="1">
        <v>41571</v>
      </c>
      <c r="P149" s="33">
        <v>4.7022607373106203E-3</v>
      </c>
    </row>
    <row r="150" spans="2:16">
      <c r="B150" s="98">
        <v>41515</v>
      </c>
      <c r="C150" s="99">
        <v>0.34144008855173769</v>
      </c>
      <c r="D150" s="99">
        <f>VLOOKUP(CurrentMtgRatesDataTable825[[#This Row],[asOfDate]],H:I,2,0)</f>
        <v>0.32738957382411199</v>
      </c>
      <c r="E150" s="99">
        <f>VLOOKUP(CurrentMtgRatesDataTable825[[#This Row],[asOfDate]],O:P,2,0)</f>
        <v>0</v>
      </c>
      <c r="F150" s="100">
        <f ca="1">VLOOKUP(CurrentMtgRatesDataTable825[[#This Row],[asOfDate]]+1,Bloomberg!B:C,2,0)</f>
        <v>1909</v>
      </c>
      <c r="H150" s="1">
        <v>41578</v>
      </c>
      <c r="I150" s="33">
        <v>0.47501022290439499</v>
      </c>
      <c r="O150" s="1">
        <v>41578</v>
      </c>
      <c r="P150" s="33">
        <v>6.1587902327108696E-3</v>
      </c>
    </row>
    <row r="151" spans="2:16">
      <c r="B151" s="98">
        <v>41508</v>
      </c>
      <c r="C151" s="99">
        <v>0.29455543788744365</v>
      </c>
      <c r="D151" s="99">
        <f>VLOOKUP(CurrentMtgRatesDataTable825[[#This Row],[asOfDate]],H:I,2,0)</f>
        <v>0.28848466841060699</v>
      </c>
      <c r="E151" s="99">
        <f>VLOOKUP(CurrentMtgRatesDataTable825[[#This Row],[asOfDate]],O:P,2,0)</f>
        <v>0</v>
      </c>
      <c r="F151" s="100">
        <f ca="1">VLOOKUP(CurrentMtgRatesDataTable825[[#This Row],[asOfDate]]+1,Bloomberg!B:C,2,0)</f>
        <v>1842.6</v>
      </c>
      <c r="H151" s="1">
        <v>41585</v>
      </c>
      <c r="I151" s="33">
        <v>0.44788779304034998</v>
      </c>
      <c r="O151" s="1">
        <v>41585</v>
      </c>
      <c r="P151" s="33">
        <v>0</v>
      </c>
    </row>
    <row r="152" spans="2:16">
      <c r="B152" s="98">
        <v>41501</v>
      </c>
      <c r="C152" s="99">
        <v>0.42309347536926606</v>
      </c>
      <c r="D152" s="99">
        <f>VLOOKUP(CurrentMtgRatesDataTable825[[#This Row],[asOfDate]],H:I,2,0)</f>
        <v>0.36292296585782302</v>
      </c>
      <c r="E152" s="99">
        <f>VLOOKUP(CurrentMtgRatesDataTable825[[#This Row],[asOfDate]],O:P,2,0)</f>
        <v>0</v>
      </c>
      <c r="F152" s="100">
        <f ca="1">VLOOKUP(CurrentMtgRatesDataTable825[[#This Row],[asOfDate]]+1,Bloomberg!B:C,2,0)</f>
        <v>1935.1</v>
      </c>
      <c r="H152" s="1">
        <v>41592</v>
      </c>
      <c r="I152" s="33">
        <v>0.37120289750535601</v>
      </c>
      <c r="O152" s="1">
        <v>41592</v>
      </c>
      <c r="P152" s="33">
        <v>0</v>
      </c>
    </row>
    <row r="153" spans="2:16">
      <c r="B153" s="98">
        <v>41494</v>
      </c>
      <c r="C153" s="99">
        <v>0.42309347536926606</v>
      </c>
      <c r="D153" s="99">
        <f>VLOOKUP(CurrentMtgRatesDataTable825[[#This Row],[asOfDate]],H:I,2,0)</f>
        <v>0.36292296585782302</v>
      </c>
      <c r="E153" s="99">
        <f>VLOOKUP(CurrentMtgRatesDataTable825[[#This Row],[asOfDate]],O:P,2,0)</f>
        <v>0</v>
      </c>
      <c r="F153" s="100">
        <f ca="1">VLOOKUP(CurrentMtgRatesDataTable825[[#This Row],[asOfDate]]+1,Bloomberg!B:C,2,0)</f>
        <v>2110.6</v>
      </c>
      <c r="H153" s="1">
        <v>41599</v>
      </c>
      <c r="I153" s="33">
        <v>0.42989701258795199</v>
      </c>
      <c r="O153" s="1">
        <v>41599</v>
      </c>
      <c r="P153" s="33">
        <v>0</v>
      </c>
    </row>
    <row r="154" spans="2:16">
      <c r="B154" s="98">
        <v>41487</v>
      </c>
      <c r="C154" s="99">
        <v>0.4242223603405651</v>
      </c>
      <c r="D154" s="99">
        <f>VLOOKUP(CurrentMtgRatesDataTable825[[#This Row],[asOfDate]],H:I,2,0)</f>
        <v>0.36357930006355599</v>
      </c>
      <c r="E154" s="99">
        <f>VLOOKUP(CurrentMtgRatesDataTable825[[#This Row],[asOfDate]],O:P,2,0)</f>
        <v>0</v>
      </c>
      <c r="F154" s="100">
        <f ca="1">VLOOKUP(CurrentMtgRatesDataTable825[[#This Row],[asOfDate]]+1,Bloomberg!B:C,2,0)</f>
        <v>2228.9</v>
      </c>
      <c r="H154" s="1">
        <v>41605</v>
      </c>
      <c r="I154" s="33">
        <v>0.401262959025458</v>
      </c>
      <c r="O154" s="1">
        <v>41605</v>
      </c>
      <c r="P154" s="33">
        <v>0</v>
      </c>
    </row>
    <row r="155" spans="2:16">
      <c r="B155" s="98">
        <v>41480</v>
      </c>
      <c r="C155" s="99">
        <v>0.44748005520806433</v>
      </c>
      <c r="D155" s="99">
        <f>VLOOKUP(CurrentMtgRatesDataTable825[[#This Row],[asOfDate]],H:I,2,0)</f>
        <v>0.40895553727695599</v>
      </c>
      <c r="E155" s="99">
        <f>VLOOKUP(CurrentMtgRatesDataTable825[[#This Row],[asOfDate]],O:P,2,0)</f>
        <v>0</v>
      </c>
      <c r="F155" s="100">
        <f ca="1">VLOOKUP(CurrentMtgRatesDataTable825[[#This Row],[asOfDate]]+1,Bloomberg!B:C,2,0)</f>
        <v>2218.3000000000002</v>
      </c>
      <c r="H155" s="1">
        <v>41613</v>
      </c>
      <c r="I155" s="33">
        <v>0.331227934580689</v>
      </c>
      <c r="O155" s="1">
        <v>41613</v>
      </c>
      <c r="P155" s="33">
        <v>0</v>
      </c>
    </row>
    <row r="156" spans="2:16">
      <c r="B156" s="98">
        <v>41473</v>
      </c>
      <c r="C156" s="99">
        <v>0.44439106685925217</v>
      </c>
      <c r="D156" s="99">
        <f>VLOOKUP(CurrentMtgRatesDataTable825[[#This Row],[asOfDate]],H:I,2,0)</f>
        <v>0.407195502334876</v>
      </c>
      <c r="E156" s="99">
        <f>VLOOKUP(CurrentMtgRatesDataTable825[[#This Row],[asOfDate]],O:P,2,0)</f>
        <v>0</v>
      </c>
      <c r="F156" s="100">
        <f ca="1">VLOOKUP(CurrentMtgRatesDataTable825[[#This Row],[asOfDate]]+1,Bloomberg!B:C,2,0)</f>
        <v>2288</v>
      </c>
      <c r="H156" s="1">
        <v>41620</v>
      </c>
      <c r="I156" s="33">
        <v>0.33082970500556302</v>
      </c>
      <c r="O156" s="1">
        <v>41620</v>
      </c>
      <c r="P156" s="33">
        <v>0</v>
      </c>
    </row>
    <row r="157" spans="2:16">
      <c r="B157" s="98">
        <v>41466</v>
      </c>
      <c r="C157" s="99">
        <v>0.33290156371151358</v>
      </c>
      <c r="D157" s="99">
        <f>VLOOKUP(CurrentMtgRatesDataTable825[[#This Row],[asOfDate]],H:I,2,0)</f>
        <v>0.32003461094412999</v>
      </c>
      <c r="E157" s="99">
        <f>VLOOKUP(CurrentMtgRatesDataTable825[[#This Row],[asOfDate]],O:P,2,0)</f>
        <v>0</v>
      </c>
      <c r="F157" s="100">
        <f ca="1">VLOOKUP(CurrentMtgRatesDataTable825[[#This Row],[asOfDate]]+1,Bloomberg!B:C,2,0)</f>
        <v>2242.1999999999998</v>
      </c>
      <c r="H157" s="1">
        <v>41627</v>
      </c>
      <c r="I157" s="33">
        <v>0.29198850689481598</v>
      </c>
      <c r="O157" s="1">
        <v>41627</v>
      </c>
      <c r="P157" s="33">
        <v>0</v>
      </c>
    </row>
    <row r="158" spans="2:16">
      <c r="B158" s="98">
        <v>41458</v>
      </c>
      <c r="C158" s="99">
        <v>0.45140989566277362</v>
      </c>
      <c r="D158" s="99">
        <f>VLOOKUP(CurrentMtgRatesDataTable825[[#This Row],[asOfDate]],H:I,2,0)</f>
        <v>0.439218479739446</v>
      </c>
      <c r="E158" s="99">
        <f>VLOOKUP(CurrentMtgRatesDataTable825[[#This Row],[asOfDate]],O:P,2,0)</f>
        <v>0</v>
      </c>
      <c r="F158" s="100" t="e">
        <f ca="1">VLOOKUP(CurrentMtgRatesDataTable825[[#This Row],[asOfDate]]+1,Bloomberg!B:C,2,0)</f>
        <v>#N/A</v>
      </c>
      <c r="H158" s="1">
        <v>41634</v>
      </c>
      <c r="I158" s="33">
        <v>0.29162362501885603</v>
      </c>
      <c r="O158" s="1">
        <v>41634</v>
      </c>
      <c r="P158" s="33">
        <v>0</v>
      </c>
    </row>
    <row r="159" spans="2:16">
      <c r="B159" s="98">
        <v>41452</v>
      </c>
      <c r="C159" s="99">
        <v>0.40700739043562867</v>
      </c>
      <c r="D159" s="99">
        <f>VLOOKUP(CurrentMtgRatesDataTable825[[#This Row],[asOfDate]],H:I,2,0)</f>
        <v>0.35042164075900101</v>
      </c>
      <c r="E159" s="99">
        <f>VLOOKUP(CurrentMtgRatesDataTable825[[#This Row],[asOfDate]],O:P,2,0)</f>
        <v>0</v>
      </c>
      <c r="F159" s="100">
        <f ca="1">VLOOKUP(CurrentMtgRatesDataTable825[[#This Row],[asOfDate]]+1,Bloomberg!B:C,2,0)</f>
        <v>2573.4</v>
      </c>
      <c r="H159" s="1">
        <v>41641</v>
      </c>
      <c r="I159" s="33">
        <v>0.265306805945277</v>
      </c>
      <c r="O159" s="1">
        <v>41641</v>
      </c>
      <c r="P159" s="33">
        <v>0</v>
      </c>
    </row>
    <row r="160" spans="2:16">
      <c r="B160" s="98">
        <v>41445</v>
      </c>
      <c r="C160" s="99">
        <v>0.60892644255269435</v>
      </c>
      <c r="D160" s="99">
        <f>VLOOKUP(CurrentMtgRatesDataTable825[[#This Row],[asOfDate]],H:I,2,0)</f>
        <v>0.55919632116239604</v>
      </c>
      <c r="E160" s="99">
        <f>VLOOKUP(CurrentMtgRatesDataTable825[[#This Row],[asOfDate]],O:P,2,0)</f>
        <v>0</v>
      </c>
      <c r="F160" s="100">
        <f ca="1">VLOOKUP(CurrentMtgRatesDataTable825[[#This Row],[asOfDate]]+1,Bloomberg!B:C,2,0)</f>
        <v>3040.1</v>
      </c>
      <c r="H160" s="1">
        <v>41648</v>
      </c>
      <c r="I160" s="33">
        <v>0.29015447722721099</v>
      </c>
      <c r="O160" s="1">
        <v>41648</v>
      </c>
      <c r="P160" s="33">
        <v>1.04165660314928E-4</v>
      </c>
    </row>
    <row r="161" spans="2:16">
      <c r="B161" s="98">
        <v>41438</v>
      </c>
      <c r="C161" s="99">
        <v>0.59423864514046321</v>
      </c>
      <c r="D161" s="99">
        <f>VLOOKUP(CurrentMtgRatesDataTable825[[#This Row],[asOfDate]],H:I,2,0)</f>
        <v>0.55842108987699401</v>
      </c>
      <c r="E161" s="99">
        <f>VLOOKUP(CurrentMtgRatesDataTable825[[#This Row],[asOfDate]],O:P,2,0)</f>
        <v>0</v>
      </c>
      <c r="F161" s="100">
        <f ca="1">VLOOKUP(CurrentMtgRatesDataTable825[[#This Row],[asOfDate]]+1,Bloomberg!B:C,2,0)</f>
        <v>3214.4</v>
      </c>
      <c r="H161" s="1">
        <v>41655</v>
      </c>
      <c r="I161" s="33">
        <v>0.32467403778332998</v>
      </c>
      <c r="O161" s="1">
        <v>41655</v>
      </c>
      <c r="P161" s="33">
        <v>4.3244857845843099E-4</v>
      </c>
    </row>
    <row r="162" spans="2:16">
      <c r="B162" s="98">
        <v>41431</v>
      </c>
      <c r="C162" s="99">
        <v>0.6263848307897435</v>
      </c>
      <c r="D162" s="99">
        <f>VLOOKUP(CurrentMtgRatesDataTable825[[#This Row],[asOfDate]],H:I,2,0)</f>
        <v>0.57861777554698002</v>
      </c>
      <c r="E162" s="99">
        <f>VLOOKUP(CurrentMtgRatesDataTable825[[#This Row],[asOfDate]],O:P,2,0)</f>
        <v>0</v>
      </c>
      <c r="F162" s="100">
        <f ca="1">VLOOKUP(CurrentMtgRatesDataTable825[[#This Row],[asOfDate]]+1,Bloomberg!B:C,2,0)</f>
        <v>3339.8</v>
      </c>
      <c r="H162" s="1">
        <v>41662</v>
      </c>
      <c r="I162" s="33">
        <v>0.32547727058860199</v>
      </c>
      <c r="O162" s="1">
        <v>41662</v>
      </c>
      <c r="P162" s="33">
        <v>4.3538471617421198E-4</v>
      </c>
    </row>
    <row r="163" spans="2:16">
      <c r="B163" s="98">
        <v>41424</v>
      </c>
      <c r="C163" s="99">
        <v>0.65480493130822182</v>
      </c>
      <c r="D163" s="99">
        <f>VLOOKUP(CurrentMtgRatesDataTable825[[#This Row],[asOfDate]],H:I,2,0)</f>
        <v>0.61546645850988302</v>
      </c>
      <c r="E163" s="99">
        <f>VLOOKUP(CurrentMtgRatesDataTable825[[#This Row],[asOfDate]],O:P,2,0)</f>
        <v>0</v>
      </c>
      <c r="F163" s="100">
        <f ca="1">VLOOKUP(CurrentMtgRatesDataTable825[[#This Row],[asOfDate]]+1,Bloomberg!B:C,2,0)</f>
        <v>3163.6</v>
      </c>
      <c r="H163" s="1">
        <v>41669</v>
      </c>
      <c r="I163" s="33">
        <v>0.38449844249950499</v>
      </c>
      <c r="O163" s="1">
        <v>41669</v>
      </c>
      <c r="P163" s="33">
        <v>9.04155248858617E-4</v>
      </c>
    </row>
    <row r="164" spans="2:16">
      <c r="B164" s="98">
        <v>41417</v>
      </c>
      <c r="C164" s="99">
        <v>0.71597160462029186</v>
      </c>
      <c r="D164" s="99">
        <f>VLOOKUP(CurrentMtgRatesDataTable825[[#This Row],[asOfDate]],H:I,2,0)</f>
        <v>0.68530860108825797</v>
      </c>
      <c r="E164" s="99">
        <f>VLOOKUP(CurrentMtgRatesDataTable825[[#This Row],[asOfDate]],O:P,2,0)</f>
        <v>0</v>
      </c>
      <c r="F164" s="100">
        <f ca="1">VLOOKUP(CurrentMtgRatesDataTable825[[#This Row],[asOfDate]]+1,Bloomberg!B:C,2,0)</f>
        <v>3709.4</v>
      </c>
      <c r="H164" s="1">
        <v>41676</v>
      </c>
      <c r="I164" s="33">
        <v>0.407383000493176</v>
      </c>
      <c r="O164" s="1">
        <v>41676</v>
      </c>
      <c r="P164" s="33">
        <v>1.56502134325395E-3</v>
      </c>
    </row>
    <row r="165" spans="2:16">
      <c r="B165" s="98">
        <v>41410</v>
      </c>
      <c r="C165" s="99">
        <v>0.79936031324337575</v>
      </c>
      <c r="D165" s="99">
        <f>VLOOKUP(CurrentMtgRatesDataTable825[[#This Row],[asOfDate]],H:I,2,0)</f>
        <v>0.72159050384319001</v>
      </c>
      <c r="E165" s="99">
        <f>VLOOKUP(CurrentMtgRatesDataTable825[[#This Row],[asOfDate]],O:P,2,0)</f>
        <v>0</v>
      </c>
      <c r="F165" s="100">
        <f ca="1">VLOOKUP(CurrentMtgRatesDataTable825[[#This Row],[asOfDate]]+1,Bloomberg!B:C,2,0)</f>
        <v>4241.5</v>
      </c>
      <c r="H165" s="1">
        <v>41683</v>
      </c>
      <c r="I165" s="33">
        <v>0.380280894786581</v>
      </c>
      <c r="O165" s="1">
        <v>41683</v>
      </c>
      <c r="P165" s="33">
        <v>0</v>
      </c>
    </row>
    <row r="166" spans="2:16">
      <c r="B166" s="98">
        <v>41403</v>
      </c>
      <c r="C166" s="99">
        <v>0.8256608129051427</v>
      </c>
      <c r="D166" s="99">
        <f>VLOOKUP(CurrentMtgRatesDataTable825[[#This Row],[asOfDate]],H:I,2,0)</f>
        <v>0.75094523370436095</v>
      </c>
      <c r="E166" s="99">
        <f>VLOOKUP(CurrentMtgRatesDataTable825[[#This Row],[asOfDate]],O:P,2,0)</f>
        <v>0</v>
      </c>
      <c r="F166" s="100">
        <f ca="1">VLOOKUP(CurrentMtgRatesDataTable825[[#This Row],[asOfDate]]+1,Bloomberg!B:C,2,0)</f>
        <v>4797.2</v>
      </c>
      <c r="H166" s="1">
        <v>41690</v>
      </c>
      <c r="I166" s="33">
        <v>0.35043602810261099</v>
      </c>
      <c r="O166" s="1">
        <v>41690</v>
      </c>
      <c r="P166" s="33">
        <v>0</v>
      </c>
    </row>
    <row r="167" spans="2:16">
      <c r="B167" s="98">
        <v>41396</v>
      </c>
      <c r="C167" s="99">
        <v>0.83257474781957852</v>
      </c>
      <c r="D167" s="99">
        <f>VLOOKUP(CurrentMtgRatesDataTable825[[#This Row],[asOfDate]],H:I,2,0)</f>
        <v>0.77520531199879605</v>
      </c>
      <c r="E167" s="99">
        <f>VLOOKUP(CurrentMtgRatesDataTable825[[#This Row],[asOfDate]],O:P,2,0)</f>
        <v>9.3714860500272602E-3</v>
      </c>
      <c r="F167" s="100">
        <f ca="1">VLOOKUP(CurrentMtgRatesDataTable825[[#This Row],[asOfDate]]+1,Bloomberg!B:C,2,0)</f>
        <v>5279.9</v>
      </c>
      <c r="H167" s="1">
        <v>41697</v>
      </c>
      <c r="I167" s="33">
        <v>0.34853875137296803</v>
      </c>
      <c r="O167" s="1">
        <v>41697</v>
      </c>
      <c r="P167" s="33">
        <v>0</v>
      </c>
    </row>
    <row r="168" spans="2:16">
      <c r="B168" s="98">
        <v>41389</v>
      </c>
      <c r="C168" s="99">
        <v>0.84305925134198079</v>
      </c>
      <c r="D168" s="99">
        <f>VLOOKUP(CurrentMtgRatesDataTable825[[#This Row],[asOfDate]],H:I,2,0)</f>
        <v>0.759939269856726</v>
      </c>
      <c r="E168" s="99">
        <f>VLOOKUP(CurrentMtgRatesDataTable825[[#This Row],[asOfDate]],O:P,2,0)</f>
        <v>0</v>
      </c>
      <c r="F168" s="100">
        <f ca="1">VLOOKUP(CurrentMtgRatesDataTable825[[#This Row],[asOfDate]]+1,Bloomberg!B:C,2,0)</f>
        <v>4854.1000000000004</v>
      </c>
      <c r="H168" s="1">
        <v>41704</v>
      </c>
      <c r="I168" s="33">
        <v>0.37584545219724702</v>
      </c>
      <c r="O168" s="1">
        <v>41704</v>
      </c>
      <c r="P168" s="33">
        <v>0</v>
      </c>
    </row>
    <row r="169" spans="2:16">
      <c r="B169" s="98">
        <v>41382</v>
      </c>
      <c r="C169" s="99">
        <v>0.84439179341474835</v>
      </c>
      <c r="D169" s="99">
        <f>VLOOKUP(CurrentMtgRatesDataTable825[[#This Row],[asOfDate]],H:I,2,0)</f>
        <v>0.76108985756873504</v>
      </c>
      <c r="E169" s="99">
        <f>VLOOKUP(CurrentMtgRatesDataTable825[[#This Row],[asOfDate]],O:P,2,0)</f>
        <v>5.4959854023419203E-3</v>
      </c>
      <c r="F169" s="100">
        <f ca="1">VLOOKUP(CurrentMtgRatesDataTable825[[#This Row],[asOfDate]]+1,Bloomberg!B:C,2,0)</f>
        <v>4672.1000000000004</v>
      </c>
      <c r="H169" s="1">
        <v>41711</v>
      </c>
      <c r="I169" s="33">
        <v>0.34537825411835699</v>
      </c>
      <c r="O169" s="1">
        <v>41711</v>
      </c>
      <c r="P169" s="33">
        <v>0</v>
      </c>
    </row>
    <row r="170" spans="2:16">
      <c r="B170" s="98">
        <v>41375</v>
      </c>
      <c r="C170" s="99">
        <v>0.83798948836137577</v>
      </c>
      <c r="D170" s="99">
        <f>VLOOKUP(CurrentMtgRatesDataTable825[[#This Row],[asOfDate]],H:I,2,0)</f>
        <v>0.73719138808657003</v>
      </c>
      <c r="E170" s="99">
        <f>VLOOKUP(CurrentMtgRatesDataTable825[[#This Row],[asOfDate]],O:P,2,0)</f>
        <v>3.9681299102296798E-3</v>
      </c>
      <c r="F170" s="100">
        <f ca="1">VLOOKUP(CurrentMtgRatesDataTable825[[#This Row],[asOfDate]]+1,Bloomberg!B:C,2,0)</f>
        <v>4726.8999999999996</v>
      </c>
      <c r="H170" s="1">
        <v>41718</v>
      </c>
      <c r="I170" s="33">
        <v>0.37475184713589199</v>
      </c>
      <c r="O170" s="1">
        <v>41718</v>
      </c>
      <c r="P170" s="33">
        <v>0</v>
      </c>
    </row>
    <row r="171" spans="2:16">
      <c r="B171" s="98">
        <v>41368</v>
      </c>
      <c r="C171" s="99">
        <v>0.76832708554350626</v>
      </c>
      <c r="D171" s="99">
        <f>VLOOKUP(CurrentMtgRatesDataTable825[[#This Row],[asOfDate]],H:I,2,0)</f>
        <v>0.71361316522728502</v>
      </c>
      <c r="E171" s="99">
        <f>VLOOKUP(CurrentMtgRatesDataTable825[[#This Row],[asOfDate]],O:P,2,0)</f>
        <v>0</v>
      </c>
      <c r="F171" s="100">
        <f ca="1">VLOOKUP(CurrentMtgRatesDataTable825[[#This Row],[asOfDate]]+1,Bloomberg!B:C,2,0)</f>
        <v>4528.8999999999996</v>
      </c>
      <c r="H171" s="1">
        <v>41725</v>
      </c>
      <c r="I171" s="33">
        <v>0.34373332978073601</v>
      </c>
      <c r="O171" s="1">
        <v>41725</v>
      </c>
      <c r="P171" s="33">
        <v>0</v>
      </c>
    </row>
    <row r="172" spans="2:16">
      <c r="B172" s="98">
        <v>41361</v>
      </c>
      <c r="C172" s="99">
        <v>0.74949629336244095</v>
      </c>
      <c r="D172" s="99">
        <f>VLOOKUP(CurrentMtgRatesDataTable825[[#This Row],[asOfDate]],H:I,2,0)</f>
        <v>0.712062870316722</v>
      </c>
      <c r="E172" s="99">
        <f>VLOOKUP(CurrentMtgRatesDataTable825[[#This Row],[asOfDate]],O:P,2,0)</f>
        <v>0</v>
      </c>
      <c r="F172" s="100">
        <f ca="1">VLOOKUP(CurrentMtgRatesDataTable825[[#This Row],[asOfDate]]+1,Bloomberg!B:C,2,0)</f>
        <v>4119.2</v>
      </c>
      <c r="H172" s="1">
        <v>41732</v>
      </c>
      <c r="I172" s="33">
        <v>0.31383635422742501</v>
      </c>
      <c r="O172" s="1">
        <v>41732</v>
      </c>
      <c r="P172" s="33">
        <v>0</v>
      </c>
    </row>
    <row r="173" spans="2:16">
      <c r="B173" s="98">
        <v>41354</v>
      </c>
      <c r="C173" s="99">
        <v>0.78721266500464782</v>
      </c>
      <c r="D173" s="99">
        <f>VLOOKUP(CurrentMtgRatesDataTable825[[#This Row],[asOfDate]],H:I,2,0)</f>
        <v>0.72870485724391698</v>
      </c>
      <c r="E173" s="99">
        <f>VLOOKUP(CurrentMtgRatesDataTable825[[#This Row],[asOfDate]],O:P,2,0)</f>
        <v>0</v>
      </c>
      <c r="F173" s="100">
        <f ca="1">VLOOKUP(CurrentMtgRatesDataTable825[[#This Row],[asOfDate]]+1,Bloomberg!B:C,2,0)</f>
        <v>4412.8999999999996</v>
      </c>
      <c r="H173" s="1">
        <v>41739</v>
      </c>
      <c r="I173" s="33">
        <v>0.34451093908200903</v>
      </c>
      <c r="O173" s="1">
        <v>41739</v>
      </c>
      <c r="P173" s="33">
        <v>3.2608018628066501E-4</v>
      </c>
    </row>
    <row r="174" spans="2:16">
      <c r="B174" s="98">
        <v>41347</v>
      </c>
      <c r="C174" s="99">
        <v>0.72169822774356485</v>
      </c>
      <c r="D174" s="99">
        <f>VLOOKUP(CurrentMtgRatesDataTable825[[#This Row],[asOfDate]],H:I,2,0)</f>
        <v>0.69793386100167498</v>
      </c>
      <c r="E174" s="99">
        <f>VLOOKUP(CurrentMtgRatesDataTable825[[#This Row],[asOfDate]],O:P,2,0)</f>
        <v>0</v>
      </c>
      <c r="F174" s="100">
        <f ca="1">VLOOKUP(CurrentMtgRatesDataTable825[[#This Row],[asOfDate]]+1,Bloomberg!B:C,2,0)</f>
        <v>4111.3</v>
      </c>
      <c r="H174" s="1">
        <v>41746</v>
      </c>
      <c r="I174" s="33">
        <v>0.37550642358643799</v>
      </c>
      <c r="O174" s="1">
        <v>41746</v>
      </c>
      <c r="P174" s="33">
        <v>1.3569924293908599E-3</v>
      </c>
    </row>
    <row r="175" spans="2:16">
      <c r="B175" s="98">
        <v>41340</v>
      </c>
      <c r="C175" s="99">
        <v>0.83079065598448121</v>
      </c>
      <c r="D175" s="99">
        <f>VLOOKUP(CurrentMtgRatesDataTable825[[#This Row],[asOfDate]],H:I,2,0)</f>
        <v>0.731898053840778</v>
      </c>
      <c r="E175" s="99">
        <f>VLOOKUP(CurrentMtgRatesDataTable825[[#This Row],[asOfDate]],O:P,2,0)</f>
        <v>7.62863846133132E-4</v>
      </c>
      <c r="F175" s="100">
        <f ca="1">VLOOKUP(CurrentMtgRatesDataTable825[[#This Row],[asOfDate]]+1,Bloomberg!B:C,2,0)</f>
        <v>4485.2</v>
      </c>
      <c r="H175" s="1">
        <v>41753</v>
      </c>
      <c r="I175" s="33">
        <v>0.37394334466633</v>
      </c>
      <c r="O175" s="1">
        <v>41753</v>
      </c>
      <c r="P175" s="33">
        <v>0</v>
      </c>
    </row>
    <row r="176" spans="2:16">
      <c r="B176" s="98">
        <v>41333</v>
      </c>
      <c r="C176" s="99">
        <v>0.84063472269635875</v>
      </c>
      <c r="D176" s="99">
        <f>VLOOKUP(CurrentMtgRatesDataTable825[[#This Row],[asOfDate]],H:I,2,0)</f>
        <v>0.75332777657917305</v>
      </c>
      <c r="E176" s="99">
        <f>VLOOKUP(CurrentMtgRatesDataTable825[[#This Row],[asOfDate]],O:P,2,0)</f>
        <v>5.5309707563809801E-4</v>
      </c>
      <c r="F176" s="100">
        <f ca="1">VLOOKUP(CurrentMtgRatesDataTable825[[#This Row],[asOfDate]]+1,Bloomberg!B:C,2,0)</f>
        <v>4724.8999999999996</v>
      </c>
      <c r="H176" s="1">
        <v>41760</v>
      </c>
      <c r="I176" s="33">
        <v>0.37348002875422498</v>
      </c>
      <c r="O176" s="1">
        <v>41760</v>
      </c>
      <c r="P176" s="33">
        <v>0</v>
      </c>
    </row>
    <row r="177" spans="2:16">
      <c r="B177" s="98">
        <v>41326</v>
      </c>
      <c r="C177" s="99">
        <v>0.78197458672123177</v>
      </c>
      <c r="D177" s="99">
        <f>VLOOKUP(CurrentMtgRatesDataTable825[[#This Row],[asOfDate]],H:I,2,0)</f>
        <v>0.73462902469773095</v>
      </c>
      <c r="E177" s="99">
        <f>VLOOKUP(CurrentMtgRatesDataTable825[[#This Row],[asOfDate]],O:P,2,0)</f>
        <v>0</v>
      </c>
      <c r="F177" s="100">
        <f ca="1">VLOOKUP(CurrentMtgRatesDataTable825[[#This Row],[asOfDate]]+1,Bloomberg!B:C,2,0)</f>
        <v>4136.3</v>
      </c>
      <c r="H177" s="1">
        <v>41767</v>
      </c>
      <c r="I177" s="33">
        <v>0.42315654967107302</v>
      </c>
      <c r="O177" s="1">
        <v>41767</v>
      </c>
      <c r="P177" s="33">
        <v>1.33698656511534E-2</v>
      </c>
    </row>
    <row r="178" spans="2:16">
      <c r="B178" s="98">
        <v>41319</v>
      </c>
      <c r="C178" s="99">
        <v>0.82228594543390077</v>
      </c>
      <c r="D178" s="99">
        <f>VLOOKUP(CurrentMtgRatesDataTable825[[#This Row],[asOfDate]],H:I,2,0)</f>
        <v>0.75155379277106704</v>
      </c>
      <c r="E178" s="99">
        <f>VLOOKUP(CurrentMtgRatesDataTable825[[#This Row],[asOfDate]],O:P,2,0)</f>
        <v>5.4993651942507197E-4</v>
      </c>
      <c r="F178" s="100">
        <f ca="1">VLOOKUP(CurrentMtgRatesDataTable825[[#This Row],[asOfDate]]+1,Bloomberg!B:C,2,0)</f>
        <v>4261.8</v>
      </c>
      <c r="H178" s="1">
        <v>41774</v>
      </c>
      <c r="I178" s="33">
        <v>0.42349289634896597</v>
      </c>
      <c r="O178" s="1">
        <v>41774</v>
      </c>
      <c r="P178" s="33">
        <v>1.3390108612719401E-2</v>
      </c>
    </row>
    <row r="179" spans="2:16">
      <c r="B179" s="98">
        <v>41312</v>
      </c>
      <c r="C179" s="99">
        <v>0.82228594543390077</v>
      </c>
      <c r="D179" s="99">
        <f>VLOOKUP(CurrentMtgRatesDataTable825[[#This Row],[asOfDate]],H:I,2,0)</f>
        <v>0.75155379277106704</v>
      </c>
      <c r="E179" s="99">
        <f>VLOOKUP(CurrentMtgRatesDataTable825[[#This Row],[asOfDate]],O:P,2,0)</f>
        <v>0</v>
      </c>
      <c r="F179" s="100">
        <f ca="1">VLOOKUP(CurrentMtgRatesDataTable825[[#This Row],[asOfDate]]+1,Bloomberg!B:C,2,0)</f>
        <v>4284.3</v>
      </c>
      <c r="H179" s="1">
        <v>41781</v>
      </c>
      <c r="I179" s="33">
        <v>0.44562837110466802</v>
      </c>
      <c r="O179" s="1">
        <v>41781</v>
      </c>
      <c r="P179" s="33">
        <v>1.7600292816905099E-2</v>
      </c>
    </row>
    <row r="180" spans="2:16">
      <c r="B180" s="98">
        <v>41305</v>
      </c>
      <c r="C180" s="99">
        <v>0.87254552435126431</v>
      </c>
      <c r="D180" s="99">
        <f>VLOOKUP(CurrentMtgRatesDataTable825[[#This Row],[asOfDate]],H:I,2,0)</f>
        <v>0.77322369572310801</v>
      </c>
      <c r="E180" s="99">
        <f>VLOOKUP(CurrentMtgRatesDataTable825[[#This Row],[asOfDate]],O:P,2,0)</f>
        <v>0</v>
      </c>
      <c r="F180" s="100">
        <f ca="1">VLOOKUP(CurrentMtgRatesDataTable825[[#This Row],[asOfDate]]+1,Bloomberg!B:C,2,0)</f>
        <v>4579</v>
      </c>
      <c r="H180" s="1">
        <v>41788</v>
      </c>
      <c r="I180" s="33">
        <v>0.44740081291084099</v>
      </c>
      <c r="O180" s="1">
        <v>41788</v>
      </c>
      <c r="P180" s="33">
        <v>2.8641136811507002E-2</v>
      </c>
    </row>
    <row r="181" spans="2:16">
      <c r="B181" s="98">
        <v>41298</v>
      </c>
      <c r="C181" s="99">
        <v>0.90688789142571524</v>
      </c>
      <c r="D181" s="99">
        <f>VLOOKUP(CurrentMtgRatesDataTable825[[#This Row],[asOfDate]],H:I,2,0)</f>
        <v>0.81634992305868503</v>
      </c>
      <c r="E181" s="99">
        <f>VLOOKUP(CurrentMtgRatesDataTable825[[#This Row],[asOfDate]],O:P,2,0)</f>
        <v>0</v>
      </c>
      <c r="F181" s="100">
        <f ca="1">VLOOKUP(CurrentMtgRatesDataTable825[[#This Row],[asOfDate]]+1,Bloomberg!B:C,2,0)</f>
        <v>4433.6000000000004</v>
      </c>
      <c r="H181" s="1">
        <v>41795</v>
      </c>
      <c r="I181" s="33">
        <v>0.447997908024105</v>
      </c>
      <c r="O181" s="1">
        <v>41795</v>
      </c>
      <c r="P181" s="33">
        <v>3.2896088379140397E-2</v>
      </c>
    </row>
    <row r="182" spans="2:16">
      <c r="B182" s="98">
        <v>41291</v>
      </c>
      <c r="C182" s="99">
        <v>0.90904564835754453</v>
      </c>
      <c r="D182" s="99">
        <f>VLOOKUP(CurrentMtgRatesDataTable825[[#This Row],[asOfDate]],H:I,2,0)</f>
        <v>0.83503612629874802</v>
      </c>
      <c r="E182" s="99">
        <f>VLOOKUP(CurrentMtgRatesDataTable825[[#This Row],[asOfDate]],O:P,2,0)</f>
        <v>0</v>
      </c>
      <c r="F182" s="100">
        <f ca="1">VLOOKUP(CurrentMtgRatesDataTable825[[#This Row],[asOfDate]]+1,Bloomberg!B:C,2,0)</f>
        <v>4937.3999999999996</v>
      </c>
      <c r="H182" s="1">
        <v>41802</v>
      </c>
      <c r="I182" s="33">
        <v>0.42258598579352902</v>
      </c>
      <c r="O182" s="1">
        <v>41802</v>
      </c>
      <c r="P182" s="33">
        <v>0</v>
      </c>
    </row>
    <row r="183" spans="2:16">
      <c r="B183" s="98">
        <v>41284</v>
      </c>
      <c r="C183" s="99">
        <v>0.90782006120518755</v>
      </c>
      <c r="D183" s="99">
        <f>VLOOKUP(CurrentMtgRatesDataTable825[[#This Row],[asOfDate]],H:I,2,0)</f>
        <v>0.81798384699460103</v>
      </c>
      <c r="E183" s="99">
        <f>VLOOKUP(CurrentMtgRatesDataTable825[[#This Row],[asOfDate]],O:P,2,0)</f>
        <v>0</v>
      </c>
      <c r="F183" s="100">
        <f ca="1">VLOOKUP(CurrentMtgRatesDataTable825[[#This Row],[asOfDate]]+1,Bloomberg!B:C,2,0)</f>
        <v>4554.3999999999996</v>
      </c>
      <c r="H183" s="1">
        <v>41809</v>
      </c>
      <c r="I183" s="33">
        <v>0.42434402519227898</v>
      </c>
      <c r="O183" s="1">
        <v>41809</v>
      </c>
      <c r="P183" s="33">
        <v>0</v>
      </c>
    </row>
    <row r="184" spans="2:16">
      <c r="B184" s="98">
        <v>41277</v>
      </c>
      <c r="C184" s="99">
        <v>0.9105479087849232</v>
      </c>
      <c r="D184" s="99">
        <f>VLOOKUP(CurrentMtgRatesDataTable825[[#This Row],[asOfDate]],H:I,2,0)</f>
        <v>0.83696581575361895</v>
      </c>
      <c r="E184" s="99">
        <f>VLOOKUP(CurrentMtgRatesDataTable825[[#This Row],[asOfDate]],O:P,2,0)</f>
        <v>0</v>
      </c>
      <c r="F184" s="100">
        <f ca="1">VLOOKUP(CurrentMtgRatesDataTable825[[#This Row],[asOfDate]]+1,Bloomberg!B:C,2,0)</f>
        <v>3896.4</v>
      </c>
      <c r="H184" s="1">
        <v>41816</v>
      </c>
      <c r="I184" s="33">
        <v>0.447997908024105</v>
      </c>
      <c r="O184" s="1">
        <v>41816</v>
      </c>
      <c r="P184" s="33">
        <v>0</v>
      </c>
    </row>
    <row r="185" spans="2:16">
      <c r="B185" s="98">
        <v>41270</v>
      </c>
      <c r="C185" s="99">
        <v>0.92736895436677724</v>
      </c>
      <c r="D185" s="99">
        <f>VLOOKUP(CurrentMtgRatesDataTable825[[#This Row],[asOfDate]],H:I,2,0)</f>
        <v>0.85626060279274896</v>
      </c>
      <c r="E185" s="99">
        <f>VLOOKUP(CurrentMtgRatesDataTable825[[#This Row],[asOfDate]],O:P,2,0)</f>
        <v>0</v>
      </c>
      <c r="F185" s="100">
        <f ca="1">VLOOKUP(CurrentMtgRatesDataTable825[[#This Row],[asOfDate]]+1,Bloomberg!B:C,2,0)</f>
        <v>3488.9</v>
      </c>
      <c r="H185" s="1">
        <v>41823</v>
      </c>
      <c r="I185" s="33">
        <v>0.47241973099249801</v>
      </c>
      <c r="O185" s="1">
        <v>41823</v>
      </c>
      <c r="P185" s="33">
        <v>4.9242422986382497E-2</v>
      </c>
    </row>
    <row r="186" spans="2:16">
      <c r="B186" s="98">
        <v>41263</v>
      </c>
      <c r="C186" s="99">
        <v>0.92693774833595899</v>
      </c>
      <c r="D186" s="99">
        <f>VLOOKUP(CurrentMtgRatesDataTable825[[#This Row],[asOfDate]],H:I,2,0)</f>
        <v>0.85522983991809798</v>
      </c>
      <c r="E186" s="99">
        <f>VLOOKUP(CurrentMtgRatesDataTable825[[#This Row],[asOfDate]],O:P,2,0)</f>
        <v>0</v>
      </c>
      <c r="F186" s="100">
        <f ca="1">VLOOKUP(CurrentMtgRatesDataTable825[[#This Row],[asOfDate]]+1,Bloomberg!B:C,2,0)</f>
        <v>3983.2</v>
      </c>
      <c r="H186" s="1">
        <v>41830</v>
      </c>
      <c r="I186" s="33">
        <v>0.41926854513922601</v>
      </c>
      <c r="O186" s="1">
        <v>41830</v>
      </c>
      <c r="P186" s="33">
        <v>0</v>
      </c>
    </row>
    <row r="187" spans="2:16">
      <c r="B187" s="98">
        <v>41256</v>
      </c>
      <c r="C187" s="99">
        <v>0.92962672480790975</v>
      </c>
      <c r="D187" s="99">
        <f>VLOOKUP(CurrentMtgRatesDataTable825[[#This Row],[asOfDate]],H:I,2,0)</f>
        <v>0.87412257034895602</v>
      </c>
      <c r="E187" s="99">
        <f>VLOOKUP(CurrentMtgRatesDataTable825[[#This Row],[asOfDate]],O:P,2,0)</f>
        <v>1.92397129365898E-3</v>
      </c>
      <c r="F187" s="100">
        <f ca="1">VLOOKUP(CurrentMtgRatesDataTable825[[#This Row],[asOfDate]]+1,Bloomberg!B:C,2,0)</f>
        <v>4564.3999999999996</v>
      </c>
      <c r="H187" s="1">
        <v>41837</v>
      </c>
      <c r="I187" s="33">
        <v>0.44241787954298001</v>
      </c>
      <c r="O187" s="1">
        <v>41837</v>
      </c>
      <c r="P187" s="33">
        <v>0</v>
      </c>
    </row>
    <row r="188" spans="2:16">
      <c r="B188" s="98">
        <v>41249</v>
      </c>
      <c r="C188" s="99">
        <v>0.92772026190850965</v>
      </c>
      <c r="D188" s="99">
        <f>VLOOKUP(CurrentMtgRatesDataTable825[[#This Row],[asOfDate]],H:I,2,0)</f>
        <v>0.85662578219432695</v>
      </c>
      <c r="E188" s="99">
        <f>VLOOKUP(CurrentMtgRatesDataTable825[[#This Row],[asOfDate]],O:P,2,0)</f>
        <v>0</v>
      </c>
      <c r="F188" s="100">
        <f ca="1">VLOOKUP(CurrentMtgRatesDataTable825[[#This Row],[asOfDate]]+1,Bloomberg!B:C,2,0)</f>
        <v>5368.1</v>
      </c>
      <c r="H188" s="1">
        <v>41844</v>
      </c>
      <c r="I188" s="33">
        <v>0.44241787954298001</v>
      </c>
      <c r="O188" s="1">
        <v>41844</v>
      </c>
      <c r="P188" s="33">
        <v>0</v>
      </c>
    </row>
    <row r="189" spans="2:16">
      <c r="B189" s="98">
        <v>41242</v>
      </c>
      <c r="C189" s="99">
        <v>0.95324471839825531</v>
      </c>
      <c r="D189" s="99">
        <f>VLOOKUP(CurrentMtgRatesDataTable825[[#This Row],[asOfDate]],H:I,2,0)</f>
        <v>0.86996445945149903</v>
      </c>
      <c r="E189" s="99">
        <f>VLOOKUP(CurrentMtgRatesDataTable825[[#This Row],[asOfDate]],O:P,2,0)</f>
        <v>0</v>
      </c>
      <c r="F189" s="100">
        <f ca="1">VLOOKUP(CurrentMtgRatesDataTable825[[#This Row],[asOfDate]]+1,Bloomberg!B:C,2,0)</f>
        <v>4943</v>
      </c>
      <c r="H189" s="1">
        <v>41851</v>
      </c>
      <c r="I189" s="33">
        <v>0.44366576481104603</v>
      </c>
      <c r="O189" s="1">
        <v>41851</v>
      </c>
      <c r="P189" s="33">
        <v>0</v>
      </c>
    </row>
    <row r="190" spans="2:16">
      <c r="B190" s="98">
        <v>41234</v>
      </c>
      <c r="C190" s="99">
        <v>0.95520978776140819</v>
      </c>
      <c r="D190" s="99">
        <f>VLOOKUP(CurrentMtgRatesDataTable825[[#This Row],[asOfDate]],H:I,2,0)</f>
        <v>0.88773399472374204</v>
      </c>
      <c r="E190" s="99">
        <f>VLOOKUP(CurrentMtgRatesDataTable825[[#This Row],[asOfDate]],O:P,2,0)</f>
        <v>0.88870182147749199</v>
      </c>
      <c r="F190" s="100" t="e">
        <f ca="1">VLOOKUP(CurrentMtgRatesDataTable825[[#This Row],[asOfDate]]+1,Bloomberg!B:C,2,0)</f>
        <v>#N/A</v>
      </c>
      <c r="H190" s="1">
        <v>41858</v>
      </c>
      <c r="I190" s="33">
        <v>0.41284557270170602</v>
      </c>
      <c r="O190" s="1">
        <v>41858</v>
      </c>
      <c r="P190" s="33">
        <v>0</v>
      </c>
    </row>
    <row r="191" spans="2:16">
      <c r="B191" s="98">
        <v>41228</v>
      </c>
      <c r="C191" s="99">
        <v>0.95335910637163435</v>
      </c>
      <c r="D191" s="99">
        <f>VLOOKUP(CurrentMtgRatesDataTable825[[#This Row],[asOfDate]],H:I,2,0)</f>
        <v>0.86999483052125803</v>
      </c>
      <c r="E191" s="99">
        <f>VLOOKUP(CurrentMtgRatesDataTable825[[#This Row],[asOfDate]],O:P,2,0)</f>
        <v>3.6805392889150699E-3</v>
      </c>
      <c r="F191" s="100">
        <f ca="1">VLOOKUP(CurrentMtgRatesDataTable825[[#This Row],[asOfDate]]+1,Bloomberg!B:C,2,0)</f>
        <v>4702.3999999999996</v>
      </c>
      <c r="H191" s="1">
        <v>41865</v>
      </c>
      <c r="I191" s="33">
        <v>0.437009219217877</v>
      </c>
      <c r="O191" s="1">
        <v>41865</v>
      </c>
      <c r="P191" s="33">
        <v>5.9130346511517896E-4</v>
      </c>
    </row>
    <row r="192" spans="2:16">
      <c r="B192" s="98">
        <v>41221</v>
      </c>
      <c r="C192" s="99">
        <v>0.95122523158751371</v>
      </c>
      <c r="D192" s="99">
        <f>VLOOKUP(CurrentMtgRatesDataTable825[[#This Row],[asOfDate]],H:I,2,0)</f>
        <v>0.85194480836680198</v>
      </c>
      <c r="E192" s="99">
        <f>VLOOKUP(CurrentMtgRatesDataTable825[[#This Row],[asOfDate]],O:P,2,0)</f>
        <v>0</v>
      </c>
      <c r="F192" s="100">
        <f ca="1">VLOOKUP(CurrentMtgRatesDataTable825[[#This Row],[asOfDate]]+1,Bloomberg!B:C,2,0)</f>
        <v>4856.1000000000004</v>
      </c>
      <c r="H192" s="1">
        <v>41872</v>
      </c>
      <c r="I192" s="33">
        <v>0.46725416935729103</v>
      </c>
      <c r="O192" s="1">
        <v>41872</v>
      </c>
      <c r="P192" s="33">
        <v>5.44200843584444E-2</v>
      </c>
    </row>
    <row r="193" spans="2:16">
      <c r="B193" s="98">
        <v>41214</v>
      </c>
      <c r="C193" s="99">
        <v>0.95159604304738465</v>
      </c>
      <c r="D193" s="99">
        <f>VLOOKUP(CurrentMtgRatesDataTable825[[#This Row],[asOfDate]],H:I,2,0)</f>
        <v>0.85225052894835196</v>
      </c>
      <c r="E193" s="99">
        <f>VLOOKUP(CurrentMtgRatesDataTable825[[#This Row],[asOfDate]],O:P,2,0)</f>
        <v>0</v>
      </c>
      <c r="F193" s="100">
        <f ca="1">VLOOKUP(CurrentMtgRatesDataTable825[[#This Row],[asOfDate]]+1,Bloomberg!B:C,2,0)</f>
        <v>4297.7</v>
      </c>
      <c r="H193" s="1">
        <v>41879</v>
      </c>
      <c r="I193" s="33">
        <v>0.46725416935729103</v>
      </c>
      <c r="O193" s="1">
        <v>41879</v>
      </c>
      <c r="P193" s="33">
        <v>0</v>
      </c>
    </row>
    <row r="194" spans="2:16">
      <c r="B194" s="98">
        <v>41207</v>
      </c>
      <c r="C194" s="99">
        <v>0.96333796137203465</v>
      </c>
      <c r="D194" s="99">
        <f>VLOOKUP(CurrentMtgRatesDataTable825[[#This Row],[asOfDate]],H:I,2,0)</f>
        <v>0.87683234085301398</v>
      </c>
      <c r="E194" s="99">
        <f>VLOOKUP(CurrentMtgRatesDataTable825[[#This Row],[asOfDate]],O:P,2,0)</f>
        <v>0</v>
      </c>
      <c r="F194" s="100">
        <f ca="1">VLOOKUP(CurrentMtgRatesDataTable825[[#This Row],[asOfDate]]+1,Bloomberg!B:C,2,0)</f>
        <v>4550.7</v>
      </c>
      <c r="H194" s="1">
        <v>41886</v>
      </c>
      <c r="I194" s="33">
        <v>0.46145357757128402</v>
      </c>
      <c r="O194" s="1">
        <v>41886</v>
      </c>
      <c r="P194" s="33">
        <v>0</v>
      </c>
    </row>
    <row r="195" spans="2:16">
      <c r="B195" s="98">
        <v>41200</v>
      </c>
      <c r="C195" s="99">
        <v>0.96475073661562716</v>
      </c>
      <c r="D195" s="99">
        <f>VLOOKUP(CurrentMtgRatesDataTable825[[#This Row],[asOfDate]],H:I,2,0)</f>
        <v>0.89368551357821302</v>
      </c>
      <c r="E195" s="99">
        <f>VLOOKUP(CurrentMtgRatesDataTable825[[#This Row],[asOfDate]],O:P,2,0)</f>
        <v>0</v>
      </c>
      <c r="F195" s="100">
        <f ca="1">VLOOKUP(CurrentMtgRatesDataTable825[[#This Row],[asOfDate]]+1,Bloomberg!B:C,2,0)</f>
        <v>4847.2</v>
      </c>
      <c r="H195" s="1">
        <v>41893</v>
      </c>
      <c r="I195" s="33">
        <v>0.45995272695767497</v>
      </c>
      <c r="O195" s="1">
        <v>41893</v>
      </c>
      <c r="P195" s="33">
        <v>0</v>
      </c>
    </row>
    <row r="196" spans="2:16">
      <c r="B196" s="98">
        <v>41193</v>
      </c>
      <c r="C196" s="99">
        <v>0.96375870927153184</v>
      </c>
      <c r="D196" s="99">
        <f>VLOOKUP(CurrentMtgRatesDataTable825[[#This Row],[asOfDate]],H:I,2,0)</f>
        <v>0.87811016351224602</v>
      </c>
      <c r="E196" s="99">
        <f>VLOOKUP(CurrentMtgRatesDataTable825[[#This Row],[asOfDate]],O:P,2,0)</f>
        <v>0</v>
      </c>
      <c r="F196" s="100">
        <f ca="1">VLOOKUP(CurrentMtgRatesDataTable825[[#This Row],[asOfDate]]+1,Bloomberg!B:C,2,0)</f>
        <v>5572.2</v>
      </c>
      <c r="H196" s="1">
        <v>41900</v>
      </c>
      <c r="I196" s="33">
        <v>0.403775681059653</v>
      </c>
      <c r="O196" s="1">
        <v>41900</v>
      </c>
      <c r="P196" s="33">
        <v>0</v>
      </c>
    </row>
    <row r="197" spans="2:16">
      <c r="B197" s="98">
        <v>41186</v>
      </c>
      <c r="C197" s="99">
        <v>0.96549727195050905</v>
      </c>
      <c r="D197" s="99">
        <f>VLOOKUP(CurrentMtgRatesDataTable825[[#This Row],[asOfDate]],H:I,2,0)</f>
        <v>0.89522709255279198</v>
      </c>
      <c r="E197" s="99">
        <f>VLOOKUP(CurrentMtgRatesDataTable825[[#This Row],[asOfDate]],O:P,2,0)</f>
        <v>0.89337068210282</v>
      </c>
      <c r="F197" s="100">
        <f ca="1">VLOOKUP(CurrentMtgRatesDataTable825[[#This Row],[asOfDate]]+1,Bloomberg!B:C,2,0)</f>
        <v>5892.5</v>
      </c>
      <c r="H197" s="1">
        <v>41907</v>
      </c>
      <c r="I197" s="33">
        <v>0.40569534905697002</v>
      </c>
      <c r="O197" s="1">
        <v>41907</v>
      </c>
      <c r="P197" s="33">
        <v>0</v>
      </c>
    </row>
    <row r="198" spans="2:16">
      <c r="B198" s="98">
        <v>41179</v>
      </c>
      <c r="C198" s="99">
        <v>0.97972824609281739</v>
      </c>
      <c r="D198" s="99">
        <f>VLOOKUP(CurrentMtgRatesDataTable825[[#This Row],[asOfDate]],H:I,2,0)</f>
        <v>0.91259028169208301</v>
      </c>
      <c r="E198" s="99">
        <f>VLOOKUP(CurrentMtgRatesDataTable825[[#This Row],[asOfDate]],O:P,2,0)</f>
        <v>0.91307424668051995</v>
      </c>
      <c r="F198" s="100">
        <f ca="1">VLOOKUP(CurrentMtgRatesDataTable825[[#This Row],[asOfDate]]+1,Bloomberg!B:C,2,0)</f>
        <v>5965.5</v>
      </c>
      <c r="H198" s="1">
        <v>41914</v>
      </c>
      <c r="I198" s="33">
        <v>0.419925946793896</v>
      </c>
      <c r="O198" s="1">
        <v>41914</v>
      </c>
      <c r="P198" s="33">
        <v>0</v>
      </c>
    </row>
    <row r="199" spans="2:16">
      <c r="B199" s="98">
        <v>41172</v>
      </c>
      <c r="C199" s="99">
        <v>0.97557589212912299</v>
      </c>
      <c r="D199" s="99">
        <f>VLOOKUP(CurrentMtgRatesDataTable825[[#This Row],[asOfDate]],H:I,2,0)</f>
        <v>0.87344930653794395</v>
      </c>
      <c r="E199" s="99">
        <f>VLOOKUP(CurrentMtgRatesDataTable825[[#This Row],[asOfDate]],O:P,2,0)</f>
        <v>0.87391634150534703</v>
      </c>
      <c r="F199" s="100">
        <f ca="1">VLOOKUP(CurrentMtgRatesDataTable825[[#This Row],[asOfDate]]+1,Bloomberg!B:C,2,0)</f>
        <v>4979</v>
      </c>
      <c r="H199" s="1">
        <v>41921</v>
      </c>
      <c r="I199" s="33">
        <v>0.45168042618119703</v>
      </c>
      <c r="O199" s="1">
        <v>41921</v>
      </c>
      <c r="P199" s="33">
        <v>1.00775509847578E-3</v>
      </c>
    </row>
    <row r="200" spans="2:16">
      <c r="B200" s="98">
        <v>41165</v>
      </c>
      <c r="C200" s="99">
        <v>0.95934690244536402</v>
      </c>
      <c r="D200" s="99">
        <f>VLOOKUP(CurrentMtgRatesDataTable825[[#This Row],[asOfDate]],H:I,2,0)</f>
        <v>0.85731125996939705</v>
      </c>
      <c r="E200" s="99">
        <f>VLOOKUP(CurrentMtgRatesDataTable825[[#This Row],[asOfDate]],O:P,2,0)</f>
        <v>3.4287960012666001E-3</v>
      </c>
      <c r="F200" s="100">
        <f ca="1">VLOOKUP(CurrentMtgRatesDataTable825[[#This Row],[asOfDate]]+1,Bloomberg!B:C,2,0)</f>
        <v>4823.3</v>
      </c>
      <c r="H200" s="1">
        <v>41928</v>
      </c>
      <c r="I200" s="33">
        <v>0.51982909302980596</v>
      </c>
      <c r="O200" s="1">
        <v>41928</v>
      </c>
      <c r="P200" s="33">
        <v>9.0356790924596503E-2</v>
      </c>
    </row>
    <row r="201" spans="2:16">
      <c r="B201" s="98">
        <v>41158</v>
      </c>
      <c r="C201" s="99">
        <v>0.9385222539497815</v>
      </c>
      <c r="D201" s="99">
        <f>VLOOKUP(CurrentMtgRatesDataTable825[[#This Row],[asOfDate]],H:I,2,0)</f>
        <v>0.854493626143913</v>
      </c>
      <c r="E201" s="99">
        <f>VLOOKUP(CurrentMtgRatesDataTable825[[#This Row],[asOfDate]],O:P,2,0)</f>
        <v>0</v>
      </c>
      <c r="F201" s="100">
        <f ca="1">VLOOKUP(CurrentMtgRatesDataTable825[[#This Row],[asOfDate]]+1,Bloomberg!B:C,2,0)</f>
        <v>4779.1000000000004</v>
      </c>
      <c r="H201" s="1">
        <v>41935</v>
      </c>
      <c r="I201" s="33">
        <v>0.54838604953283498</v>
      </c>
      <c r="O201" s="1">
        <v>41935</v>
      </c>
      <c r="P201" s="33">
        <v>0.103644934949105</v>
      </c>
    </row>
    <row r="202" spans="2:16">
      <c r="B202" s="98">
        <v>41151</v>
      </c>
      <c r="C202" s="99">
        <v>0.94205857388199854</v>
      </c>
      <c r="D202" s="99">
        <f>VLOOKUP(CurrentMtgRatesDataTable825[[#This Row],[asOfDate]],H:I,2,0)</f>
        <v>0.86745968477328095</v>
      </c>
      <c r="E202" s="99">
        <f>VLOOKUP(CurrentMtgRatesDataTable825[[#This Row],[asOfDate]],O:P,2,0)</f>
        <v>0</v>
      </c>
      <c r="F202" s="100">
        <f ca="1">VLOOKUP(CurrentMtgRatesDataTable825[[#This Row],[asOfDate]]+1,Bloomberg!B:C,2,0)</f>
        <v>4274.8</v>
      </c>
      <c r="H202" s="1">
        <v>41942</v>
      </c>
      <c r="I202" s="33">
        <v>0.519221652370358</v>
      </c>
      <c r="O202" s="1">
        <v>41942</v>
      </c>
      <c r="P202" s="33">
        <v>0</v>
      </c>
    </row>
    <row r="203" spans="2:16">
      <c r="B203" s="98">
        <v>41144</v>
      </c>
      <c r="C203" s="99">
        <v>0.87748700775465949</v>
      </c>
      <c r="D203" s="99">
        <f>VLOOKUP(CurrentMtgRatesDataTable825[[#This Row],[asOfDate]],H:I,2,0)</f>
        <v>0.83819941388679298</v>
      </c>
      <c r="E203" s="99">
        <f>VLOOKUP(CurrentMtgRatesDataTable825[[#This Row],[asOfDate]],O:P,2,0)</f>
        <v>0</v>
      </c>
      <c r="F203" s="100">
        <f ca="1">VLOOKUP(CurrentMtgRatesDataTable825[[#This Row],[asOfDate]]+1,Bloomberg!B:C,2,0)</f>
        <v>4414.6000000000004</v>
      </c>
      <c r="H203" s="1">
        <v>41949</v>
      </c>
      <c r="I203" s="33">
        <v>0.47679161148246502</v>
      </c>
      <c r="O203" s="1">
        <v>41949</v>
      </c>
      <c r="P203" s="33">
        <v>0</v>
      </c>
    </row>
    <row r="204" spans="2:16">
      <c r="B204" s="98">
        <v>41137</v>
      </c>
      <c r="C204" s="99">
        <v>0.90339137243763723</v>
      </c>
      <c r="D204" s="99">
        <f>VLOOKUP(CurrentMtgRatesDataTable825[[#This Row],[asOfDate]],H:I,2,0)</f>
        <v>0.85198632502448901</v>
      </c>
      <c r="E204" s="99">
        <f>VLOOKUP(CurrentMtgRatesDataTable825[[#This Row],[asOfDate]],O:P,2,0)</f>
        <v>0</v>
      </c>
      <c r="F204" s="100">
        <f ca="1">VLOOKUP(CurrentMtgRatesDataTable825[[#This Row],[asOfDate]]+1,Bloomberg!B:C,2,0)</f>
        <v>4671.1000000000004</v>
      </c>
      <c r="H204" s="1">
        <v>41956</v>
      </c>
      <c r="I204" s="33">
        <v>0.47696082053878203</v>
      </c>
      <c r="O204" s="1">
        <v>41956</v>
      </c>
      <c r="P204" s="33">
        <v>1.4902494177175701E-3</v>
      </c>
    </row>
    <row r="205" spans="2:16">
      <c r="B205" s="98">
        <v>41130</v>
      </c>
      <c r="C205" s="99">
        <v>0.94205857388199854</v>
      </c>
      <c r="D205" s="99">
        <f>VLOOKUP(CurrentMtgRatesDataTable825[[#This Row],[asOfDate]],H:I,2,0)</f>
        <v>0.86745968477328095</v>
      </c>
      <c r="E205" s="99">
        <f>VLOOKUP(CurrentMtgRatesDataTable825[[#This Row],[asOfDate]],O:P,2,0)</f>
        <v>0</v>
      </c>
      <c r="F205" s="100">
        <f ca="1">VLOOKUP(CurrentMtgRatesDataTable825[[#This Row],[asOfDate]]+1,Bloomberg!B:C,2,0)</f>
        <v>5172.2</v>
      </c>
      <c r="H205" s="1">
        <v>41963</v>
      </c>
      <c r="I205" s="33">
        <v>0.51126312077979097</v>
      </c>
      <c r="O205" s="1">
        <v>41963</v>
      </c>
      <c r="P205" s="33">
        <v>1.9465534524820899E-3</v>
      </c>
    </row>
    <row r="206" spans="2:16">
      <c r="B206" s="98">
        <v>41123</v>
      </c>
      <c r="C206" s="99">
        <v>0.95587425416287319</v>
      </c>
      <c r="D206" s="99">
        <f>VLOOKUP(CurrentMtgRatesDataTable825[[#This Row],[asOfDate]],H:I,2,0)</f>
        <v>0.86768818253450297</v>
      </c>
      <c r="E206" s="99">
        <f>VLOOKUP(CurrentMtgRatesDataTable825[[#This Row],[asOfDate]],O:P,2,0)</f>
        <v>0</v>
      </c>
      <c r="F206" s="100">
        <f ca="1">VLOOKUP(CurrentMtgRatesDataTable825[[#This Row],[asOfDate]]+1,Bloomberg!B:C,2,0)</f>
        <v>5444.3</v>
      </c>
      <c r="H206" s="1">
        <v>41969</v>
      </c>
      <c r="I206" s="33">
        <v>0.51222876537846296</v>
      </c>
      <c r="O206" s="1">
        <v>41969</v>
      </c>
      <c r="P206" s="33">
        <v>1.9601498700341099E-3</v>
      </c>
    </row>
    <row r="207" spans="2:16">
      <c r="B207" s="98">
        <v>41116</v>
      </c>
      <c r="C207" s="99">
        <v>0.99027447530696866</v>
      </c>
      <c r="D207" s="99">
        <f>VLOOKUP(CurrentMtgRatesDataTable825[[#This Row],[asOfDate]],H:I,2,0)</f>
        <v>0.89814744996460805</v>
      </c>
      <c r="E207" s="99">
        <f>VLOOKUP(CurrentMtgRatesDataTable825[[#This Row],[asOfDate]],O:P,2,0)</f>
        <v>0.89854811201564799</v>
      </c>
      <c r="F207" s="100">
        <f ca="1">VLOOKUP(CurrentMtgRatesDataTable825[[#This Row],[asOfDate]]+1,Bloomberg!B:C,2,0)</f>
        <v>5492.1</v>
      </c>
      <c r="H207" s="1">
        <v>41977</v>
      </c>
      <c r="I207" s="33">
        <v>0.53685925114667898</v>
      </c>
      <c r="O207" s="1">
        <v>41977</v>
      </c>
      <c r="P207" s="33">
        <v>0.106230521131833</v>
      </c>
    </row>
    <row r="208" spans="2:16">
      <c r="B208" s="98">
        <v>41109</v>
      </c>
      <c r="C208" s="99">
        <v>0.97847366123619861</v>
      </c>
      <c r="D208" s="99">
        <f>VLOOKUP(CurrentMtgRatesDataTable825[[#This Row],[asOfDate]],H:I,2,0)</f>
        <v>0.88516739973977598</v>
      </c>
      <c r="E208" s="99">
        <f>VLOOKUP(CurrentMtgRatesDataTable825[[#This Row],[asOfDate]],O:P,2,0)</f>
        <v>0.88557582733423201</v>
      </c>
      <c r="F208" s="100">
        <f ca="1">VLOOKUP(CurrentMtgRatesDataTable825[[#This Row],[asOfDate]]+1,Bloomberg!B:C,2,0)</f>
        <v>5383.1</v>
      </c>
      <c r="H208" s="1">
        <v>41984</v>
      </c>
      <c r="I208" s="33">
        <v>0.53353274326337596</v>
      </c>
      <c r="O208" s="1">
        <v>41984</v>
      </c>
      <c r="P208" s="33">
        <v>0</v>
      </c>
    </row>
    <row r="209" spans="2:16">
      <c r="B209" s="98">
        <v>41102</v>
      </c>
      <c r="C209" s="99">
        <v>0.95580172872477098</v>
      </c>
      <c r="D209" s="99">
        <f>VLOOKUP(CurrentMtgRatesDataTable825[[#This Row],[asOfDate]],H:I,2,0)</f>
        <v>0.88265848165302496</v>
      </c>
      <c r="E209" s="99">
        <f>VLOOKUP(CurrentMtgRatesDataTable825[[#This Row],[asOfDate]],O:P,2,0)</f>
        <v>0.88306588959651799</v>
      </c>
      <c r="F209" s="100">
        <f ca="1">VLOOKUP(CurrentMtgRatesDataTable825[[#This Row],[asOfDate]]+1,Bloomberg!B:C,2,0)</f>
        <v>5246.8</v>
      </c>
      <c r="H209" s="1">
        <v>41991</v>
      </c>
      <c r="I209" s="33">
        <v>0.57447022909045797</v>
      </c>
      <c r="O209" s="1">
        <v>41991</v>
      </c>
      <c r="P209" s="33">
        <v>0.127103043508559</v>
      </c>
    </row>
    <row r="210" spans="2:16">
      <c r="B210" s="98">
        <v>41095</v>
      </c>
      <c r="C210" s="99">
        <v>0.89815584955046668</v>
      </c>
      <c r="D210" s="99">
        <f>VLOOKUP(CurrentMtgRatesDataTable825[[#This Row],[asOfDate]],H:I,2,0)</f>
        <v>0.85531584833132801</v>
      </c>
      <c r="E210" s="99">
        <f>VLOOKUP(CurrentMtgRatesDataTable825[[#This Row],[asOfDate]],O:P,2,0)</f>
        <v>0.85480310148891403</v>
      </c>
      <c r="F210" s="100">
        <f ca="1">VLOOKUP(CurrentMtgRatesDataTable825[[#This Row],[asOfDate]]+1,Bloomberg!B:C,2,0)</f>
        <v>4267.8999999999996</v>
      </c>
      <c r="H210" s="1">
        <v>41997</v>
      </c>
      <c r="I210" s="33">
        <v>0.57166642614489205</v>
      </c>
      <c r="O210" s="1">
        <v>41997</v>
      </c>
      <c r="P210" s="33">
        <v>0</v>
      </c>
    </row>
    <row r="211" spans="2:16">
      <c r="B211" s="98">
        <v>41088</v>
      </c>
      <c r="C211" s="99">
        <v>0.90433551745614671</v>
      </c>
      <c r="D211" s="99">
        <f>VLOOKUP(CurrentMtgRatesDataTable825[[#This Row],[asOfDate]],H:I,2,0)</f>
        <v>0.86306170802286497</v>
      </c>
      <c r="E211" s="99">
        <f>VLOOKUP(CurrentMtgRatesDataTable825[[#This Row],[asOfDate]],O:P,2,0)</f>
        <v>0.86355719580735102</v>
      </c>
      <c r="F211" s="100">
        <f ca="1">VLOOKUP(CurrentMtgRatesDataTable825[[#This Row],[asOfDate]]+1,Bloomberg!B:C,2,0)</f>
        <v>4372.2</v>
      </c>
      <c r="H211" s="1">
        <v>42004</v>
      </c>
      <c r="I211" s="33">
        <v>0.53680415412734395</v>
      </c>
      <c r="O211" s="1">
        <v>42004</v>
      </c>
      <c r="P211" s="33">
        <v>0</v>
      </c>
    </row>
    <row r="212" spans="2:16">
      <c r="B212" s="98">
        <v>41081</v>
      </c>
      <c r="C212" s="99">
        <v>0.90433551745614671</v>
      </c>
      <c r="D212" s="99">
        <f>VLOOKUP(CurrentMtgRatesDataTable825[[#This Row],[asOfDate]],H:I,2,0)</f>
        <v>0.86306170802286497</v>
      </c>
      <c r="E212" s="99">
        <f>VLOOKUP(CurrentMtgRatesDataTable825[[#This Row],[asOfDate]],O:P,2,0)</f>
        <v>0.86355719580735102</v>
      </c>
      <c r="F212" s="100">
        <f ca="1">VLOOKUP(CurrentMtgRatesDataTable825[[#This Row],[asOfDate]]+1,Bloomberg!B:C,2,0)</f>
        <v>4585.8</v>
      </c>
      <c r="H212" s="1">
        <v>42012</v>
      </c>
      <c r="I212" s="33">
        <v>0.59931706558407905</v>
      </c>
      <c r="O212" s="1">
        <v>42012</v>
      </c>
      <c r="P212" s="33">
        <v>0.14268475210645201</v>
      </c>
    </row>
    <row r="213" spans="2:16">
      <c r="B213" s="98">
        <v>41074</v>
      </c>
      <c r="C213" s="99">
        <v>0.89875319576913215</v>
      </c>
      <c r="D213" s="99">
        <f>VLOOKUP(CurrentMtgRatesDataTable825[[#This Row],[asOfDate]],H:I,2,0)</f>
        <v>0.84549296973434196</v>
      </c>
      <c r="E213" s="99">
        <f>VLOOKUP(CurrentMtgRatesDataTable825[[#This Row],[asOfDate]],O:P,2,0)</f>
        <v>0</v>
      </c>
      <c r="F213" s="100">
        <f ca="1">VLOOKUP(CurrentMtgRatesDataTable825[[#This Row],[asOfDate]]+1,Bloomberg!B:C,2,0)</f>
        <v>4719.6000000000004</v>
      </c>
      <c r="H213" s="1">
        <v>42019</v>
      </c>
      <c r="I213" s="33">
        <v>0.65582330233583797</v>
      </c>
      <c r="O213" s="1">
        <v>42019</v>
      </c>
      <c r="P213" s="33">
        <v>0.177765501913389</v>
      </c>
    </row>
    <row r="214" spans="2:16">
      <c r="B214" s="98">
        <v>41067</v>
      </c>
      <c r="C214" s="99">
        <v>0.90226538815009849</v>
      </c>
      <c r="D214" s="99">
        <f>VLOOKUP(CurrentMtgRatesDataTable825[[#This Row],[asOfDate]],H:I,2,0)</f>
        <v>0.86243439572202496</v>
      </c>
      <c r="E214" s="99">
        <f>VLOOKUP(CurrentMtgRatesDataTable825[[#This Row],[asOfDate]],O:P,2,0)</f>
        <v>0.86123151402869003</v>
      </c>
      <c r="F214" s="100">
        <f ca="1">VLOOKUP(CurrentMtgRatesDataTable825[[#This Row],[asOfDate]]+1,Bloomberg!B:C,2,0)</f>
        <v>5590</v>
      </c>
      <c r="H214" s="1">
        <v>42026</v>
      </c>
      <c r="I214" s="33">
        <v>0.65720471867066899</v>
      </c>
      <c r="O214" s="1">
        <v>42026</v>
      </c>
      <c r="P214" s="33">
        <v>0.17811212012226099</v>
      </c>
    </row>
    <row r="215" spans="2:16">
      <c r="B215" s="98">
        <v>41060</v>
      </c>
      <c r="C215" s="99">
        <v>0.91172389347479832</v>
      </c>
      <c r="D215" s="99">
        <f>VLOOKUP(CurrentMtgRatesDataTable825[[#This Row],[asOfDate]],H:I,2,0)</f>
        <v>0.83268888035603505</v>
      </c>
      <c r="E215" s="99">
        <f>VLOOKUP(CurrentMtgRatesDataTable825[[#This Row],[asOfDate]],O:P,2,0)</f>
        <v>0.83309495413351498</v>
      </c>
      <c r="F215" s="100">
        <f ca="1">VLOOKUP(CurrentMtgRatesDataTable825[[#This Row],[asOfDate]]+1,Bloomberg!B:C,2,0)</f>
        <v>4736</v>
      </c>
      <c r="H215" s="1">
        <v>42033</v>
      </c>
      <c r="I215" s="33">
        <v>0.65582330233583797</v>
      </c>
      <c r="O215" s="1">
        <v>42033</v>
      </c>
      <c r="P215" s="33">
        <v>0</v>
      </c>
    </row>
    <row r="216" spans="2:16">
      <c r="B216" s="98">
        <v>41053</v>
      </c>
      <c r="C216" s="99">
        <v>0.91139854356807648</v>
      </c>
      <c r="D216" s="99">
        <f>VLOOKUP(CurrentMtgRatesDataTable825[[#This Row],[asOfDate]],H:I,2,0)</f>
        <v>0.82948257912141399</v>
      </c>
      <c r="E216" s="99">
        <f>VLOOKUP(CurrentMtgRatesDataTable825[[#This Row],[asOfDate]],O:P,2,0)</f>
        <v>0</v>
      </c>
      <c r="F216" s="100">
        <f ca="1">VLOOKUP(CurrentMtgRatesDataTable825[[#This Row],[asOfDate]]+1,Bloomberg!B:C,2,0)</f>
        <v>4675.8999999999996</v>
      </c>
      <c r="H216" s="1">
        <v>42040</v>
      </c>
      <c r="I216" s="33">
        <v>0.65455905311871299</v>
      </c>
      <c r="O216" s="1">
        <v>42040</v>
      </c>
      <c r="P216" s="33">
        <v>0.17933240004933601</v>
      </c>
    </row>
    <row r="217" spans="2:16">
      <c r="B217" s="98">
        <v>41046</v>
      </c>
      <c r="C217" s="99">
        <v>0.91158635954379463</v>
      </c>
      <c r="D217" s="99">
        <f>VLOOKUP(CurrentMtgRatesDataTable825[[#This Row],[asOfDate]],H:I,2,0)</f>
        <v>0.83152220645888697</v>
      </c>
      <c r="E217" s="99">
        <f>VLOOKUP(CurrentMtgRatesDataTable825[[#This Row],[asOfDate]],O:P,2,0)</f>
        <v>0.831927164274886</v>
      </c>
      <c r="F217" s="100">
        <f ca="1">VLOOKUP(CurrentMtgRatesDataTable825[[#This Row],[asOfDate]]+1,Bloomberg!B:C,2,0)</f>
        <v>4732</v>
      </c>
      <c r="H217" s="1">
        <v>42047</v>
      </c>
      <c r="I217" s="33">
        <v>0.62719075850631201</v>
      </c>
      <c r="O217" s="1">
        <v>42047</v>
      </c>
      <c r="P217" s="33">
        <v>0</v>
      </c>
    </row>
    <row r="218" spans="2:16">
      <c r="B218" s="98">
        <v>41039</v>
      </c>
      <c r="C218" s="99">
        <v>0.91043730151525848</v>
      </c>
      <c r="D218" s="99">
        <f>VLOOKUP(CurrentMtgRatesDataTable825[[#This Row],[asOfDate]],H:I,2,0)</f>
        <v>0.807152941952609</v>
      </c>
      <c r="E218" s="99">
        <f>VLOOKUP(CurrentMtgRatesDataTable825[[#This Row],[asOfDate]],O:P,2,0)</f>
        <v>0.80754152596055995</v>
      </c>
      <c r="F218" s="100">
        <f ca="1">VLOOKUP(CurrentMtgRatesDataTable825[[#This Row],[asOfDate]]+1,Bloomberg!B:C,2,0)</f>
        <v>4482</v>
      </c>
      <c r="H218" s="1">
        <v>42054</v>
      </c>
      <c r="I218" s="33">
        <v>0.59003468905342005</v>
      </c>
      <c r="O218" s="1">
        <v>42054</v>
      </c>
      <c r="P218" s="33">
        <v>0</v>
      </c>
    </row>
    <row r="219" spans="2:16">
      <c r="B219" s="98">
        <v>41032</v>
      </c>
      <c r="C219" s="99">
        <v>0.90933155768623286</v>
      </c>
      <c r="D219" s="99">
        <f>VLOOKUP(CurrentMtgRatesDataTable825[[#This Row],[asOfDate]],H:I,2,0)</f>
        <v>0.80437080516661097</v>
      </c>
      <c r="E219" s="99">
        <f>VLOOKUP(CurrentMtgRatesDataTable825[[#This Row],[asOfDate]],O:P,2,0)</f>
        <v>0.80415566862182497</v>
      </c>
      <c r="F219" s="100">
        <f ca="1">VLOOKUP(CurrentMtgRatesDataTable825[[#This Row],[asOfDate]]+1,Bloomberg!B:C,2,0)</f>
        <v>3924.4</v>
      </c>
      <c r="H219" s="1">
        <v>42061</v>
      </c>
      <c r="I219" s="33">
        <v>0.56144623129586702</v>
      </c>
      <c r="O219" s="1">
        <v>42061</v>
      </c>
      <c r="P219" s="33">
        <v>0</v>
      </c>
    </row>
    <row r="220" spans="2:16">
      <c r="B220" s="98">
        <v>41025</v>
      </c>
      <c r="C220" s="99">
        <v>0.92081224691907704</v>
      </c>
      <c r="D220" s="99">
        <f>VLOOKUP(CurrentMtgRatesDataTable825[[#This Row],[asOfDate]],H:I,2,0)</f>
        <v>0.80193881910043296</v>
      </c>
      <c r="E220" s="99">
        <f>VLOOKUP(CurrentMtgRatesDataTable825[[#This Row],[asOfDate]],O:P,2,0)</f>
        <v>0.80265108338267499</v>
      </c>
      <c r="F220" s="100">
        <f ca="1">VLOOKUP(CurrentMtgRatesDataTable825[[#This Row],[asOfDate]]+1,Bloomberg!B:C,2,0)</f>
        <v>3856</v>
      </c>
      <c r="H220" s="1">
        <v>42068</v>
      </c>
      <c r="I220" s="33">
        <v>0.58384753948448997</v>
      </c>
      <c r="O220" s="1">
        <v>42068</v>
      </c>
      <c r="P220" s="33">
        <v>0</v>
      </c>
    </row>
    <row r="221" spans="2:16">
      <c r="B221" s="98">
        <v>41018</v>
      </c>
      <c r="C221" s="99">
        <v>0.91584710240533518</v>
      </c>
      <c r="D221" s="99">
        <f>VLOOKUP(CurrentMtgRatesDataTable825[[#This Row],[asOfDate]],H:I,2,0)</f>
        <v>0.77781138796328697</v>
      </c>
      <c r="E221" s="99">
        <f>VLOOKUP(CurrentMtgRatesDataTable825[[#This Row],[asOfDate]],O:P,2,0)</f>
        <v>0</v>
      </c>
      <c r="F221" s="100">
        <f ca="1">VLOOKUP(CurrentMtgRatesDataTable825[[#This Row],[asOfDate]]+1,Bloomberg!B:C,2,0)</f>
        <v>3892.2</v>
      </c>
      <c r="H221" s="1">
        <v>42075</v>
      </c>
      <c r="I221" s="33">
        <v>0.51703371456013503</v>
      </c>
      <c r="O221" s="1">
        <v>42075</v>
      </c>
      <c r="P221" s="33">
        <v>0</v>
      </c>
    </row>
    <row r="222" spans="2:16">
      <c r="B222" s="98">
        <v>41011</v>
      </c>
      <c r="C222" s="99">
        <v>0.92081224691907704</v>
      </c>
      <c r="D222" s="99">
        <f>VLOOKUP(CurrentMtgRatesDataTable825[[#This Row],[asOfDate]],H:I,2,0)</f>
        <v>0.80193881910043296</v>
      </c>
      <c r="E222" s="99">
        <f>VLOOKUP(CurrentMtgRatesDataTable825[[#This Row],[asOfDate]],O:P,2,0)</f>
        <v>0.80265108338267499</v>
      </c>
      <c r="F222" s="100">
        <f ca="1">VLOOKUP(CurrentMtgRatesDataTable825[[#This Row],[asOfDate]]+1,Bloomberg!B:C,2,0)</f>
        <v>4144.3</v>
      </c>
      <c r="H222" s="1">
        <v>42082</v>
      </c>
      <c r="I222" s="33">
        <v>0.58146564562660097</v>
      </c>
      <c r="O222" s="1">
        <v>42082</v>
      </c>
      <c r="P222" s="33">
        <v>0</v>
      </c>
    </row>
    <row r="223" spans="2:16">
      <c r="B223" s="98">
        <v>41004</v>
      </c>
      <c r="C223" s="99">
        <v>0.88207169423008958</v>
      </c>
      <c r="D223" s="99">
        <f>VLOOKUP(CurrentMtgRatesDataTable825[[#This Row],[asOfDate]],H:I,2,0)</f>
        <v>0.75253147533014197</v>
      </c>
      <c r="E223" s="99">
        <f>VLOOKUP(CurrentMtgRatesDataTable825[[#This Row],[asOfDate]],O:P,2,0)</f>
        <v>0</v>
      </c>
      <c r="F223" s="100">
        <f ca="1">VLOOKUP(CurrentMtgRatesDataTable825[[#This Row],[asOfDate]]+1,Bloomberg!B:C,2,0)</f>
        <v>3549.3</v>
      </c>
      <c r="H223" s="1">
        <v>42089</v>
      </c>
      <c r="I223" s="33">
        <v>0.61985540937113104</v>
      </c>
      <c r="O223" s="1">
        <v>42089</v>
      </c>
      <c r="P223" s="33">
        <v>9.60298428502188E-4</v>
      </c>
    </row>
    <row r="224" spans="2:16">
      <c r="B224" s="98">
        <v>40997</v>
      </c>
      <c r="C224" s="99">
        <v>0.89839647193495631</v>
      </c>
      <c r="D224" s="99">
        <f>VLOOKUP(CurrentMtgRatesDataTable825[[#This Row],[asOfDate]],H:I,2,0)</f>
        <v>0.749723434167341</v>
      </c>
      <c r="E224" s="99">
        <f>VLOOKUP(CurrentMtgRatesDataTable825[[#This Row],[asOfDate]],O:P,2,0)</f>
        <v>0</v>
      </c>
      <c r="F224" s="100">
        <f ca="1">VLOOKUP(CurrentMtgRatesDataTable825[[#This Row],[asOfDate]]+1,Bloomberg!B:C,2,0)</f>
        <v>3699.5</v>
      </c>
      <c r="H224" s="1">
        <v>42096</v>
      </c>
      <c r="I224" s="33">
        <v>0.60618674833379105</v>
      </c>
      <c r="O224" s="1">
        <v>42096</v>
      </c>
      <c r="P224" s="33">
        <v>0</v>
      </c>
    </row>
    <row r="225" spans="2:16">
      <c r="B225" s="98">
        <v>40990</v>
      </c>
      <c r="C225" s="99">
        <v>0.81613042553286597</v>
      </c>
      <c r="D225" s="99">
        <f>VLOOKUP(CurrentMtgRatesDataTable825[[#This Row],[asOfDate]],H:I,2,0)</f>
        <v>0.69937061468571404</v>
      </c>
      <c r="E225" s="99">
        <f>VLOOKUP(CurrentMtgRatesDataTable825[[#This Row],[asOfDate]],O:P,2,0)</f>
        <v>0</v>
      </c>
      <c r="F225" s="100">
        <f ca="1">VLOOKUP(CurrentMtgRatesDataTable825[[#This Row],[asOfDate]]+1,Bloomberg!B:C,2,0)</f>
        <v>3588.4</v>
      </c>
      <c r="H225" s="1">
        <v>42103</v>
      </c>
      <c r="I225" s="33">
        <v>0.63179874985391804</v>
      </c>
      <c r="O225" s="1">
        <v>42103</v>
      </c>
      <c r="P225" s="33">
        <v>3.87908393633439E-3</v>
      </c>
    </row>
    <row r="226" spans="2:16">
      <c r="B226" s="98">
        <v>40983</v>
      </c>
      <c r="C226" s="99">
        <v>0.92731884222020211</v>
      </c>
      <c r="D226" s="99">
        <f>VLOOKUP(CurrentMtgRatesDataTable825[[#This Row],[asOfDate]],H:I,2,0)</f>
        <v>0.77421402081353796</v>
      </c>
      <c r="E226" s="99">
        <f>VLOOKUP(CurrentMtgRatesDataTable825[[#This Row],[asOfDate]],O:P,2,0)</f>
        <v>0</v>
      </c>
      <c r="F226" s="100">
        <f ca="1">VLOOKUP(CurrentMtgRatesDataTable825[[#This Row],[asOfDate]]+1,Bloomberg!B:C,2,0)</f>
        <v>3715.2</v>
      </c>
      <c r="H226" s="1">
        <v>42110</v>
      </c>
      <c r="I226" s="33">
        <v>0.60745911385405604</v>
      </c>
      <c r="O226" s="1">
        <v>42110</v>
      </c>
      <c r="P226" s="33">
        <v>0</v>
      </c>
    </row>
    <row r="227" spans="2:16">
      <c r="B227" s="98">
        <v>40976</v>
      </c>
      <c r="C227" s="99">
        <v>0.94021222625007095</v>
      </c>
      <c r="D227" s="99">
        <f>VLOOKUP(CurrentMtgRatesDataTable825[[#This Row],[asOfDate]],H:I,2,0)</f>
        <v>0.78283886771012201</v>
      </c>
      <c r="E227" s="99">
        <f>VLOOKUP(CurrentMtgRatesDataTable825[[#This Row],[asOfDate]],O:P,2,0)</f>
        <v>7.6028475141971797E-4</v>
      </c>
      <c r="F227" s="100">
        <f ca="1">VLOOKUP(CurrentMtgRatesDataTable825[[#This Row],[asOfDate]]+1,Bloomberg!B:C,2,0)</f>
        <v>4063.4</v>
      </c>
      <c r="H227" s="1">
        <v>42117</v>
      </c>
      <c r="I227" s="33">
        <v>0.63350921207897204</v>
      </c>
      <c r="O227" s="1">
        <v>42117</v>
      </c>
      <c r="P227" s="33">
        <v>3.9431628666260904E-3</v>
      </c>
    </row>
    <row r="228" spans="2:16">
      <c r="B228" s="98">
        <v>40969</v>
      </c>
      <c r="C228" s="99">
        <v>0.93754446570186334</v>
      </c>
      <c r="D228" s="99">
        <f>VLOOKUP(CurrentMtgRatesDataTable825[[#This Row],[asOfDate]],H:I,2,0)</f>
        <v>0.77480777056815697</v>
      </c>
      <c r="E228" s="99">
        <f>VLOOKUP(CurrentMtgRatesDataTable825[[#This Row],[asOfDate]],O:P,2,0)</f>
        <v>0</v>
      </c>
      <c r="F228" s="100">
        <f ca="1">VLOOKUP(CurrentMtgRatesDataTable825[[#This Row],[asOfDate]]+1,Bloomberg!B:C,2,0)</f>
        <v>4277.6000000000004</v>
      </c>
      <c r="H228" s="1">
        <v>42124</v>
      </c>
      <c r="I228" s="33">
        <v>0.608876308109219</v>
      </c>
      <c r="O228" s="1">
        <v>42124</v>
      </c>
      <c r="P228" s="33">
        <v>0</v>
      </c>
    </row>
    <row r="229" spans="2:16">
      <c r="B229" s="98">
        <v>40962</v>
      </c>
      <c r="C229" s="99">
        <v>0.92213501804792164</v>
      </c>
      <c r="D229" s="99">
        <f>VLOOKUP(CurrentMtgRatesDataTable825[[#This Row],[asOfDate]],H:I,2,0)</f>
        <v>0.76669716579457303</v>
      </c>
      <c r="E229" s="99">
        <f>VLOOKUP(CurrentMtgRatesDataTable825[[#This Row],[asOfDate]],O:P,2,0)</f>
        <v>0</v>
      </c>
      <c r="F229" s="100">
        <f ca="1">VLOOKUP(CurrentMtgRatesDataTable825[[#This Row],[asOfDate]]+1,Bloomberg!B:C,2,0)</f>
        <v>4379.1000000000004</v>
      </c>
      <c r="H229" s="1">
        <v>42131</v>
      </c>
      <c r="I229" s="33">
        <v>0.53238458781035902</v>
      </c>
      <c r="O229" s="1">
        <v>42131</v>
      </c>
      <c r="P229" s="33">
        <v>0</v>
      </c>
    </row>
    <row r="230" spans="2:16">
      <c r="B230" s="98">
        <v>40955</v>
      </c>
      <c r="C230" s="99">
        <v>0.95301550179731664</v>
      </c>
      <c r="D230" s="99">
        <f>VLOOKUP(CurrentMtgRatesDataTable825[[#This Row],[asOfDate]],H:I,2,0)</f>
        <v>0.79842547980239797</v>
      </c>
      <c r="E230" s="99">
        <f>VLOOKUP(CurrentMtgRatesDataTable825[[#This Row],[asOfDate]],O:P,2,0)</f>
        <v>0</v>
      </c>
      <c r="F230" s="100">
        <f ca="1">VLOOKUP(CurrentMtgRatesDataTable825[[#This Row],[asOfDate]]+1,Bloomberg!B:C,2,0)</f>
        <v>4466.8999999999996</v>
      </c>
      <c r="H230" s="1">
        <v>42138</v>
      </c>
      <c r="I230" s="33">
        <v>0.52626041924754496</v>
      </c>
      <c r="O230" s="1">
        <v>42138</v>
      </c>
      <c r="P230" s="33">
        <v>0</v>
      </c>
    </row>
    <row r="231" spans="2:16">
      <c r="B231" s="98">
        <v>40948</v>
      </c>
      <c r="C231" s="99">
        <v>0.95301550179731664</v>
      </c>
      <c r="D231" s="99">
        <f>VLOOKUP(CurrentMtgRatesDataTable825[[#This Row],[asOfDate]],H:I,2,0)</f>
        <v>0.79842547980239797</v>
      </c>
      <c r="E231" s="99">
        <f>VLOOKUP(CurrentMtgRatesDataTable825[[#This Row],[asOfDate]],O:P,2,0)</f>
        <v>0</v>
      </c>
      <c r="F231" s="100">
        <f ca="1">VLOOKUP(CurrentMtgRatesDataTable825[[#This Row],[asOfDate]]+1,Bloomberg!B:C,2,0)</f>
        <v>4716.1000000000004</v>
      </c>
      <c r="H231" s="1">
        <v>42145</v>
      </c>
      <c r="I231" s="33">
        <v>0.49530657385961702</v>
      </c>
      <c r="O231" s="1">
        <v>42145</v>
      </c>
      <c r="P231" s="33">
        <v>0</v>
      </c>
    </row>
    <row r="232" spans="2:16">
      <c r="B232" s="98">
        <v>40941</v>
      </c>
      <c r="C232" s="99">
        <v>0.95301550179731664</v>
      </c>
      <c r="D232" s="99">
        <f>VLOOKUP(CurrentMtgRatesDataTable825[[#This Row],[asOfDate]],H:I,2,0)</f>
        <v>0.79842547980239797</v>
      </c>
      <c r="E232" s="99">
        <f>VLOOKUP(CurrentMtgRatesDataTable825[[#This Row],[asOfDate]],O:P,2,0)</f>
        <v>0</v>
      </c>
      <c r="F232" s="100">
        <f ca="1">VLOOKUP(CurrentMtgRatesDataTable825[[#This Row],[asOfDate]]+1,Bloomberg!B:C,2,0)</f>
        <v>4617.1000000000004</v>
      </c>
      <c r="H232" s="28">
        <v>42152</v>
      </c>
      <c r="I232" s="32">
        <v>0.49518214427458052</v>
      </c>
      <c r="O232" s="28">
        <v>42152</v>
      </c>
      <c r="P232" s="32">
        <v>0</v>
      </c>
    </row>
    <row r="233" spans="2:16">
      <c r="B233" s="98">
        <v>40934</v>
      </c>
      <c r="C233" s="99">
        <v>0.93095663396698869</v>
      </c>
      <c r="D233" s="99">
        <f>VLOOKUP(CurrentMtgRatesDataTable825[[#This Row],[asOfDate]],H:I,2,0)</f>
        <v>0.78339393568549298</v>
      </c>
      <c r="E233" s="99">
        <f>VLOOKUP(CurrentMtgRatesDataTable825[[#This Row],[asOfDate]],O:P,2,0)</f>
        <v>0</v>
      </c>
      <c r="F233" s="100">
        <f ca="1">VLOOKUP(CurrentMtgRatesDataTable825[[#This Row],[asOfDate]]+1,Bloomberg!B:C,2,0)</f>
        <v>4184.3</v>
      </c>
      <c r="H233" s="28">
        <v>42159</v>
      </c>
      <c r="I233" s="32">
        <v>0.49151040605794738</v>
      </c>
      <c r="O233" s="28">
        <v>42159</v>
      </c>
      <c r="P233" s="32">
        <v>0</v>
      </c>
    </row>
    <row r="234" spans="2:16">
      <c r="B234" s="98">
        <v>40927</v>
      </c>
      <c r="C234" s="99">
        <v>0.9605332037897929</v>
      </c>
      <c r="D234" s="99">
        <f>VLOOKUP(CurrentMtgRatesDataTable825[[#This Row],[asOfDate]],H:I,2,0)</f>
        <v>0.81461584859780101</v>
      </c>
      <c r="E234" s="99">
        <f>VLOOKUP(CurrentMtgRatesDataTable825[[#This Row],[asOfDate]],O:P,2,0)</f>
        <v>0</v>
      </c>
      <c r="F234" s="100">
        <f ca="1">VLOOKUP(CurrentMtgRatesDataTable825[[#This Row],[asOfDate]]+1,Bloomberg!B:C,2,0)</f>
        <v>4326.3999999999996</v>
      </c>
      <c r="H234" s="28">
        <v>42166</v>
      </c>
      <c r="I234" s="32">
        <v>0.39779633268543002</v>
      </c>
      <c r="O234" s="28">
        <v>42166</v>
      </c>
      <c r="P234" s="32">
        <v>0</v>
      </c>
    </row>
    <row r="235" spans="2:16">
      <c r="B235" s="98">
        <v>40920</v>
      </c>
      <c r="C235" s="99">
        <v>0.96186747708451303</v>
      </c>
      <c r="D235" s="99">
        <f>VLOOKUP(CurrentMtgRatesDataTable825[[#This Row],[asOfDate]],H:I,2,0)</f>
        <v>0.81626218699844599</v>
      </c>
      <c r="E235" s="99">
        <f>VLOOKUP(CurrentMtgRatesDataTable825[[#This Row],[asOfDate]],O:P,2,0)</f>
        <v>0.81663205917875104</v>
      </c>
      <c r="F235" s="100">
        <f ca="1">VLOOKUP(CurrentMtgRatesDataTable825[[#This Row],[asOfDate]]+1,Bloomberg!B:C,2,0)</f>
        <v>4626.5</v>
      </c>
      <c r="H235" s="28">
        <v>42173</v>
      </c>
      <c r="I235" s="32">
        <v>0.42202391195455535</v>
      </c>
      <c r="O235" s="28">
        <v>42173</v>
      </c>
      <c r="P235" s="32">
        <v>0</v>
      </c>
    </row>
    <row r="236" spans="2:16">
      <c r="B236" s="98">
        <v>40913</v>
      </c>
      <c r="C236" s="99">
        <v>0.95441320378126659</v>
      </c>
      <c r="D236" s="99">
        <f>VLOOKUP(CurrentMtgRatesDataTable825[[#This Row],[asOfDate]],H:I,2,0)</f>
        <v>0.80629912189469399</v>
      </c>
      <c r="E236" s="99">
        <f>VLOOKUP(CurrentMtgRatesDataTable825[[#This Row],[asOfDate]],O:P,2,0)</f>
        <v>0</v>
      </c>
      <c r="F236" s="100">
        <f ca="1">VLOOKUP(CurrentMtgRatesDataTable825[[#This Row],[asOfDate]]+1,Bloomberg!B:C,2,0)</f>
        <v>3668.3</v>
      </c>
      <c r="H236" s="28">
        <v>42180</v>
      </c>
      <c r="I236" s="32">
        <v>0.39696021691334338</v>
      </c>
      <c r="O236" s="28">
        <v>42180</v>
      </c>
      <c r="P236" s="32">
        <v>0</v>
      </c>
    </row>
    <row r="237" spans="2:16">
      <c r="B237" s="98">
        <v>40906</v>
      </c>
      <c r="C237" s="99">
        <v>0.96468401373452672</v>
      </c>
      <c r="D237" s="99">
        <f>VLOOKUP(CurrentMtgRatesDataTable825[[#This Row],[asOfDate]],H:I,2,0)</f>
        <v>0.81734633197465201</v>
      </c>
      <c r="E237" s="99">
        <f>VLOOKUP(CurrentMtgRatesDataTable825[[#This Row],[asOfDate]],O:P,2,0)</f>
        <v>0</v>
      </c>
      <c r="F237" s="100">
        <f ca="1">VLOOKUP(CurrentMtgRatesDataTable825[[#This Row],[asOfDate]]+1,Bloomberg!B:C,2,0)</f>
        <v>3608.1</v>
      </c>
      <c r="H237" s="28">
        <v>42187</v>
      </c>
      <c r="I237" s="32">
        <v>0.39179509217736908</v>
      </c>
      <c r="O237" s="28">
        <v>42187</v>
      </c>
      <c r="P237" s="32">
        <v>0</v>
      </c>
    </row>
    <row r="238" spans="2:16">
      <c r="B238" s="98">
        <v>40899</v>
      </c>
      <c r="C238" s="99">
        <v>0.97266763503004883</v>
      </c>
      <c r="D238" s="99">
        <f>VLOOKUP(CurrentMtgRatesDataTable825[[#This Row],[asOfDate]],H:I,2,0)</f>
        <v>0.82537040355923197</v>
      </c>
      <c r="E238" s="99">
        <f>VLOOKUP(CurrentMtgRatesDataTable825[[#This Row],[asOfDate]],O:P,2,0)</f>
        <v>0.82559057548597004</v>
      </c>
      <c r="F238" s="100">
        <f ca="1">VLOOKUP(CurrentMtgRatesDataTable825[[#This Row],[asOfDate]]+1,Bloomberg!B:C,2,0)</f>
        <v>3684.5</v>
      </c>
      <c r="H238" s="28">
        <v>42194</v>
      </c>
      <c r="I238" s="32">
        <v>0.39501005586426785</v>
      </c>
      <c r="O238" s="28">
        <v>42194</v>
      </c>
      <c r="P238" s="32">
        <v>1.4184380661503394E-4</v>
      </c>
    </row>
    <row r="239" spans="2:16">
      <c r="B239" s="98">
        <v>40892</v>
      </c>
      <c r="C239" s="99">
        <v>0.95776869813018495</v>
      </c>
      <c r="D239" s="99">
        <f>VLOOKUP(CurrentMtgRatesDataTable825[[#This Row],[asOfDate]],H:I,2,0)</f>
        <v>0.79646175435893696</v>
      </c>
      <c r="E239" s="99">
        <f>VLOOKUP(CurrentMtgRatesDataTable825[[#This Row],[asOfDate]],O:P,2,0)</f>
        <v>0.79669049657242397</v>
      </c>
      <c r="F239" s="100">
        <f ca="1">VLOOKUP(CurrentMtgRatesDataTable825[[#This Row],[asOfDate]]+1,Bloomberg!B:C,2,0)</f>
        <v>3676.1</v>
      </c>
      <c r="H239" s="28">
        <v>42201</v>
      </c>
      <c r="I239" s="32">
        <v>0.39138037249660224</v>
      </c>
      <c r="O239" s="28">
        <v>42201</v>
      </c>
      <c r="P239" s="32">
        <v>0</v>
      </c>
    </row>
    <row r="240" spans="2:16">
      <c r="B240" s="98">
        <v>40885</v>
      </c>
      <c r="C240" s="99">
        <v>0.94404770550683115</v>
      </c>
      <c r="D240" s="99">
        <f>VLOOKUP(CurrentMtgRatesDataTable825[[#This Row],[asOfDate]],H:I,2,0)</f>
        <v>0.79445840936885304</v>
      </c>
      <c r="E240" s="99">
        <f>VLOOKUP(CurrentMtgRatesDataTable825[[#This Row],[asOfDate]],O:P,2,0)</f>
        <v>6.7786594921879302E-4</v>
      </c>
      <c r="F240" s="100">
        <f ca="1">VLOOKUP(CurrentMtgRatesDataTable825[[#This Row],[asOfDate]]+1,Bloomberg!B:C,2,0)</f>
        <v>3708.6</v>
      </c>
      <c r="H240" s="28">
        <v>42208</v>
      </c>
      <c r="I240" s="32">
        <v>0.39501005586426785</v>
      </c>
      <c r="O240" s="28">
        <v>42208</v>
      </c>
      <c r="P240" s="32">
        <v>1.4184158649271941E-4</v>
      </c>
    </row>
    <row r="241" spans="2:16">
      <c r="B241" s="98">
        <v>40878</v>
      </c>
      <c r="C241" s="99">
        <v>0.93485323798856346</v>
      </c>
      <c r="D241" s="99">
        <f>VLOOKUP(CurrentMtgRatesDataTable825[[#This Row],[asOfDate]],H:I,2,0)</f>
        <v>0.79441104681633201</v>
      </c>
      <c r="E241" s="99">
        <f>VLOOKUP(CurrentMtgRatesDataTable825[[#This Row],[asOfDate]],O:P,2,0)</f>
        <v>0</v>
      </c>
      <c r="F241" s="100">
        <f ca="1">VLOOKUP(CurrentMtgRatesDataTable825[[#This Row],[asOfDate]]+1,Bloomberg!B:C,2,0)</f>
        <v>3394.7</v>
      </c>
      <c r="H241" s="28">
        <v>42215</v>
      </c>
      <c r="I241" s="32">
        <v>0.42269076065729377</v>
      </c>
      <c r="O241" s="28">
        <v>42215</v>
      </c>
      <c r="P241" s="32">
        <v>1.9969014490481407E-4</v>
      </c>
    </row>
    <row r="242" spans="2:16">
      <c r="B242" s="98">
        <v>40870</v>
      </c>
      <c r="C242" s="99">
        <v>0.96106992079841158</v>
      </c>
      <c r="D242" s="99">
        <f>VLOOKUP(CurrentMtgRatesDataTable825[[#This Row],[asOfDate]],H:I,2,0)</f>
        <v>0.80850149462655696</v>
      </c>
      <c r="E242" s="99">
        <f>VLOOKUP(CurrentMtgRatesDataTable825[[#This Row],[asOfDate]],O:P,2,0)</f>
        <v>8.8101230968728496E-4</v>
      </c>
      <c r="F242" s="100" t="e">
        <f ca="1">VLOOKUP(CurrentMtgRatesDataTable825[[#This Row],[asOfDate]]+1,Bloomberg!B:C,2,0)</f>
        <v>#N/A</v>
      </c>
      <c r="H242" s="28">
        <v>42222</v>
      </c>
      <c r="I242" s="32">
        <v>0.47053858271925847</v>
      </c>
      <c r="O242" s="28">
        <v>42222</v>
      </c>
      <c r="P242" s="32">
        <v>6.2347278968544445E-4</v>
      </c>
    </row>
    <row r="243" spans="2:16">
      <c r="B243" s="98">
        <v>40864</v>
      </c>
      <c r="C243" s="99">
        <v>0.94774748297200118</v>
      </c>
      <c r="D243" s="99">
        <f>VLOOKUP(CurrentMtgRatesDataTable825[[#This Row],[asOfDate]],H:I,2,0)</f>
        <v>0.80719780316763601</v>
      </c>
      <c r="E243" s="99">
        <f>VLOOKUP(CurrentMtgRatesDataTable825[[#This Row],[asOfDate]],O:P,2,0)</f>
        <v>0</v>
      </c>
      <c r="F243" s="100">
        <f ca="1">VLOOKUP(CurrentMtgRatesDataTable825[[#This Row],[asOfDate]]+1,Bloomberg!B:C,2,0)</f>
        <v>3466.8</v>
      </c>
      <c r="H243" s="28">
        <v>42229</v>
      </c>
      <c r="I243" s="32">
        <v>0.44651143610405097</v>
      </c>
      <c r="O243" s="28">
        <v>42229</v>
      </c>
      <c r="P243" s="32">
        <v>0</v>
      </c>
    </row>
    <row r="244" spans="2:16">
      <c r="B244" s="98">
        <v>40857</v>
      </c>
      <c r="C244" s="99">
        <v>0.95604869553761263</v>
      </c>
      <c r="D244" s="99">
        <f>VLOOKUP(CurrentMtgRatesDataTable825[[#This Row],[asOfDate]],H:I,2,0)</f>
        <v>0.80724570771905702</v>
      </c>
      <c r="E244" s="99">
        <f>VLOOKUP(CurrentMtgRatesDataTable825[[#This Row],[asOfDate]],O:P,2,0)</f>
        <v>8.7950076846855297E-4</v>
      </c>
      <c r="F244" s="100">
        <f ca="1">VLOOKUP(CurrentMtgRatesDataTable825[[#This Row],[asOfDate]]+1,Bloomberg!B:C,2,0)</f>
        <v>3664.5</v>
      </c>
      <c r="H244" s="28">
        <v>42236</v>
      </c>
      <c r="I244" s="32">
        <v>0.44680494601844289</v>
      </c>
      <c r="O244" s="28">
        <v>42236</v>
      </c>
      <c r="P244" s="32">
        <v>0</v>
      </c>
    </row>
    <row r="245" spans="2:16">
      <c r="B245" s="98">
        <v>40850</v>
      </c>
      <c r="C245" s="99">
        <v>0.94774748297200118</v>
      </c>
      <c r="D245" s="99">
        <f>VLOOKUP(CurrentMtgRatesDataTable825[[#This Row],[asOfDate]],H:I,2,0)</f>
        <v>0.80719780316763601</v>
      </c>
      <c r="E245" s="99">
        <f>VLOOKUP(CurrentMtgRatesDataTable825[[#This Row],[asOfDate]],O:P,2,0)</f>
        <v>0</v>
      </c>
      <c r="F245" s="100">
        <f ca="1">VLOOKUP(CurrentMtgRatesDataTable825[[#This Row],[asOfDate]]+1,Bloomberg!B:C,2,0)</f>
        <v>4137.6000000000004</v>
      </c>
      <c r="H245" s="28">
        <v>42243</v>
      </c>
      <c r="I245" s="32">
        <v>0.53237291122190666</v>
      </c>
      <c r="O245" s="28">
        <v>42243</v>
      </c>
      <c r="P245" s="32">
        <v>3.1195278145772281E-3</v>
      </c>
    </row>
    <row r="246" spans="2:16">
      <c r="B246" s="98">
        <v>40843</v>
      </c>
      <c r="C246" s="99">
        <v>0.87447330791091027</v>
      </c>
      <c r="D246" s="99">
        <f>VLOOKUP(CurrentMtgRatesDataTable825[[#This Row],[asOfDate]],H:I,2,0)</f>
        <v>0.77033919514702098</v>
      </c>
      <c r="E246" s="99">
        <f>VLOOKUP(CurrentMtgRatesDataTable825[[#This Row],[asOfDate]],O:P,2,0)</f>
        <v>0</v>
      </c>
      <c r="F246" s="100">
        <f ca="1">VLOOKUP(CurrentMtgRatesDataTable825[[#This Row],[asOfDate]]+1,Bloomberg!B:C,2,0)</f>
        <v>3695</v>
      </c>
      <c r="H246" s="28">
        <v>42250</v>
      </c>
      <c r="I246" s="32">
        <v>0.4874742059346423</v>
      </c>
      <c r="O246" s="28">
        <v>42250</v>
      </c>
      <c r="P246" s="32">
        <v>0</v>
      </c>
    </row>
    <row r="247" spans="2:16">
      <c r="B247" s="98">
        <v>40836</v>
      </c>
      <c r="C247" s="99">
        <v>0.86610822666592668</v>
      </c>
      <c r="D247" s="99">
        <f>VLOOKUP(CurrentMtgRatesDataTable825[[#This Row],[asOfDate]],H:I,2,0)</f>
        <v>0.76889855223368597</v>
      </c>
      <c r="E247" s="99">
        <f>VLOOKUP(CurrentMtgRatesDataTable825[[#This Row],[asOfDate]],O:P,2,0)</f>
        <v>0</v>
      </c>
      <c r="F247" s="100">
        <f ca="1">VLOOKUP(CurrentMtgRatesDataTable825[[#This Row],[asOfDate]]+1,Bloomberg!B:C,2,0)</f>
        <v>3719.3</v>
      </c>
      <c r="H247" s="28">
        <v>42257</v>
      </c>
      <c r="I247" s="32">
        <v>0.48663724314238854</v>
      </c>
      <c r="O247" s="28">
        <v>42257</v>
      </c>
      <c r="P247" s="32">
        <v>0</v>
      </c>
    </row>
    <row r="248" spans="2:16">
      <c r="B248" s="98">
        <v>40829</v>
      </c>
      <c r="C248" s="99">
        <v>0.85855481757872876</v>
      </c>
      <c r="D248" s="99">
        <f>VLOOKUP(CurrentMtgRatesDataTable825[[#This Row],[asOfDate]],H:I,2,0)</f>
        <v>0.75043074974252599</v>
      </c>
      <c r="E248" s="99">
        <f>VLOOKUP(CurrentMtgRatesDataTable825[[#This Row],[asOfDate]],O:P,2,0)</f>
        <v>0</v>
      </c>
      <c r="F248" s="100">
        <f ca="1">VLOOKUP(CurrentMtgRatesDataTable825[[#This Row],[asOfDate]]+1,Bloomberg!B:C,2,0)</f>
        <v>3553.2</v>
      </c>
      <c r="H248" s="28">
        <v>42264</v>
      </c>
      <c r="I248" s="32">
        <v>0.48469774680333999</v>
      </c>
      <c r="O248" s="28">
        <v>42264</v>
      </c>
      <c r="P248" s="32">
        <v>0</v>
      </c>
    </row>
    <row r="249" spans="2:16">
      <c r="B249" s="98">
        <v>40822</v>
      </c>
      <c r="C249" s="99">
        <v>0.97239746277661943</v>
      </c>
      <c r="D249" s="99">
        <f>VLOOKUP(CurrentMtgRatesDataTable825[[#This Row],[asOfDate]],H:I,2,0)</f>
        <v>0.82324225699227804</v>
      </c>
      <c r="E249" s="99">
        <f>VLOOKUP(CurrentMtgRatesDataTable825[[#This Row],[asOfDate]],O:P,2,0)</f>
        <v>0.82194247765297301</v>
      </c>
      <c r="F249" s="100">
        <f ca="1">VLOOKUP(CurrentMtgRatesDataTable825[[#This Row],[asOfDate]]+1,Bloomberg!B:C,2,0)</f>
        <v>4251.1000000000004</v>
      </c>
      <c r="H249" s="28">
        <v>42271</v>
      </c>
      <c r="I249" s="32">
        <v>0.48860274852887836</v>
      </c>
      <c r="O249" s="28">
        <v>42271</v>
      </c>
      <c r="P249" s="32">
        <v>1.3173079222055612E-3</v>
      </c>
    </row>
    <row r="250" spans="2:16">
      <c r="B250" s="98">
        <v>40815</v>
      </c>
      <c r="C250" s="99">
        <v>0.94760091430176863</v>
      </c>
      <c r="D250" s="99">
        <f>VLOOKUP(CurrentMtgRatesDataTable825[[#This Row],[asOfDate]],H:I,2,0)</f>
        <v>0.83535228019697605</v>
      </c>
      <c r="E250" s="99">
        <f>VLOOKUP(CurrentMtgRatesDataTable825[[#This Row],[asOfDate]],O:P,2,0)</f>
        <v>0.83561176946303795</v>
      </c>
      <c r="F250" s="100">
        <f ca="1">VLOOKUP(CurrentMtgRatesDataTable825[[#This Row],[asOfDate]]+1,Bloomberg!B:C,2,0)</f>
        <v>4241.8</v>
      </c>
      <c r="H250" s="28">
        <v>42278</v>
      </c>
      <c r="I250" s="32">
        <v>0.51784913770324514</v>
      </c>
      <c r="O250" s="28">
        <v>42278</v>
      </c>
      <c r="P250" s="32">
        <v>2.9859537173618188E-3</v>
      </c>
    </row>
    <row r="251" spans="2:16">
      <c r="B251" s="98">
        <v>40808</v>
      </c>
      <c r="C251" s="99">
        <v>0.90530545432094578</v>
      </c>
      <c r="D251" s="99">
        <f>VLOOKUP(CurrentMtgRatesDataTable825[[#This Row],[asOfDate]],H:I,2,0)</f>
        <v>0.78804143101353397</v>
      </c>
      <c r="E251" s="99">
        <f>VLOOKUP(CurrentMtgRatesDataTable825[[#This Row],[asOfDate]],O:P,2,0)</f>
        <v>0</v>
      </c>
      <c r="F251" s="100">
        <f ca="1">VLOOKUP(CurrentMtgRatesDataTable825[[#This Row],[asOfDate]]+1,Bloomberg!B:C,2,0)</f>
        <v>4512.1000000000004</v>
      </c>
      <c r="H251" s="28">
        <v>42285</v>
      </c>
      <c r="I251" s="32">
        <v>0.55255659565598092</v>
      </c>
      <c r="O251" s="28">
        <v>42285</v>
      </c>
      <c r="P251" s="32">
        <v>1.4441528640997686E-2</v>
      </c>
    </row>
    <row r="252" spans="2:16">
      <c r="B252" s="98">
        <v>40801</v>
      </c>
      <c r="C252" s="99">
        <v>0.90530545432094578</v>
      </c>
      <c r="D252" s="99">
        <f>VLOOKUP(CurrentMtgRatesDataTable825[[#This Row],[asOfDate]],H:I,2,0)</f>
        <v>0.78804143101353397</v>
      </c>
      <c r="E252" s="99">
        <f>VLOOKUP(CurrentMtgRatesDataTable825[[#This Row],[asOfDate]],O:P,2,0)</f>
        <v>0.78833832359916201</v>
      </c>
      <c r="F252" s="100">
        <f ca="1">VLOOKUP(CurrentMtgRatesDataTable825[[#This Row],[asOfDate]]+1,Bloomberg!B:C,2,0)</f>
        <v>4033.8</v>
      </c>
      <c r="H252" s="28">
        <v>42292</v>
      </c>
      <c r="I252" s="32">
        <v>0.52010113675112479</v>
      </c>
      <c r="O252" s="28">
        <v>42292</v>
      </c>
      <c r="P252" s="32">
        <v>0</v>
      </c>
    </row>
    <row r="253" spans="2:16">
      <c r="B253" s="98">
        <v>40794</v>
      </c>
      <c r="C253" s="99">
        <v>0.88187964847597478</v>
      </c>
      <c r="D253" s="99">
        <f>VLOOKUP(CurrentMtgRatesDataTable825[[#This Row],[asOfDate]],H:I,2,0)</f>
        <v>0.78586619764471199</v>
      </c>
      <c r="E253" s="99">
        <f>VLOOKUP(CurrentMtgRatesDataTable825[[#This Row],[asOfDate]],O:P,2,0)</f>
        <v>0.786160649616369</v>
      </c>
      <c r="F253" s="100">
        <f ca="1">VLOOKUP(CurrentMtgRatesDataTable825[[#This Row],[asOfDate]]+1,Bloomberg!B:C,2,0)</f>
        <v>3571.7</v>
      </c>
      <c r="H253" s="28">
        <v>42299</v>
      </c>
      <c r="I253" s="32">
        <v>0.52254107122394533</v>
      </c>
      <c r="O253" s="28">
        <v>42299</v>
      </c>
      <c r="P253" s="32">
        <v>0</v>
      </c>
    </row>
    <row r="254" spans="2:16">
      <c r="B254" s="98">
        <v>40787</v>
      </c>
      <c r="C254" s="99">
        <v>0.84714025108084823</v>
      </c>
      <c r="D254" s="99">
        <f>VLOOKUP(CurrentMtgRatesDataTable825[[#This Row],[asOfDate]],H:I,2,0)</f>
        <v>0.72518805605942505</v>
      </c>
      <c r="E254" s="99">
        <f>VLOOKUP(CurrentMtgRatesDataTable825[[#This Row],[asOfDate]],O:P,2,0)</f>
        <v>0</v>
      </c>
      <c r="F254" s="100">
        <f ca="1">VLOOKUP(CurrentMtgRatesDataTable825[[#This Row],[asOfDate]]+1,Bloomberg!B:C,2,0)</f>
        <v>3372</v>
      </c>
      <c r="H254" s="28">
        <v>42306</v>
      </c>
      <c r="I254" s="32">
        <v>0.55255659565598092</v>
      </c>
      <c r="O254" s="28">
        <v>42306</v>
      </c>
      <c r="P254" s="32">
        <v>0</v>
      </c>
    </row>
    <row r="255" spans="2:16">
      <c r="B255" s="98">
        <v>40780</v>
      </c>
      <c r="C255" s="99">
        <v>0.85057469901096172</v>
      </c>
      <c r="D255" s="99">
        <f>VLOOKUP(CurrentMtgRatesDataTable825[[#This Row],[asOfDate]],H:I,2,0)</f>
        <v>0.73013076231760698</v>
      </c>
      <c r="E255" s="99">
        <f>VLOOKUP(CurrentMtgRatesDataTable825[[#This Row],[asOfDate]],O:P,2,0)</f>
        <v>0</v>
      </c>
      <c r="F255" s="100">
        <f ca="1">VLOOKUP(CurrentMtgRatesDataTable825[[#This Row],[asOfDate]]+1,Bloomberg!B:C,2,0)</f>
        <v>3601.3</v>
      </c>
      <c r="H255" s="28">
        <v>42313</v>
      </c>
      <c r="I255" s="32">
        <v>0.47756205149100972</v>
      </c>
      <c r="O255" s="28">
        <v>42313</v>
      </c>
      <c r="P255" s="32">
        <v>0</v>
      </c>
    </row>
    <row r="256" spans="2:16">
      <c r="B256" s="98">
        <v>40773</v>
      </c>
      <c r="C256" s="99">
        <v>0.86318334905076011</v>
      </c>
      <c r="D256" s="99">
        <f>VLOOKUP(CurrentMtgRatesDataTable825[[#This Row],[asOfDate]],H:I,2,0)</f>
        <v>0.76968967049094095</v>
      </c>
      <c r="E256" s="99">
        <f>VLOOKUP(CurrentMtgRatesDataTable825[[#This Row],[asOfDate]],O:P,2,0)</f>
        <v>0.76977670194978398</v>
      </c>
      <c r="F256" s="100">
        <f ca="1">VLOOKUP(CurrentMtgRatesDataTable825[[#This Row],[asOfDate]]+1,Bloomberg!B:C,2,0)</f>
        <v>4110.8</v>
      </c>
      <c r="H256" s="28">
        <v>42320</v>
      </c>
      <c r="I256" s="32">
        <v>0.41424676173976599</v>
      </c>
      <c r="O256" s="28">
        <v>42320</v>
      </c>
      <c r="P256" s="32">
        <v>0</v>
      </c>
    </row>
    <row r="257" spans="2:16">
      <c r="B257" s="98">
        <v>40766</v>
      </c>
      <c r="C257" s="99">
        <v>0.83807343208953389</v>
      </c>
      <c r="D257" s="99">
        <f>VLOOKUP(CurrentMtgRatesDataTable825[[#This Row],[asOfDate]],H:I,2,0)</f>
        <v>0.68796050816059295</v>
      </c>
      <c r="E257" s="99">
        <f>VLOOKUP(CurrentMtgRatesDataTable825[[#This Row],[asOfDate]],O:P,2,0)</f>
        <v>3.6312412114141997E-2</v>
      </c>
      <c r="F257" s="100">
        <f ca="1">VLOOKUP(CurrentMtgRatesDataTable825[[#This Row],[asOfDate]]+1,Bloomberg!B:C,2,0)</f>
        <v>4184.3999999999996</v>
      </c>
      <c r="H257" s="28">
        <v>42320</v>
      </c>
      <c r="I257" s="32">
        <v>0.41424676173976599</v>
      </c>
      <c r="O257" s="28">
        <v>42320</v>
      </c>
      <c r="P257" s="32">
        <v>0</v>
      </c>
    </row>
    <row r="258" spans="2:16">
      <c r="B258" s="98">
        <v>40759</v>
      </c>
      <c r="C258" s="99">
        <v>0.82222220988865746</v>
      </c>
      <c r="D258" s="99">
        <f>VLOOKUP(CurrentMtgRatesDataTable825[[#This Row],[asOfDate]],H:I,2,0)</f>
        <v>0.59636201439054404</v>
      </c>
      <c r="E258" s="99">
        <f>VLOOKUP(CurrentMtgRatesDataTable825[[#This Row],[asOfDate]],O:P,2,0)</f>
        <v>1.93393301571353E-2</v>
      </c>
      <c r="F258" s="100">
        <f ca="1">VLOOKUP(CurrentMtgRatesDataTable825[[#This Row],[asOfDate]]+1,Bloomberg!B:C,2,0)</f>
        <v>3880.9</v>
      </c>
      <c r="H258" s="28">
        <v>42327</v>
      </c>
      <c r="I258" s="32">
        <v>0.44227071864556189</v>
      </c>
      <c r="O258" s="28">
        <v>42327</v>
      </c>
      <c r="P258" s="32">
        <v>0</v>
      </c>
    </row>
    <row r="259" spans="2:16">
      <c r="B259" s="98">
        <v>40752</v>
      </c>
      <c r="C259" s="99">
        <v>0.62275368206073134</v>
      </c>
      <c r="D259" s="99">
        <f>VLOOKUP(CurrentMtgRatesDataTable825[[#This Row],[asOfDate]],H:I,2,0)</f>
        <v>0.52333294764067595</v>
      </c>
      <c r="E259" s="99">
        <f>VLOOKUP(CurrentMtgRatesDataTable825[[#This Row],[asOfDate]],O:P,2,0)</f>
        <v>0</v>
      </c>
      <c r="F259" s="100">
        <f ca="1">VLOOKUP(CurrentMtgRatesDataTable825[[#This Row],[asOfDate]]+1,Bloomberg!B:C,2,0)</f>
        <v>2974.1</v>
      </c>
      <c r="H259" s="28">
        <v>42333</v>
      </c>
      <c r="I259" s="32">
        <v>0.44809866053416347</v>
      </c>
      <c r="O259" s="28">
        <v>42333</v>
      </c>
      <c r="P259" s="32">
        <v>0</v>
      </c>
    </row>
    <row r="260" spans="2:16">
      <c r="B260" s="98">
        <v>40745</v>
      </c>
      <c r="C260" s="99">
        <v>0.67230326575429078</v>
      </c>
      <c r="D260" s="99">
        <f>VLOOKUP(CurrentMtgRatesDataTable825[[#This Row],[asOfDate]],H:I,2,0)</f>
        <v>0.53018048409344898</v>
      </c>
      <c r="E260" s="99">
        <f>VLOOKUP(CurrentMtgRatesDataTable825[[#This Row],[asOfDate]],O:P,2,0)</f>
        <v>0</v>
      </c>
      <c r="F260" s="100">
        <f ca="1">VLOOKUP(CurrentMtgRatesDataTable825[[#This Row],[asOfDate]]+1,Bloomberg!B:C,2,0)</f>
        <v>2769.6</v>
      </c>
      <c r="H260" s="28">
        <v>42341</v>
      </c>
      <c r="I260" s="32">
        <v>0.44656607927794312</v>
      </c>
      <c r="O260" s="28">
        <v>42341</v>
      </c>
      <c r="P260" s="32">
        <v>0</v>
      </c>
    </row>
    <row r="261" spans="2:16">
      <c r="B261" s="98">
        <v>40738</v>
      </c>
      <c r="C261" s="99">
        <v>0.69050447134038251</v>
      </c>
      <c r="D261" s="99">
        <f>VLOOKUP(CurrentMtgRatesDataTable825[[#This Row],[asOfDate]],H:I,2,0)</f>
        <v>0.55014388201104203</v>
      </c>
      <c r="E261" s="99">
        <f>VLOOKUP(CurrentMtgRatesDataTable825[[#This Row],[asOfDate]],O:P,2,0)</f>
        <v>6.2583851957797503E-4</v>
      </c>
      <c r="F261" s="100">
        <f ca="1">VLOOKUP(CurrentMtgRatesDataTable825[[#This Row],[asOfDate]]+1,Bloomberg!B:C,2,0)</f>
        <v>2923.8</v>
      </c>
      <c r="H261" s="28">
        <v>42348</v>
      </c>
      <c r="I261" s="32">
        <v>0.44439599984148415</v>
      </c>
      <c r="O261" s="28">
        <v>42348</v>
      </c>
      <c r="P261" s="32">
        <v>0</v>
      </c>
    </row>
    <row r="262" spans="2:16">
      <c r="B262" s="98">
        <v>40731</v>
      </c>
      <c r="C262" s="99">
        <v>0.61033542977678468</v>
      </c>
      <c r="D262" s="99">
        <f>VLOOKUP(CurrentMtgRatesDataTable825[[#This Row],[asOfDate]],H:I,2,0)</f>
        <v>0.49771283747510803</v>
      </c>
      <c r="E262" s="99">
        <f>VLOOKUP(CurrentMtgRatesDataTable825[[#This Row],[asOfDate]],O:P,2,0)</f>
        <v>0</v>
      </c>
      <c r="F262" s="100">
        <f ca="1">VLOOKUP(CurrentMtgRatesDataTable825[[#This Row],[asOfDate]]+1,Bloomberg!B:C,2,0)</f>
        <v>2362.6999999999998</v>
      </c>
      <c r="H262" s="28">
        <v>42355</v>
      </c>
      <c r="I262" s="32">
        <v>0.4426892560799261</v>
      </c>
      <c r="O262" s="28">
        <v>42355</v>
      </c>
      <c r="P262" s="32">
        <v>0</v>
      </c>
    </row>
    <row r="263" spans="2:16">
      <c r="B263" s="98">
        <v>40724</v>
      </c>
      <c r="C263" s="99">
        <v>0.6939569757734102</v>
      </c>
      <c r="D263" s="99">
        <f>VLOOKUP(CurrentMtgRatesDataTable825[[#This Row],[asOfDate]],H:I,2,0)</f>
        <v>0.55445082777023702</v>
      </c>
      <c r="E263" s="99">
        <f>VLOOKUP(CurrentMtgRatesDataTable825[[#This Row],[asOfDate]],O:P,2,0)</f>
        <v>0</v>
      </c>
      <c r="F263" s="100">
        <f ca="1">VLOOKUP(CurrentMtgRatesDataTable825[[#This Row],[asOfDate]]+1,Bloomberg!B:C,2,0)</f>
        <v>2527.5</v>
      </c>
      <c r="H263" s="28">
        <v>42362</v>
      </c>
      <c r="I263" s="32">
        <v>0.44353361272975167</v>
      </c>
      <c r="O263" s="28">
        <v>42362</v>
      </c>
      <c r="P263" s="32">
        <v>0</v>
      </c>
    </row>
    <row r="264" spans="2:16">
      <c r="B264" s="98">
        <v>40717</v>
      </c>
      <c r="C264" s="99">
        <v>0.66754333395655185</v>
      </c>
      <c r="D264" s="99">
        <f>VLOOKUP(CurrentMtgRatesDataTable825[[#This Row],[asOfDate]],H:I,2,0)</f>
        <v>0.53450860338875705</v>
      </c>
      <c r="E264" s="99">
        <f>VLOOKUP(CurrentMtgRatesDataTable825[[#This Row],[asOfDate]],O:P,2,0)</f>
        <v>0</v>
      </c>
      <c r="F264" s="100">
        <f ca="1">VLOOKUP(CurrentMtgRatesDataTable825[[#This Row],[asOfDate]]+1,Bloomberg!B:C,2,0)</f>
        <v>2809.5</v>
      </c>
      <c r="H264" s="28">
        <v>42369</v>
      </c>
      <c r="I264" s="32">
        <v>0.41128790488114564</v>
      </c>
      <c r="O264" s="28">
        <v>42369</v>
      </c>
      <c r="P264" s="32">
        <v>0</v>
      </c>
    </row>
    <row r="265" spans="2:16">
      <c r="B265" s="98">
        <v>40710</v>
      </c>
      <c r="C265" s="99">
        <v>0.72609301543362903</v>
      </c>
      <c r="D265" s="99">
        <f>VLOOKUP(CurrentMtgRatesDataTable825[[#This Row],[asOfDate]],H:I,2,0)</f>
        <v>0.55544034698333999</v>
      </c>
      <c r="E265" s="99">
        <f>VLOOKUP(CurrentMtgRatesDataTable825[[#This Row],[asOfDate]],O:P,2,0)</f>
        <v>0</v>
      </c>
      <c r="F265" s="100">
        <f ca="1">VLOOKUP(CurrentMtgRatesDataTable825[[#This Row],[asOfDate]]+1,Bloomberg!B:C,2,0)</f>
        <v>2857.9</v>
      </c>
      <c r="H265" s="28">
        <v>42362</v>
      </c>
      <c r="I265" s="32">
        <v>0.44353361272975167</v>
      </c>
      <c r="O265" s="28">
        <v>42362</v>
      </c>
      <c r="P265" s="32">
        <v>0</v>
      </c>
    </row>
    <row r="266" spans="2:16">
      <c r="B266" s="98">
        <v>40703</v>
      </c>
      <c r="C266" s="99">
        <v>0.74663166442725448</v>
      </c>
      <c r="D266" s="99">
        <f>VLOOKUP(CurrentMtgRatesDataTable825[[#This Row],[asOfDate]],H:I,2,0)</f>
        <v>0.55556126357331004</v>
      </c>
      <c r="E266" s="99">
        <f>VLOOKUP(CurrentMtgRatesDataTable825[[#This Row],[asOfDate]],O:P,2,0)</f>
        <v>1.05889699277147E-2</v>
      </c>
      <c r="F266" s="100">
        <f ca="1">VLOOKUP(CurrentMtgRatesDataTable825[[#This Row],[asOfDate]]+1,Bloomberg!B:C,2,0)</f>
        <v>3101.7</v>
      </c>
      <c r="H266" s="28">
        <v>42376</v>
      </c>
      <c r="I266" s="32">
        <v>0.44103197340208022</v>
      </c>
      <c r="O266" s="28">
        <v>42376</v>
      </c>
      <c r="P266" s="32">
        <v>1.567204072611725E-3</v>
      </c>
    </row>
    <row r="267" spans="2:16">
      <c r="B267" s="98">
        <v>40696</v>
      </c>
      <c r="C267" s="99">
        <v>0.66754333395655185</v>
      </c>
      <c r="D267" s="99">
        <f>VLOOKUP(CurrentMtgRatesDataTable825[[#This Row],[asOfDate]],H:I,2,0)</f>
        <v>0.53450860338875705</v>
      </c>
      <c r="E267" s="99">
        <f>VLOOKUP(CurrentMtgRatesDataTable825[[#This Row],[asOfDate]],O:P,2,0)</f>
        <v>7.3340957383171597E-3</v>
      </c>
      <c r="F267" s="100">
        <f ca="1">VLOOKUP(CurrentMtgRatesDataTable825[[#This Row],[asOfDate]]+1,Bloomberg!B:C,2,0)</f>
        <v>2648</v>
      </c>
      <c r="H267" s="28">
        <v>42383</v>
      </c>
      <c r="I267" s="32">
        <v>0.44103197340208022</v>
      </c>
      <c r="O267" s="28">
        <v>42383</v>
      </c>
      <c r="P267" s="32">
        <v>1.567204072611725E-3</v>
      </c>
    </row>
    <row r="268" spans="2:16">
      <c r="B268" s="98">
        <v>40689</v>
      </c>
      <c r="C268" s="99">
        <v>0.62123716526554651</v>
      </c>
      <c r="D268" s="99">
        <f>VLOOKUP(CurrentMtgRatesDataTable825[[#This Row],[asOfDate]],H:I,2,0)</f>
        <v>0.50568534347274297</v>
      </c>
      <c r="E268" s="99">
        <f>VLOOKUP(CurrentMtgRatesDataTable825[[#This Row],[asOfDate]],O:P,2,0)</f>
        <v>4.6547514757033599E-3</v>
      </c>
      <c r="F268" s="100">
        <f ca="1">VLOOKUP(CurrentMtgRatesDataTable825[[#This Row],[asOfDate]]+1,Bloomberg!B:C,2,0)</f>
        <v>2619.6999999999998</v>
      </c>
      <c r="H268" s="28">
        <v>42390</v>
      </c>
      <c r="I268" s="32">
        <v>0.51058732016564734</v>
      </c>
      <c r="O268" s="28">
        <v>42390</v>
      </c>
      <c r="P268" s="32">
        <v>5.9883323412895321E-3</v>
      </c>
    </row>
    <row r="269" spans="2:16">
      <c r="B269" s="98">
        <v>40682</v>
      </c>
      <c r="C269" s="99">
        <v>0.6180222680328239</v>
      </c>
      <c r="D269" s="99">
        <f>VLOOKUP(CurrentMtgRatesDataTable825[[#This Row],[asOfDate]],H:I,2,0)</f>
        <v>0.50447592982476996</v>
      </c>
      <c r="E269" s="99">
        <f>VLOOKUP(CurrentMtgRatesDataTable825[[#This Row],[asOfDate]],O:P,2,0)</f>
        <v>4.6431452038205798E-3</v>
      </c>
      <c r="F269" s="100">
        <f ca="1">VLOOKUP(CurrentMtgRatesDataTable825[[#This Row],[asOfDate]]+1,Bloomberg!B:C,2,0)</f>
        <v>2764.6</v>
      </c>
      <c r="H269" s="28">
        <v>42390</v>
      </c>
      <c r="I269" s="32">
        <v>0.52551420406027982</v>
      </c>
      <c r="O269" s="28">
        <v>42390</v>
      </c>
      <c r="P269" s="88">
        <v>6.6838823767871253E-3</v>
      </c>
    </row>
    <row r="270" spans="2:16">
      <c r="B270" s="98">
        <v>40675</v>
      </c>
      <c r="C270" s="99">
        <v>0.61208356800738151</v>
      </c>
      <c r="D270" s="99">
        <f>VLOOKUP(CurrentMtgRatesDataTable825[[#This Row],[asOfDate]],H:I,2,0)</f>
        <v>0.50042582297659</v>
      </c>
      <c r="E270" s="99">
        <f>VLOOKUP(CurrentMtgRatesDataTable825[[#This Row],[asOfDate]],O:P,2,0)</f>
        <v>4.5959167751793003E-3</v>
      </c>
      <c r="F270" s="100">
        <f ca="1">VLOOKUP(CurrentMtgRatesDataTable825[[#This Row],[asOfDate]]+1,Bloomberg!B:C,2,0)</f>
        <v>2742.2</v>
      </c>
      <c r="H270" s="28">
        <v>42397</v>
      </c>
      <c r="I270" s="32">
        <v>0.52755859000000005</v>
      </c>
      <c r="O270" s="28">
        <v>42397</v>
      </c>
      <c r="P270" s="93">
        <v>6.7056099999999999E-3</v>
      </c>
    </row>
    <row r="271" spans="2:16">
      <c r="B271" s="98">
        <v>40668</v>
      </c>
      <c r="C271" s="99">
        <v>0.59958841658177919</v>
      </c>
      <c r="D271" s="99">
        <f>VLOOKUP(CurrentMtgRatesDataTable825[[#This Row],[asOfDate]],H:I,2,0)</f>
        <v>0.45891120103405703</v>
      </c>
      <c r="E271" s="99">
        <f>VLOOKUP(CurrentMtgRatesDataTable825[[#This Row],[asOfDate]],O:P,2,0)</f>
        <v>1.82362980081562E-3</v>
      </c>
      <c r="F271" s="100">
        <f ca="1">VLOOKUP(CurrentMtgRatesDataTable825[[#This Row],[asOfDate]]+1,Bloomberg!B:C,2,0)</f>
        <v>2414.9</v>
      </c>
      <c r="H271" s="28">
        <v>42404</v>
      </c>
      <c r="I271" s="32">
        <v>0.58251501649996351</v>
      </c>
      <c r="O271" s="28">
        <v>42404</v>
      </c>
      <c r="P271" s="93">
        <v>3.9152008465200644E-2</v>
      </c>
    </row>
    <row r="272" spans="2:16">
      <c r="B272" s="98">
        <v>40661</v>
      </c>
      <c r="C272" s="99">
        <v>0.60103263205619939</v>
      </c>
      <c r="D272" s="99">
        <f>VLOOKUP(CurrentMtgRatesDataTable825[[#This Row],[asOfDate]],H:I,2,0)</f>
        <v>0.44565511936132601</v>
      </c>
      <c r="E272" s="99">
        <f>VLOOKUP(CurrentMtgRatesDataTable825[[#This Row],[asOfDate]],O:P,2,0)</f>
        <v>3.6290053539469699E-4</v>
      </c>
      <c r="F272" s="100">
        <f ca="1">VLOOKUP(CurrentMtgRatesDataTable825[[#This Row],[asOfDate]]+1,Bloomberg!B:C,2,0)</f>
        <v>2220.1</v>
      </c>
      <c r="H272" s="28">
        <v>42411</v>
      </c>
      <c r="I272" s="32">
        <v>0.62446269212048289</v>
      </c>
      <c r="O272" s="28">
        <v>42411</v>
      </c>
      <c r="P272" s="93">
        <v>6.5143440640601957E-2</v>
      </c>
    </row>
    <row r="273" spans="2:16">
      <c r="B273" s="98">
        <v>40654</v>
      </c>
      <c r="C273" s="99">
        <v>0.60029604092737399</v>
      </c>
      <c r="D273" s="99">
        <f>VLOOKUP(CurrentMtgRatesDataTable825[[#This Row],[asOfDate]],H:I,2,0)</f>
        <v>0.44381782258269298</v>
      </c>
      <c r="E273" s="99">
        <f>VLOOKUP(CurrentMtgRatesDataTable825[[#This Row],[asOfDate]],O:P,2,0)</f>
        <v>3.6012387911354998E-4</v>
      </c>
      <c r="F273" s="100">
        <f ca="1">VLOOKUP(CurrentMtgRatesDataTable825[[#This Row],[asOfDate]]+1,Bloomberg!B:C,2,0)</f>
        <v>2091.4</v>
      </c>
      <c r="H273" s="28">
        <v>42418</v>
      </c>
      <c r="I273" s="32">
        <v>0.62446269212048289</v>
      </c>
      <c r="O273" s="28">
        <v>42418</v>
      </c>
      <c r="P273" s="93">
        <v>6.5143440640601957E-2</v>
      </c>
    </row>
    <row r="274" spans="2:16">
      <c r="B274" s="98">
        <v>40647</v>
      </c>
      <c r="C274" s="99">
        <v>0.58845851438886132</v>
      </c>
      <c r="D274" s="99">
        <f>VLOOKUP(CurrentMtgRatesDataTable825[[#This Row],[asOfDate]],H:I,2,0)</f>
        <v>0.41340612440810998</v>
      </c>
      <c r="E274" s="99">
        <f>VLOOKUP(CurrentMtgRatesDataTable825[[#This Row],[asOfDate]],O:P,2,0)</f>
        <v>0</v>
      </c>
      <c r="F274" s="100">
        <f ca="1">VLOOKUP(CurrentMtgRatesDataTable825[[#This Row],[asOfDate]]+1,Bloomberg!B:C,2,0)</f>
        <v>2065.3000000000002</v>
      </c>
      <c r="H274" s="28">
        <v>42425</v>
      </c>
      <c r="I274" s="32">
        <v>0.6248793189875167</v>
      </c>
      <c r="O274" s="28">
        <v>42425</v>
      </c>
      <c r="P274" s="93">
        <v>6.5185964798979965E-2</v>
      </c>
    </row>
    <row r="275" spans="2:16">
      <c r="B275" s="98">
        <v>40640</v>
      </c>
      <c r="C275" s="99">
        <v>0.59224775585706535</v>
      </c>
      <c r="D275" s="99">
        <f>VLOOKUP(CurrentMtgRatesDataTable825[[#This Row],[asOfDate]],H:I,2,0)</f>
        <v>0.414778538159287</v>
      </c>
      <c r="E275" s="99">
        <f>VLOOKUP(CurrentMtgRatesDataTable825[[#This Row],[asOfDate]],O:P,2,0)</f>
        <v>0</v>
      </c>
      <c r="F275" s="100">
        <f ca="1">VLOOKUP(CurrentMtgRatesDataTable825[[#This Row],[asOfDate]]+1,Bloomberg!B:C,2,0)</f>
        <v>2010.6</v>
      </c>
      <c r="H275" s="28">
        <v>42432</v>
      </c>
      <c r="I275" s="32">
        <v>0.6251498693313029</v>
      </c>
      <c r="O275" s="28">
        <v>42432</v>
      </c>
      <c r="P275" s="93">
        <v>6.9720702068001003E-2</v>
      </c>
    </row>
    <row r="276" spans="2:16">
      <c r="B276" s="98">
        <v>40633</v>
      </c>
      <c r="C276" s="99">
        <v>0.604601625895822</v>
      </c>
      <c r="D276" s="99">
        <f>VLOOKUP(CurrentMtgRatesDataTable825[[#This Row],[asOfDate]],H:I,2,0)</f>
        <v>0.42282958858632702</v>
      </c>
      <c r="E276" s="99">
        <f>VLOOKUP(CurrentMtgRatesDataTable825[[#This Row],[asOfDate]],O:P,2,0)</f>
        <v>0</v>
      </c>
      <c r="F276" s="100">
        <f ca="1">VLOOKUP(CurrentMtgRatesDataTable825[[#This Row],[asOfDate]]+1,Bloomberg!B:C,2,0)</f>
        <v>2194.4</v>
      </c>
      <c r="H276" s="28">
        <v>42432</v>
      </c>
      <c r="I276" s="32">
        <v>0.6251498693313029</v>
      </c>
      <c r="O276" s="28">
        <v>42432</v>
      </c>
      <c r="P276" s="93">
        <v>6.9720702068001003E-2</v>
      </c>
    </row>
    <row r="277" spans="2:16">
      <c r="B277" s="98">
        <v>40626</v>
      </c>
      <c r="C277" s="99">
        <v>0.61074045486204243</v>
      </c>
      <c r="D277" s="99">
        <f>VLOOKUP(CurrentMtgRatesDataTable825[[#This Row],[asOfDate]],H:I,2,0)</f>
        <v>0.450158099668103</v>
      </c>
      <c r="E277" s="99">
        <f>VLOOKUP(CurrentMtgRatesDataTable825[[#This Row],[asOfDate]],O:P,2,0)</f>
        <v>0</v>
      </c>
      <c r="F277" s="100">
        <f ca="1">VLOOKUP(CurrentMtgRatesDataTable825[[#This Row],[asOfDate]]+1,Bloomberg!B:C,2,0)</f>
        <v>2350.6999999999998</v>
      </c>
      <c r="H277" s="28">
        <v>42439</v>
      </c>
      <c r="I277" s="32">
        <v>0.61112530790993402</v>
      </c>
      <c r="O277" s="28">
        <v>42439</v>
      </c>
      <c r="P277" s="93">
        <v>0</v>
      </c>
    </row>
    <row r="278" spans="2:16">
      <c r="B278" s="98">
        <v>40619</v>
      </c>
      <c r="C278" s="99">
        <v>0.61389489282556919</v>
      </c>
      <c r="D278" s="99">
        <f>VLOOKUP(CurrentMtgRatesDataTable825[[#This Row],[asOfDate]],H:I,2,0)</f>
        <v>0.46784663358763601</v>
      </c>
      <c r="E278" s="99">
        <f>VLOOKUP(CurrentMtgRatesDataTable825[[#This Row],[asOfDate]],O:P,2,0)</f>
        <v>4.9225242343752603E-4</v>
      </c>
      <c r="F278" s="100">
        <f ca="1">VLOOKUP(CurrentMtgRatesDataTable825[[#This Row],[asOfDate]]+1,Bloomberg!B:C,2,0)</f>
        <v>2620.8000000000002</v>
      </c>
      <c r="H278" s="28">
        <v>42446</v>
      </c>
      <c r="I278" s="32">
        <v>0.57171535395944317</v>
      </c>
      <c r="O278" s="28">
        <v>42446</v>
      </c>
      <c r="P278" s="93">
        <v>0</v>
      </c>
    </row>
    <row r="279" spans="2:16">
      <c r="B279" s="101">
        <v>40612</v>
      </c>
      <c r="C279" s="102">
        <v>0.60233041560273004</v>
      </c>
      <c r="D279" s="102">
        <f>VLOOKUP(CurrentMtgRatesDataTable825[[#This Row],[asOfDate]],H:I,2,0)</f>
        <v>0.42124985629360401</v>
      </c>
      <c r="E279" s="102">
        <f>VLOOKUP(CurrentMtgRatesDataTable825[[#This Row],[asOfDate]],O:P,2,0)</f>
        <v>0</v>
      </c>
      <c r="F279" s="103">
        <f ca="1">VLOOKUP(CurrentMtgRatesDataTable825[[#This Row],[asOfDate]]+1,Bloomberg!B:C,2,0)</f>
        <v>2563.6</v>
      </c>
      <c r="H279" s="28">
        <v>42460</v>
      </c>
      <c r="I279" s="32">
        <v>0.57556705570856714</v>
      </c>
      <c r="O279" s="28">
        <v>42460</v>
      </c>
      <c r="P279" s="93">
        <v>0</v>
      </c>
    </row>
    <row r="280" spans="2:16">
      <c r="B280" s="105">
        <v>40605</v>
      </c>
      <c r="C280" s="106">
        <v>0.6037352344540472</v>
      </c>
      <c r="D280" s="106">
        <f>VLOOKUP(CurrentMtgRatesDataTable825[[#This Row],[asOfDate]],H:I,2,0)</f>
        <v>0.42215163100202302</v>
      </c>
      <c r="E280" s="106">
        <f>VLOOKUP(CurrentMtgRatesDataTable825[[#This Row],[asOfDate]],O:P,2,0)</f>
        <v>0</v>
      </c>
      <c r="F280" s="107">
        <f ca="1">VLOOKUP(CurrentMtgRatesDataTable825[[#This Row],[asOfDate]]+1,Bloomberg!B:C,2,0)</f>
        <v>2539.4</v>
      </c>
      <c r="H280" s="28">
        <v>42467</v>
      </c>
      <c r="I280" s="32">
        <v>0.65363062834528973</v>
      </c>
      <c r="O280" s="28">
        <v>42467</v>
      </c>
      <c r="P280" s="93">
        <v>0.26614339248341778</v>
      </c>
    </row>
    <row r="281" spans="2:16">
      <c r="B281" s="108">
        <v>40598</v>
      </c>
      <c r="C281" s="109">
        <v>0.58942459149155479</v>
      </c>
      <c r="D281" s="109">
        <f>VLOOKUP(CurrentMtgRatesDataTable825[[#This Row],[asOfDate]],H:I,2,0)</f>
        <v>0.41551493659156002</v>
      </c>
      <c r="E281" s="109">
        <f>VLOOKUP(CurrentMtgRatesDataTable825[[#This Row],[asOfDate]],O:P,2,0)</f>
        <v>0</v>
      </c>
      <c r="F281" s="110">
        <f ca="1">VLOOKUP(CurrentMtgRatesDataTable825[[#This Row],[asOfDate]]+1,Bloomberg!B:C,2,0)</f>
        <v>2155.5</v>
      </c>
      <c r="H281" s="28">
        <v>42474</v>
      </c>
      <c r="I281" s="32">
        <v>0.64928657440476223</v>
      </c>
      <c r="O281" s="28">
        <v>42474</v>
      </c>
      <c r="P281" s="93">
        <v>0.26115463207010864</v>
      </c>
    </row>
    <row r="282" spans="2:16">
      <c r="B282" s="108">
        <v>40591</v>
      </c>
      <c r="C282" s="109">
        <v>0.54205032767488659</v>
      </c>
      <c r="D282" s="109">
        <f>VLOOKUP(CurrentMtgRatesDataTable825[[#This Row],[asOfDate]],H:I,2,0)</f>
        <v>0.37678804128174298</v>
      </c>
      <c r="E282" s="109">
        <f>VLOOKUP(CurrentMtgRatesDataTable825[[#This Row],[asOfDate]],O:P,2,0)</f>
        <v>0</v>
      </c>
      <c r="F282" s="110">
        <f ca="1">VLOOKUP(CurrentMtgRatesDataTable825[[#This Row],[asOfDate]]+1,Bloomberg!B:C,2,0)</f>
        <v>2325.3000000000002</v>
      </c>
      <c r="H282" s="28">
        <v>42481</v>
      </c>
      <c r="I282" s="32">
        <v>0.6407197706290888</v>
      </c>
      <c r="O282" s="28">
        <v>42481</v>
      </c>
      <c r="P282" s="93">
        <v>0</v>
      </c>
    </row>
    <row r="283" spans="2:16">
      <c r="B283" s="108">
        <v>40584</v>
      </c>
      <c r="C283" s="109">
        <v>0.52056927566475342</v>
      </c>
      <c r="D283" s="109">
        <f>VLOOKUP(CurrentMtgRatesDataTable825[[#This Row],[asOfDate]],H:I,2,0)</f>
        <v>0.35529176669040102</v>
      </c>
      <c r="E283" s="109">
        <f>VLOOKUP(CurrentMtgRatesDataTable825[[#This Row],[asOfDate]],O:P,2,0)</f>
        <v>0</v>
      </c>
      <c r="F283" s="110">
        <f ca="1">VLOOKUP(CurrentMtgRatesDataTable825[[#This Row],[asOfDate]]+1,Bloomberg!B:C,2,0)</f>
        <v>1953.2</v>
      </c>
      <c r="H283" s="28">
        <v>42488</v>
      </c>
      <c r="I283" s="32">
        <v>0.58783386272770355</v>
      </c>
      <c r="O283" s="28">
        <v>42488</v>
      </c>
      <c r="P283" s="93">
        <v>0</v>
      </c>
    </row>
    <row r="284" spans="2:16">
      <c r="B284" s="108">
        <v>40577</v>
      </c>
      <c r="C284" s="109">
        <v>0.61889055550431171</v>
      </c>
      <c r="D284" s="109">
        <f>VLOOKUP(CurrentMtgRatesDataTable825[[#This Row],[asOfDate]],H:I,2,0)</f>
        <v>0.43462013043084002</v>
      </c>
      <c r="E284" s="109">
        <f>VLOOKUP(CurrentMtgRatesDataTable825[[#This Row],[asOfDate]],O:P,2,0)</f>
        <v>0</v>
      </c>
      <c r="F284" s="110">
        <f ca="1">VLOOKUP(CurrentMtgRatesDataTable825[[#This Row],[asOfDate]]+1,Bloomberg!B:C,2,0)</f>
        <v>2190.4</v>
      </c>
      <c r="H284" s="28">
        <v>42495</v>
      </c>
      <c r="I284" s="32">
        <v>0.59722461281341566</v>
      </c>
      <c r="O284" s="28">
        <v>42495</v>
      </c>
      <c r="P284" s="93">
        <v>0</v>
      </c>
    </row>
    <row r="285" spans="2:16">
      <c r="B285" s="115">
        <v>40570</v>
      </c>
      <c r="C285" s="116">
        <v>0.63857444674020136</v>
      </c>
      <c r="D285" s="116">
        <f>VLOOKUP(CurrentMtgRatesDataTable825[[#This Row],[asOfDate]],H:I,2,0)</f>
        <v>0.47679593730615699</v>
      </c>
      <c r="E285" s="116">
        <f>VLOOKUP(CurrentMtgRatesDataTable825[[#This Row],[asOfDate]],O:P,2,0)</f>
        <v>0</v>
      </c>
      <c r="F285" s="117">
        <f ca="1">VLOOKUP(CurrentMtgRatesDataTable825[[#This Row],[asOfDate]]+1,Bloomberg!B:C,2,0)</f>
        <v>2371.1</v>
      </c>
      <c r="H285" s="28">
        <v>42502</v>
      </c>
      <c r="I285" s="32">
        <v>0.65876191295949094</v>
      </c>
      <c r="O285" s="28">
        <v>42502</v>
      </c>
      <c r="P285" s="93">
        <v>0.27513372654931118</v>
      </c>
    </row>
    <row r="286" spans="2:16">
      <c r="B286" s="115">
        <v>40563</v>
      </c>
      <c r="C286" s="116">
        <v>0.64069519706314115</v>
      </c>
      <c r="D286" s="116">
        <f>VLOOKUP(CurrentMtgRatesDataTable825[[#This Row],[asOfDate]],H:I,2,0)</f>
        <v>0.48029569588235599</v>
      </c>
      <c r="E286" s="116">
        <f>VLOOKUP(CurrentMtgRatesDataTable825[[#This Row],[asOfDate]],O:P,2,0)</f>
        <v>0</v>
      </c>
      <c r="F286" s="117">
        <f ca="1">VLOOKUP(CurrentMtgRatesDataTable825[[#This Row],[asOfDate]]+1,Bloomberg!B:C,2,0)</f>
        <v>2129.6999999999998</v>
      </c>
      <c r="H286" s="28">
        <v>42509</v>
      </c>
      <c r="I286" s="32">
        <v>0.65017472870897264</v>
      </c>
      <c r="O286" s="28">
        <v>42509</v>
      </c>
      <c r="P286" s="93">
        <v>0</v>
      </c>
    </row>
    <row r="287" spans="2:16">
      <c r="B287" s="122">
        <v>40556</v>
      </c>
      <c r="C287" s="123">
        <v>0.64288827641604773</v>
      </c>
      <c r="D287" s="123">
        <f>VLOOKUP(CurrentMtgRatesDataTable825[[#This Row],[asOfDate]],H:I,2,0)</f>
        <v>0.49650185657562101</v>
      </c>
      <c r="E287" s="123">
        <f>VLOOKUP(CurrentMtgRatesDataTable825[[#This Row],[asOfDate]],O:P,2,0)</f>
        <v>5.80030998251819E-5</v>
      </c>
      <c r="F287" s="124">
        <f ca="1">VLOOKUP(CurrentMtgRatesDataTable825[[#This Row],[asOfDate]]+1,Bloomberg!B:C,2,0)</f>
        <v>2528.6999999999998</v>
      </c>
      <c r="H287" s="28">
        <v>42516</v>
      </c>
      <c r="I287" s="32">
        <v>0.60819317871948908</v>
      </c>
      <c r="O287" s="28">
        <v>42516</v>
      </c>
      <c r="P287" s="93">
        <v>0</v>
      </c>
    </row>
    <row r="288" spans="2:16">
      <c r="B288" s="122">
        <v>40549</v>
      </c>
      <c r="C288" s="123">
        <v>0.63874575831359703</v>
      </c>
      <c r="D288" s="123">
        <f>VLOOKUP(CurrentMtgRatesDataTable825[[#This Row],[asOfDate]],H:I,2,0)</f>
        <v>0.477996028899563</v>
      </c>
      <c r="E288" s="123" t="e">
        <f>VLOOKUP(CurrentMtgRatesDataTable825[[#This Row],[asOfDate]],O:P,2,0)</f>
        <v>#N/A</v>
      </c>
      <c r="F288" s="124">
        <f ca="1">VLOOKUP(CurrentMtgRatesDataTable825[[#This Row],[asOfDate]]+1,Bloomberg!B:C,2,0)</f>
        <v>2344.3000000000002</v>
      </c>
      <c r="H288" s="28">
        <v>42523</v>
      </c>
      <c r="I288" s="32">
        <v>0.59315061833233318</v>
      </c>
      <c r="O288" s="28">
        <v>42523</v>
      </c>
      <c r="P288" s="93">
        <v>0</v>
      </c>
    </row>
    <row r="289" spans="8:16">
      <c r="H289" s="28">
        <v>42530</v>
      </c>
      <c r="I289" s="32">
        <v>0.63358604177011002</v>
      </c>
      <c r="O289" s="28">
        <v>42530</v>
      </c>
      <c r="P289" s="93">
        <v>1.8055734190198806E-4</v>
      </c>
    </row>
    <row r="290" spans="8:16">
      <c r="H290" s="28">
        <v>42530</v>
      </c>
      <c r="I290" s="32">
        <v>0.63358604177011002</v>
      </c>
      <c r="O290" s="28">
        <v>42530</v>
      </c>
      <c r="P290" s="93">
        <v>1.8055734190198806E-4</v>
      </c>
    </row>
    <row r="291" spans="8:16">
      <c r="H291" s="28">
        <v>42537</v>
      </c>
      <c r="I291" s="32">
        <v>0.67872358251423159</v>
      </c>
      <c r="O291" s="28">
        <v>42537</v>
      </c>
      <c r="P291" s="93">
        <v>0.29550467881742942</v>
      </c>
    </row>
    <row r="292" spans="8:16">
      <c r="H292" s="28">
        <v>42544</v>
      </c>
      <c r="I292" s="32">
        <v>0.65141115100369107</v>
      </c>
      <c r="O292" s="28">
        <v>42544</v>
      </c>
      <c r="P292" s="93">
        <v>0</v>
      </c>
    </row>
    <row r="293" spans="8:16">
      <c r="H293" s="28"/>
      <c r="I293" s="32"/>
      <c r="O293" s="28"/>
      <c r="P293" s="93"/>
    </row>
  </sheetData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M462"/>
  <sheetViews>
    <sheetView topLeftCell="A409" workbookViewId="0">
      <selection activeCell="I454" sqref="I454"/>
    </sheetView>
  </sheetViews>
  <sheetFormatPr defaultRowHeight="15"/>
  <cols>
    <col min="2" max="2" width="16.28515625" customWidth="1"/>
  </cols>
  <sheetData>
    <row r="1" spans="2:3">
      <c r="C1" t="s">
        <v>29</v>
      </c>
    </row>
    <row r="2" spans="2:3">
      <c r="B2" s="1" t="e">
        <f ca="1">_xll.BDH("MBAVCMRS Index","PX LAST","8/10/07",TODAY(),"cols=2;rows=402")</f>
        <v>#NAME?</v>
      </c>
      <c r="C2">
        <v>2104.1</v>
      </c>
    </row>
    <row r="3" spans="2:3">
      <c r="B3" s="1">
        <v>39311</v>
      </c>
      <c r="C3">
        <v>1960.1</v>
      </c>
    </row>
    <row r="4" spans="2:3">
      <c r="B4" s="1">
        <v>39318</v>
      </c>
      <c r="C4">
        <v>1871.4</v>
      </c>
    </row>
    <row r="5" spans="2:3">
      <c r="B5" s="1">
        <v>39325</v>
      </c>
      <c r="C5">
        <v>1892.3</v>
      </c>
    </row>
    <row r="6" spans="2:3">
      <c r="B6" s="1">
        <v>39332</v>
      </c>
      <c r="C6">
        <v>2009.3</v>
      </c>
    </row>
    <row r="7" spans="2:3">
      <c r="B7" s="1">
        <v>39339</v>
      </c>
      <c r="C7">
        <v>2091.1</v>
      </c>
    </row>
    <row r="8" spans="2:3">
      <c r="B8" s="1">
        <v>39346</v>
      </c>
      <c r="C8">
        <v>2172.5</v>
      </c>
    </row>
    <row r="9" spans="2:3">
      <c r="B9" s="1">
        <v>39353</v>
      </c>
      <c r="C9">
        <v>2065.6999999999998</v>
      </c>
    </row>
    <row r="10" spans="2:3">
      <c r="B10" s="1">
        <v>39360</v>
      </c>
      <c r="C10">
        <v>2153.3000000000002</v>
      </c>
    </row>
    <row r="11" spans="2:3">
      <c r="B11" s="1">
        <v>39367</v>
      </c>
      <c r="C11">
        <v>2116.6</v>
      </c>
    </row>
    <row r="12" spans="2:3">
      <c r="B12" s="1">
        <v>39374</v>
      </c>
      <c r="C12">
        <v>2221.1</v>
      </c>
    </row>
    <row r="13" spans="2:3">
      <c r="B13" s="1">
        <v>39381</v>
      </c>
      <c r="C13">
        <v>2433.1999999999998</v>
      </c>
    </row>
    <row r="14" spans="2:3">
      <c r="B14" s="1">
        <v>39388</v>
      </c>
      <c r="C14">
        <v>2336.1999999999998</v>
      </c>
    </row>
    <row r="15" spans="2:3">
      <c r="B15" s="1">
        <v>39395</v>
      </c>
      <c r="C15">
        <v>2503.6</v>
      </c>
    </row>
    <row r="16" spans="2:3">
      <c r="B16" s="1">
        <v>39402</v>
      </c>
      <c r="C16">
        <v>2371.1</v>
      </c>
    </row>
    <row r="17" spans="2:3">
      <c r="B17" s="1">
        <v>39409</v>
      </c>
      <c r="C17">
        <v>2283.3000000000002</v>
      </c>
    </row>
    <row r="18" spans="2:3">
      <c r="B18" s="1">
        <v>39416</v>
      </c>
      <c r="C18">
        <v>3006.1</v>
      </c>
    </row>
    <row r="19" spans="2:3">
      <c r="B19" s="1">
        <v>39423</v>
      </c>
      <c r="C19">
        <v>3158.8</v>
      </c>
    </row>
    <row r="20" spans="2:3">
      <c r="B20" s="1">
        <v>39430</v>
      </c>
      <c r="C20">
        <v>2253.1</v>
      </c>
    </row>
    <row r="21" spans="2:3">
      <c r="B21" s="1">
        <v>39437</v>
      </c>
      <c r="C21">
        <v>2066.3000000000002</v>
      </c>
    </row>
    <row r="22" spans="2:3">
      <c r="B22" s="1">
        <v>39444</v>
      </c>
      <c r="C22">
        <v>1732.7</v>
      </c>
    </row>
    <row r="23" spans="2:3">
      <c r="B23" s="1">
        <v>39451</v>
      </c>
      <c r="C23">
        <v>2729.3</v>
      </c>
    </row>
    <row r="24" spans="2:3">
      <c r="B24" s="1">
        <v>39458</v>
      </c>
      <c r="C24">
        <v>3923.5</v>
      </c>
    </row>
    <row r="25" spans="2:3">
      <c r="B25" s="1">
        <v>39465</v>
      </c>
      <c r="C25">
        <v>4588.3999999999996</v>
      </c>
    </row>
    <row r="26" spans="2:3">
      <c r="B26" s="1">
        <v>39472</v>
      </c>
      <c r="C26">
        <v>5682.2</v>
      </c>
    </row>
    <row r="27" spans="2:3">
      <c r="B27" s="1">
        <v>39479</v>
      </c>
      <c r="C27">
        <v>5523.9</v>
      </c>
    </row>
    <row r="28" spans="2:3">
      <c r="B28" s="1">
        <v>39486</v>
      </c>
      <c r="C28">
        <v>5362.6</v>
      </c>
    </row>
    <row r="29" spans="2:3">
      <c r="B29" s="1">
        <v>39493</v>
      </c>
      <c r="C29">
        <v>3784.1</v>
      </c>
    </row>
    <row r="30" spans="2:3">
      <c r="B30" s="1">
        <v>39500</v>
      </c>
      <c r="C30">
        <v>2571.6</v>
      </c>
    </row>
    <row r="31" spans="2:3">
      <c r="B31" s="1">
        <v>39507</v>
      </c>
      <c r="C31">
        <v>2667.8</v>
      </c>
    </row>
    <row r="32" spans="2:3">
      <c r="B32" s="1">
        <v>39514</v>
      </c>
      <c r="C32">
        <v>2519.4</v>
      </c>
    </row>
    <row r="33" spans="2:3">
      <c r="B33" s="1">
        <v>39521</v>
      </c>
      <c r="C33">
        <v>2338.8000000000002</v>
      </c>
    </row>
    <row r="34" spans="2:3">
      <c r="B34" s="1">
        <v>39528</v>
      </c>
      <c r="C34">
        <v>4468.3999999999996</v>
      </c>
    </row>
    <row r="35" spans="2:3">
      <c r="B35" s="1">
        <v>39535</v>
      </c>
      <c r="C35">
        <v>2653.2</v>
      </c>
    </row>
    <row r="36" spans="2:3">
      <c r="B36" s="1">
        <v>39542</v>
      </c>
      <c r="C36">
        <v>2709.1</v>
      </c>
    </row>
    <row r="37" spans="2:3">
      <c r="B37" s="1">
        <v>39549</v>
      </c>
      <c r="C37">
        <v>2880.7</v>
      </c>
    </row>
    <row r="38" spans="2:3">
      <c r="B38" s="1">
        <v>39556</v>
      </c>
      <c r="C38">
        <v>2215.6999999999998</v>
      </c>
    </row>
    <row r="39" spans="2:3">
      <c r="B39" s="1">
        <v>39563</v>
      </c>
      <c r="C39">
        <v>1809.5</v>
      </c>
    </row>
    <row r="40" spans="2:3">
      <c r="B40" s="1">
        <v>39570</v>
      </c>
      <c r="C40">
        <v>2195</v>
      </c>
    </row>
    <row r="41" spans="2:3">
      <c r="B41" s="1">
        <v>39577</v>
      </c>
      <c r="C41">
        <v>2388.8000000000002</v>
      </c>
    </row>
    <row r="42" spans="2:3">
      <c r="B42" s="1">
        <v>39584</v>
      </c>
      <c r="C42">
        <v>2135.8000000000002</v>
      </c>
    </row>
    <row r="43" spans="2:3">
      <c r="B43" s="1">
        <v>39591</v>
      </c>
      <c r="C43">
        <v>1930.4</v>
      </c>
    </row>
    <row r="44" spans="2:3">
      <c r="B44" s="1">
        <v>39598</v>
      </c>
      <c r="C44">
        <v>1387.8</v>
      </c>
    </row>
    <row r="45" spans="2:3">
      <c r="B45" s="1">
        <v>39605</v>
      </c>
      <c r="C45">
        <v>1477.5</v>
      </c>
    </row>
    <row r="46" spans="2:3">
      <c r="B46" s="1">
        <v>39612</v>
      </c>
      <c r="C46">
        <v>1219.7</v>
      </c>
    </row>
    <row r="47" spans="2:3">
      <c r="B47" s="1">
        <v>39619</v>
      </c>
      <c r="C47">
        <v>1044.5999999999999</v>
      </c>
    </row>
    <row r="48" spans="2:3">
      <c r="B48" s="1">
        <v>39626</v>
      </c>
      <c r="C48">
        <v>1111.3</v>
      </c>
    </row>
    <row r="49" spans="2:3">
      <c r="B49" s="1">
        <v>39633</v>
      </c>
      <c r="C49">
        <v>1166.5</v>
      </c>
    </row>
    <row r="50" spans="2:3">
      <c r="B50" s="1">
        <v>39640</v>
      </c>
      <c r="C50">
        <v>1270.5999999999999</v>
      </c>
    </row>
    <row r="51" spans="2:3">
      <c r="B51" s="1">
        <v>39647</v>
      </c>
      <c r="C51">
        <v>1213.9000000000001</v>
      </c>
    </row>
    <row r="52" spans="2:3">
      <c r="B52" s="1">
        <v>39654</v>
      </c>
      <c r="C52">
        <v>874.1</v>
      </c>
    </row>
    <row r="53" spans="2:3">
      <c r="B53" s="1">
        <v>39661</v>
      </c>
      <c r="C53">
        <v>897.7</v>
      </c>
    </row>
    <row r="54" spans="2:3">
      <c r="B54" s="1">
        <v>39668</v>
      </c>
      <c r="C54">
        <v>853.1</v>
      </c>
    </row>
    <row r="55" spans="2:3">
      <c r="B55" s="1">
        <v>39675</v>
      </c>
      <c r="C55">
        <v>815.2</v>
      </c>
    </row>
    <row r="56" spans="2:3">
      <c r="B56" s="1">
        <v>39682</v>
      </c>
      <c r="C56">
        <v>793.9</v>
      </c>
    </row>
    <row r="57" spans="2:3">
      <c r="B57" s="1">
        <v>39689</v>
      </c>
      <c r="C57">
        <v>825</v>
      </c>
    </row>
    <row r="58" spans="2:3">
      <c r="B58" s="1">
        <v>39696</v>
      </c>
      <c r="C58">
        <v>998.3</v>
      </c>
    </row>
    <row r="59" spans="2:3">
      <c r="B59" s="1">
        <v>39703</v>
      </c>
      <c r="C59">
        <v>2068.5</v>
      </c>
    </row>
    <row r="60" spans="2:3">
      <c r="B60" s="1">
        <v>39710</v>
      </c>
      <c r="C60">
        <v>1756.8</v>
      </c>
    </row>
    <row r="61" spans="2:3">
      <c r="B61" s="1">
        <v>39717</v>
      </c>
      <c r="C61">
        <v>1026</v>
      </c>
    </row>
    <row r="62" spans="2:3">
      <c r="B62" s="1">
        <v>39724</v>
      </c>
      <c r="C62">
        <v>999.6</v>
      </c>
    </row>
    <row r="63" spans="2:3">
      <c r="B63" s="1">
        <v>39731</v>
      </c>
      <c r="C63">
        <v>1190.8</v>
      </c>
    </row>
    <row r="64" spans="2:3">
      <c r="B64" s="1">
        <v>39738</v>
      </c>
      <c r="C64">
        <v>798</v>
      </c>
    </row>
    <row r="65" spans="2:3">
      <c r="B65" s="1">
        <v>39745</v>
      </c>
      <c r="C65">
        <v>1135.5999999999999</v>
      </c>
    </row>
    <row r="66" spans="2:3">
      <c r="B66" s="1">
        <v>39752</v>
      </c>
      <c r="C66">
        <v>688.8</v>
      </c>
    </row>
    <row r="67" spans="2:3">
      <c r="B67" s="1">
        <v>39759</v>
      </c>
      <c r="C67">
        <v>907.7</v>
      </c>
    </row>
    <row r="68" spans="2:3">
      <c r="B68" s="1">
        <v>39766</v>
      </c>
      <c r="C68">
        <v>927.3</v>
      </c>
    </row>
    <row r="69" spans="2:3">
      <c r="B69" s="1">
        <v>39773</v>
      </c>
      <c r="C69">
        <v>896.8</v>
      </c>
    </row>
    <row r="70" spans="2:3">
      <c r="B70" s="1">
        <v>39780</v>
      </c>
      <c r="C70">
        <v>3552.9</v>
      </c>
    </row>
    <row r="71" spans="2:3">
      <c r="B71" s="1">
        <v>39787</v>
      </c>
      <c r="C71">
        <v>3746.9</v>
      </c>
    </row>
    <row r="72" spans="2:3">
      <c r="B72" s="1">
        <v>39794</v>
      </c>
      <c r="C72">
        <v>4013.2</v>
      </c>
    </row>
    <row r="73" spans="2:3">
      <c r="B73" s="1">
        <v>39801</v>
      </c>
      <c r="C73">
        <v>7098.9</v>
      </c>
    </row>
    <row r="74" spans="2:3">
      <c r="B74" s="1">
        <v>39808</v>
      </c>
      <c r="C74">
        <v>7132.7</v>
      </c>
    </row>
    <row r="75" spans="2:3">
      <c r="B75" s="1">
        <v>39815</v>
      </c>
      <c r="C75">
        <v>6060.5</v>
      </c>
    </row>
    <row r="76" spans="2:3">
      <c r="B76" s="1">
        <v>39822</v>
      </c>
      <c r="C76">
        <v>7842.7</v>
      </c>
    </row>
    <row r="77" spans="2:3">
      <c r="B77" s="1">
        <v>39829</v>
      </c>
      <c r="C77">
        <v>6768.6</v>
      </c>
    </row>
    <row r="78" spans="2:3">
      <c r="B78" s="1">
        <v>39836</v>
      </c>
      <c r="C78">
        <v>3300.6</v>
      </c>
    </row>
    <row r="79" spans="2:3">
      <c r="B79" s="1">
        <v>39843</v>
      </c>
      <c r="C79">
        <v>3871.3</v>
      </c>
    </row>
    <row r="80" spans="2:3">
      <c r="B80" s="1">
        <v>39850</v>
      </c>
      <c r="C80">
        <v>2611.1</v>
      </c>
    </row>
    <row r="81" spans="2:3">
      <c r="B81" s="1">
        <v>39857</v>
      </c>
      <c r="C81">
        <v>4564.5</v>
      </c>
    </row>
    <row r="82" spans="2:3">
      <c r="B82" s="1">
        <v>39864</v>
      </c>
      <c r="C82">
        <v>3531.5</v>
      </c>
    </row>
    <row r="83" spans="2:3">
      <c r="B83" s="1">
        <v>39871</v>
      </c>
      <c r="C83">
        <v>2945.5</v>
      </c>
    </row>
    <row r="84" spans="2:3">
      <c r="B84" s="1">
        <v>39878</v>
      </c>
      <c r="C84">
        <v>3352.8</v>
      </c>
    </row>
    <row r="85" spans="2:3">
      <c r="B85" s="1">
        <v>39885</v>
      </c>
      <c r="C85">
        <v>4428.1000000000004</v>
      </c>
    </row>
    <row r="86" spans="2:3">
      <c r="B86" s="1">
        <v>39892</v>
      </c>
      <c r="C86">
        <v>6374.7</v>
      </c>
    </row>
    <row r="87" spans="2:3">
      <c r="B87" s="1">
        <v>39899</v>
      </c>
      <c r="C87">
        <v>6522</v>
      </c>
    </row>
    <row r="88" spans="2:3">
      <c r="B88" s="1">
        <v>39906</v>
      </c>
      <c r="C88">
        <v>6734.2</v>
      </c>
    </row>
    <row r="89" spans="2:3">
      <c r="B89" s="1">
        <v>39913</v>
      </c>
      <c r="C89">
        <v>6127.3</v>
      </c>
    </row>
    <row r="90" spans="2:3">
      <c r="B90" s="1">
        <v>39920</v>
      </c>
      <c r="C90">
        <v>6547.2</v>
      </c>
    </row>
    <row r="91" spans="2:3">
      <c r="B91" s="1">
        <v>39927</v>
      </c>
      <c r="C91">
        <v>4957.8999999999996</v>
      </c>
    </row>
    <row r="92" spans="2:3">
      <c r="B92" s="1">
        <v>39934</v>
      </c>
      <c r="C92">
        <v>5084.2</v>
      </c>
    </row>
    <row r="93" spans="2:3">
      <c r="B93" s="1">
        <v>39941</v>
      </c>
      <c r="C93">
        <v>4353.1000000000004</v>
      </c>
    </row>
    <row r="94" spans="2:3">
      <c r="B94" s="1">
        <v>39948</v>
      </c>
      <c r="C94">
        <v>4586.2</v>
      </c>
    </row>
    <row r="95" spans="2:3">
      <c r="B95" s="1">
        <v>39955</v>
      </c>
      <c r="C95">
        <v>3590.1</v>
      </c>
    </row>
    <row r="96" spans="2:3">
      <c r="B96" s="1">
        <v>39962</v>
      </c>
      <c r="C96">
        <v>2583</v>
      </c>
    </row>
    <row r="97" spans="2:3">
      <c r="B97" s="1">
        <v>39969</v>
      </c>
      <c r="C97">
        <v>2156.5</v>
      </c>
    </row>
    <row r="98" spans="2:3">
      <c r="B98" s="1">
        <v>39976</v>
      </c>
      <c r="C98">
        <v>1482.7</v>
      </c>
    </row>
    <row r="99" spans="2:3">
      <c r="B99" s="1">
        <v>39983</v>
      </c>
      <c r="C99">
        <v>1504.6</v>
      </c>
    </row>
    <row r="100" spans="2:3">
      <c r="B100" s="1">
        <v>39990</v>
      </c>
      <c r="C100">
        <v>1328.1</v>
      </c>
    </row>
    <row r="101" spans="2:3">
      <c r="B101" s="1">
        <v>39997</v>
      </c>
      <c r="C101">
        <v>1583.5</v>
      </c>
    </row>
    <row r="102" spans="2:3">
      <c r="B102" s="1">
        <v>40004</v>
      </c>
      <c r="C102">
        <v>1915.5</v>
      </c>
    </row>
    <row r="103" spans="2:3">
      <c r="B103" s="1">
        <v>40011</v>
      </c>
      <c r="C103">
        <v>1982.8</v>
      </c>
    </row>
    <row r="104" spans="2:3">
      <c r="B104" s="1">
        <v>40018</v>
      </c>
      <c r="C104">
        <v>1702.7</v>
      </c>
    </row>
    <row r="105" spans="2:3">
      <c r="B105" s="1">
        <v>40025</v>
      </c>
      <c r="C105">
        <v>1826</v>
      </c>
    </row>
    <row r="106" spans="2:3">
      <c r="B106" s="1">
        <v>40032</v>
      </c>
      <c r="C106">
        <v>1659.1</v>
      </c>
    </row>
    <row r="107" spans="2:3">
      <c r="B107" s="1">
        <v>40039</v>
      </c>
      <c r="C107">
        <v>1782.2</v>
      </c>
    </row>
    <row r="108" spans="2:3">
      <c r="B108" s="1">
        <v>40046</v>
      </c>
      <c r="C108">
        <v>1983.2</v>
      </c>
    </row>
    <row r="109" spans="2:3">
      <c r="B109" s="1">
        <v>40053</v>
      </c>
      <c r="C109">
        <v>1955.9</v>
      </c>
    </row>
    <row r="110" spans="2:3">
      <c r="B110" s="1">
        <v>40060</v>
      </c>
      <c r="C110">
        <v>2383.6999999999998</v>
      </c>
    </row>
    <row r="111" spans="2:3">
      <c r="B111" s="1">
        <v>40067</v>
      </c>
      <c r="C111">
        <v>2216.3000000000002</v>
      </c>
    </row>
    <row r="112" spans="2:3">
      <c r="B112" s="1">
        <v>40074</v>
      </c>
      <c r="C112">
        <v>2632.2</v>
      </c>
    </row>
    <row r="113" spans="2:3">
      <c r="B113" s="1">
        <v>40081</v>
      </c>
      <c r="C113">
        <v>2655.8</v>
      </c>
    </row>
    <row r="114" spans="2:3">
      <c r="B114" s="1">
        <v>40088</v>
      </c>
      <c r="C114">
        <v>3230.9</v>
      </c>
    </row>
    <row r="115" spans="2:3">
      <c r="B115" s="1">
        <v>40095</v>
      </c>
      <c r="C115">
        <v>3280.3</v>
      </c>
    </row>
    <row r="116" spans="2:3">
      <c r="B116" s="1">
        <v>40102</v>
      </c>
      <c r="C116">
        <v>2774.7</v>
      </c>
    </row>
    <row r="117" spans="2:3">
      <c r="B117" s="1">
        <v>40109</v>
      </c>
      <c r="C117">
        <v>2304</v>
      </c>
    </row>
    <row r="118" spans="2:3">
      <c r="B118" s="1">
        <v>40116</v>
      </c>
      <c r="C118">
        <v>2715.2</v>
      </c>
    </row>
    <row r="119" spans="2:3">
      <c r="B119" s="1">
        <v>40123</v>
      </c>
      <c r="C119">
        <v>2996</v>
      </c>
    </row>
    <row r="120" spans="2:3">
      <c r="B120" s="1">
        <v>40130</v>
      </c>
      <c r="C120">
        <v>3117</v>
      </c>
    </row>
    <row r="121" spans="2:3">
      <c r="B121" s="1">
        <v>40137</v>
      </c>
      <c r="C121">
        <v>2815.1</v>
      </c>
    </row>
    <row r="122" spans="2:3">
      <c r="B122" s="1">
        <v>40144</v>
      </c>
      <c r="C122">
        <v>2958.4</v>
      </c>
    </row>
    <row r="123" spans="2:3">
      <c r="B123" s="1">
        <v>40151</v>
      </c>
      <c r="C123">
        <v>3312.7</v>
      </c>
    </row>
    <row r="124" spans="2:3">
      <c r="B124" s="1">
        <v>40158</v>
      </c>
      <c r="C124">
        <v>3354</v>
      </c>
    </row>
    <row r="125" spans="2:3">
      <c r="B125" s="1">
        <v>40165</v>
      </c>
      <c r="C125">
        <v>2988.7</v>
      </c>
    </row>
    <row r="126" spans="2:3">
      <c r="B126" s="1">
        <v>40172</v>
      </c>
      <c r="C126">
        <v>2038.4</v>
      </c>
    </row>
    <row r="127" spans="2:3">
      <c r="B127" s="1">
        <v>40179</v>
      </c>
      <c r="C127">
        <v>2021.1</v>
      </c>
    </row>
    <row r="128" spans="2:3">
      <c r="B128" s="1">
        <v>40186</v>
      </c>
      <c r="C128">
        <v>2430</v>
      </c>
    </row>
    <row r="129" spans="2:3">
      <c r="B129" s="1">
        <v>40193</v>
      </c>
      <c r="C129">
        <v>2638.2</v>
      </c>
    </row>
    <row r="130" spans="2:3">
      <c r="B130" s="1">
        <v>40200</v>
      </c>
      <c r="C130">
        <v>2192.1</v>
      </c>
    </row>
    <row r="131" spans="2:3">
      <c r="B131" s="1">
        <v>40207</v>
      </c>
      <c r="C131">
        <v>2763.6</v>
      </c>
    </row>
    <row r="132" spans="2:3">
      <c r="B132" s="1">
        <v>40214</v>
      </c>
      <c r="C132">
        <v>2807.8</v>
      </c>
    </row>
    <row r="133" spans="2:3">
      <c r="B133" s="1">
        <v>40221</v>
      </c>
      <c r="C133">
        <v>2781.2</v>
      </c>
    </row>
    <row r="134" spans="2:3">
      <c r="B134" s="1">
        <v>40228</v>
      </c>
      <c r="C134">
        <v>2474.9</v>
      </c>
    </row>
    <row r="135" spans="2:3">
      <c r="B135" s="1">
        <v>40235</v>
      </c>
      <c r="C135">
        <v>2971.5</v>
      </c>
    </row>
    <row r="136" spans="2:3">
      <c r="B136" s="1">
        <v>40242</v>
      </c>
      <c r="C136">
        <v>2937.6</v>
      </c>
    </row>
    <row r="137" spans="2:3">
      <c r="B137" s="1">
        <v>40249</v>
      </c>
      <c r="C137">
        <v>2847.2</v>
      </c>
    </row>
    <row r="138" spans="2:3">
      <c r="B138" s="1">
        <v>40256</v>
      </c>
      <c r="C138">
        <v>2617.6999999999998</v>
      </c>
    </row>
    <row r="139" spans="2:3">
      <c r="B139" s="1">
        <v>40263</v>
      </c>
      <c r="C139">
        <v>2577.1999999999998</v>
      </c>
    </row>
    <row r="140" spans="2:3">
      <c r="B140" s="1">
        <v>40270</v>
      </c>
      <c r="C140">
        <v>2051.3000000000002</v>
      </c>
    </row>
    <row r="141" spans="2:3">
      <c r="B141" s="1">
        <v>40277</v>
      </c>
      <c r="C141">
        <v>1892.5</v>
      </c>
    </row>
    <row r="142" spans="2:3">
      <c r="B142" s="1">
        <v>40284</v>
      </c>
      <c r="C142">
        <v>2217</v>
      </c>
    </row>
    <row r="143" spans="2:3">
      <c r="B143" s="1">
        <v>40291</v>
      </c>
      <c r="C143">
        <v>1984.5</v>
      </c>
    </row>
    <row r="144" spans="2:3">
      <c r="B144" s="1">
        <v>40298</v>
      </c>
      <c r="C144">
        <v>1953.3</v>
      </c>
    </row>
    <row r="145" spans="2:3">
      <c r="B145" s="1">
        <v>40305</v>
      </c>
      <c r="C145">
        <v>2303.6</v>
      </c>
    </row>
    <row r="146" spans="2:3">
      <c r="B146" s="1">
        <v>40312</v>
      </c>
      <c r="C146">
        <v>2668.6</v>
      </c>
    </row>
    <row r="147" spans="2:3">
      <c r="B147" s="1">
        <v>40319</v>
      </c>
      <c r="C147">
        <v>3154.9</v>
      </c>
    </row>
    <row r="148" spans="2:3">
      <c r="B148" s="1">
        <v>40326</v>
      </c>
      <c r="C148">
        <v>3239.2</v>
      </c>
    </row>
    <row r="149" spans="2:3">
      <c r="B149" s="1">
        <v>40333</v>
      </c>
      <c r="C149">
        <v>2781.6</v>
      </c>
    </row>
    <row r="150" spans="2:3">
      <c r="B150" s="1">
        <v>40340</v>
      </c>
      <c r="C150">
        <v>3387.8</v>
      </c>
    </row>
    <row r="151" spans="2:3">
      <c r="B151" s="1">
        <v>40347</v>
      </c>
      <c r="C151">
        <v>3107.1</v>
      </c>
    </row>
    <row r="152" spans="2:3">
      <c r="B152" s="1">
        <v>40354</v>
      </c>
      <c r="C152">
        <v>3546.2</v>
      </c>
    </row>
    <row r="153" spans="2:3">
      <c r="B153" s="1">
        <v>40361</v>
      </c>
      <c r="C153">
        <v>3925.9</v>
      </c>
    </row>
    <row r="154" spans="2:3">
      <c r="B154" s="1">
        <v>40368</v>
      </c>
      <c r="C154">
        <v>3925.8</v>
      </c>
    </row>
    <row r="155" spans="2:3">
      <c r="B155" s="1">
        <v>40375</v>
      </c>
      <c r="C155">
        <v>4345.3999999999996</v>
      </c>
    </row>
    <row r="156" spans="2:3">
      <c r="B156" s="1">
        <v>40382</v>
      </c>
      <c r="C156">
        <v>4097.3</v>
      </c>
    </row>
    <row r="157" spans="2:3">
      <c r="B157" s="1">
        <v>40389</v>
      </c>
      <c r="C157">
        <v>4155.5</v>
      </c>
    </row>
    <row r="158" spans="2:3">
      <c r="B158" s="1">
        <v>40396</v>
      </c>
      <c r="C158">
        <v>4147.1000000000004</v>
      </c>
    </row>
    <row r="159" spans="2:3">
      <c r="B159" s="1">
        <v>40403</v>
      </c>
      <c r="C159">
        <v>4940.8999999999996</v>
      </c>
    </row>
    <row r="160" spans="2:3">
      <c r="B160" s="1">
        <v>40410</v>
      </c>
      <c r="C160">
        <v>5260.7</v>
      </c>
    </row>
    <row r="161" spans="2:3">
      <c r="B161" s="1">
        <v>40417</v>
      </c>
      <c r="C161">
        <v>5431.5</v>
      </c>
    </row>
    <row r="162" spans="2:3">
      <c r="B162" s="1">
        <v>40424</v>
      </c>
      <c r="C162">
        <v>5214.6000000000004</v>
      </c>
    </row>
    <row r="163" spans="2:3">
      <c r="B163" s="1">
        <v>40431</v>
      </c>
      <c r="C163">
        <v>4663.8</v>
      </c>
    </row>
    <row r="164" spans="2:3">
      <c r="B164" s="1">
        <v>40438</v>
      </c>
      <c r="C164">
        <v>4624.6000000000004</v>
      </c>
    </row>
    <row r="165" spans="2:3">
      <c r="B165" s="1">
        <v>40445</v>
      </c>
      <c r="C165">
        <v>4549.3</v>
      </c>
    </row>
    <row r="166" spans="2:3">
      <c r="B166" s="1">
        <v>40452</v>
      </c>
      <c r="C166">
        <v>4395.5</v>
      </c>
    </row>
    <row r="167" spans="2:3">
      <c r="B167" s="1">
        <v>40459</v>
      </c>
      <c r="C167">
        <v>5455.4</v>
      </c>
    </row>
    <row r="168" spans="2:3">
      <c r="B168" s="1">
        <v>40466</v>
      </c>
      <c r="C168">
        <v>4768.6000000000004</v>
      </c>
    </row>
    <row r="169" spans="2:3">
      <c r="B169" s="1">
        <v>40473</v>
      </c>
      <c r="C169">
        <v>4904.2</v>
      </c>
    </row>
    <row r="170" spans="2:3">
      <c r="B170" s="1">
        <v>40480</v>
      </c>
      <c r="C170">
        <v>4568.1000000000004</v>
      </c>
    </row>
    <row r="171" spans="2:3">
      <c r="B171" s="1">
        <v>40487</v>
      </c>
      <c r="C171">
        <v>4836.3999999999996</v>
      </c>
    </row>
    <row r="172" spans="2:3">
      <c r="B172" s="1">
        <v>40494</v>
      </c>
      <c r="C172">
        <v>4015.2</v>
      </c>
    </row>
    <row r="173" spans="2:3">
      <c r="B173" s="1">
        <v>40501</v>
      </c>
      <c r="C173">
        <v>4009.2</v>
      </c>
    </row>
    <row r="174" spans="2:3">
      <c r="B174" s="1">
        <v>40508</v>
      </c>
      <c r="C174">
        <v>3151.8</v>
      </c>
    </row>
    <row r="175" spans="2:3">
      <c r="B175" s="1">
        <v>40515</v>
      </c>
      <c r="C175">
        <v>3066.2</v>
      </c>
    </row>
    <row r="176" spans="2:3">
      <c r="B176" s="1">
        <v>40522</v>
      </c>
      <c r="C176">
        <v>3067.3</v>
      </c>
    </row>
    <row r="177" spans="2:3">
      <c r="B177" s="1">
        <v>40529</v>
      </c>
      <c r="C177">
        <v>2319.9</v>
      </c>
    </row>
    <row r="178" spans="2:3">
      <c r="B178" s="1">
        <v>40536</v>
      </c>
      <c r="C178">
        <v>2185.5</v>
      </c>
    </row>
    <row r="179" spans="2:3">
      <c r="B179" s="1">
        <v>40543</v>
      </c>
      <c r="C179">
        <v>2249.6</v>
      </c>
    </row>
    <row r="180" spans="2:3">
      <c r="B180" s="1">
        <v>40550</v>
      </c>
      <c r="C180">
        <v>2344.3000000000002</v>
      </c>
    </row>
    <row r="181" spans="2:3">
      <c r="B181" s="1">
        <v>40557</v>
      </c>
      <c r="C181">
        <v>2528.6999999999998</v>
      </c>
    </row>
    <row r="182" spans="2:3">
      <c r="B182" s="1">
        <v>40564</v>
      </c>
      <c r="C182">
        <v>2129.6999999999998</v>
      </c>
    </row>
    <row r="183" spans="2:3">
      <c r="B183" s="1">
        <v>40571</v>
      </c>
      <c r="C183">
        <v>2371.1</v>
      </c>
    </row>
    <row r="184" spans="2:3">
      <c r="B184" s="1">
        <v>40578</v>
      </c>
      <c r="C184">
        <v>2190.4</v>
      </c>
    </row>
    <row r="185" spans="2:3">
      <c r="B185" s="1">
        <v>40585</v>
      </c>
      <c r="C185">
        <v>1953.2</v>
      </c>
    </row>
    <row r="186" spans="2:3">
      <c r="B186" s="1">
        <v>40592</v>
      </c>
      <c r="C186">
        <v>2325.3000000000002</v>
      </c>
    </row>
    <row r="187" spans="2:3">
      <c r="B187" s="1">
        <v>40599</v>
      </c>
      <c r="C187">
        <v>2155.5</v>
      </c>
    </row>
    <row r="188" spans="2:3">
      <c r="B188" s="1">
        <v>40606</v>
      </c>
      <c r="C188">
        <v>2539.4</v>
      </c>
    </row>
    <row r="189" spans="2:3">
      <c r="B189" s="1">
        <v>40613</v>
      </c>
      <c r="C189">
        <v>2563.6</v>
      </c>
    </row>
    <row r="190" spans="2:3">
      <c r="B190" s="1">
        <v>40620</v>
      </c>
      <c r="C190">
        <v>2620.8000000000002</v>
      </c>
    </row>
    <row r="191" spans="2:3">
      <c r="B191" s="1">
        <v>40627</v>
      </c>
      <c r="C191">
        <v>2350.6999999999998</v>
      </c>
    </row>
    <row r="192" spans="2:3">
      <c r="B192" s="1">
        <v>40634</v>
      </c>
      <c r="C192">
        <v>2194.4</v>
      </c>
    </row>
    <row r="193" spans="2:3">
      <c r="B193" s="1">
        <v>40641</v>
      </c>
      <c r="C193">
        <v>2010.6</v>
      </c>
    </row>
    <row r="194" spans="2:3">
      <c r="B194" s="1">
        <v>40648</v>
      </c>
      <c r="C194">
        <v>2065.3000000000002</v>
      </c>
    </row>
    <row r="195" spans="2:3">
      <c r="B195" s="1">
        <v>40655</v>
      </c>
      <c r="C195">
        <v>2091.4</v>
      </c>
    </row>
    <row r="196" spans="2:3">
      <c r="B196" s="1">
        <v>40662</v>
      </c>
      <c r="C196">
        <v>2220.1</v>
      </c>
    </row>
    <row r="197" spans="2:3">
      <c r="B197" s="1">
        <v>40669</v>
      </c>
      <c r="C197">
        <v>2414.9</v>
      </c>
    </row>
    <row r="198" spans="2:3">
      <c r="B198" s="1">
        <v>40676</v>
      </c>
      <c r="C198">
        <v>2742.2</v>
      </c>
    </row>
    <row r="199" spans="2:3">
      <c r="B199" s="1">
        <v>40683</v>
      </c>
      <c r="C199">
        <v>2764.6</v>
      </c>
    </row>
    <row r="200" spans="2:3">
      <c r="B200" s="1">
        <v>40690</v>
      </c>
      <c r="C200">
        <v>2619.6999999999998</v>
      </c>
    </row>
    <row r="201" spans="2:3">
      <c r="B201" s="1">
        <v>40697</v>
      </c>
      <c r="C201">
        <v>2648</v>
      </c>
    </row>
    <row r="202" spans="2:3">
      <c r="B202" s="1">
        <v>40704</v>
      </c>
      <c r="C202">
        <v>3101.7</v>
      </c>
    </row>
    <row r="203" spans="2:3">
      <c r="B203" s="1">
        <v>40711</v>
      </c>
      <c r="C203">
        <v>2857.9</v>
      </c>
    </row>
    <row r="204" spans="2:3">
      <c r="B204" s="1">
        <v>40718</v>
      </c>
      <c r="C204">
        <v>2809.5</v>
      </c>
    </row>
    <row r="205" spans="2:3">
      <c r="B205" s="1">
        <v>40725</v>
      </c>
      <c r="C205">
        <v>2527.5</v>
      </c>
    </row>
    <row r="206" spans="2:3">
      <c r="B206" s="1">
        <v>40732</v>
      </c>
      <c r="C206">
        <v>2362.6999999999998</v>
      </c>
    </row>
    <row r="207" spans="2:3">
      <c r="B207" s="1">
        <v>40739</v>
      </c>
      <c r="C207">
        <v>2923.8</v>
      </c>
    </row>
    <row r="208" spans="2:3">
      <c r="B208" s="1">
        <v>40746</v>
      </c>
      <c r="C208">
        <v>2769.6</v>
      </c>
    </row>
    <row r="209" spans="2:3">
      <c r="B209" s="1">
        <v>40753</v>
      </c>
      <c r="C209">
        <v>2974.1</v>
      </c>
    </row>
    <row r="210" spans="2:3">
      <c r="B210" s="1">
        <v>40760</v>
      </c>
      <c r="C210">
        <v>3880.9</v>
      </c>
    </row>
    <row r="211" spans="2:3">
      <c r="B211" s="1">
        <v>40767</v>
      </c>
      <c r="C211">
        <v>4184.3999999999996</v>
      </c>
    </row>
    <row r="212" spans="2:3">
      <c r="B212" s="1">
        <v>40774</v>
      </c>
      <c r="C212">
        <v>4110.8</v>
      </c>
    </row>
    <row r="213" spans="2:3">
      <c r="B213" s="1">
        <v>40781</v>
      </c>
      <c r="C213">
        <v>3601.3</v>
      </c>
    </row>
    <row r="214" spans="2:3">
      <c r="B214" s="1">
        <v>40788</v>
      </c>
      <c r="C214">
        <v>3372</v>
      </c>
    </row>
    <row r="215" spans="2:3">
      <c r="B215" s="1">
        <v>40795</v>
      </c>
      <c r="C215">
        <v>3571.7</v>
      </c>
    </row>
    <row r="216" spans="2:3">
      <c r="B216" s="1">
        <v>40802</v>
      </c>
      <c r="C216">
        <v>4033.8</v>
      </c>
    </row>
    <row r="217" spans="2:3">
      <c r="B217" s="1">
        <v>40809</v>
      </c>
      <c r="C217">
        <v>4512.1000000000004</v>
      </c>
    </row>
    <row r="218" spans="2:3">
      <c r="B218" s="1">
        <v>40816</v>
      </c>
      <c r="C218">
        <v>4241.8</v>
      </c>
    </row>
    <row r="219" spans="2:3">
      <c r="B219" s="1">
        <v>40823</v>
      </c>
      <c r="C219">
        <v>4251.1000000000004</v>
      </c>
    </row>
    <row r="220" spans="2:3">
      <c r="B220" s="1">
        <v>40830</v>
      </c>
      <c r="C220">
        <v>3553.2</v>
      </c>
    </row>
    <row r="221" spans="2:3">
      <c r="B221" s="1">
        <v>40837</v>
      </c>
      <c r="C221">
        <v>3719.3</v>
      </c>
    </row>
    <row r="222" spans="2:3">
      <c r="B222" s="1">
        <v>40844</v>
      </c>
      <c r="C222">
        <v>3695</v>
      </c>
    </row>
    <row r="223" spans="2:3">
      <c r="B223" s="1">
        <v>40851</v>
      </c>
      <c r="C223">
        <v>4137.6000000000004</v>
      </c>
    </row>
    <row r="224" spans="2:3">
      <c r="B224" s="1">
        <v>40858</v>
      </c>
      <c r="C224">
        <v>3664.5</v>
      </c>
    </row>
    <row r="225" spans="2:3">
      <c r="B225" s="1">
        <v>40865</v>
      </c>
      <c r="C225">
        <v>3466.8</v>
      </c>
    </row>
    <row r="226" spans="2:3">
      <c r="B226" s="1">
        <v>40872</v>
      </c>
      <c r="C226">
        <v>2941.3</v>
      </c>
    </row>
    <row r="227" spans="2:3">
      <c r="B227" s="1">
        <v>40879</v>
      </c>
      <c r="C227">
        <v>3394.7</v>
      </c>
    </row>
    <row r="228" spans="2:3">
      <c r="B228" s="1">
        <v>40886</v>
      </c>
      <c r="C228">
        <v>3708.6</v>
      </c>
    </row>
    <row r="229" spans="2:3">
      <c r="B229" s="1">
        <v>40893</v>
      </c>
      <c r="C229">
        <v>3676.1</v>
      </c>
    </row>
    <row r="230" spans="2:3">
      <c r="B230" s="1">
        <v>40900</v>
      </c>
      <c r="C230">
        <v>3684.5</v>
      </c>
    </row>
    <row r="231" spans="2:3">
      <c r="B231" s="1">
        <v>40907</v>
      </c>
      <c r="C231">
        <v>3608.1</v>
      </c>
    </row>
    <row r="232" spans="2:3">
      <c r="B232" s="1">
        <v>40914</v>
      </c>
      <c r="C232">
        <v>3668.3</v>
      </c>
    </row>
    <row r="233" spans="2:3">
      <c r="B233" s="1">
        <v>40921</v>
      </c>
      <c r="C233">
        <v>4626.5</v>
      </c>
    </row>
    <row r="234" spans="2:3">
      <c r="B234" s="1">
        <v>40928</v>
      </c>
      <c r="C234">
        <v>4326.3999999999996</v>
      </c>
    </row>
    <row r="235" spans="2:3">
      <c r="B235" s="1">
        <v>40935</v>
      </c>
      <c r="C235">
        <v>4184.3</v>
      </c>
    </row>
    <row r="236" spans="2:3">
      <c r="B236" s="1">
        <v>40942</v>
      </c>
      <c r="C236">
        <v>4617.1000000000004</v>
      </c>
    </row>
    <row r="237" spans="2:3">
      <c r="B237" s="1">
        <v>40949</v>
      </c>
      <c r="C237">
        <v>4716.1000000000004</v>
      </c>
    </row>
    <row r="238" spans="2:3">
      <c r="B238" s="1">
        <v>40956</v>
      </c>
      <c r="C238">
        <v>4466.8999999999996</v>
      </c>
    </row>
    <row r="239" spans="2:3">
      <c r="B239" s="1">
        <v>40963</v>
      </c>
      <c r="C239">
        <v>4379.1000000000004</v>
      </c>
    </row>
    <row r="240" spans="2:3">
      <c r="B240" s="1">
        <v>40970</v>
      </c>
      <c r="C240">
        <v>4277.6000000000004</v>
      </c>
    </row>
    <row r="241" spans="2:3">
      <c r="B241" s="1">
        <v>40977</v>
      </c>
      <c r="C241">
        <v>4063.4</v>
      </c>
    </row>
    <row r="242" spans="2:3">
      <c r="B242" s="1">
        <v>40984</v>
      </c>
      <c r="C242">
        <v>3715.2</v>
      </c>
    </row>
    <row r="243" spans="2:3">
      <c r="B243" s="1">
        <v>40991</v>
      </c>
      <c r="C243">
        <v>3588.4</v>
      </c>
    </row>
    <row r="244" spans="2:3">
      <c r="B244" s="1">
        <v>40998</v>
      </c>
      <c r="C244">
        <v>3699.5</v>
      </c>
    </row>
    <row r="245" spans="2:3">
      <c r="B245" s="1">
        <v>41005</v>
      </c>
      <c r="C245">
        <v>3549.3</v>
      </c>
    </row>
    <row r="246" spans="2:3">
      <c r="B246" s="1">
        <v>41012</v>
      </c>
      <c r="C246">
        <v>4144.3</v>
      </c>
    </row>
    <row r="247" spans="2:3">
      <c r="B247" s="1">
        <v>41019</v>
      </c>
      <c r="C247">
        <v>3892.2</v>
      </c>
    </row>
    <row r="248" spans="2:3">
      <c r="B248" s="1">
        <v>41026</v>
      </c>
      <c r="C248">
        <v>3856</v>
      </c>
    </row>
    <row r="249" spans="2:3">
      <c r="B249" s="1">
        <v>41033</v>
      </c>
      <c r="C249">
        <v>3924.4</v>
      </c>
    </row>
    <row r="250" spans="2:3">
      <c r="B250" s="1">
        <v>41040</v>
      </c>
      <c r="C250">
        <v>4482</v>
      </c>
    </row>
    <row r="251" spans="2:3">
      <c r="B251" s="1">
        <v>41047</v>
      </c>
      <c r="C251">
        <v>4732</v>
      </c>
    </row>
    <row r="252" spans="2:3">
      <c r="B252" s="1">
        <v>41054</v>
      </c>
      <c r="C252">
        <v>4675.8999999999996</v>
      </c>
    </row>
    <row r="253" spans="2:3">
      <c r="B253" s="1">
        <v>41061</v>
      </c>
      <c r="C253">
        <v>4736</v>
      </c>
    </row>
    <row r="254" spans="2:3">
      <c r="B254" s="1">
        <v>41068</v>
      </c>
      <c r="C254">
        <v>5590</v>
      </c>
    </row>
    <row r="255" spans="2:3">
      <c r="B255" s="1">
        <v>41075</v>
      </c>
      <c r="C255">
        <v>4719.6000000000004</v>
      </c>
    </row>
    <row r="256" spans="2:3">
      <c r="B256" s="1">
        <v>41082</v>
      </c>
      <c r="C256">
        <v>4585.8</v>
      </c>
    </row>
    <row r="257" spans="2:3">
      <c r="B257" s="1">
        <v>41089</v>
      </c>
      <c r="C257">
        <v>4372.2</v>
      </c>
    </row>
    <row r="258" spans="2:3">
      <c r="B258" s="1">
        <v>41096</v>
      </c>
      <c r="C258">
        <v>4267.8999999999996</v>
      </c>
    </row>
    <row r="259" spans="2:3">
      <c r="B259" s="1">
        <v>41103</v>
      </c>
      <c r="C259">
        <v>5246.8</v>
      </c>
    </row>
    <row r="260" spans="2:3">
      <c r="B260" s="1">
        <v>41110</v>
      </c>
      <c r="C260">
        <v>5383.1</v>
      </c>
    </row>
    <row r="261" spans="2:3">
      <c r="B261" s="1">
        <v>41117</v>
      </c>
      <c r="C261">
        <v>5492.1</v>
      </c>
    </row>
    <row r="262" spans="2:3">
      <c r="B262" s="1">
        <v>41124</v>
      </c>
      <c r="C262">
        <v>5444.3</v>
      </c>
    </row>
    <row r="263" spans="2:3">
      <c r="B263" s="1">
        <v>41131</v>
      </c>
      <c r="C263">
        <v>5172.2</v>
      </c>
    </row>
    <row r="264" spans="2:3">
      <c r="B264" s="1">
        <v>41138</v>
      </c>
      <c r="C264">
        <v>4671.1000000000004</v>
      </c>
    </row>
    <row r="265" spans="2:3">
      <c r="B265" s="1">
        <v>41145</v>
      </c>
      <c r="C265">
        <v>4414.6000000000004</v>
      </c>
    </row>
    <row r="266" spans="2:3">
      <c r="B266" s="1">
        <v>41152</v>
      </c>
      <c r="C266">
        <v>4274.8</v>
      </c>
    </row>
    <row r="267" spans="2:3">
      <c r="B267" s="1">
        <v>41159</v>
      </c>
      <c r="C267">
        <v>4779.1000000000004</v>
      </c>
    </row>
    <row r="268" spans="2:3">
      <c r="B268" s="1">
        <v>41166</v>
      </c>
      <c r="C268">
        <v>4823.3</v>
      </c>
    </row>
    <row r="269" spans="2:3">
      <c r="B269" s="1">
        <v>41173</v>
      </c>
      <c r="C269">
        <v>4979</v>
      </c>
    </row>
    <row r="270" spans="2:3">
      <c r="B270" s="1">
        <v>41180</v>
      </c>
      <c r="C270">
        <v>5965.5</v>
      </c>
    </row>
    <row r="271" spans="2:3">
      <c r="B271" s="1">
        <v>41187</v>
      </c>
      <c r="C271">
        <v>5892.5</v>
      </c>
    </row>
    <row r="272" spans="2:3">
      <c r="B272" s="1">
        <v>41194</v>
      </c>
      <c r="C272">
        <v>5572.2</v>
      </c>
    </row>
    <row r="273" spans="2:3">
      <c r="B273" s="1">
        <v>41201</v>
      </c>
      <c r="C273">
        <v>4847.2</v>
      </c>
    </row>
    <row r="274" spans="2:3">
      <c r="B274" s="1">
        <v>41208</v>
      </c>
      <c r="C274">
        <v>4550.7</v>
      </c>
    </row>
    <row r="275" spans="2:3">
      <c r="B275" s="1">
        <v>41215</v>
      </c>
      <c r="C275">
        <v>4297.7</v>
      </c>
    </row>
    <row r="276" spans="2:3">
      <c r="B276" s="1">
        <v>41222</v>
      </c>
      <c r="C276">
        <v>4856.1000000000004</v>
      </c>
    </row>
    <row r="277" spans="2:3">
      <c r="B277" s="1">
        <v>41229</v>
      </c>
      <c r="C277">
        <v>4702.3999999999996</v>
      </c>
    </row>
    <row r="278" spans="2:3">
      <c r="B278" s="1">
        <v>41236</v>
      </c>
      <c r="C278">
        <v>4666.8</v>
      </c>
    </row>
    <row r="279" spans="2:3">
      <c r="B279" s="1">
        <v>41243</v>
      </c>
      <c r="C279">
        <v>4943</v>
      </c>
    </row>
    <row r="280" spans="2:3">
      <c r="B280" s="1">
        <v>41250</v>
      </c>
      <c r="C280">
        <v>5368.1</v>
      </c>
    </row>
    <row r="281" spans="2:3">
      <c r="B281" s="1">
        <v>41257</v>
      </c>
      <c r="C281">
        <v>4564.3999999999996</v>
      </c>
    </row>
    <row r="282" spans="2:3">
      <c r="B282" s="1">
        <v>41264</v>
      </c>
      <c r="C282">
        <v>3983.2</v>
      </c>
    </row>
    <row r="283" spans="2:3">
      <c r="B283" s="1">
        <v>41271</v>
      </c>
      <c r="C283">
        <v>3488.9</v>
      </c>
    </row>
    <row r="284" spans="2:3">
      <c r="B284" s="1">
        <v>41278</v>
      </c>
      <c r="C284">
        <v>3896.4</v>
      </c>
    </row>
    <row r="285" spans="2:3">
      <c r="B285" s="1">
        <v>41285</v>
      </c>
      <c r="C285">
        <v>4554.3999999999996</v>
      </c>
    </row>
    <row r="286" spans="2:3">
      <c r="B286" s="1">
        <v>41292</v>
      </c>
      <c r="C286">
        <v>4937.3999999999996</v>
      </c>
    </row>
    <row r="287" spans="2:3">
      <c r="B287" s="1">
        <v>41299</v>
      </c>
      <c r="C287">
        <v>4433.6000000000004</v>
      </c>
    </row>
    <row r="288" spans="2:3">
      <c r="B288" s="1">
        <v>41306</v>
      </c>
      <c r="C288">
        <v>4579</v>
      </c>
    </row>
    <row r="289" spans="2:3">
      <c r="B289" s="1">
        <v>41313</v>
      </c>
      <c r="C289">
        <v>4284.3</v>
      </c>
    </row>
    <row r="290" spans="2:3">
      <c r="B290" s="1">
        <v>41320</v>
      </c>
      <c r="C290">
        <v>4261.8</v>
      </c>
    </row>
    <row r="291" spans="2:3">
      <c r="B291" s="1">
        <v>41327</v>
      </c>
      <c r="C291">
        <v>4136.3</v>
      </c>
    </row>
    <row r="292" spans="2:3">
      <c r="B292" s="1">
        <v>41334</v>
      </c>
      <c r="C292">
        <v>4724.8999999999996</v>
      </c>
    </row>
    <row r="293" spans="2:3">
      <c r="B293" s="1">
        <v>41341</v>
      </c>
      <c r="C293">
        <v>4485.2</v>
      </c>
    </row>
    <row r="294" spans="2:3">
      <c r="B294" s="1">
        <v>41348</v>
      </c>
      <c r="C294">
        <v>4111.3</v>
      </c>
    </row>
    <row r="295" spans="2:3">
      <c r="B295" s="1">
        <v>41355</v>
      </c>
      <c r="C295">
        <v>4412.8999999999996</v>
      </c>
    </row>
    <row r="296" spans="2:3">
      <c r="B296" s="1">
        <v>41362</v>
      </c>
      <c r="C296">
        <v>4119.2</v>
      </c>
    </row>
    <row r="297" spans="2:3">
      <c r="B297" s="1">
        <v>41369</v>
      </c>
      <c r="C297">
        <v>4528.8999999999996</v>
      </c>
    </row>
    <row r="298" spans="2:3">
      <c r="B298" s="1">
        <v>41376</v>
      </c>
      <c r="C298">
        <v>4726.8999999999996</v>
      </c>
    </row>
    <row r="299" spans="2:3">
      <c r="B299" s="1">
        <v>41383</v>
      </c>
      <c r="C299">
        <v>4672.1000000000004</v>
      </c>
    </row>
    <row r="300" spans="2:3">
      <c r="B300" s="1">
        <v>41390</v>
      </c>
      <c r="C300">
        <v>4854.1000000000004</v>
      </c>
    </row>
    <row r="301" spans="2:3">
      <c r="B301" s="1">
        <v>41397</v>
      </c>
      <c r="C301">
        <v>5279.9</v>
      </c>
    </row>
    <row r="302" spans="2:3">
      <c r="B302" s="1">
        <v>41404</v>
      </c>
      <c r="C302">
        <v>4797.2</v>
      </c>
    </row>
    <row r="303" spans="2:3">
      <c r="B303" s="1">
        <v>41411</v>
      </c>
      <c r="C303">
        <v>4241.5</v>
      </c>
    </row>
    <row r="304" spans="2:3">
      <c r="B304" s="1">
        <v>41418</v>
      </c>
      <c r="C304">
        <v>3709.4</v>
      </c>
    </row>
    <row r="305" spans="2:3">
      <c r="B305" s="1">
        <v>41425</v>
      </c>
      <c r="C305">
        <v>3163.6</v>
      </c>
    </row>
    <row r="306" spans="2:3">
      <c r="B306" s="1">
        <v>41432</v>
      </c>
      <c r="C306">
        <v>3339.8</v>
      </c>
    </row>
    <row r="307" spans="2:3">
      <c r="B307" s="1">
        <v>41439</v>
      </c>
      <c r="C307">
        <v>3214.4</v>
      </c>
    </row>
    <row r="308" spans="2:3">
      <c r="B308" s="1">
        <v>41446</v>
      </c>
      <c r="C308">
        <v>3040.1</v>
      </c>
    </row>
    <row r="309" spans="2:3">
      <c r="B309" s="1">
        <v>41453</v>
      </c>
      <c r="C309">
        <v>2573.4</v>
      </c>
    </row>
    <row r="310" spans="2:3">
      <c r="B310" s="1">
        <v>41460</v>
      </c>
      <c r="C310">
        <v>2417.8000000000002</v>
      </c>
    </row>
    <row r="311" spans="2:3">
      <c r="B311" s="1">
        <v>41467</v>
      </c>
      <c r="C311">
        <v>2242.1999999999998</v>
      </c>
    </row>
    <row r="312" spans="2:3">
      <c r="B312" s="1">
        <v>41474</v>
      </c>
      <c r="C312">
        <v>2288</v>
      </c>
    </row>
    <row r="313" spans="2:3">
      <c r="B313" s="1">
        <v>41481</v>
      </c>
      <c r="C313">
        <v>2218.3000000000002</v>
      </c>
    </row>
    <row r="314" spans="2:3">
      <c r="B314" s="1">
        <v>41488</v>
      </c>
      <c r="C314">
        <v>2228.9</v>
      </c>
    </row>
    <row r="315" spans="2:3">
      <c r="B315" s="1">
        <v>41495</v>
      </c>
      <c r="C315">
        <v>2110.6</v>
      </c>
    </row>
    <row r="316" spans="2:3">
      <c r="B316" s="1">
        <v>41502</v>
      </c>
      <c r="C316">
        <v>1935.1</v>
      </c>
    </row>
    <row r="317" spans="2:3">
      <c r="B317" s="1">
        <v>41509</v>
      </c>
      <c r="C317">
        <v>1842.6</v>
      </c>
    </row>
    <row r="318" spans="2:3">
      <c r="B318" s="1">
        <v>41516</v>
      </c>
      <c r="C318">
        <v>1909</v>
      </c>
    </row>
    <row r="319" spans="2:3">
      <c r="B319" s="1">
        <v>41523</v>
      </c>
      <c r="C319">
        <v>1512.9</v>
      </c>
    </row>
    <row r="320" spans="2:3">
      <c r="B320" s="1">
        <v>41530</v>
      </c>
      <c r="C320">
        <v>1814</v>
      </c>
    </row>
    <row r="321" spans="2:3">
      <c r="B321" s="1">
        <v>41537</v>
      </c>
      <c r="C321">
        <v>1922.9</v>
      </c>
    </row>
    <row r="322" spans="2:3">
      <c r="B322" s="1">
        <v>41544</v>
      </c>
      <c r="C322">
        <v>1956.6</v>
      </c>
    </row>
    <row r="323" spans="2:3">
      <c r="B323" s="1">
        <v>41551</v>
      </c>
      <c r="C323">
        <v>2025.3</v>
      </c>
    </row>
    <row r="324" spans="2:3">
      <c r="B324" s="1">
        <v>41558</v>
      </c>
      <c r="C324">
        <v>2102.6999999999998</v>
      </c>
    </row>
    <row r="325" spans="2:3">
      <c r="B325" s="1">
        <v>41565</v>
      </c>
      <c r="C325">
        <v>2033.7</v>
      </c>
    </row>
    <row r="326" spans="2:3">
      <c r="B326" s="1">
        <v>41572</v>
      </c>
      <c r="C326">
        <v>2211.8000000000002</v>
      </c>
    </row>
    <row r="327" spans="2:3">
      <c r="B327" s="1">
        <v>41579</v>
      </c>
      <c r="C327">
        <v>2105.6</v>
      </c>
    </row>
    <row r="328" spans="2:3">
      <c r="B328" s="1">
        <v>41586</v>
      </c>
      <c r="C328">
        <v>2056.9</v>
      </c>
    </row>
    <row r="329" spans="2:3">
      <c r="B329" s="1">
        <v>41593</v>
      </c>
      <c r="C329">
        <v>1903.5</v>
      </c>
    </row>
    <row r="330" spans="2:3">
      <c r="B330" s="1">
        <v>41600</v>
      </c>
      <c r="C330">
        <v>1917.2</v>
      </c>
    </row>
    <row r="331" spans="2:3">
      <c r="B331" s="1">
        <v>41607</v>
      </c>
      <c r="C331">
        <v>1561.6</v>
      </c>
    </row>
    <row r="332" spans="2:3">
      <c r="B332" s="1">
        <v>41614</v>
      </c>
      <c r="C332">
        <v>1599.4</v>
      </c>
    </row>
    <row r="333" spans="2:3">
      <c r="B333" s="1">
        <v>41621</v>
      </c>
      <c r="C333">
        <v>1529.8</v>
      </c>
    </row>
    <row r="334" spans="2:3">
      <c r="B334" s="1">
        <v>41628</v>
      </c>
      <c r="C334">
        <v>1426.7</v>
      </c>
    </row>
    <row r="335" spans="2:3">
      <c r="B335" s="1">
        <v>41635</v>
      </c>
      <c r="C335">
        <v>1277.8</v>
      </c>
    </row>
    <row r="336" spans="2:3">
      <c r="B336" s="1">
        <v>41642</v>
      </c>
      <c r="C336">
        <v>1352.7</v>
      </c>
    </row>
    <row r="337" spans="2:3">
      <c r="B337" s="1">
        <v>41649</v>
      </c>
      <c r="C337">
        <v>1507</v>
      </c>
    </row>
    <row r="338" spans="2:3">
      <c r="B338" s="1">
        <v>41656</v>
      </c>
      <c r="C338">
        <v>1675.8</v>
      </c>
    </row>
    <row r="339" spans="2:3">
      <c r="B339" s="1">
        <v>41663</v>
      </c>
      <c r="C339">
        <v>1601.2</v>
      </c>
    </row>
    <row r="340" spans="2:3">
      <c r="B340" s="1">
        <v>41670</v>
      </c>
      <c r="C340">
        <v>1667.5</v>
      </c>
    </row>
    <row r="341" spans="2:3">
      <c r="B341" s="1">
        <v>41677</v>
      </c>
      <c r="C341">
        <v>1674.2</v>
      </c>
    </row>
    <row r="342" spans="2:3">
      <c r="B342" s="1">
        <v>41684</v>
      </c>
      <c r="C342">
        <v>1650.6</v>
      </c>
    </row>
    <row r="343" spans="2:3">
      <c r="B343" s="1">
        <v>41691</v>
      </c>
      <c r="C343">
        <v>1442.3</v>
      </c>
    </row>
    <row r="344" spans="2:3">
      <c r="B344" s="1">
        <v>41698</v>
      </c>
      <c r="C344">
        <v>1600.6</v>
      </c>
    </row>
    <row r="345" spans="2:3">
      <c r="B345" s="1">
        <v>41705</v>
      </c>
      <c r="C345">
        <v>1528</v>
      </c>
    </row>
    <row r="346" spans="2:3">
      <c r="B346" s="1">
        <v>41712</v>
      </c>
      <c r="C346">
        <v>1552.1</v>
      </c>
    </row>
    <row r="347" spans="2:3">
      <c r="B347" s="1">
        <v>41719</v>
      </c>
      <c r="C347">
        <v>1426.3</v>
      </c>
    </row>
    <row r="348" spans="2:3">
      <c r="B348" s="1">
        <v>41726</v>
      </c>
      <c r="C348">
        <v>1383.5</v>
      </c>
    </row>
    <row r="349" spans="2:3">
      <c r="B349" s="1">
        <v>41733</v>
      </c>
      <c r="C349">
        <v>1324.7</v>
      </c>
    </row>
    <row r="350" spans="2:3">
      <c r="B350" s="1">
        <v>41740</v>
      </c>
      <c r="C350">
        <v>1429.9</v>
      </c>
    </row>
    <row r="351" spans="2:3">
      <c r="B351" s="1">
        <v>41747</v>
      </c>
      <c r="C351">
        <v>1370.9</v>
      </c>
    </row>
    <row r="352" spans="2:3">
      <c r="B352" s="1">
        <v>41754</v>
      </c>
      <c r="C352">
        <v>1298.0999999999999</v>
      </c>
    </row>
    <row r="353" spans="2:3">
      <c r="B353" s="1">
        <v>41761</v>
      </c>
      <c r="C353">
        <v>1323.9</v>
      </c>
    </row>
    <row r="354" spans="2:3">
      <c r="B354" s="1">
        <v>41768</v>
      </c>
      <c r="C354">
        <v>1400.9</v>
      </c>
    </row>
    <row r="355" spans="2:3">
      <c r="B355" s="1">
        <v>41775</v>
      </c>
      <c r="C355">
        <v>1460.6</v>
      </c>
    </row>
    <row r="356" spans="2:3">
      <c r="B356" s="1">
        <v>41782</v>
      </c>
      <c r="C356">
        <v>1453.4</v>
      </c>
    </row>
    <row r="357" spans="2:3">
      <c r="B357" s="1">
        <v>41789</v>
      </c>
      <c r="C357">
        <v>1382.6</v>
      </c>
    </row>
    <row r="358" spans="2:3">
      <c r="B358" s="1">
        <v>41796</v>
      </c>
      <c r="C358">
        <v>1516.9</v>
      </c>
    </row>
    <row r="359" spans="2:3">
      <c r="B359" s="1">
        <v>41803</v>
      </c>
      <c r="C359">
        <v>1321.3</v>
      </c>
    </row>
    <row r="360" spans="2:3">
      <c r="B360" s="1">
        <v>41810</v>
      </c>
      <c r="C360">
        <v>1333.5</v>
      </c>
    </row>
    <row r="361" spans="2:3">
      <c r="B361" s="1">
        <v>41817</v>
      </c>
      <c r="C361">
        <v>1341.8</v>
      </c>
    </row>
    <row r="362" spans="2:3">
      <c r="B362" s="1">
        <v>41824</v>
      </c>
      <c r="C362">
        <v>1346.8</v>
      </c>
    </row>
    <row r="363" spans="2:3">
      <c r="B363" s="1">
        <v>41831</v>
      </c>
      <c r="C363">
        <v>1329.7</v>
      </c>
    </row>
    <row r="364" spans="2:3">
      <c r="B364" s="1">
        <v>41838</v>
      </c>
      <c r="C364">
        <v>1400.7</v>
      </c>
    </row>
    <row r="365" spans="2:3">
      <c r="B365" s="1">
        <v>41845</v>
      </c>
      <c r="C365">
        <v>1327.5</v>
      </c>
    </row>
    <row r="366" spans="2:3">
      <c r="B366" s="1">
        <v>41852</v>
      </c>
      <c r="C366">
        <v>1373.9</v>
      </c>
    </row>
    <row r="367" spans="2:3">
      <c r="B367" s="1">
        <v>41859</v>
      </c>
      <c r="C367">
        <v>1342.6</v>
      </c>
    </row>
    <row r="368" spans="2:3">
      <c r="B368" s="1">
        <v>41866</v>
      </c>
      <c r="C368">
        <v>1404.9</v>
      </c>
    </row>
    <row r="369" spans="2:3">
      <c r="B369" s="1">
        <v>41873</v>
      </c>
      <c r="C369">
        <v>1439.4</v>
      </c>
    </row>
    <row r="370" spans="2:3">
      <c r="B370" s="1">
        <v>41880</v>
      </c>
      <c r="C370">
        <v>1436</v>
      </c>
    </row>
    <row r="371" spans="2:3">
      <c r="B371" s="1">
        <v>41887</v>
      </c>
      <c r="C371">
        <v>1275.8</v>
      </c>
    </row>
    <row r="372" spans="2:3">
      <c r="B372" s="1">
        <v>41894</v>
      </c>
      <c r="C372">
        <v>1398.4</v>
      </c>
    </row>
    <row r="373" spans="2:3">
      <c r="B373" s="1">
        <v>41901</v>
      </c>
      <c r="C373">
        <v>1335.1</v>
      </c>
    </row>
    <row r="374" spans="2:3">
      <c r="B374" s="1">
        <v>41908</v>
      </c>
      <c r="C374">
        <v>1326.2</v>
      </c>
    </row>
    <row r="375" spans="2:3">
      <c r="B375" s="1">
        <v>41915</v>
      </c>
      <c r="C375">
        <v>1387.1</v>
      </c>
    </row>
    <row r="376" spans="2:3">
      <c r="B376" s="1">
        <v>41922</v>
      </c>
      <c r="C376">
        <v>1560.6</v>
      </c>
    </row>
    <row r="377" spans="2:3">
      <c r="B377" s="1">
        <v>41929</v>
      </c>
      <c r="C377">
        <v>1898.2</v>
      </c>
    </row>
    <row r="378" spans="2:3">
      <c r="B378" s="1">
        <v>41936</v>
      </c>
      <c r="C378">
        <v>1713.6</v>
      </c>
    </row>
    <row r="379" spans="2:3">
      <c r="B379" s="1">
        <v>41943</v>
      </c>
      <c r="C379">
        <v>1604.8</v>
      </c>
    </row>
    <row r="380" spans="2:3">
      <c r="B380" s="1">
        <v>41950</v>
      </c>
      <c r="C380">
        <v>1565.3</v>
      </c>
    </row>
    <row r="381" spans="2:3">
      <c r="B381" s="1">
        <v>41957</v>
      </c>
      <c r="C381">
        <v>1563.2</v>
      </c>
    </row>
    <row r="382" spans="2:3">
      <c r="B382" s="1">
        <v>41964</v>
      </c>
      <c r="C382">
        <v>1547.9</v>
      </c>
    </row>
    <row r="383" spans="2:3">
      <c r="B383" s="1">
        <v>41971</v>
      </c>
      <c r="C383">
        <v>1366.6</v>
      </c>
    </row>
    <row r="384" spans="2:3">
      <c r="B384" s="1">
        <v>41978</v>
      </c>
      <c r="C384">
        <v>1548.6</v>
      </c>
    </row>
    <row r="385" spans="2:3">
      <c r="B385" s="1">
        <v>41985</v>
      </c>
      <c r="C385">
        <v>1518.8</v>
      </c>
    </row>
    <row r="386" spans="2:3">
      <c r="B386" s="1">
        <v>41992</v>
      </c>
      <c r="C386">
        <v>1538.7</v>
      </c>
    </row>
    <row r="387" spans="2:3">
      <c r="B387" s="1">
        <v>41998</v>
      </c>
      <c r="C387">
        <v>1164.2</v>
      </c>
    </row>
    <row r="388" spans="2:3">
      <c r="B388" s="1">
        <v>42005</v>
      </c>
      <c r="C388">
        <v>1347.6</v>
      </c>
    </row>
    <row r="389" spans="2:3">
      <c r="B389" s="1">
        <v>42013</v>
      </c>
      <c r="C389">
        <v>2271.5</v>
      </c>
    </row>
    <row r="390" spans="2:3">
      <c r="B390" s="1">
        <v>42020</v>
      </c>
      <c r="C390">
        <v>2799.3</v>
      </c>
    </row>
    <row r="391" spans="2:3">
      <c r="B391" s="1">
        <v>42027</v>
      </c>
      <c r="C391">
        <v>2572.3000000000002</v>
      </c>
    </row>
    <row r="392" spans="2:3">
      <c r="B392" s="1">
        <v>42034</v>
      </c>
      <c r="C392">
        <v>2584.8000000000002</v>
      </c>
    </row>
    <row r="393" spans="2:3">
      <c r="B393" s="1">
        <v>42041</v>
      </c>
      <c r="C393">
        <v>2291.3000000000002</v>
      </c>
    </row>
    <row r="394" spans="2:3">
      <c r="B394" s="1">
        <v>42048</v>
      </c>
      <c r="C394">
        <v>1904.2</v>
      </c>
    </row>
    <row r="395" spans="2:3">
      <c r="B395" s="1">
        <v>42055</v>
      </c>
      <c r="C395">
        <v>1703.1</v>
      </c>
    </row>
    <row r="396" spans="2:3">
      <c r="B396" s="1">
        <v>42062</v>
      </c>
      <c r="C396">
        <v>1740.3</v>
      </c>
    </row>
    <row r="397" spans="2:3">
      <c r="B397" s="1">
        <v>42069</v>
      </c>
      <c r="C397">
        <v>1685.7</v>
      </c>
    </row>
    <row r="398" spans="2:3">
      <c r="B398" s="1">
        <v>42076</v>
      </c>
      <c r="C398">
        <v>1623.6</v>
      </c>
    </row>
    <row r="399" spans="2:3">
      <c r="B399" s="1">
        <v>42083</v>
      </c>
      <c r="C399">
        <v>1860.8</v>
      </c>
    </row>
    <row r="400" spans="2:3">
      <c r="B400" s="1">
        <v>42090</v>
      </c>
      <c r="C400">
        <v>1941.6</v>
      </c>
    </row>
    <row r="401" spans="2:3">
      <c r="B401" s="1">
        <v>42097</v>
      </c>
      <c r="C401">
        <v>1854.7</v>
      </c>
    </row>
    <row r="402" spans="2:3">
      <c r="B402" s="1">
        <v>42104</v>
      </c>
      <c r="C402">
        <v>1804.6</v>
      </c>
    </row>
    <row r="403" spans="2:3">
      <c r="B403" s="1">
        <v>42111</v>
      </c>
      <c r="C403">
        <v>1817</v>
      </c>
    </row>
    <row r="404" spans="2:3">
      <c r="B404" s="1">
        <v>42118</v>
      </c>
      <c r="C404">
        <v>1723</v>
      </c>
    </row>
    <row r="405" spans="2:3">
      <c r="B405" s="1">
        <v>42125</v>
      </c>
      <c r="C405">
        <v>1559.4</v>
      </c>
    </row>
    <row r="406" spans="2:3">
      <c r="B406" s="1">
        <v>42132</v>
      </c>
      <c r="C406">
        <v>1477.8</v>
      </c>
    </row>
    <row r="407" spans="2:3">
      <c r="B407" s="1">
        <v>42139</v>
      </c>
      <c r="C407">
        <v>1448.8</v>
      </c>
    </row>
    <row r="408" spans="2:3">
      <c r="B408" s="1">
        <v>42146</v>
      </c>
      <c r="C408">
        <v>1408.1</v>
      </c>
    </row>
    <row r="409" spans="2:3">
      <c r="B409" s="1">
        <v>42153</v>
      </c>
      <c r="C409">
        <v>1233.9000000000001</v>
      </c>
    </row>
    <row r="410" spans="2:3">
      <c r="B410" s="1">
        <v>42160</v>
      </c>
      <c r="C410">
        <v>1342.4</v>
      </c>
    </row>
    <row r="411" spans="2:3">
      <c r="B411" s="1">
        <v>42167</v>
      </c>
      <c r="C411">
        <v>1273.4000000000001</v>
      </c>
    </row>
    <row r="412" spans="2:3">
      <c r="B412" s="1">
        <v>42174</v>
      </c>
      <c r="C412">
        <v>1318.3</v>
      </c>
    </row>
    <row r="413" spans="2:3">
      <c r="B413" s="1">
        <v>42181</v>
      </c>
      <c r="C413">
        <v>1246.0999999999999</v>
      </c>
    </row>
    <row r="414" spans="2:3">
      <c r="B414" s="1">
        <v>42188</v>
      </c>
      <c r="C414">
        <v>1299.9000000000001</v>
      </c>
    </row>
    <row r="415" spans="2:3">
      <c r="B415" s="1">
        <v>42195</v>
      </c>
      <c r="C415">
        <v>1332.4</v>
      </c>
    </row>
    <row r="416" spans="2:3">
      <c r="B416" s="1">
        <v>42202</v>
      </c>
      <c r="C416">
        <v>1305.5999999999999</v>
      </c>
    </row>
    <row r="417" spans="2:13">
      <c r="B417" s="1">
        <v>42209</v>
      </c>
      <c r="C417">
        <v>1339.9</v>
      </c>
      <c r="J417" s="1"/>
      <c r="K417" s="69"/>
      <c r="L417" s="69"/>
      <c r="M417" s="70"/>
    </row>
    <row r="418" spans="2:13">
      <c r="B418" s="1">
        <v>42216</v>
      </c>
      <c r="C418">
        <v>1418</v>
      </c>
    </row>
    <row r="419" spans="2:13">
      <c r="B419" s="1">
        <v>42223</v>
      </c>
      <c r="C419">
        <v>1455.2</v>
      </c>
    </row>
    <row r="420" spans="2:13">
      <c r="B420" s="1">
        <v>42230</v>
      </c>
      <c r="C420">
        <v>1561.2</v>
      </c>
    </row>
    <row r="421" spans="2:13">
      <c r="B421" s="1">
        <v>42237</v>
      </c>
      <c r="C421">
        <v>1545.5</v>
      </c>
    </row>
    <row r="422" spans="2:13">
      <c r="B422" s="1">
        <v>42244</v>
      </c>
      <c r="C422">
        <v>1857.7</v>
      </c>
    </row>
    <row r="423" spans="2:13">
      <c r="B423" s="1">
        <v>42251</v>
      </c>
      <c r="C423">
        <v>1626.9</v>
      </c>
    </row>
    <row r="424" spans="2:13">
      <c r="B424" s="1">
        <v>42258</v>
      </c>
      <c r="C424">
        <v>1473.7</v>
      </c>
    </row>
    <row r="425" spans="2:13">
      <c r="B425" s="1">
        <v>42265</v>
      </c>
      <c r="C425">
        <v>1759.9</v>
      </c>
    </row>
    <row r="426" spans="2:13">
      <c r="B426" s="1">
        <v>42272</v>
      </c>
      <c r="C426">
        <v>1589.5</v>
      </c>
    </row>
    <row r="427" spans="2:13">
      <c r="B427" s="1">
        <v>42279</v>
      </c>
      <c r="C427">
        <v>2071.6</v>
      </c>
    </row>
    <row r="428" spans="2:13">
      <c r="B428" s="1">
        <v>42286</v>
      </c>
      <c r="C428">
        <v>1534.5</v>
      </c>
    </row>
    <row r="429" spans="2:13">
      <c r="B429" s="1">
        <v>42293</v>
      </c>
      <c r="C429">
        <v>1575.3</v>
      </c>
    </row>
    <row r="430" spans="2:13">
      <c r="B430" s="1">
        <v>42300</v>
      </c>
      <c r="C430">
        <v>1544.8</v>
      </c>
    </row>
    <row r="431" spans="2:13">
      <c r="B431" s="1">
        <v>42307</v>
      </c>
      <c r="C431">
        <v>1548.6</v>
      </c>
    </row>
    <row r="432" spans="2:13">
      <c r="B432" s="1">
        <v>42314</v>
      </c>
      <c r="C432">
        <v>1514.1</v>
      </c>
    </row>
    <row r="433" spans="2:3">
      <c r="B433" s="1">
        <v>42321</v>
      </c>
      <c r="C433">
        <v>1528.7</v>
      </c>
    </row>
    <row r="434" spans="2:3">
      <c r="B434" s="1">
        <v>42328</v>
      </c>
      <c r="C434">
        <v>1489</v>
      </c>
    </row>
    <row r="435" spans="2:3">
      <c r="B435" s="1">
        <v>42334</v>
      </c>
      <c r="C435">
        <v>1410.2</v>
      </c>
    </row>
    <row r="436" spans="2:3">
      <c r="B436" s="1">
        <v>42342</v>
      </c>
      <c r="C436">
        <v>1451.5</v>
      </c>
    </row>
    <row r="437" spans="2:3">
      <c r="B437" s="1">
        <v>42349</v>
      </c>
      <c r="C437">
        <v>1470.6</v>
      </c>
    </row>
    <row r="438" spans="2:3">
      <c r="B438" s="1">
        <v>42356</v>
      </c>
      <c r="C438">
        <v>1667.4</v>
      </c>
    </row>
    <row r="439" spans="2:3">
      <c r="B439" s="1">
        <v>42363</v>
      </c>
      <c r="C439">
        <v>1174.0999999999999</v>
      </c>
    </row>
    <row r="440" spans="2:3">
      <c r="B440" s="1">
        <v>42370</v>
      </c>
      <c r="C440">
        <v>1020.5</v>
      </c>
    </row>
    <row r="441" spans="2:3">
      <c r="B441" s="1">
        <v>42377</v>
      </c>
      <c r="C441">
        <v>1273.8</v>
      </c>
    </row>
    <row r="442" spans="2:3">
      <c r="B442" s="1">
        <v>42384</v>
      </c>
      <c r="C442">
        <v>1544.6</v>
      </c>
    </row>
    <row r="443" spans="2:3">
      <c r="B443" s="1">
        <v>42391</v>
      </c>
      <c r="C443">
        <v>1734.4</v>
      </c>
    </row>
    <row r="444" spans="2:3">
      <c r="B444" s="1">
        <v>42398</v>
      </c>
      <c r="C444">
        <v>1726.6</v>
      </c>
    </row>
    <row r="445" spans="2:3">
      <c r="B445" s="1">
        <v>42405</v>
      </c>
      <c r="C445">
        <v>2015.4</v>
      </c>
    </row>
    <row r="446" spans="2:3">
      <c r="B446" s="1">
        <v>42412</v>
      </c>
      <c r="C446">
        <v>2341.5</v>
      </c>
    </row>
    <row r="447" spans="2:3">
      <c r="B447" s="1">
        <v>42419</v>
      </c>
      <c r="C447">
        <v>2099.9</v>
      </c>
    </row>
    <row r="448" spans="2:3">
      <c r="B448" s="1">
        <v>42426</v>
      </c>
      <c r="C448">
        <v>1992.9</v>
      </c>
    </row>
    <row r="449" spans="2:3">
      <c r="B449" s="1">
        <v>42433</v>
      </c>
      <c r="C449">
        <v>1928</v>
      </c>
    </row>
    <row r="450" spans="2:3">
      <c r="B450" s="1">
        <v>42440</v>
      </c>
      <c r="C450">
        <v>1841.2</v>
      </c>
    </row>
    <row r="451" spans="2:3">
      <c r="B451" s="1">
        <v>42447</v>
      </c>
      <c r="C451">
        <v>1743.3</v>
      </c>
    </row>
    <row r="452" spans="2:3">
      <c r="B452" s="1">
        <v>42454</v>
      </c>
      <c r="C452">
        <v>1671.6</v>
      </c>
    </row>
    <row r="453" spans="2:3">
      <c r="B453" s="1">
        <v>42461</v>
      </c>
      <c r="C453">
        <v>1815.4</v>
      </c>
    </row>
    <row r="454" spans="2:3">
      <c r="B454" s="1">
        <v>42468</v>
      </c>
      <c r="C454">
        <v>2061.1</v>
      </c>
    </row>
    <row r="455" spans="2:3">
      <c r="B455" s="1">
        <v>42475</v>
      </c>
      <c r="C455">
        <v>2072.6</v>
      </c>
    </row>
    <row r="456" spans="2:3">
      <c r="B456" s="1">
        <v>42482</v>
      </c>
      <c r="C456">
        <v>1910.1</v>
      </c>
    </row>
    <row r="457" spans="2:3">
      <c r="B457" s="1">
        <v>42489</v>
      </c>
      <c r="C457">
        <v>1791.9</v>
      </c>
    </row>
    <row r="458" spans="2:3">
      <c r="B458" s="1">
        <v>42496</v>
      </c>
      <c r="C458">
        <v>1812</v>
      </c>
    </row>
    <row r="459" spans="2:3">
      <c r="B459" s="1">
        <v>42503</v>
      </c>
      <c r="C459">
        <v>1849.7</v>
      </c>
    </row>
    <row r="460" spans="2:3">
      <c r="B460" s="1">
        <v>42510</v>
      </c>
      <c r="C460">
        <v>1866.3</v>
      </c>
    </row>
    <row r="461" spans="2:3">
      <c r="B461" s="1">
        <v>42517</v>
      </c>
      <c r="C461">
        <v>1770.1</v>
      </c>
    </row>
    <row r="462" spans="2:3">
      <c r="B462" s="1">
        <v>42524</v>
      </c>
      <c r="C462">
        <v>1922.8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32"/>
  <sheetViews>
    <sheetView workbookViewId="0">
      <selection activeCell="C10" sqref="C10"/>
    </sheetView>
  </sheetViews>
  <sheetFormatPr defaultRowHeight="12.75"/>
  <cols>
    <col min="1" max="1" width="15.140625" style="6" bestFit="1" customWidth="1"/>
    <col min="2" max="2" width="10.42578125" style="6" bestFit="1" customWidth="1"/>
    <col min="3" max="16384" width="9.140625" style="6"/>
  </cols>
  <sheetData>
    <row r="1" spans="1:16">
      <c r="F1" s="6" t="s">
        <v>26</v>
      </c>
    </row>
    <row r="2" spans="1:16">
      <c r="B2" s="6" t="s">
        <v>35</v>
      </c>
      <c r="C2" s="6" t="s">
        <v>36</v>
      </c>
      <c r="F2" s="6" t="s">
        <v>37</v>
      </c>
      <c r="G2" s="6" t="s">
        <v>38</v>
      </c>
      <c r="H2" s="6" t="s">
        <v>39</v>
      </c>
      <c r="I2" s="6" t="s">
        <v>40</v>
      </c>
      <c r="J2" s="6" t="s">
        <v>41</v>
      </c>
      <c r="K2" s="6" t="s">
        <v>42</v>
      </c>
      <c r="L2" s="6" t="s">
        <v>43</v>
      </c>
      <c r="M2" s="6" t="s">
        <v>44</v>
      </c>
      <c r="N2" s="6" t="s">
        <v>45</v>
      </c>
      <c r="O2" s="6" t="s">
        <v>46</v>
      </c>
      <c r="P2" s="6" t="s">
        <v>47</v>
      </c>
    </row>
    <row r="3" spans="1:16">
      <c r="B3" s="18">
        <v>42544</v>
      </c>
      <c r="C3" s="35">
        <v>3.46</v>
      </c>
      <c r="F3" s="31">
        <v>0.99534271101835481</v>
      </c>
      <c r="G3" s="31">
        <v>0.99309084338869724</v>
      </c>
      <c r="H3" s="31">
        <v>0.98032470607620636</v>
      </c>
      <c r="I3" s="31">
        <v>0.92054525386511077</v>
      </c>
      <c r="J3" s="31">
        <v>0.86780305961886917</v>
      </c>
      <c r="K3" s="31">
        <v>0.82400633293325309</v>
      </c>
      <c r="L3" s="31">
        <v>0.78087106650525595</v>
      </c>
      <c r="M3" s="31">
        <v>0.71705357610031506</v>
      </c>
      <c r="N3" s="31">
        <v>0.62254060055954819</v>
      </c>
      <c r="O3" s="31">
        <v>0.55057294746074981</v>
      </c>
      <c r="P3" s="31">
        <v>0.4815257429408441</v>
      </c>
    </row>
    <row r="5" spans="1:16">
      <c r="B5" s="18">
        <f>CurrentMtgRatesDataTable82523[AsOfDate]</f>
        <v>42544</v>
      </c>
      <c r="C5" s="6">
        <f>CurrentMtgRatesDataTable82523[SeriesNumValue]</f>
        <v>3.46</v>
      </c>
    </row>
    <row r="6" spans="1:16">
      <c r="F6" s="6" t="s">
        <v>27</v>
      </c>
    </row>
    <row r="7" spans="1:16">
      <c r="F7" s="6" t="s">
        <v>37</v>
      </c>
      <c r="G7" s="6" t="s">
        <v>38</v>
      </c>
      <c r="H7" s="6" t="s">
        <v>39</v>
      </c>
      <c r="I7" s="6" t="s">
        <v>40</v>
      </c>
      <c r="J7" s="6" t="s">
        <v>41</v>
      </c>
      <c r="K7" s="6" t="s">
        <v>42</v>
      </c>
      <c r="L7" s="6" t="s">
        <v>43</v>
      </c>
      <c r="M7" s="6" t="s">
        <v>44</v>
      </c>
      <c r="N7" s="6" t="s">
        <v>45</v>
      </c>
      <c r="O7" s="6" t="s">
        <v>46</v>
      </c>
      <c r="P7" s="6" t="s">
        <v>47</v>
      </c>
    </row>
    <row r="8" spans="1:16">
      <c r="A8" s="6" t="s">
        <v>97</v>
      </c>
      <c r="B8" s="80" t="str">
        <f>TEXT(CurrentCloseDate,"yyyy-mm-dd")</f>
        <v>2016-06-29</v>
      </c>
      <c r="C8" s="6">
        <f>VLOOKUP(B8,'Current Coupon'!S:T,2,0)</f>
        <v>2.2865529695176998</v>
      </c>
      <c r="F8" s="6">
        <v>0.95796090605897977</v>
      </c>
      <c r="G8" s="6">
        <v>0.9480466283384581</v>
      </c>
      <c r="H8" s="6">
        <v>0.9204968692348956</v>
      </c>
      <c r="I8" s="6">
        <v>0.88627091507150169</v>
      </c>
      <c r="J8" s="6">
        <v>0.82971999708177202</v>
      </c>
      <c r="K8" s="6">
        <v>0.76820710968905215</v>
      </c>
      <c r="L8" s="6">
        <v>0.73025178030643412</v>
      </c>
      <c r="M8" s="6">
        <v>0.65144160982525479</v>
      </c>
      <c r="N8" s="6">
        <v>0.59174042770958979</v>
      </c>
      <c r="O8" s="6">
        <v>0.51802081489105689</v>
      </c>
      <c r="P8" s="6">
        <v>0.44995203652408217</v>
      </c>
    </row>
    <row r="9" spans="1:16">
      <c r="A9" s="6" t="s">
        <v>83</v>
      </c>
      <c r="B9" s="6" t="str">
        <f>TEXT(B5-1,"yyyy-mm-dd")</f>
        <v>2016-06-22</v>
      </c>
      <c r="C9" s="6">
        <f>VLOOKUP(B9,'Current Coupon'!A:M,11,0)</f>
        <v>0.97208037975313788</v>
      </c>
    </row>
    <row r="10" spans="1:16">
      <c r="A10" s="6" t="s">
        <v>98</v>
      </c>
      <c r="C10" s="6">
        <f>C8+C9</f>
        <v>3.2586333492708377</v>
      </c>
      <c r="F10" s="6" t="s">
        <v>71</v>
      </c>
    </row>
    <row r="11" spans="1:16">
      <c r="F11" s="6" t="s">
        <v>37</v>
      </c>
      <c r="G11" s="6" t="s">
        <v>38</v>
      </c>
      <c r="H11" s="6" t="s">
        <v>39</v>
      </c>
      <c r="I11" s="6" t="s">
        <v>40</v>
      </c>
      <c r="J11" s="6" t="s">
        <v>41</v>
      </c>
      <c r="K11" s="6" t="s">
        <v>42</v>
      </c>
      <c r="L11" s="6" t="s">
        <v>43</v>
      </c>
      <c r="M11" s="6" t="s">
        <v>44</v>
      </c>
      <c r="N11" s="6" t="s">
        <v>45</v>
      </c>
      <c r="O11" s="6" t="s">
        <v>46</v>
      </c>
      <c r="P11" s="6" t="s">
        <v>47</v>
      </c>
    </row>
    <row r="12" spans="1:16">
      <c r="F12" s="6">
        <v>0.95796090605897977</v>
      </c>
      <c r="G12" s="6">
        <v>0.9480466283384581</v>
      </c>
      <c r="H12" s="6">
        <v>0.9204968692348956</v>
      </c>
      <c r="I12" s="6">
        <v>0.88627091507150169</v>
      </c>
      <c r="J12" s="6">
        <v>0.82971999708177202</v>
      </c>
      <c r="K12" s="6">
        <v>0.37030553917620573</v>
      </c>
      <c r="L12" s="6">
        <v>0.31661918314072179</v>
      </c>
      <c r="M12" s="6">
        <v>0</v>
      </c>
      <c r="N12" s="6">
        <v>0</v>
      </c>
      <c r="O12" s="6">
        <v>0</v>
      </c>
      <c r="P12" s="6">
        <v>0</v>
      </c>
    </row>
    <row r="15" spans="1:16">
      <c r="E15" s="29"/>
      <c r="F15" s="29" t="s">
        <v>52</v>
      </c>
      <c r="G15" s="29" t="s">
        <v>51</v>
      </c>
      <c r="H15" s="29" t="s">
        <v>50</v>
      </c>
      <c r="I15" s="29" t="s">
        <v>49</v>
      </c>
      <c r="J15" s="29" t="s">
        <v>48</v>
      </c>
      <c r="K15" s="38">
        <f>ImpliedRate</f>
        <v>3.2586333492708377</v>
      </c>
      <c r="L15" s="29" t="s">
        <v>53</v>
      </c>
      <c r="M15" s="29" t="s">
        <v>54</v>
      </c>
      <c r="N15" s="29" t="s">
        <v>55</v>
      </c>
      <c r="O15" s="29" t="s">
        <v>56</v>
      </c>
      <c r="P15" s="29" t="s">
        <v>57</v>
      </c>
    </row>
    <row r="16" spans="1:16">
      <c r="E16" s="81" t="s">
        <v>28</v>
      </c>
      <c r="F16" s="82">
        <f>CurrentMtgRatesDataTable825234[refinancible1]</f>
        <v>0.99534271101835481</v>
      </c>
      <c r="G16" s="82">
        <f>CurrentMtgRatesDataTable825234[refinancible2]</f>
        <v>0.99309084338869724</v>
      </c>
      <c r="H16" s="82">
        <f>CurrentMtgRatesDataTable825234[refinancible3]</f>
        <v>0.98032470607620636</v>
      </c>
      <c r="I16" s="82">
        <f>CurrentMtgRatesDataTable825234[refinancible4]</f>
        <v>0.92054525386511077</v>
      </c>
      <c r="J16" s="82">
        <f>CurrentMtgRatesDataTable825234[refinancible5]</f>
        <v>0.86780305961886917</v>
      </c>
      <c r="K16" s="82">
        <f>CurrentMtgRatesDataTable825234[refinancible6]</f>
        <v>0.82400633293325309</v>
      </c>
      <c r="L16" s="82">
        <f>CurrentMtgRatesDataTable825234[refinancible7]</f>
        <v>0.78087106650525595</v>
      </c>
      <c r="M16" s="82">
        <f>CurrentMtgRatesDataTable825234[refinancible8]</f>
        <v>0.71705357610031506</v>
      </c>
      <c r="N16" s="82">
        <f>CurrentMtgRatesDataTable825234[refinancible9]</f>
        <v>0.62254060055954819</v>
      </c>
      <c r="O16" s="82">
        <f>CurrentMtgRatesDataTable825234[refinancible10]</f>
        <v>0.55057294746074981</v>
      </c>
      <c r="P16" s="82">
        <f>CurrentMtgRatesDataTable825234[refinancible11]</f>
        <v>0.4815257429408441</v>
      </c>
    </row>
    <row r="17" spans="5:16">
      <c r="E17" s="81" t="s">
        <v>25</v>
      </c>
      <c r="F17" s="82">
        <f>CurrentMtgRatesDataTable8252346[refinancible1]</f>
        <v>0.95796090605897977</v>
      </c>
      <c r="G17" s="82">
        <f>CurrentMtgRatesDataTable8252346[refinancible2]</f>
        <v>0.9480466283384581</v>
      </c>
      <c r="H17" s="82">
        <f>CurrentMtgRatesDataTable8252346[refinancible3]</f>
        <v>0.9204968692348956</v>
      </c>
      <c r="I17" s="82">
        <f>CurrentMtgRatesDataTable8252346[refinancible4]</f>
        <v>0.88627091507150169</v>
      </c>
      <c r="J17" s="82">
        <f>CurrentMtgRatesDataTable8252346[refinancible5]</f>
        <v>0.82971999708177202</v>
      </c>
      <c r="K17" s="82">
        <f>CurrentMtgRatesDataTable8252346[refinancible6]</f>
        <v>0.76820710968905215</v>
      </c>
      <c r="L17" s="82">
        <f>CurrentMtgRatesDataTable8252346[refinancible7]</f>
        <v>0.73025178030643412</v>
      </c>
      <c r="M17" s="82">
        <f>CurrentMtgRatesDataTable8252346[refinancible8]</f>
        <v>0.65144160982525479</v>
      </c>
      <c r="N17" s="82">
        <f>CurrentMtgRatesDataTable8252346[refinancible9]</f>
        <v>0.59174042770958979</v>
      </c>
      <c r="O17" s="82">
        <f>CurrentMtgRatesDataTable8252346[refinancible10]</f>
        <v>0.51802081489105689</v>
      </c>
      <c r="P17" s="82">
        <f>CurrentMtgRatesDataTable8252346[refinancible11]</f>
        <v>0.44995203652408217</v>
      </c>
    </row>
    <row r="18" spans="5:16">
      <c r="E18" s="81" t="s">
        <v>70</v>
      </c>
      <c r="F18" s="82">
        <f>CurrentMtgRatesDataTable82523468[refinancible1]</f>
        <v>0.95796090605897977</v>
      </c>
      <c r="G18" s="82">
        <f>CurrentMtgRatesDataTable82523468[refinancible2]</f>
        <v>0.9480466283384581</v>
      </c>
      <c r="H18" s="82">
        <f>CurrentMtgRatesDataTable82523468[refinancible3]</f>
        <v>0.9204968692348956</v>
      </c>
      <c r="I18" s="82">
        <f>CurrentMtgRatesDataTable82523468[refinancible4]</f>
        <v>0.88627091507150169</v>
      </c>
      <c r="J18" s="82">
        <f>CurrentMtgRatesDataTable82523468[refinancible5]</f>
        <v>0.82971999708177202</v>
      </c>
      <c r="K18" s="82">
        <f>CurrentMtgRatesDataTable82523468[refinancible6]</f>
        <v>0.37030553917620573</v>
      </c>
      <c r="L18" s="82">
        <f>CurrentMtgRatesDataTable82523468[refinancible7]</f>
        <v>0.31661918314072179</v>
      </c>
      <c r="M18" s="82">
        <f>CurrentMtgRatesDataTable82523468[refinancible8]</f>
        <v>0</v>
      </c>
      <c r="N18" s="82">
        <f>CurrentMtgRatesDataTable82523468[refinancible9]</f>
        <v>0</v>
      </c>
      <c r="O18" s="82">
        <f>CurrentMtgRatesDataTable82523468[refinancible10]</f>
        <v>0</v>
      </c>
      <c r="P18" s="82">
        <f>CurrentMtgRatesDataTable82523468[refinancible11]</f>
        <v>0</v>
      </c>
    </row>
    <row r="30" spans="5:16" ht="15">
      <c r="F30" t="s">
        <v>105</v>
      </c>
      <c r="G30"/>
      <c r="H30"/>
      <c r="I30"/>
      <c r="J30"/>
      <c r="K30"/>
      <c r="L30"/>
      <c r="M30"/>
      <c r="N30"/>
      <c r="O30"/>
      <c r="P30"/>
    </row>
    <row r="31" spans="5:16">
      <c r="F31" s="6" t="s">
        <v>37</v>
      </c>
      <c r="G31" s="6" t="s">
        <v>38</v>
      </c>
      <c r="H31" s="6" t="s">
        <v>39</v>
      </c>
      <c r="I31" s="6" t="s">
        <v>40</v>
      </c>
      <c r="J31" s="6" t="s">
        <v>41</v>
      </c>
      <c r="K31" s="6" t="s">
        <v>42</v>
      </c>
      <c r="L31" s="6" t="s">
        <v>43</v>
      </c>
      <c r="M31" s="6" t="s">
        <v>44</v>
      </c>
      <c r="N31" s="6" t="s">
        <v>45</v>
      </c>
      <c r="O31" s="6" t="s">
        <v>46</v>
      </c>
      <c r="P31" s="6" t="s">
        <v>47</v>
      </c>
    </row>
    <row r="32" spans="5:16" ht="15">
      <c r="F32">
        <v>0.95796090605897977</v>
      </c>
      <c r="G32">
        <v>0.9480466283384581</v>
      </c>
      <c r="H32">
        <v>0.9204968692348956</v>
      </c>
      <c r="I32">
        <v>0.88627091507150169</v>
      </c>
      <c r="J32">
        <v>0.82971999708177202</v>
      </c>
      <c r="K32">
        <v>0.76820710968905215</v>
      </c>
      <c r="L32">
        <v>0.34525347919952892</v>
      </c>
      <c r="M32">
        <v>0.28651466612161136</v>
      </c>
      <c r="N32">
        <v>5.7152703046920725E-3</v>
      </c>
      <c r="O32">
        <v>9.9844955792231099E-4</v>
      </c>
      <c r="P32">
        <v>5.2578318768363853E-4</v>
      </c>
    </row>
  </sheetData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V151"/>
  <sheetViews>
    <sheetView workbookViewId="0">
      <selection activeCell="S4" sqref="S4:U8"/>
    </sheetView>
  </sheetViews>
  <sheetFormatPr defaultRowHeight="12.75"/>
  <cols>
    <col min="1" max="1" width="16.7109375" style="74" customWidth="1"/>
    <col min="2" max="2" width="10.140625" style="74" bestFit="1" customWidth="1"/>
    <col min="3" max="6" width="10.140625" style="74" customWidth="1"/>
    <col min="7" max="7" width="14.140625" style="74" bestFit="1" customWidth="1"/>
    <col min="8" max="8" width="13.85546875" style="74" bestFit="1" customWidth="1"/>
    <col min="9" max="9" width="21.85546875" style="74" bestFit="1" customWidth="1"/>
    <col min="10" max="10" width="16.7109375" style="74" bestFit="1" customWidth="1"/>
    <col min="11" max="11" width="15.7109375" style="74" bestFit="1" customWidth="1"/>
    <col min="12" max="12" width="13.85546875" style="74" bestFit="1" customWidth="1"/>
    <col min="13" max="13" width="22" style="74" bestFit="1" customWidth="1"/>
    <col min="14" max="14" width="13.85546875" style="74" bestFit="1" customWidth="1"/>
    <col min="15" max="15" width="12.5703125" style="74" bestFit="1" customWidth="1"/>
    <col min="16" max="16" width="12" style="74" bestFit="1" customWidth="1"/>
    <col min="17" max="17" width="15.140625" style="74" bestFit="1" customWidth="1"/>
    <col min="18" max="18" width="15.140625" style="74" customWidth="1"/>
    <col min="19" max="19" width="14.140625" style="74" bestFit="1" customWidth="1"/>
    <col min="20" max="20" width="14.140625" style="74" customWidth="1"/>
    <col min="21" max="21" width="12" style="74" bestFit="1" customWidth="1"/>
    <col min="22" max="22" width="12" style="74" customWidth="1"/>
    <col min="23" max="23" width="12" style="74" bestFit="1" customWidth="1"/>
    <col min="24" max="24" width="16" style="74" bestFit="1" customWidth="1"/>
    <col min="25" max="25" width="14.7109375" style="74" bestFit="1" customWidth="1"/>
    <col min="26" max="26" width="16" style="74" bestFit="1" customWidth="1"/>
    <col min="27" max="27" width="17.5703125" style="74" bestFit="1" customWidth="1"/>
    <col min="28" max="28" width="12.140625" style="74" bestFit="1" customWidth="1"/>
    <col min="29" max="29" width="8.5703125" style="74" bestFit="1" customWidth="1"/>
    <col min="30" max="30" width="15.28515625" style="74" customWidth="1"/>
    <col min="31" max="31" width="11.7109375" style="74" bestFit="1" customWidth="1"/>
    <col min="32" max="32" width="10.28515625" style="74" bestFit="1" customWidth="1"/>
    <col min="33" max="33" width="12" style="74" bestFit="1" customWidth="1"/>
    <col min="34" max="34" width="14.42578125" style="74" customWidth="1"/>
    <col min="35" max="35" width="18.5703125" style="74" bestFit="1" customWidth="1"/>
    <col min="36" max="36" width="10.7109375" style="74" bestFit="1" customWidth="1"/>
    <col min="37" max="37" width="16.42578125" style="74" bestFit="1" customWidth="1"/>
    <col min="38" max="38" width="16.140625" style="74" bestFit="1" customWidth="1"/>
    <col min="39" max="39" width="14.42578125" style="74" customWidth="1"/>
    <col min="40" max="40" width="12.28515625" style="74" customWidth="1"/>
    <col min="41" max="16384" width="9.140625" style="74"/>
  </cols>
  <sheetData>
    <row r="3" spans="1:22" ht="23.25">
      <c r="A3" s="73" t="s">
        <v>94</v>
      </c>
      <c r="U3" s="73" t="s">
        <v>94</v>
      </c>
      <c r="V3" s="73"/>
    </row>
    <row r="4" spans="1:22" s="75" customFormat="1">
      <c r="A4" s="75" t="s">
        <v>35</v>
      </c>
      <c r="B4" s="75" t="s">
        <v>36</v>
      </c>
      <c r="C4" s="75" t="s">
        <v>76</v>
      </c>
      <c r="D4" s="75" t="s">
        <v>77</v>
      </c>
      <c r="E4" s="75" t="s">
        <v>78</v>
      </c>
      <c r="F4" s="75" t="s">
        <v>79</v>
      </c>
      <c r="G4" s="75" t="s">
        <v>80</v>
      </c>
      <c r="H4" s="75" t="s">
        <v>81</v>
      </c>
      <c r="I4" s="75" t="s">
        <v>82</v>
      </c>
      <c r="J4" s="75" t="s">
        <v>83</v>
      </c>
      <c r="K4" s="75" t="s">
        <v>84</v>
      </c>
      <c r="L4" s="75" t="s">
        <v>85</v>
      </c>
      <c r="M4" s="75" t="s">
        <v>86</v>
      </c>
      <c r="S4" s="75" t="s">
        <v>35</v>
      </c>
      <c r="T4" s="75" t="s">
        <v>36</v>
      </c>
      <c r="U4" s="75" t="s">
        <v>95</v>
      </c>
    </row>
    <row r="5" spans="1:22" s="78" customFormat="1">
      <c r="A5" s="76" t="s">
        <v>107</v>
      </c>
      <c r="B5" s="77">
        <v>2.6083213948699102</v>
      </c>
      <c r="C5" s="77">
        <v>3.51</v>
      </c>
      <c r="D5" s="78">
        <f t="shared" ref="D5:D41" si="0">WEEKDAY(A5,14)</f>
        <v>5</v>
      </c>
      <c r="E5" s="78">
        <f t="shared" ref="E5:E41" si="1">VLOOKUP(D5,P$5:Q$11,2,FALSE)</f>
        <v>0.2</v>
      </c>
      <c r="F5" s="78">
        <f t="shared" ref="F5:F41" si="2">IF(AND(D5&gt;D4,F4&lt;6),F4+1,1)</f>
        <v>1</v>
      </c>
      <c r="G5" s="78">
        <f t="shared" ref="G5:G41" si="3">IF(F5&gt;F4,G4+B5*E5,B5*E5)</f>
        <v>0.52166427897398204</v>
      </c>
      <c r="H5" s="78">
        <f t="shared" ref="H5:H41" si="4">IF(AND(F5&lt;6,F5&gt;F4),E5+H4,E5)</f>
        <v>0.2</v>
      </c>
      <c r="I5" s="78">
        <f t="shared" ref="I5:I41" si="5">IF(F5&gt;F6,G5/H5,0)</f>
        <v>0</v>
      </c>
      <c r="J5" s="77">
        <f>IF(CurrentMtgRatesDataTable811[[#This Row],[WA CC]]&lt;&gt;0,C4-CurrentMtgRatesDataTable811[[#This Row],[WA CC]],0)</f>
        <v>0</v>
      </c>
      <c r="K5" s="77" t="str">
        <f>IF(CurrentMtgRatesDataTable811[[#This Row],[Servicing Spread]]&lt;=0,K4,CurrentMtgRatesDataTable811[[#This Row],[Servicing Spread]])</f>
        <v>Servicing Spread Non-Zero</v>
      </c>
      <c r="L5" s="77" t="e">
        <f>CurrentMtgRatesDataTable811[[#This Row],[Servicing Spread Non-Zero]]-K4</f>
        <v>#VALUE!</v>
      </c>
      <c r="M5" s="77" t="e">
        <f>IF(I4&lt;&gt;0,CurrentMtgRatesDataTable811[[#This Row],[Rate]]-C4,M4)</f>
        <v>#VALUE!</v>
      </c>
      <c r="O5" s="78" t="s">
        <v>87</v>
      </c>
      <c r="P5" s="78">
        <v>5</v>
      </c>
      <c r="Q5" s="78">
        <v>0.2</v>
      </c>
      <c r="S5" s="76" t="s">
        <v>145</v>
      </c>
      <c r="T5" s="77">
        <v>2.5328661525509899</v>
      </c>
      <c r="U5" s="77" t="s">
        <v>96</v>
      </c>
    </row>
    <row r="6" spans="1:22" s="78" customFormat="1">
      <c r="A6" s="76" t="s">
        <v>108</v>
      </c>
      <c r="B6" s="6">
        <v>2.5475265739167301</v>
      </c>
      <c r="C6" s="6">
        <v>3.51</v>
      </c>
      <c r="D6" s="78">
        <f t="shared" si="0"/>
        <v>6</v>
      </c>
      <c r="E6" s="78">
        <f t="shared" si="1"/>
        <v>0.2</v>
      </c>
      <c r="F6" s="78">
        <f t="shared" si="2"/>
        <v>2</v>
      </c>
      <c r="G6" s="78">
        <f t="shared" si="3"/>
        <v>1.031169593757328</v>
      </c>
      <c r="H6" s="78">
        <f t="shared" si="4"/>
        <v>0.4</v>
      </c>
      <c r="I6" s="78">
        <f t="shared" si="5"/>
        <v>0</v>
      </c>
      <c r="J6" s="77">
        <f>IF(CurrentMtgRatesDataTable811[[#This Row],[WA CC]]&lt;&gt;0,C5-CurrentMtgRatesDataTable811[[#This Row],[WA CC]],0)</f>
        <v>0</v>
      </c>
      <c r="K6" s="77" t="str">
        <f>IF(CurrentMtgRatesDataTable811[[#This Row],[Servicing Spread]]&lt;=0,K5,CurrentMtgRatesDataTable811[[#This Row],[Servicing Spread]])</f>
        <v>Servicing Spread Non-Zero</v>
      </c>
      <c r="L6" s="77" t="e">
        <f>CurrentMtgRatesDataTable811[[#This Row],[Servicing Spread Non-Zero]]-K5</f>
        <v>#VALUE!</v>
      </c>
      <c r="M6" s="77" t="e">
        <f>IF(I5&lt;&gt;0,CurrentMtgRatesDataTable811[[#This Row],[Rate]]-C5,M5)</f>
        <v>#VALUE!</v>
      </c>
      <c r="O6" s="78" t="s">
        <v>88</v>
      </c>
      <c r="P6" s="78">
        <v>6</v>
      </c>
      <c r="Q6" s="78">
        <v>0.2</v>
      </c>
      <c r="S6" s="125" t="s">
        <v>146</v>
      </c>
      <c r="T6" s="118">
        <v>2.42238784637689</v>
      </c>
      <c r="U6" s="118" t="s">
        <v>96</v>
      </c>
    </row>
    <row r="7" spans="1:22" s="78" customFormat="1">
      <c r="A7" s="76" t="s">
        <v>109</v>
      </c>
      <c r="B7" s="6">
        <v>2.55214527077672</v>
      </c>
      <c r="C7" s="6">
        <v>3.51</v>
      </c>
      <c r="D7" s="78">
        <f t="shared" si="0"/>
        <v>7</v>
      </c>
      <c r="E7" s="78">
        <f t="shared" si="1"/>
        <v>0.2</v>
      </c>
      <c r="F7" s="78">
        <f t="shared" si="2"/>
        <v>3</v>
      </c>
      <c r="G7" s="78">
        <f t="shared" si="3"/>
        <v>1.541598647912672</v>
      </c>
      <c r="H7" s="78">
        <f t="shared" si="4"/>
        <v>0.60000000000000009</v>
      </c>
      <c r="I7" s="78">
        <f t="shared" si="5"/>
        <v>2.5693310798544529</v>
      </c>
      <c r="J7" s="77">
        <f>IF(CurrentMtgRatesDataTable811[[#This Row],[WA CC]]&lt;&gt;0,C6-CurrentMtgRatesDataTable811[[#This Row],[WA CC]],0)</f>
        <v>0.94066892014554693</v>
      </c>
      <c r="K7" s="77">
        <f>IF(CurrentMtgRatesDataTable811[[#This Row],[Servicing Spread]]&lt;=0,K6,CurrentMtgRatesDataTable811[[#This Row],[Servicing Spread]])</f>
        <v>0.94066892014554693</v>
      </c>
      <c r="L7" s="77" t="e">
        <f>CurrentMtgRatesDataTable811[[#This Row],[Servicing Spread Non-Zero]]-K6</f>
        <v>#VALUE!</v>
      </c>
      <c r="M7" s="77" t="e">
        <f>IF(I6&lt;&gt;0,CurrentMtgRatesDataTable811[[#This Row],[Rate]]-C6,M6)</f>
        <v>#VALUE!</v>
      </c>
      <c r="O7" s="78" t="s">
        <v>89</v>
      </c>
      <c r="P7" s="78">
        <v>7</v>
      </c>
      <c r="Q7" s="78">
        <v>0.2</v>
      </c>
      <c r="S7" s="125" t="s">
        <v>147</v>
      </c>
      <c r="T7" s="118">
        <v>2.28975271762293</v>
      </c>
      <c r="U7" s="118" t="s">
        <v>96</v>
      </c>
    </row>
    <row r="8" spans="1:22" s="78" customFormat="1">
      <c r="A8" s="76" t="s">
        <v>110</v>
      </c>
      <c r="B8" s="6">
        <v>2.5164663859594998</v>
      </c>
      <c r="C8" s="6">
        <v>3.4449999999999998</v>
      </c>
      <c r="D8" s="78">
        <f t="shared" si="0"/>
        <v>1</v>
      </c>
      <c r="E8" s="78">
        <f t="shared" si="1"/>
        <v>0.2</v>
      </c>
      <c r="F8" s="78">
        <f t="shared" si="2"/>
        <v>1</v>
      </c>
      <c r="G8" s="78">
        <f t="shared" si="3"/>
        <v>0.50329327719189998</v>
      </c>
      <c r="H8" s="78">
        <f t="shared" si="4"/>
        <v>0.2</v>
      </c>
      <c r="I8" s="78">
        <f t="shared" si="5"/>
        <v>0</v>
      </c>
      <c r="J8" s="77">
        <f>IF(CurrentMtgRatesDataTable811[[#This Row],[WA CC]]&lt;&gt;0,C7-CurrentMtgRatesDataTable811[[#This Row],[WA CC]],0)</f>
        <v>0</v>
      </c>
      <c r="K8" s="77">
        <f>IF(CurrentMtgRatesDataTable811[[#This Row],[Servicing Spread]]&lt;=0,K7,CurrentMtgRatesDataTable811[[#This Row],[Servicing Spread]])</f>
        <v>0.94066892014554693</v>
      </c>
      <c r="L8" s="77">
        <f>CurrentMtgRatesDataTable811[[#This Row],[Servicing Spread Non-Zero]]-K7</f>
        <v>0</v>
      </c>
      <c r="M8" s="77">
        <f>IF(I7&lt;&gt;0,CurrentMtgRatesDataTable811[[#This Row],[Rate]]-C7,M7)</f>
        <v>-6.4999999999999947E-2</v>
      </c>
      <c r="O8" s="78" t="s">
        <v>90</v>
      </c>
      <c r="P8" s="78">
        <v>1</v>
      </c>
      <c r="Q8" s="78">
        <v>0.2</v>
      </c>
      <c r="S8" s="125" t="s">
        <v>148</v>
      </c>
      <c r="T8" s="118">
        <v>2.2924928729045799</v>
      </c>
      <c r="U8" s="118" t="s">
        <v>96</v>
      </c>
    </row>
    <row r="9" spans="1:22" s="78" customFormat="1">
      <c r="A9" s="76" t="s">
        <v>111</v>
      </c>
      <c r="B9" s="6">
        <v>2.5169224725100698</v>
      </c>
      <c r="C9" s="6">
        <v>3.4449999999999998</v>
      </c>
      <c r="D9" s="78">
        <f t="shared" si="0"/>
        <v>2</v>
      </c>
      <c r="E9" s="78">
        <f t="shared" si="1"/>
        <v>0.2</v>
      </c>
      <c r="F9" s="78">
        <f t="shared" si="2"/>
        <v>2</v>
      </c>
      <c r="G9" s="78">
        <f t="shared" si="3"/>
        <v>1.0066777716939139</v>
      </c>
      <c r="H9" s="78">
        <f t="shared" si="4"/>
        <v>0.4</v>
      </c>
      <c r="I9" s="78">
        <f t="shared" si="5"/>
        <v>0</v>
      </c>
      <c r="J9" s="77">
        <f>IF(CurrentMtgRatesDataTable811[[#This Row],[WA CC]]&lt;&gt;0,C8-CurrentMtgRatesDataTable811[[#This Row],[WA CC]],0)</f>
        <v>0</v>
      </c>
      <c r="K9" s="77">
        <f>IF(CurrentMtgRatesDataTable811[[#This Row],[Servicing Spread]]&lt;=0,K8,CurrentMtgRatesDataTable811[[#This Row],[Servicing Spread]])</f>
        <v>0.94066892014554693</v>
      </c>
      <c r="L9" s="77">
        <f>CurrentMtgRatesDataTable811[[#This Row],[Servicing Spread Non-Zero]]-K8</f>
        <v>0</v>
      </c>
      <c r="M9" s="77">
        <f>IF(I8&lt;&gt;0,CurrentMtgRatesDataTable811[[#This Row],[Rate]]-C8,M8)</f>
        <v>-6.4999999999999947E-2</v>
      </c>
      <c r="O9" s="78" t="s">
        <v>91</v>
      </c>
      <c r="P9" s="78">
        <v>2</v>
      </c>
      <c r="Q9" s="78">
        <v>0.2</v>
      </c>
      <c r="S9" s="125" t="s">
        <v>149</v>
      </c>
      <c r="T9" s="118">
        <v>2.2865529695176998</v>
      </c>
      <c r="U9" s="118" t="s">
        <v>96</v>
      </c>
    </row>
    <row r="10" spans="1:22" s="78" customFormat="1">
      <c r="A10" s="76" t="s">
        <v>112</v>
      </c>
      <c r="B10" s="6">
        <v>2.5026837288081998</v>
      </c>
      <c r="C10" s="6">
        <v>3.4449999999999998</v>
      </c>
      <c r="D10" s="78">
        <f t="shared" si="0"/>
        <v>5</v>
      </c>
      <c r="E10" s="78">
        <f t="shared" si="1"/>
        <v>0.2</v>
      </c>
      <c r="F10" s="78">
        <f t="shared" si="2"/>
        <v>3</v>
      </c>
      <c r="G10" s="78">
        <f t="shared" si="3"/>
        <v>1.5072145174555538</v>
      </c>
      <c r="H10" s="78">
        <f t="shared" si="4"/>
        <v>0.60000000000000009</v>
      </c>
      <c r="I10" s="78">
        <f t="shared" si="5"/>
        <v>0</v>
      </c>
      <c r="J10" s="77">
        <f>IF(CurrentMtgRatesDataTable811[[#This Row],[WA CC]]&lt;&gt;0,C9-CurrentMtgRatesDataTable811[[#This Row],[WA CC]],0)</f>
        <v>0</v>
      </c>
      <c r="K10" s="77">
        <f>IF(CurrentMtgRatesDataTable811[[#This Row],[Servicing Spread]]&lt;=0,K9,CurrentMtgRatesDataTable811[[#This Row],[Servicing Spread]])</f>
        <v>0.94066892014554693</v>
      </c>
      <c r="L10" s="77">
        <f>CurrentMtgRatesDataTable811[[#This Row],[Servicing Spread Non-Zero]]-K9</f>
        <v>0</v>
      </c>
      <c r="M10" s="77">
        <f>IF(I9&lt;&gt;0,CurrentMtgRatesDataTable811[[#This Row],[Rate]]-C9,M9)</f>
        <v>-6.4999999999999947E-2</v>
      </c>
      <c r="O10" s="78" t="s">
        <v>92</v>
      </c>
      <c r="P10" s="78">
        <v>3</v>
      </c>
      <c r="Q10" s="78">
        <v>0</v>
      </c>
    </row>
    <row r="11" spans="1:22" s="78" customFormat="1">
      <c r="A11" s="76" t="s">
        <v>113</v>
      </c>
      <c r="B11" s="6">
        <v>2.5182072919323999</v>
      </c>
      <c r="C11" s="6">
        <v>3.4449999999999998</v>
      </c>
      <c r="D11" s="78">
        <f t="shared" si="0"/>
        <v>6</v>
      </c>
      <c r="E11" s="78">
        <f t="shared" si="1"/>
        <v>0.2</v>
      </c>
      <c r="F11" s="78">
        <f t="shared" si="2"/>
        <v>4</v>
      </c>
      <c r="G11" s="78">
        <f t="shared" si="3"/>
        <v>2.0108559758420337</v>
      </c>
      <c r="H11" s="78">
        <f t="shared" si="4"/>
        <v>0.8</v>
      </c>
      <c r="I11" s="78">
        <f t="shared" si="5"/>
        <v>0</v>
      </c>
      <c r="J11" s="77">
        <f>IF(CurrentMtgRatesDataTable811[[#This Row],[WA CC]]&lt;&gt;0,C10-CurrentMtgRatesDataTable811[[#This Row],[WA CC]],0)</f>
        <v>0</v>
      </c>
      <c r="K11" s="77">
        <f>IF(CurrentMtgRatesDataTable811[[#This Row],[Servicing Spread]]&lt;=0,K10,CurrentMtgRatesDataTable811[[#This Row],[Servicing Spread]])</f>
        <v>0.94066892014554693</v>
      </c>
      <c r="L11" s="77">
        <f>CurrentMtgRatesDataTable811[[#This Row],[Servicing Spread Non-Zero]]-K10</f>
        <v>0</v>
      </c>
      <c r="M11" s="77">
        <f>IF(I10&lt;&gt;0,CurrentMtgRatesDataTable811[[#This Row],[Rate]]-C10,M10)</f>
        <v>-6.4999999999999947E-2</v>
      </c>
      <c r="O11" s="78" t="s">
        <v>93</v>
      </c>
      <c r="P11" s="78">
        <v>4</v>
      </c>
      <c r="Q11" s="78">
        <v>0</v>
      </c>
    </row>
    <row r="12" spans="1:22" s="78" customFormat="1">
      <c r="A12" s="76" t="s">
        <v>114</v>
      </c>
      <c r="B12" s="6">
        <v>2.5137546946134099</v>
      </c>
      <c r="C12" s="6">
        <v>3.4449999999999998</v>
      </c>
      <c r="D12" s="78">
        <f t="shared" si="0"/>
        <v>7</v>
      </c>
      <c r="E12" s="78">
        <f t="shared" si="1"/>
        <v>0.2</v>
      </c>
      <c r="F12" s="78">
        <f t="shared" si="2"/>
        <v>5</v>
      </c>
      <c r="G12" s="78">
        <f t="shared" si="3"/>
        <v>2.5136069147647158</v>
      </c>
      <c r="H12" s="78">
        <f t="shared" si="4"/>
        <v>1</v>
      </c>
      <c r="I12" s="78">
        <f t="shared" si="5"/>
        <v>2.5136069147647158</v>
      </c>
      <c r="J12" s="77">
        <f>IF(CurrentMtgRatesDataTable811[[#This Row],[WA CC]]&lt;&gt;0,C11-CurrentMtgRatesDataTable811[[#This Row],[WA CC]],0)</f>
        <v>0.93139308523528408</v>
      </c>
      <c r="K12" s="77">
        <f>IF(CurrentMtgRatesDataTable811[[#This Row],[Servicing Spread]]&lt;=0,K11,CurrentMtgRatesDataTable811[[#This Row],[Servicing Spread]])</f>
        <v>0.93139308523528408</v>
      </c>
      <c r="L12" s="77">
        <f>CurrentMtgRatesDataTable811[[#This Row],[Servicing Spread Non-Zero]]-K11</f>
        <v>-9.2758349102628479E-3</v>
      </c>
      <c r="M12" s="77">
        <f>IF(I11&lt;&gt;0,CurrentMtgRatesDataTable811[[#This Row],[Rate]]-C11,M11)</f>
        <v>-6.4999999999999947E-2</v>
      </c>
    </row>
    <row r="13" spans="1:22" s="78" customFormat="1">
      <c r="A13" s="76" t="s">
        <v>115</v>
      </c>
      <c r="B13" s="6">
        <v>2.5257961096675898</v>
      </c>
      <c r="C13" s="6">
        <v>3.48</v>
      </c>
      <c r="D13" s="78">
        <f t="shared" si="0"/>
        <v>1</v>
      </c>
      <c r="E13" s="78">
        <f t="shared" si="1"/>
        <v>0.2</v>
      </c>
      <c r="F13" s="78">
        <f t="shared" si="2"/>
        <v>1</v>
      </c>
      <c r="G13" s="78">
        <f t="shared" si="3"/>
        <v>0.50515922193351803</v>
      </c>
      <c r="H13" s="78">
        <f t="shared" si="4"/>
        <v>0.2</v>
      </c>
      <c r="I13" s="78">
        <f t="shared" si="5"/>
        <v>0</v>
      </c>
      <c r="J13" s="77">
        <f>IF(CurrentMtgRatesDataTable811[[#This Row],[WA CC]]&lt;&gt;0,C12-CurrentMtgRatesDataTable811[[#This Row],[WA CC]],0)</f>
        <v>0</v>
      </c>
      <c r="K13" s="77">
        <f>IF(CurrentMtgRatesDataTable811[[#This Row],[Servicing Spread]]&lt;=0,K12,CurrentMtgRatesDataTable811[[#This Row],[Servicing Spread]])</f>
        <v>0.93139308523528408</v>
      </c>
      <c r="L13" s="77">
        <f>CurrentMtgRatesDataTable811[[#This Row],[Servicing Spread Non-Zero]]-K12</f>
        <v>0</v>
      </c>
      <c r="M13" s="77">
        <f>IF(I12&lt;&gt;0,CurrentMtgRatesDataTable811[[#This Row],[Rate]]-C12,M12)</f>
        <v>3.5000000000000142E-2</v>
      </c>
    </row>
    <row r="14" spans="1:22" s="78" customFormat="1">
      <c r="A14" s="76" t="s">
        <v>116</v>
      </c>
      <c r="B14" s="6">
        <v>2.4834878565514402</v>
      </c>
      <c r="C14" s="6">
        <v>3.48</v>
      </c>
      <c r="D14" s="78">
        <f t="shared" si="0"/>
        <v>2</v>
      </c>
      <c r="E14" s="78">
        <f t="shared" si="1"/>
        <v>0.2</v>
      </c>
      <c r="F14" s="78">
        <f t="shared" si="2"/>
        <v>2</v>
      </c>
      <c r="G14" s="78">
        <f t="shared" si="3"/>
        <v>1.0018567932438061</v>
      </c>
      <c r="H14" s="78">
        <f t="shared" si="4"/>
        <v>0.4</v>
      </c>
      <c r="I14" s="78">
        <f t="shared" si="5"/>
        <v>0</v>
      </c>
      <c r="J14" s="77">
        <f>IF(CurrentMtgRatesDataTable811[[#This Row],[WA CC]]&lt;&gt;0,C13-CurrentMtgRatesDataTable811[[#This Row],[WA CC]],0)</f>
        <v>0</v>
      </c>
      <c r="K14" s="77">
        <f>IF(CurrentMtgRatesDataTable811[[#This Row],[Servicing Spread]]&lt;=0,K13,CurrentMtgRatesDataTable811[[#This Row],[Servicing Spread]])</f>
        <v>0.93139308523528408</v>
      </c>
      <c r="L14" s="77">
        <f>CurrentMtgRatesDataTable811[[#This Row],[Servicing Spread Non-Zero]]-K13</f>
        <v>0</v>
      </c>
      <c r="M14" s="77">
        <f>IF(I13&lt;&gt;0,CurrentMtgRatesDataTable811[[#This Row],[Rate]]-C13,M13)</f>
        <v>3.5000000000000142E-2</v>
      </c>
    </row>
    <row r="15" spans="1:22" s="78" customFormat="1">
      <c r="A15" s="76" t="s">
        <v>117</v>
      </c>
      <c r="B15" s="6">
        <v>2.5243153261906799</v>
      </c>
      <c r="C15" s="6">
        <v>3.48</v>
      </c>
      <c r="D15" s="78">
        <f t="shared" si="0"/>
        <v>5</v>
      </c>
      <c r="E15" s="78">
        <f t="shared" si="1"/>
        <v>0.2</v>
      </c>
      <c r="F15" s="78">
        <f t="shared" si="2"/>
        <v>3</v>
      </c>
      <c r="G15" s="78">
        <f t="shared" si="3"/>
        <v>1.5067198584819419</v>
      </c>
      <c r="H15" s="78">
        <f t="shared" si="4"/>
        <v>0.60000000000000009</v>
      </c>
      <c r="I15" s="78">
        <f t="shared" si="5"/>
        <v>0</v>
      </c>
      <c r="J15" s="77">
        <f>IF(CurrentMtgRatesDataTable811[[#This Row],[WA CC]]&lt;&gt;0,C14-CurrentMtgRatesDataTable811[[#This Row],[WA CC]],0)</f>
        <v>0</v>
      </c>
      <c r="K15" s="77">
        <f>IF(CurrentMtgRatesDataTable811[[#This Row],[Servicing Spread]]&lt;=0,K14,CurrentMtgRatesDataTable811[[#This Row],[Servicing Spread]])</f>
        <v>0.93139308523528408</v>
      </c>
      <c r="L15" s="77">
        <f>CurrentMtgRatesDataTable811[[#This Row],[Servicing Spread Non-Zero]]-K14</f>
        <v>0</v>
      </c>
      <c r="M15" s="77">
        <f>IF(I14&lt;&gt;0,CurrentMtgRatesDataTable811[[#This Row],[Rate]]-C14,M14)</f>
        <v>3.5000000000000142E-2</v>
      </c>
    </row>
    <row r="16" spans="1:22" s="78" customFormat="1">
      <c r="A16" s="76" t="s">
        <v>118</v>
      </c>
      <c r="B16" s="6">
        <v>2.5507411556917998</v>
      </c>
      <c r="C16" s="6">
        <v>3.48</v>
      </c>
      <c r="D16" s="78">
        <f t="shared" si="0"/>
        <v>6</v>
      </c>
      <c r="E16" s="78">
        <f t="shared" si="1"/>
        <v>0.2</v>
      </c>
      <c r="F16" s="78">
        <f t="shared" si="2"/>
        <v>4</v>
      </c>
      <c r="G16" s="78">
        <f t="shared" si="3"/>
        <v>2.016868089620302</v>
      </c>
      <c r="H16" s="78">
        <f t="shared" si="4"/>
        <v>0.8</v>
      </c>
      <c r="I16" s="78">
        <f t="shared" si="5"/>
        <v>0</v>
      </c>
      <c r="J16" s="77">
        <f>IF(CurrentMtgRatesDataTable811[[#This Row],[WA CC]]&lt;&gt;0,C15-CurrentMtgRatesDataTable811[[#This Row],[WA CC]],0)</f>
        <v>0</v>
      </c>
      <c r="K16" s="77">
        <f>IF(CurrentMtgRatesDataTable811[[#This Row],[Servicing Spread]]&lt;=0,K15,CurrentMtgRatesDataTable811[[#This Row],[Servicing Spread]])</f>
        <v>0.93139308523528408</v>
      </c>
      <c r="L16" s="77">
        <f>CurrentMtgRatesDataTable811[[#This Row],[Servicing Spread Non-Zero]]-K15</f>
        <v>0</v>
      </c>
      <c r="M16" s="77">
        <f>IF(I15&lt;&gt;0,CurrentMtgRatesDataTable811[[#This Row],[Rate]]-C15,M15)</f>
        <v>3.5000000000000142E-2</v>
      </c>
    </row>
    <row r="17" spans="1:13" s="78" customFormat="1">
      <c r="A17" s="76" t="s">
        <v>119</v>
      </c>
      <c r="B17" s="6">
        <v>2.6588027556734102</v>
      </c>
      <c r="C17" s="6">
        <v>3.48</v>
      </c>
      <c r="D17" s="78">
        <f t="shared" si="0"/>
        <v>7</v>
      </c>
      <c r="E17" s="78">
        <f t="shared" si="1"/>
        <v>0.2</v>
      </c>
      <c r="F17" s="78">
        <f t="shared" si="2"/>
        <v>5</v>
      </c>
      <c r="G17" s="78">
        <f t="shared" si="3"/>
        <v>2.5486286407549841</v>
      </c>
      <c r="H17" s="78">
        <f t="shared" si="4"/>
        <v>1</v>
      </c>
      <c r="I17" s="78">
        <f t="shared" si="5"/>
        <v>2.5486286407549841</v>
      </c>
      <c r="J17" s="77">
        <f>IF(CurrentMtgRatesDataTable811[[#This Row],[WA CC]]&lt;&gt;0,C16-CurrentMtgRatesDataTable811[[#This Row],[WA CC]],0)</f>
        <v>0.93137135924501591</v>
      </c>
      <c r="K17" s="77">
        <f>IF(CurrentMtgRatesDataTable811[[#This Row],[Servicing Spread]]&lt;=0,K16,CurrentMtgRatesDataTable811[[#This Row],[Servicing Spread]])</f>
        <v>0.93137135924501591</v>
      </c>
      <c r="L17" s="77">
        <f>CurrentMtgRatesDataTable811[[#This Row],[Servicing Spread Non-Zero]]-K16</f>
        <v>-2.1725990268173234E-5</v>
      </c>
      <c r="M17" s="77">
        <f>IF(I16&lt;&gt;0,CurrentMtgRatesDataTable811[[#This Row],[Rate]]-C16,M16)</f>
        <v>3.5000000000000142E-2</v>
      </c>
    </row>
    <row r="18" spans="1:13" s="78" customFormat="1">
      <c r="A18" s="76" t="s">
        <v>120</v>
      </c>
      <c r="B18" s="6">
        <v>2.61087975726997</v>
      </c>
      <c r="C18" s="6">
        <v>3.5150000000000001</v>
      </c>
      <c r="D18" s="78">
        <f t="shared" si="0"/>
        <v>1</v>
      </c>
      <c r="E18" s="78">
        <f t="shared" si="1"/>
        <v>0.2</v>
      </c>
      <c r="F18" s="78">
        <f t="shared" si="2"/>
        <v>1</v>
      </c>
      <c r="G18" s="78">
        <f t="shared" si="3"/>
        <v>0.52217595145399398</v>
      </c>
      <c r="H18" s="78">
        <f t="shared" si="4"/>
        <v>0.2</v>
      </c>
      <c r="I18" s="78">
        <f t="shared" si="5"/>
        <v>0</v>
      </c>
      <c r="J18" s="77">
        <f>IF(CurrentMtgRatesDataTable811[[#This Row],[WA CC]]&lt;&gt;0,C17-CurrentMtgRatesDataTable811[[#This Row],[WA CC]],0)</f>
        <v>0</v>
      </c>
      <c r="K18" s="77">
        <f>IF(CurrentMtgRatesDataTable811[[#This Row],[Servicing Spread]]&lt;=0,K17,CurrentMtgRatesDataTable811[[#This Row],[Servicing Spread]])</f>
        <v>0.93137135924501591</v>
      </c>
      <c r="L18" s="77">
        <f>CurrentMtgRatesDataTable811[[#This Row],[Servicing Spread Non-Zero]]-K17</f>
        <v>0</v>
      </c>
      <c r="M18" s="77">
        <f>IF(I17&lt;&gt;0,CurrentMtgRatesDataTable811[[#This Row],[Rate]]-C17,M17)</f>
        <v>3.5000000000000142E-2</v>
      </c>
    </row>
    <row r="19" spans="1:13" s="78" customFormat="1">
      <c r="A19" s="76" t="s">
        <v>121</v>
      </c>
      <c r="B19" s="6">
        <v>2.6144990771795702</v>
      </c>
      <c r="C19" s="6">
        <v>3.5150000000000001</v>
      </c>
      <c r="D19" s="78">
        <f t="shared" si="0"/>
        <v>2</v>
      </c>
      <c r="E19" s="78">
        <f t="shared" si="1"/>
        <v>0.2</v>
      </c>
      <c r="F19" s="78">
        <f t="shared" si="2"/>
        <v>2</v>
      </c>
      <c r="G19" s="78">
        <f t="shared" si="3"/>
        <v>1.045075766889908</v>
      </c>
      <c r="H19" s="78">
        <f t="shared" si="4"/>
        <v>0.4</v>
      </c>
      <c r="I19" s="78">
        <f t="shared" si="5"/>
        <v>0</v>
      </c>
      <c r="J19" s="77">
        <f>IF(CurrentMtgRatesDataTable811[[#This Row],[WA CC]]&lt;&gt;0,C18-CurrentMtgRatesDataTable811[[#This Row],[WA CC]],0)</f>
        <v>0</v>
      </c>
      <c r="K19" s="77">
        <f>IF(CurrentMtgRatesDataTable811[[#This Row],[Servicing Spread]]&lt;=0,K18,CurrentMtgRatesDataTable811[[#This Row],[Servicing Spread]])</f>
        <v>0.93137135924501591</v>
      </c>
      <c r="L19" s="77">
        <f>CurrentMtgRatesDataTable811[[#This Row],[Servicing Spread Non-Zero]]-K18</f>
        <v>0</v>
      </c>
      <c r="M19" s="77">
        <f>IF(I18&lt;&gt;0,CurrentMtgRatesDataTable811[[#This Row],[Rate]]-C18,M18)</f>
        <v>3.5000000000000142E-2</v>
      </c>
    </row>
    <row r="20" spans="1:13" s="78" customFormat="1">
      <c r="A20" s="76" t="s">
        <v>122</v>
      </c>
      <c r="B20" s="6">
        <v>2.6073788484172402</v>
      </c>
      <c r="C20" s="6">
        <v>3.5150000000000001</v>
      </c>
      <c r="D20" s="78">
        <f t="shared" si="0"/>
        <v>5</v>
      </c>
      <c r="E20" s="78">
        <f t="shared" si="1"/>
        <v>0.2</v>
      </c>
      <c r="F20" s="78">
        <f t="shared" si="2"/>
        <v>3</v>
      </c>
      <c r="G20" s="78">
        <f t="shared" si="3"/>
        <v>1.566551536573356</v>
      </c>
      <c r="H20" s="78">
        <f t="shared" si="4"/>
        <v>0.60000000000000009</v>
      </c>
      <c r="I20" s="78">
        <f t="shared" si="5"/>
        <v>0</v>
      </c>
      <c r="J20" s="77">
        <f>IF(CurrentMtgRatesDataTable811[[#This Row],[WA CC]]&lt;&gt;0,C19-CurrentMtgRatesDataTable811[[#This Row],[WA CC]],0)</f>
        <v>0</v>
      </c>
      <c r="K20" s="77">
        <f>IF(CurrentMtgRatesDataTable811[[#This Row],[Servicing Spread]]&lt;=0,K19,CurrentMtgRatesDataTable811[[#This Row],[Servicing Spread]])</f>
        <v>0.93137135924501591</v>
      </c>
      <c r="L20" s="77">
        <f>CurrentMtgRatesDataTable811[[#This Row],[Servicing Spread Non-Zero]]-K19</f>
        <v>0</v>
      </c>
      <c r="M20" s="77">
        <f>IF(I19&lt;&gt;0,CurrentMtgRatesDataTable811[[#This Row],[Rate]]-C19,M19)</f>
        <v>3.5000000000000142E-2</v>
      </c>
    </row>
    <row r="21" spans="1:13" s="78" customFormat="1">
      <c r="A21" s="76" t="s">
        <v>123</v>
      </c>
      <c r="B21" s="6">
        <v>2.6240146186215201</v>
      </c>
      <c r="C21" s="6">
        <v>3.5150000000000001</v>
      </c>
      <c r="D21" s="78">
        <f t="shared" si="0"/>
        <v>6</v>
      </c>
      <c r="E21" s="78">
        <f t="shared" si="1"/>
        <v>0.2</v>
      </c>
      <c r="F21" s="78">
        <f t="shared" si="2"/>
        <v>4</v>
      </c>
      <c r="G21" s="78">
        <f t="shared" si="3"/>
        <v>2.0913544602976599</v>
      </c>
      <c r="H21" s="78">
        <f t="shared" si="4"/>
        <v>0.8</v>
      </c>
      <c r="I21" s="78">
        <f t="shared" si="5"/>
        <v>0</v>
      </c>
      <c r="J21" s="77">
        <f>IF(CurrentMtgRatesDataTable811[[#This Row],[WA CC]]&lt;&gt;0,C20-CurrentMtgRatesDataTable811[[#This Row],[WA CC]],0)</f>
        <v>0</v>
      </c>
      <c r="K21" s="77">
        <f>IF(CurrentMtgRatesDataTable811[[#This Row],[Servicing Spread]]&lt;=0,K20,CurrentMtgRatesDataTable811[[#This Row],[Servicing Spread]])</f>
        <v>0.93137135924501591</v>
      </c>
      <c r="L21" s="77">
        <f>CurrentMtgRatesDataTable811[[#This Row],[Servicing Spread Non-Zero]]-K20</f>
        <v>0</v>
      </c>
      <c r="M21" s="77">
        <f>IF(I20&lt;&gt;0,CurrentMtgRatesDataTable811[[#This Row],[Rate]]-C20,M20)</f>
        <v>3.5000000000000142E-2</v>
      </c>
    </row>
    <row r="22" spans="1:13" s="78" customFormat="1">
      <c r="A22" s="95" t="s">
        <v>124</v>
      </c>
      <c r="B22" s="96">
        <v>2.6451164330337602</v>
      </c>
      <c r="C22" s="97">
        <v>3.5150000000000001</v>
      </c>
      <c r="D22" s="94">
        <f t="shared" si="0"/>
        <v>7</v>
      </c>
      <c r="E22" s="94">
        <f t="shared" si="1"/>
        <v>0.2</v>
      </c>
      <c r="F22" s="94">
        <f t="shared" si="2"/>
        <v>5</v>
      </c>
      <c r="G22" s="94">
        <f t="shared" si="3"/>
        <v>2.6203777469044121</v>
      </c>
      <c r="H22" s="94">
        <f t="shared" si="4"/>
        <v>1</v>
      </c>
      <c r="I22" s="94">
        <f t="shared" si="5"/>
        <v>2.6203777469044121</v>
      </c>
      <c r="J22" s="94">
        <f>IF(CurrentMtgRatesDataTable811[[#This Row],[WA CC]]&lt;&gt;0,C21-CurrentMtgRatesDataTable811[[#This Row],[WA CC]],0)</f>
        <v>0.89462225309558807</v>
      </c>
      <c r="K22" s="94">
        <f>IF(CurrentMtgRatesDataTable811[[#This Row],[Servicing Spread]]&lt;=0,K21,CurrentMtgRatesDataTable811[[#This Row],[Servicing Spread]])</f>
        <v>0.89462225309558807</v>
      </c>
      <c r="L22" s="94">
        <f>CurrentMtgRatesDataTable811[[#This Row],[Servicing Spread Non-Zero]]-K21</f>
        <v>-3.6749106149427835E-2</v>
      </c>
      <c r="M22" s="94">
        <f>IF(I21&lt;&gt;0,CurrentMtgRatesDataTable811[[#This Row],[Rate]]-C21,M21)</f>
        <v>3.5000000000000142E-2</v>
      </c>
    </row>
    <row r="23" spans="1:13" s="78" customFormat="1">
      <c r="A23" s="111" t="s">
        <v>125</v>
      </c>
      <c r="B23" s="112">
        <v>2.59920787607486</v>
      </c>
      <c r="C23" s="113">
        <v>3.5350000000000001</v>
      </c>
      <c r="D23" s="114">
        <f t="shared" si="0"/>
        <v>1</v>
      </c>
      <c r="E23" s="114">
        <f t="shared" si="1"/>
        <v>0.2</v>
      </c>
      <c r="F23" s="114">
        <f t="shared" si="2"/>
        <v>1</v>
      </c>
      <c r="G23" s="114">
        <f t="shared" si="3"/>
        <v>0.51984157521497198</v>
      </c>
      <c r="H23" s="114">
        <f t="shared" si="4"/>
        <v>0.2</v>
      </c>
      <c r="I23" s="114">
        <f t="shared" si="5"/>
        <v>0</v>
      </c>
      <c r="J23" s="114">
        <f>IF(CurrentMtgRatesDataTable811[[#This Row],[WA CC]]&lt;&gt;0,C22-CurrentMtgRatesDataTable811[[#This Row],[WA CC]],0)</f>
        <v>0</v>
      </c>
      <c r="K23" s="114">
        <f>IF(CurrentMtgRatesDataTable811[[#This Row],[Servicing Spread]]&lt;=0,K22,CurrentMtgRatesDataTable811[[#This Row],[Servicing Spread]])</f>
        <v>0.89462225309558807</v>
      </c>
      <c r="L23" s="114">
        <f>CurrentMtgRatesDataTable811[[#This Row],[Servicing Spread Non-Zero]]-K22</f>
        <v>0</v>
      </c>
      <c r="M23" s="114">
        <f>IF(I22&lt;&gt;0,CurrentMtgRatesDataTable811[[#This Row],[Rate]]-C22,M22)</f>
        <v>2.0000000000000018E-2</v>
      </c>
    </row>
    <row r="24" spans="1:13" s="78" customFormat="1">
      <c r="A24" s="111" t="s">
        <v>126</v>
      </c>
      <c r="B24" s="112">
        <v>2.6025934291599802</v>
      </c>
      <c r="C24" s="113">
        <v>3.5350000000000001</v>
      </c>
      <c r="D24" s="114">
        <f t="shared" si="0"/>
        <v>2</v>
      </c>
      <c r="E24" s="114">
        <f t="shared" si="1"/>
        <v>0.2</v>
      </c>
      <c r="F24" s="114">
        <f t="shared" si="2"/>
        <v>2</v>
      </c>
      <c r="G24" s="114">
        <f t="shared" si="3"/>
        <v>1.040360261046968</v>
      </c>
      <c r="H24" s="114">
        <f t="shared" si="4"/>
        <v>0.4</v>
      </c>
      <c r="I24" s="114">
        <f t="shared" si="5"/>
        <v>0</v>
      </c>
      <c r="J24" s="114">
        <f>IF(CurrentMtgRatesDataTable811[[#This Row],[WA CC]]&lt;&gt;0,C23-CurrentMtgRatesDataTable811[[#This Row],[WA CC]],0)</f>
        <v>0</v>
      </c>
      <c r="K24" s="114">
        <f>IF(CurrentMtgRatesDataTable811[[#This Row],[Servicing Spread]]&lt;=0,K23,CurrentMtgRatesDataTable811[[#This Row],[Servicing Spread]])</f>
        <v>0.89462225309558807</v>
      </c>
      <c r="L24" s="114">
        <f>CurrentMtgRatesDataTable811[[#This Row],[Servicing Spread Non-Zero]]-K23</f>
        <v>0</v>
      </c>
      <c r="M24" s="114">
        <f>IF(I23&lt;&gt;0,CurrentMtgRatesDataTable811[[#This Row],[Rate]]-C23,M23)</f>
        <v>2.0000000000000018E-2</v>
      </c>
    </row>
    <row r="25" spans="1:13" s="78" customFormat="1">
      <c r="A25" s="111" t="s">
        <v>127</v>
      </c>
      <c r="B25" s="112">
        <v>2.5912536258674699</v>
      </c>
      <c r="C25" s="113">
        <v>3.5350000000000001</v>
      </c>
      <c r="D25" s="114">
        <f t="shared" si="0"/>
        <v>6</v>
      </c>
      <c r="E25" s="114">
        <f t="shared" si="1"/>
        <v>0.2</v>
      </c>
      <c r="F25" s="114">
        <f t="shared" si="2"/>
        <v>3</v>
      </c>
      <c r="G25" s="114">
        <f t="shared" si="3"/>
        <v>1.558610986220462</v>
      </c>
      <c r="H25" s="114">
        <f t="shared" si="4"/>
        <v>0.60000000000000009</v>
      </c>
      <c r="I25" s="114">
        <f t="shared" si="5"/>
        <v>0</v>
      </c>
      <c r="J25" s="114">
        <f>IF(CurrentMtgRatesDataTable811[[#This Row],[WA CC]]&lt;&gt;0,C24-CurrentMtgRatesDataTable811[[#This Row],[WA CC]],0)</f>
        <v>0</v>
      </c>
      <c r="K25" s="114">
        <f>IF(CurrentMtgRatesDataTable811[[#This Row],[Servicing Spread]]&lt;=0,K24,CurrentMtgRatesDataTable811[[#This Row],[Servicing Spread]])</f>
        <v>0.89462225309558807</v>
      </c>
      <c r="L25" s="114">
        <f>CurrentMtgRatesDataTable811[[#This Row],[Servicing Spread Non-Zero]]-K24</f>
        <v>0</v>
      </c>
      <c r="M25" s="114">
        <f>IF(I24&lt;&gt;0,CurrentMtgRatesDataTable811[[#This Row],[Rate]]-C24,M24)</f>
        <v>2.0000000000000018E-2</v>
      </c>
    </row>
    <row r="26" spans="1:13" s="78" customFormat="1">
      <c r="A26" s="111" t="s">
        <v>129</v>
      </c>
      <c r="B26" s="112">
        <v>2.6061508171936398</v>
      </c>
      <c r="C26" s="113">
        <v>3.5350000000000001</v>
      </c>
      <c r="D26" s="114">
        <f t="shared" si="0"/>
        <v>7</v>
      </c>
      <c r="E26" s="114">
        <f t="shared" si="1"/>
        <v>0.2</v>
      </c>
      <c r="F26" s="114">
        <f t="shared" si="2"/>
        <v>4</v>
      </c>
      <c r="G26" s="114">
        <f t="shared" si="3"/>
        <v>2.07984114965919</v>
      </c>
      <c r="H26" s="114">
        <f t="shared" si="4"/>
        <v>0.8</v>
      </c>
      <c r="I26" s="114">
        <f t="shared" si="5"/>
        <v>2.5998014370739875</v>
      </c>
      <c r="J26" s="114">
        <f>IF(CurrentMtgRatesDataTable811[[#This Row],[WA CC]]&lt;&gt;0,C25-CurrentMtgRatesDataTable811[[#This Row],[WA CC]],0)</f>
        <v>0.93519856292601267</v>
      </c>
      <c r="K26" s="114">
        <f>IF(CurrentMtgRatesDataTable811[[#This Row],[Servicing Spread]]&lt;=0,K25,CurrentMtgRatesDataTable811[[#This Row],[Servicing Spread]])</f>
        <v>0.93519856292601267</v>
      </c>
      <c r="L26" s="114">
        <f>CurrentMtgRatesDataTable811[[#This Row],[Servicing Spread Non-Zero]]-K25</f>
        <v>4.0576309830424595E-2</v>
      </c>
      <c r="M26" s="114">
        <f>IF(I25&lt;&gt;0,CurrentMtgRatesDataTable811[[#This Row],[Rate]]-C25,M25)</f>
        <v>2.0000000000000018E-2</v>
      </c>
    </row>
    <row r="27" spans="1:13" s="78" customFormat="1">
      <c r="A27" s="111" t="s">
        <v>130</v>
      </c>
      <c r="B27" s="112">
        <v>2.5951614206570599</v>
      </c>
      <c r="C27" s="113">
        <v>3.4750000000000001</v>
      </c>
      <c r="D27" s="114">
        <f t="shared" si="0"/>
        <v>1</v>
      </c>
      <c r="E27" s="114">
        <f t="shared" si="1"/>
        <v>0.2</v>
      </c>
      <c r="F27" s="114">
        <f t="shared" si="2"/>
        <v>1</v>
      </c>
      <c r="G27" s="114">
        <f t="shared" si="3"/>
        <v>0.519032284131412</v>
      </c>
      <c r="H27" s="114">
        <f t="shared" si="4"/>
        <v>0.2</v>
      </c>
      <c r="I27" s="114">
        <f t="shared" si="5"/>
        <v>0</v>
      </c>
      <c r="J27" s="114">
        <f>IF(CurrentMtgRatesDataTable811[[#This Row],[WA CC]]&lt;&gt;0,C26-CurrentMtgRatesDataTable811[[#This Row],[WA CC]],0)</f>
        <v>0</v>
      </c>
      <c r="K27" s="114">
        <f>IF(CurrentMtgRatesDataTable811[[#This Row],[Servicing Spread]]&lt;=0,K26,CurrentMtgRatesDataTable811[[#This Row],[Servicing Spread]])</f>
        <v>0.93519856292601267</v>
      </c>
      <c r="L27" s="114">
        <f>CurrentMtgRatesDataTable811[[#This Row],[Servicing Spread Non-Zero]]-K26</f>
        <v>0</v>
      </c>
      <c r="M27" s="114">
        <f>IF(I26&lt;&gt;0,CurrentMtgRatesDataTable811[[#This Row],[Rate]]-C26,M26)</f>
        <v>-6.0000000000000053E-2</v>
      </c>
    </row>
    <row r="28" spans="1:13" s="78" customFormat="1">
      <c r="A28" s="111" t="s">
        <v>131</v>
      </c>
      <c r="B28" s="112">
        <v>2.50110738001568</v>
      </c>
      <c r="C28" s="113">
        <v>3.4750000000000001</v>
      </c>
      <c r="D28" s="114">
        <f t="shared" si="0"/>
        <v>2</v>
      </c>
      <c r="E28" s="114">
        <f t="shared" si="1"/>
        <v>0.2</v>
      </c>
      <c r="F28" s="114">
        <f t="shared" si="2"/>
        <v>2</v>
      </c>
      <c r="G28" s="114">
        <f t="shared" si="3"/>
        <v>1.0192537601345482</v>
      </c>
      <c r="H28" s="114">
        <f t="shared" si="4"/>
        <v>0.4</v>
      </c>
      <c r="I28" s="114">
        <f t="shared" si="5"/>
        <v>0</v>
      </c>
      <c r="J28" s="114">
        <f>IF(CurrentMtgRatesDataTable811[[#This Row],[WA CC]]&lt;&gt;0,C27-CurrentMtgRatesDataTable811[[#This Row],[WA CC]],0)</f>
        <v>0</v>
      </c>
      <c r="K28" s="114">
        <f>IF(CurrentMtgRatesDataTable811[[#This Row],[Servicing Spread]]&lt;=0,K27,CurrentMtgRatesDataTable811[[#This Row],[Servicing Spread]])</f>
        <v>0.93519856292601267</v>
      </c>
      <c r="L28" s="114">
        <f>CurrentMtgRatesDataTable811[[#This Row],[Servicing Spread Non-Zero]]-K27</f>
        <v>0</v>
      </c>
      <c r="M28" s="114">
        <f>IF(I27&lt;&gt;0,CurrentMtgRatesDataTable811[[#This Row],[Rate]]-C27,M27)</f>
        <v>-6.0000000000000053E-2</v>
      </c>
    </row>
    <row r="29" spans="1:13" s="78" customFormat="1">
      <c r="A29" s="111" t="s">
        <v>132</v>
      </c>
      <c r="B29" s="112">
        <v>2.50890733570674</v>
      </c>
      <c r="C29" s="113">
        <v>3.4750000000000001</v>
      </c>
      <c r="D29" s="114">
        <f t="shared" si="0"/>
        <v>5</v>
      </c>
      <c r="E29" s="114">
        <f t="shared" si="1"/>
        <v>0.2</v>
      </c>
      <c r="F29" s="114">
        <f t="shared" si="2"/>
        <v>3</v>
      </c>
      <c r="G29" s="114">
        <f t="shared" si="3"/>
        <v>1.5210352272758962</v>
      </c>
      <c r="H29" s="114">
        <f t="shared" si="4"/>
        <v>0.60000000000000009</v>
      </c>
      <c r="I29" s="114">
        <f t="shared" si="5"/>
        <v>0</v>
      </c>
      <c r="J29" s="114">
        <f>IF(CurrentMtgRatesDataTable811[[#This Row],[WA CC]]&lt;&gt;0,C28-CurrentMtgRatesDataTable811[[#This Row],[WA CC]],0)</f>
        <v>0</v>
      </c>
      <c r="K29" s="114">
        <f>IF(CurrentMtgRatesDataTable811[[#This Row],[Servicing Spread]]&lt;=0,K28,CurrentMtgRatesDataTable811[[#This Row],[Servicing Spread]])</f>
        <v>0.93519856292601267</v>
      </c>
      <c r="L29" s="114">
        <f>CurrentMtgRatesDataTable811[[#This Row],[Servicing Spread Non-Zero]]-K28</f>
        <v>0</v>
      </c>
      <c r="M29" s="114">
        <f>IF(I28&lt;&gt;0,CurrentMtgRatesDataTable811[[#This Row],[Rate]]-C28,M28)</f>
        <v>-6.0000000000000053E-2</v>
      </c>
    </row>
    <row r="30" spans="1:13" s="78" customFormat="1">
      <c r="A30" s="111" t="s">
        <v>133</v>
      </c>
      <c r="B30" s="112">
        <v>2.5084011199927301</v>
      </c>
      <c r="C30" s="113">
        <v>3.4750000000000001</v>
      </c>
      <c r="D30" s="114">
        <f t="shared" si="0"/>
        <v>6</v>
      </c>
      <c r="E30" s="114">
        <f t="shared" si="1"/>
        <v>0.2</v>
      </c>
      <c r="F30" s="114">
        <f t="shared" si="2"/>
        <v>4</v>
      </c>
      <c r="G30" s="114">
        <f t="shared" si="3"/>
        <v>2.0227154512744425</v>
      </c>
      <c r="H30" s="114">
        <f t="shared" si="4"/>
        <v>0.8</v>
      </c>
      <c r="I30" s="114">
        <f t="shared" si="5"/>
        <v>0</v>
      </c>
      <c r="J30" s="114">
        <f>IF(CurrentMtgRatesDataTable811[[#This Row],[WA CC]]&lt;&gt;0,C29-CurrentMtgRatesDataTable811[[#This Row],[WA CC]],0)</f>
        <v>0</v>
      </c>
      <c r="K30" s="114">
        <f>IF(CurrentMtgRatesDataTable811[[#This Row],[Servicing Spread]]&lt;=0,K29,CurrentMtgRatesDataTable811[[#This Row],[Servicing Spread]])</f>
        <v>0.93519856292601267</v>
      </c>
      <c r="L30" s="114">
        <f>CurrentMtgRatesDataTable811[[#This Row],[Servicing Spread Non-Zero]]-K29</f>
        <v>0</v>
      </c>
      <c r="M30" s="114">
        <f>IF(I29&lt;&gt;0,CurrentMtgRatesDataTable811[[#This Row],[Rate]]-C29,M29)</f>
        <v>-6.0000000000000053E-2</v>
      </c>
    </row>
    <row r="31" spans="1:13" s="78" customFormat="1">
      <c r="A31" s="111" t="s">
        <v>134</v>
      </c>
      <c r="B31" s="112">
        <v>2.5005077726390401</v>
      </c>
      <c r="C31" s="113">
        <v>3.4750000000000001</v>
      </c>
      <c r="D31" s="114">
        <f t="shared" si="0"/>
        <v>7</v>
      </c>
      <c r="E31" s="114">
        <f t="shared" si="1"/>
        <v>0.2</v>
      </c>
      <c r="F31" s="114">
        <f t="shared" si="2"/>
        <v>5</v>
      </c>
      <c r="G31" s="114">
        <f t="shared" si="3"/>
        <v>2.5228170058022505</v>
      </c>
      <c r="H31" s="114">
        <f t="shared" si="4"/>
        <v>1</v>
      </c>
      <c r="I31" s="114">
        <f t="shared" si="5"/>
        <v>2.5228170058022505</v>
      </c>
      <c r="J31" s="114">
        <f>IF(CurrentMtgRatesDataTable811[[#This Row],[WA CC]]&lt;&gt;0,C30-CurrentMtgRatesDataTable811[[#This Row],[WA CC]],0)</f>
        <v>0.95218299419774954</v>
      </c>
      <c r="K31" s="114">
        <f>IF(CurrentMtgRatesDataTable811[[#This Row],[Servicing Spread]]&lt;=0,K30,CurrentMtgRatesDataTable811[[#This Row],[Servicing Spread]])</f>
        <v>0.95218299419774954</v>
      </c>
      <c r="L31" s="114">
        <f>CurrentMtgRatesDataTable811[[#This Row],[Servicing Spread Non-Zero]]-K30</f>
        <v>1.6984431271736877E-2</v>
      </c>
      <c r="M31" s="114">
        <f>IF(I30&lt;&gt;0,CurrentMtgRatesDataTable811[[#This Row],[Rate]]-C30,M30)</f>
        <v>-6.0000000000000053E-2</v>
      </c>
    </row>
    <row r="32" spans="1:13" s="78" customFormat="1">
      <c r="A32" s="119" t="s">
        <v>135</v>
      </c>
      <c r="B32" s="120">
        <v>2.4857330932558601</v>
      </c>
      <c r="C32" s="121">
        <v>3.415</v>
      </c>
      <c r="D32" s="118">
        <f t="shared" si="0"/>
        <v>1</v>
      </c>
      <c r="E32" s="118">
        <f t="shared" si="1"/>
        <v>0.2</v>
      </c>
      <c r="F32" s="118">
        <f t="shared" si="2"/>
        <v>1</v>
      </c>
      <c r="G32" s="118">
        <f t="shared" si="3"/>
        <v>0.49714661865117205</v>
      </c>
      <c r="H32" s="118">
        <f t="shared" si="4"/>
        <v>0.2</v>
      </c>
      <c r="I32" s="118">
        <f t="shared" si="5"/>
        <v>0</v>
      </c>
      <c r="J32" s="118">
        <f>IF(CurrentMtgRatesDataTable811[[#This Row],[WA CC]]&lt;&gt;0,C31-CurrentMtgRatesDataTable811[[#This Row],[WA CC]],0)</f>
        <v>0</v>
      </c>
      <c r="K32" s="118">
        <f>IF(CurrentMtgRatesDataTable811[[#This Row],[Servicing Spread]]&lt;=0,K31,CurrentMtgRatesDataTable811[[#This Row],[Servicing Spread]])</f>
        <v>0.95218299419774954</v>
      </c>
      <c r="L32" s="118">
        <f>CurrentMtgRatesDataTable811[[#This Row],[Servicing Spread Non-Zero]]-K31</f>
        <v>0</v>
      </c>
      <c r="M32" s="118">
        <f>IF(I31&lt;&gt;0,CurrentMtgRatesDataTable811[[#This Row],[Rate]]-C31,M31)</f>
        <v>-6.0000000000000053E-2</v>
      </c>
    </row>
    <row r="33" spans="1:22" s="78" customFormat="1">
      <c r="A33" s="119" t="s">
        <v>136</v>
      </c>
      <c r="B33" s="120">
        <v>2.4694934611032302</v>
      </c>
      <c r="C33" s="121">
        <v>3.415</v>
      </c>
      <c r="D33" s="118">
        <f t="shared" si="0"/>
        <v>2</v>
      </c>
      <c r="E33" s="118">
        <f t="shared" si="1"/>
        <v>0.2</v>
      </c>
      <c r="F33" s="118">
        <f t="shared" si="2"/>
        <v>2</v>
      </c>
      <c r="G33" s="118">
        <f t="shared" si="3"/>
        <v>0.99104531087181813</v>
      </c>
      <c r="H33" s="118">
        <f t="shared" si="4"/>
        <v>0.4</v>
      </c>
      <c r="I33" s="118">
        <f t="shared" si="5"/>
        <v>0</v>
      </c>
      <c r="J33" s="118">
        <f>IF(CurrentMtgRatesDataTable811[[#This Row],[WA CC]]&lt;&gt;0,C32-CurrentMtgRatesDataTable811[[#This Row],[WA CC]],0)</f>
        <v>0</v>
      </c>
      <c r="K33" s="118">
        <f>IF(CurrentMtgRatesDataTable811[[#This Row],[Servicing Spread]]&lt;=0,K32,CurrentMtgRatesDataTable811[[#This Row],[Servicing Spread]])</f>
        <v>0.95218299419774954</v>
      </c>
      <c r="L33" s="118">
        <f>CurrentMtgRatesDataTable811[[#This Row],[Servicing Spread Non-Zero]]-K32</f>
        <v>0</v>
      </c>
      <c r="M33" s="118">
        <f>IF(I32&lt;&gt;0,CurrentMtgRatesDataTable811[[#This Row],[Rate]]-C32,M32)</f>
        <v>-6.0000000000000053E-2</v>
      </c>
    </row>
    <row r="34" spans="1:22" s="78" customFormat="1">
      <c r="A34" s="119" t="s">
        <v>137</v>
      </c>
      <c r="B34" s="120">
        <v>2.45908468763596</v>
      </c>
      <c r="C34" s="121">
        <v>3.415</v>
      </c>
      <c r="D34" s="118">
        <f t="shared" si="0"/>
        <v>5</v>
      </c>
      <c r="E34" s="118">
        <f t="shared" si="1"/>
        <v>0.2</v>
      </c>
      <c r="F34" s="118">
        <f t="shared" si="2"/>
        <v>3</v>
      </c>
      <c r="G34" s="118">
        <f t="shared" si="3"/>
        <v>1.4828622483990102</v>
      </c>
      <c r="H34" s="118">
        <f t="shared" si="4"/>
        <v>0.60000000000000009</v>
      </c>
      <c r="I34" s="118">
        <f t="shared" si="5"/>
        <v>0</v>
      </c>
      <c r="J34" s="118">
        <f>IF(CurrentMtgRatesDataTable811[[#This Row],[WA CC]]&lt;&gt;0,C33-CurrentMtgRatesDataTable811[[#This Row],[WA CC]],0)</f>
        <v>0</v>
      </c>
      <c r="K34" s="118">
        <f>IF(CurrentMtgRatesDataTable811[[#This Row],[Servicing Spread]]&lt;=0,K33,CurrentMtgRatesDataTable811[[#This Row],[Servicing Spread]])</f>
        <v>0.95218299419774954</v>
      </c>
      <c r="L34" s="118">
        <f>CurrentMtgRatesDataTable811[[#This Row],[Servicing Spread Non-Zero]]-K33</f>
        <v>0</v>
      </c>
      <c r="M34" s="118">
        <f>IF(I33&lt;&gt;0,CurrentMtgRatesDataTable811[[#This Row],[Rate]]-C33,M33)</f>
        <v>-6.0000000000000053E-2</v>
      </c>
    </row>
    <row r="35" spans="1:22" s="78" customFormat="1">
      <c r="A35" s="119" t="s">
        <v>138</v>
      </c>
      <c r="B35" s="120">
        <v>2.46769011076751</v>
      </c>
      <c r="C35" s="121">
        <v>3.415</v>
      </c>
      <c r="D35" s="118">
        <f t="shared" si="0"/>
        <v>6</v>
      </c>
      <c r="E35" s="118">
        <f t="shared" si="1"/>
        <v>0.2</v>
      </c>
      <c r="F35" s="118">
        <f t="shared" si="2"/>
        <v>4</v>
      </c>
      <c r="G35" s="118">
        <f t="shared" si="3"/>
        <v>1.9764002705525121</v>
      </c>
      <c r="H35" s="118">
        <f t="shared" si="4"/>
        <v>0.8</v>
      </c>
      <c r="I35" s="118">
        <f t="shared" si="5"/>
        <v>0</v>
      </c>
      <c r="J35" s="118">
        <f>IF(CurrentMtgRatesDataTable811[[#This Row],[WA CC]]&lt;&gt;0,C34-CurrentMtgRatesDataTable811[[#This Row],[WA CC]],0)</f>
        <v>0</v>
      </c>
      <c r="K35" s="118">
        <f>IF(CurrentMtgRatesDataTable811[[#This Row],[Servicing Spread]]&lt;=0,K34,CurrentMtgRatesDataTable811[[#This Row],[Servicing Spread]])</f>
        <v>0.95218299419774954</v>
      </c>
      <c r="L35" s="118">
        <f>CurrentMtgRatesDataTable811[[#This Row],[Servicing Spread Non-Zero]]-K34</f>
        <v>0</v>
      </c>
      <c r="M35" s="118">
        <f>IF(I34&lt;&gt;0,CurrentMtgRatesDataTable811[[#This Row],[Rate]]-C34,M34)</f>
        <v>-6.0000000000000053E-2</v>
      </c>
    </row>
    <row r="36" spans="1:22" s="78" customFormat="1">
      <c r="A36" s="119" t="s">
        <v>139</v>
      </c>
      <c r="B36" s="120">
        <v>2.45037012960805</v>
      </c>
      <c r="C36" s="121">
        <v>3.415</v>
      </c>
      <c r="D36" s="118">
        <f t="shared" si="0"/>
        <v>7</v>
      </c>
      <c r="E36" s="118">
        <f t="shared" si="1"/>
        <v>0.2</v>
      </c>
      <c r="F36" s="118">
        <f t="shared" si="2"/>
        <v>5</v>
      </c>
      <c r="G36" s="118">
        <f t="shared" si="3"/>
        <v>2.466474296474122</v>
      </c>
      <c r="H36" s="118">
        <f t="shared" si="4"/>
        <v>1</v>
      </c>
      <c r="I36" s="118">
        <f t="shared" si="5"/>
        <v>2.466474296474122</v>
      </c>
      <c r="J36" s="118">
        <f>IF(CurrentMtgRatesDataTable811[[#This Row],[WA CC]]&lt;&gt;0,C35-CurrentMtgRatesDataTable811[[#This Row],[WA CC]],0)</f>
        <v>0.94852570352587806</v>
      </c>
      <c r="K36" s="118">
        <f>IF(CurrentMtgRatesDataTable811[[#This Row],[Servicing Spread]]&lt;=0,K35,CurrentMtgRatesDataTable811[[#This Row],[Servicing Spread]])</f>
        <v>0.94852570352587806</v>
      </c>
      <c r="L36" s="118">
        <f>CurrentMtgRatesDataTable811[[#This Row],[Servicing Spread Non-Zero]]-K35</f>
        <v>-3.6572906718714826E-3</v>
      </c>
      <c r="M36" s="118">
        <f>IF(I35&lt;&gt;0,CurrentMtgRatesDataTable811[[#This Row],[Rate]]-C35,M35)</f>
        <v>-6.0000000000000053E-2</v>
      </c>
    </row>
    <row r="37" spans="1:22" s="78" customFormat="1">
      <c r="A37" s="119" t="s">
        <v>140</v>
      </c>
      <c r="B37" s="120">
        <v>2.4315261347107602</v>
      </c>
      <c r="C37" s="121">
        <v>3.46</v>
      </c>
      <c r="D37" s="118">
        <f t="shared" si="0"/>
        <v>1</v>
      </c>
      <c r="E37" s="118">
        <f t="shared" si="1"/>
        <v>0.2</v>
      </c>
      <c r="F37" s="118">
        <f t="shared" si="2"/>
        <v>1</v>
      </c>
      <c r="G37" s="118">
        <f t="shared" si="3"/>
        <v>0.48630522694215206</v>
      </c>
      <c r="H37" s="118">
        <f t="shared" si="4"/>
        <v>0.2</v>
      </c>
      <c r="I37" s="118">
        <f t="shared" si="5"/>
        <v>0</v>
      </c>
      <c r="J37" s="118">
        <f>IF(CurrentMtgRatesDataTable811[[#This Row],[WA CC]]&lt;&gt;0,C36-CurrentMtgRatesDataTable811[[#This Row],[WA CC]],0)</f>
        <v>0</v>
      </c>
      <c r="K37" s="118">
        <f>IF(CurrentMtgRatesDataTable811[[#This Row],[Servicing Spread]]&lt;=0,K36,CurrentMtgRatesDataTable811[[#This Row],[Servicing Spread]])</f>
        <v>0.94852570352587806</v>
      </c>
      <c r="L37" s="118">
        <f>CurrentMtgRatesDataTable811[[#This Row],[Servicing Spread Non-Zero]]-K36</f>
        <v>0</v>
      </c>
      <c r="M37" s="118">
        <f>IF(I36&lt;&gt;0,CurrentMtgRatesDataTable811[[#This Row],[Rate]]-C36,M36)</f>
        <v>4.4999999999999929E-2</v>
      </c>
    </row>
    <row r="38" spans="1:22" s="78" customFormat="1">
      <c r="A38" s="119" t="s">
        <v>141</v>
      </c>
      <c r="B38" s="120">
        <v>2.47900822312821</v>
      </c>
      <c r="C38" s="121">
        <v>3.46</v>
      </c>
      <c r="D38" s="118">
        <f t="shared" si="0"/>
        <v>2</v>
      </c>
      <c r="E38" s="118">
        <f t="shared" si="1"/>
        <v>0.2</v>
      </c>
      <c r="F38" s="118">
        <f t="shared" si="2"/>
        <v>2</v>
      </c>
      <c r="G38" s="118">
        <f t="shared" si="3"/>
        <v>0.98210687156779408</v>
      </c>
      <c r="H38" s="118">
        <f t="shared" si="4"/>
        <v>0.4</v>
      </c>
      <c r="I38" s="118">
        <f t="shared" si="5"/>
        <v>0</v>
      </c>
      <c r="J38" s="118">
        <f>IF(CurrentMtgRatesDataTable811[[#This Row],[WA CC]]&lt;&gt;0,C37-CurrentMtgRatesDataTable811[[#This Row],[WA CC]],0)</f>
        <v>0</v>
      </c>
      <c r="K38" s="118">
        <f>IF(CurrentMtgRatesDataTable811[[#This Row],[Servicing Spread]]&lt;=0,K37,CurrentMtgRatesDataTable811[[#This Row],[Servicing Spread]])</f>
        <v>0.94852570352587806</v>
      </c>
      <c r="L38" s="118">
        <f>CurrentMtgRatesDataTable811[[#This Row],[Servicing Spread Non-Zero]]-K37</f>
        <v>0</v>
      </c>
      <c r="M38" s="118">
        <f>IF(I37&lt;&gt;0,CurrentMtgRatesDataTable811[[#This Row],[Rate]]-C37,M37)</f>
        <v>4.4999999999999929E-2</v>
      </c>
    </row>
    <row r="39" spans="1:22" s="78" customFormat="1">
      <c r="A39" s="119" t="s">
        <v>142</v>
      </c>
      <c r="B39" s="120">
        <v>2.50328408923819</v>
      </c>
      <c r="C39" s="121">
        <v>3.46</v>
      </c>
      <c r="D39" s="118">
        <f t="shared" si="0"/>
        <v>5</v>
      </c>
      <c r="E39" s="118">
        <f t="shared" si="1"/>
        <v>0.2</v>
      </c>
      <c r="F39" s="118">
        <f t="shared" si="2"/>
        <v>3</v>
      </c>
      <c r="G39" s="118">
        <f t="shared" si="3"/>
        <v>1.4827636894154321</v>
      </c>
      <c r="H39" s="118">
        <f t="shared" si="4"/>
        <v>0.60000000000000009</v>
      </c>
      <c r="I39" s="118">
        <f t="shared" si="5"/>
        <v>0</v>
      </c>
      <c r="J39" s="118">
        <f>IF(CurrentMtgRatesDataTable811[[#This Row],[WA CC]]&lt;&gt;0,C38-CurrentMtgRatesDataTable811[[#This Row],[WA CC]],0)</f>
        <v>0</v>
      </c>
      <c r="K39" s="118">
        <f>IF(CurrentMtgRatesDataTable811[[#This Row],[Servicing Spread]]&lt;=0,K38,CurrentMtgRatesDataTable811[[#This Row],[Servicing Spread]])</f>
        <v>0.94852570352587806</v>
      </c>
      <c r="L39" s="118">
        <f>CurrentMtgRatesDataTable811[[#This Row],[Servicing Spread Non-Zero]]-K38</f>
        <v>0</v>
      </c>
      <c r="M39" s="118">
        <f>IF(I38&lt;&gt;0,CurrentMtgRatesDataTable811[[#This Row],[Rate]]-C38,M38)</f>
        <v>4.4999999999999929E-2</v>
      </c>
    </row>
    <row r="40" spans="1:22" s="78" customFormat="1">
      <c r="A40" s="119" t="s">
        <v>143</v>
      </c>
      <c r="B40" s="120">
        <v>2.5153297074650598</v>
      </c>
      <c r="C40" s="121">
        <v>3.46</v>
      </c>
      <c r="D40" s="118">
        <f t="shared" si="0"/>
        <v>6</v>
      </c>
      <c r="E40" s="118">
        <f t="shared" si="1"/>
        <v>0.2</v>
      </c>
      <c r="F40" s="118">
        <f t="shared" si="2"/>
        <v>4</v>
      </c>
      <c r="G40" s="118">
        <f t="shared" si="3"/>
        <v>1.985829630908444</v>
      </c>
      <c r="H40" s="118">
        <f t="shared" si="4"/>
        <v>0.8</v>
      </c>
      <c r="I40" s="118">
        <f t="shared" si="5"/>
        <v>0</v>
      </c>
      <c r="J40" s="118">
        <f>IF(CurrentMtgRatesDataTable811[[#This Row],[WA CC]]&lt;&gt;0,C39-CurrentMtgRatesDataTable811[[#This Row],[WA CC]],0)</f>
        <v>0</v>
      </c>
      <c r="K40" s="118">
        <f>IF(CurrentMtgRatesDataTable811[[#This Row],[Servicing Spread]]&lt;=0,K39,CurrentMtgRatesDataTable811[[#This Row],[Servicing Spread]])</f>
        <v>0.94852570352587806</v>
      </c>
      <c r="L40" s="118">
        <f>CurrentMtgRatesDataTable811[[#This Row],[Servicing Spread Non-Zero]]-K39</f>
        <v>0</v>
      </c>
      <c r="M40" s="118">
        <f>IF(I39&lt;&gt;0,CurrentMtgRatesDataTable811[[#This Row],[Rate]]-C39,M39)</f>
        <v>4.4999999999999929E-2</v>
      </c>
    </row>
    <row r="41" spans="1:22" s="78" customFormat="1">
      <c r="A41" s="119" t="s">
        <v>144</v>
      </c>
      <c r="B41" s="120">
        <v>2.51044994669209</v>
      </c>
      <c r="C41" s="121">
        <v>3.46</v>
      </c>
      <c r="D41" s="118">
        <f t="shared" si="0"/>
        <v>7</v>
      </c>
      <c r="E41" s="118">
        <f t="shared" si="1"/>
        <v>0.2</v>
      </c>
      <c r="F41" s="118">
        <f t="shared" si="2"/>
        <v>5</v>
      </c>
      <c r="G41" s="118">
        <f t="shared" si="3"/>
        <v>2.4879196202468621</v>
      </c>
      <c r="H41" s="118">
        <f t="shared" si="4"/>
        <v>1</v>
      </c>
      <c r="I41" s="118">
        <f t="shared" si="5"/>
        <v>2.4879196202468621</v>
      </c>
      <c r="J41" s="118">
        <f>IF(CurrentMtgRatesDataTable811[[#This Row],[WA CC]]&lt;&gt;0,C40-CurrentMtgRatesDataTable811[[#This Row],[WA CC]],0)</f>
        <v>0.97208037975313788</v>
      </c>
      <c r="K41" s="118">
        <f>IF(CurrentMtgRatesDataTable811[[#This Row],[Servicing Spread]]&lt;=0,K40,CurrentMtgRatesDataTable811[[#This Row],[Servicing Spread]])</f>
        <v>0.97208037975313788</v>
      </c>
      <c r="L41" s="118">
        <f>CurrentMtgRatesDataTable811[[#This Row],[Servicing Spread Non-Zero]]-K40</f>
        <v>2.3554676227259819E-2</v>
      </c>
      <c r="M41" s="118">
        <f>IF(I40&lt;&gt;0,CurrentMtgRatesDataTable811[[#This Row],[Rate]]-C40,M40)</f>
        <v>4.4999999999999929E-2</v>
      </c>
    </row>
    <row r="42" spans="1:22" s="78" customFormat="1">
      <c r="A42" s="74"/>
      <c r="B42" s="74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</row>
    <row r="43" spans="1:22" s="78" customFormat="1">
      <c r="A43" s="74"/>
      <c r="B43" s="74"/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</row>
    <row r="44" spans="1:22" s="78" customFormat="1">
      <c r="A44" s="74"/>
      <c r="B44" s="74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</row>
    <row r="45" spans="1:22" s="78" customFormat="1">
      <c r="A45" s="74"/>
      <c r="B45" s="74"/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</row>
    <row r="46" spans="1:22" s="78" customFormat="1">
      <c r="A46" s="74"/>
      <c r="B46" s="74"/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</row>
    <row r="47" spans="1:22" s="78" customFormat="1">
      <c r="A47" s="74"/>
      <c r="B47" s="74"/>
      <c r="C47" s="74"/>
      <c r="D47" s="74"/>
      <c r="E47" s="74"/>
      <c r="F47" s="74"/>
      <c r="G47" s="74"/>
      <c r="H47" s="74"/>
      <c r="I47" s="74"/>
      <c r="J47" s="74"/>
      <c r="K47" s="74"/>
      <c r="L47" s="74"/>
      <c r="M47" s="74"/>
    </row>
    <row r="48" spans="1:22" s="78" customFormat="1">
      <c r="A48" s="74"/>
      <c r="B48" s="74"/>
      <c r="C48" s="74"/>
      <c r="D48" s="74"/>
      <c r="E48" s="74"/>
      <c r="F48" s="74"/>
      <c r="G48" s="74"/>
      <c r="H48" s="74"/>
      <c r="I48" s="74"/>
      <c r="J48" s="74"/>
      <c r="K48" s="74"/>
      <c r="L48" s="74"/>
      <c r="M48" s="74"/>
      <c r="V48" s="74"/>
    </row>
    <row r="49" spans="1:22" s="78" customFormat="1">
      <c r="A49" s="74"/>
      <c r="B49" s="74"/>
      <c r="C49" s="74"/>
      <c r="D49" s="74"/>
      <c r="E49" s="74"/>
      <c r="F49" s="74"/>
      <c r="G49" s="74"/>
      <c r="H49" s="74"/>
      <c r="I49" s="74"/>
      <c r="J49" s="74"/>
      <c r="K49" s="74"/>
      <c r="L49" s="74"/>
      <c r="M49" s="74"/>
      <c r="V49" s="74"/>
    </row>
    <row r="50" spans="1:22" s="78" customFormat="1">
      <c r="A50" s="74"/>
      <c r="B50" s="74"/>
      <c r="C50" s="74"/>
      <c r="D50" s="74"/>
      <c r="E50" s="74"/>
      <c r="F50" s="74"/>
      <c r="G50" s="74"/>
      <c r="H50" s="74"/>
      <c r="I50" s="74"/>
      <c r="J50" s="74"/>
      <c r="K50" s="74"/>
      <c r="L50" s="74"/>
      <c r="M50" s="74"/>
      <c r="T50" s="74"/>
      <c r="U50" s="74"/>
      <c r="V50" s="74"/>
    </row>
    <row r="51" spans="1:22" s="78" customFormat="1">
      <c r="A51" s="74"/>
      <c r="B51" s="74"/>
      <c r="C51" s="74"/>
      <c r="D51" s="74"/>
      <c r="E51" s="74"/>
      <c r="F51" s="74"/>
      <c r="G51" s="74"/>
      <c r="H51" s="74"/>
      <c r="I51" s="74"/>
      <c r="J51" s="74"/>
      <c r="K51" s="74"/>
      <c r="L51" s="74"/>
      <c r="M51" s="74"/>
      <c r="T51" s="74"/>
      <c r="U51" s="74"/>
      <c r="V51" s="74"/>
    </row>
    <row r="52" spans="1:22" s="78" customFormat="1">
      <c r="A52" s="74"/>
      <c r="B52" s="74"/>
      <c r="C52" s="74"/>
      <c r="D52" s="74"/>
      <c r="E52" s="74"/>
      <c r="F52" s="74"/>
      <c r="G52" s="74"/>
      <c r="H52" s="74"/>
      <c r="I52" s="74"/>
      <c r="J52" s="74"/>
      <c r="K52" s="74"/>
      <c r="L52" s="74"/>
      <c r="M52" s="74"/>
      <c r="T52" s="74"/>
      <c r="U52" s="74"/>
      <c r="V52" s="74"/>
    </row>
    <row r="53" spans="1:22" s="78" customFormat="1">
      <c r="A53" s="74"/>
      <c r="B53" s="74"/>
      <c r="C53" s="74"/>
      <c r="D53" s="74"/>
      <c r="E53" s="74"/>
      <c r="F53" s="74"/>
      <c r="G53" s="74"/>
      <c r="H53" s="74"/>
      <c r="I53" s="74"/>
      <c r="J53" s="74"/>
      <c r="K53" s="74"/>
      <c r="L53" s="74"/>
      <c r="M53" s="74"/>
      <c r="T53" s="74"/>
      <c r="U53" s="74"/>
      <c r="V53" s="74"/>
    </row>
    <row r="54" spans="1:22" s="78" customFormat="1">
      <c r="A54" s="74"/>
      <c r="B54" s="74"/>
      <c r="C54" s="74"/>
      <c r="D54" s="74"/>
      <c r="E54" s="74"/>
      <c r="F54" s="74"/>
      <c r="G54" s="74"/>
      <c r="H54" s="74"/>
      <c r="I54" s="74"/>
      <c r="J54" s="74"/>
      <c r="K54" s="74"/>
      <c r="L54" s="74"/>
      <c r="M54" s="74"/>
      <c r="T54" s="74"/>
      <c r="U54" s="74"/>
      <c r="V54" s="74"/>
    </row>
    <row r="55" spans="1:22" s="78" customFormat="1">
      <c r="A55" s="74"/>
      <c r="B55" s="74"/>
      <c r="C55" s="74"/>
      <c r="D55" s="74"/>
      <c r="E55" s="74"/>
      <c r="F55" s="74"/>
      <c r="G55" s="74"/>
      <c r="H55" s="74"/>
      <c r="I55" s="74"/>
      <c r="J55" s="74"/>
      <c r="K55" s="74"/>
      <c r="L55" s="74"/>
      <c r="M55" s="74"/>
      <c r="T55" s="74"/>
      <c r="U55" s="74"/>
      <c r="V55" s="74"/>
    </row>
    <row r="56" spans="1:22" s="78" customFormat="1">
      <c r="A56" s="74"/>
      <c r="B56" s="74"/>
      <c r="C56" s="74"/>
      <c r="D56" s="74"/>
      <c r="E56" s="74"/>
      <c r="F56" s="74"/>
      <c r="G56" s="74"/>
      <c r="H56" s="74"/>
      <c r="I56" s="74"/>
      <c r="J56" s="74"/>
      <c r="K56" s="74"/>
      <c r="L56" s="74"/>
      <c r="M56" s="74"/>
      <c r="T56" s="74"/>
      <c r="U56" s="74"/>
      <c r="V56" s="74"/>
    </row>
    <row r="57" spans="1:22" s="78" customFormat="1">
      <c r="A57" s="74"/>
      <c r="B57" s="74"/>
      <c r="C57" s="74"/>
      <c r="D57" s="74"/>
      <c r="E57" s="74"/>
      <c r="F57" s="74"/>
      <c r="G57" s="74"/>
      <c r="H57" s="74"/>
      <c r="I57" s="74"/>
      <c r="J57" s="74"/>
      <c r="K57" s="74"/>
      <c r="L57" s="74"/>
      <c r="M57" s="74"/>
      <c r="T57" s="74"/>
      <c r="U57" s="74"/>
      <c r="V57" s="74"/>
    </row>
    <row r="58" spans="1:22" s="78" customFormat="1">
      <c r="A58" s="74"/>
      <c r="B58" s="74"/>
      <c r="C58" s="74"/>
      <c r="D58" s="74"/>
      <c r="E58" s="74"/>
      <c r="F58" s="74"/>
      <c r="G58" s="74"/>
      <c r="H58" s="74"/>
      <c r="I58" s="74"/>
      <c r="J58" s="74"/>
      <c r="K58" s="74"/>
      <c r="L58" s="74"/>
      <c r="M58" s="74"/>
      <c r="T58" s="74"/>
      <c r="U58" s="74"/>
      <c r="V58" s="74"/>
    </row>
    <row r="59" spans="1:22" s="78" customFormat="1">
      <c r="A59" s="74"/>
      <c r="B59" s="74"/>
      <c r="C59" s="74"/>
      <c r="D59" s="74"/>
      <c r="E59" s="74"/>
      <c r="F59" s="74"/>
      <c r="G59" s="74"/>
      <c r="H59" s="74"/>
      <c r="I59" s="74"/>
      <c r="J59" s="74"/>
      <c r="K59" s="74"/>
      <c r="L59" s="74"/>
      <c r="M59" s="74"/>
      <c r="T59" s="74"/>
      <c r="U59" s="74"/>
      <c r="V59" s="74"/>
    </row>
    <row r="60" spans="1:22" s="78" customFormat="1">
      <c r="A60" s="74"/>
      <c r="B60" s="74"/>
      <c r="C60" s="74"/>
      <c r="D60" s="74"/>
      <c r="E60" s="74"/>
      <c r="F60" s="74"/>
      <c r="G60" s="74"/>
      <c r="H60" s="74"/>
      <c r="I60" s="74"/>
      <c r="J60" s="74"/>
      <c r="K60" s="74"/>
      <c r="L60" s="74"/>
      <c r="M60" s="74"/>
      <c r="T60" s="74"/>
      <c r="U60" s="74"/>
      <c r="V60" s="74"/>
    </row>
    <row r="61" spans="1:22" s="78" customFormat="1">
      <c r="A61" s="74"/>
      <c r="B61" s="74"/>
      <c r="C61" s="74"/>
      <c r="D61" s="74"/>
      <c r="E61" s="74"/>
      <c r="F61" s="74"/>
      <c r="G61" s="74"/>
      <c r="H61" s="74"/>
      <c r="I61" s="74"/>
      <c r="J61" s="74"/>
      <c r="K61" s="74"/>
      <c r="L61" s="74"/>
      <c r="M61" s="74"/>
      <c r="T61" s="74"/>
      <c r="U61" s="74"/>
      <c r="V61" s="74"/>
    </row>
    <row r="62" spans="1:22" s="78" customFormat="1">
      <c r="A62" s="74"/>
      <c r="B62" s="74"/>
      <c r="C62" s="74"/>
      <c r="D62" s="74"/>
      <c r="E62" s="74"/>
      <c r="F62" s="74"/>
      <c r="G62" s="74"/>
      <c r="H62" s="74"/>
      <c r="I62" s="74"/>
      <c r="J62" s="74"/>
      <c r="K62" s="74"/>
      <c r="L62" s="74"/>
      <c r="M62" s="74"/>
      <c r="T62" s="74"/>
      <c r="U62" s="74"/>
      <c r="V62" s="74"/>
    </row>
    <row r="63" spans="1:22" s="78" customFormat="1">
      <c r="A63" s="74"/>
      <c r="B63" s="74"/>
      <c r="C63" s="74"/>
      <c r="D63" s="74"/>
      <c r="E63" s="74"/>
      <c r="F63" s="74"/>
      <c r="G63" s="74"/>
      <c r="H63" s="74"/>
      <c r="I63" s="74"/>
      <c r="J63" s="74"/>
      <c r="K63" s="74"/>
      <c r="L63" s="74"/>
      <c r="M63" s="74"/>
      <c r="T63" s="74"/>
      <c r="U63" s="74"/>
      <c r="V63" s="74"/>
    </row>
    <row r="64" spans="1:22" s="78" customFormat="1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4"/>
      <c r="M64" s="74"/>
      <c r="T64" s="74"/>
      <c r="U64" s="74"/>
      <c r="V64" s="74"/>
    </row>
    <row r="65" spans="1:22" s="78" customFormat="1">
      <c r="A65" s="74"/>
      <c r="B65" s="74"/>
      <c r="C65" s="74"/>
      <c r="D65" s="74"/>
      <c r="E65" s="74"/>
      <c r="F65" s="74"/>
      <c r="G65" s="74"/>
      <c r="H65" s="74"/>
      <c r="I65" s="74"/>
      <c r="J65" s="74"/>
      <c r="K65" s="74"/>
      <c r="L65" s="74"/>
      <c r="M65" s="74"/>
      <c r="T65" s="74"/>
      <c r="U65" s="74"/>
      <c r="V65" s="74"/>
    </row>
    <row r="66" spans="1:22" s="78" customFormat="1">
      <c r="A66" s="74"/>
      <c r="B66" s="74"/>
      <c r="C66" s="74"/>
      <c r="D66" s="74"/>
      <c r="E66" s="74"/>
      <c r="F66" s="74"/>
      <c r="G66" s="74"/>
      <c r="H66" s="74"/>
      <c r="I66" s="74"/>
      <c r="J66" s="74"/>
      <c r="K66" s="74"/>
      <c r="L66" s="74"/>
      <c r="M66" s="74"/>
      <c r="T66" s="74"/>
      <c r="U66" s="74"/>
      <c r="V66" s="74"/>
    </row>
    <row r="67" spans="1:22" s="78" customFormat="1">
      <c r="A67" s="74"/>
      <c r="B67" s="74"/>
      <c r="C67" s="74"/>
      <c r="D67" s="74"/>
      <c r="E67" s="74"/>
      <c r="F67" s="74"/>
      <c r="G67" s="74"/>
      <c r="H67" s="74"/>
      <c r="I67" s="74"/>
      <c r="J67" s="74"/>
      <c r="K67" s="74"/>
      <c r="L67" s="74"/>
      <c r="M67" s="74"/>
      <c r="T67" s="74"/>
      <c r="U67" s="74"/>
      <c r="V67" s="74"/>
    </row>
    <row r="68" spans="1:22">
      <c r="N68" s="78"/>
      <c r="O68" s="78"/>
      <c r="P68" s="78"/>
      <c r="Q68" s="78"/>
      <c r="R68" s="78"/>
      <c r="S68" s="78"/>
    </row>
    <row r="69" spans="1:22">
      <c r="N69" s="78"/>
      <c r="O69" s="78"/>
      <c r="P69" s="78"/>
      <c r="Q69" s="78"/>
      <c r="R69" s="78"/>
      <c r="S69" s="78"/>
    </row>
    <row r="70" spans="1:22">
      <c r="N70" s="78"/>
      <c r="O70" s="78"/>
      <c r="P70" s="78"/>
      <c r="Q70" s="78"/>
      <c r="R70" s="78"/>
    </row>
    <row r="71" spans="1:22">
      <c r="N71" s="78"/>
      <c r="O71" s="78"/>
      <c r="P71" s="78"/>
      <c r="Q71" s="78"/>
      <c r="R71" s="78"/>
    </row>
    <row r="72" spans="1:22">
      <c r="N72" s="78"/>
      <c r="O72" s="78"/>
      <c r="P72" s="78"/>
      <c r="Q72" s="78"/>
      <c r="R72" s="78"/>
    </row>
    <row r="73" spans="1:22">
      <c r="N73" s="78"/>
      <c r="O73" s="78"/>
      <c r="P73" s="78"/>
      <c r="Q73" s="78"/>
      <c r="R73" s="78"/>
    </row>
    <row r="74" spans="1:22">
      <c r="N74" s="78"/>
      <c r="O74" s="78"/>
      <c r="P74" s="78"/>
      <c r="Q74" s="78"/>
      <c r="R74" s="78"/>
    </row>
    <row r="75" spans="1:22">
      <c r="N75" s="78"/>
      <c r="O75" s="78"/>
      <c r="P75" s="78"/>
      <c r="Q75" s="78"/>
      <c r="R75" s="78"/>
    </row>
    <row r="76" spans="1:22">
      <c r="N76" s="78"/>
      <c r="O76" s="78"/>
      <c r="P76" s="78"/>
      <c r="Q76" s="78"/>
      <c r="R76" s="78"/>
    </row>
    <row r="77" spans="1:22">
      <c r="N77" s="78"/>
      <c r="O77" s="78"/>
      <c r="P77" s="78"/>
      <c r="Q77" s="78"/>
      <c r="R77" s="78"/>
    </row>
    <row r="78" spans="1:22">
      <c r="N78" s="78"/>
      <c r="O78" s="78"/>
      <c r="P78" s="78"/>
      <c r="Q78" s="78"/>
      <c r="R78" s="78"/>
    </row>
    <row r="79" spans="1:22">
      <c r="N79" s="79"/>
      <c r="O79" s="79"/>
      <c r="P79" s="79"/>
      <c r="Q79" s="79"/>
      <c r="R79" s="79"/>
    </row>
    <row r="80" spans="1:22">
      <c r="N80" s="79"/>
      <c r="O80" s="79"/>
      <c r="P80" s="79"/>
      <c r="Q80" s="79"/>
      <c r="R80" s="79"/>
    </row>
    <row r="81" spans="14:18">
      <c r="N81" s="79"/>
      <c r="O81" s="79"/>
      <c r="P81" s="79"/>
      <c r="Q81" s="79"/>
      <c r="R81" s="79"/>
    </row>
    <row r="82" spans="14:18">
      <c r="N82" s="79"/>
      <c r="O82" s="79"/>
      <c r="P82" s="79"/>
      <c r="Q82" s="79"/>
      <c r="R82" s="79"/>
    </row>
    <row r="83" spans="14:18">
      <c r="N83" s="79"/>
      <c r="O83" s="79"/>
      <c r="P83" s="79"/>
      <c r="Q83" s="79"/>
      <c r="R83" s="79"/>
    </row>
    <row r="84" spans="14:18">
      <c r="N84" s="79"/>
      <c r="O84" s="79"/>
      <c r="P84" s="79"/>
      <c r="Q84" s="79"/>
      <c r="R84" s="79"/>
    </row>
    <row r="85" spans="14:18">
      <c r="N85" s="79"/>
      <c r="O85" s="79"/>
      <c r="P85" s="79"/>
      <c r="Q85" s="79"/>
      <c r="R85" s="79"/>
    </row>
    <row r="86" spans="14:18">
      <c r="N86" s="79"/>
      <c r="O86" s="79"/>
      <c r="P86" s="79"/>
      <c r="Q86" s="79"/>
      <c r="R86" s="79"/>
    </row>
    <row r="87" spans="14:18">
      <c r="N87" s="79"/>
      <c r="O87" s="79"/>
      <c r="P87" s="79"/>
      <c r="Q87" s="79"/>
      <c r="R87" s="79"/>
    </row>
    <row r="88" spans="14:18">
      <c r="N88" s="79"/>
      <c r="O88" s="79"/>
      <c r="P88" s="79"/>
      <c r="Q88" s="79"/>
      <c r="R88" s="79"/>
    </row>
    <row r="89" spans="14:18">
      <c r="N89" s="79"/>
      <c r="O89" s="79"/>
      <c r="P89" s="79"/>
      <c r="Q89" s="79"/>
      <c r="R89" s="79"/>
    </row>
    <row r="90" spans="14:18">
      <c r="N90" s="79"/>
      <c r="O90" s="79"/>
      <c r="P90" s="79"/>
      <c r="Q90" s="79"/>
      <c r="R90" s="79"/>
    </row>
    <row r="91" spans="14:18">
      <c r="N91" s="79"/>
      <c r="O91" s="79"/>
      <c r="P91" s="79"/>
      <c r="Q91" s="79"/>
      <c r="R91" s="79"/>
    </row>
    <row r="92" spans="14:18">
      <c r="N92" s="79"/>
      <c r="O92" s="79"/>
      <c r="P92" s="79"/>
      <c r="Q92" s="79"/>
      <c r="R92" s="79"/>
    </row>
    <row r="93" spans="14:18">
      <c r="N93" s="79"/>
      <c r="O93" s="79"/>
      <c r="P93" s="79"/>
      <c r="Q93" s="79"/>
      <c r="R93" s="79"/>
    </row>
    <row r="94" spans="14:18">
      <c r="N94" s="79"/>
      <c r="O94" s="79"/>
      <c r="P94" s="79"/>
      <c r="Q94" s="79"/>
      <c r="R94" s="79"/>
    </row>
    <row r="95" spans="14:18">
      <c r="N95" s="79"/>
      <c r="O95" s="79"/>
      <c r="P95" s="79"/>
      <c r="Q95" s="79"/>
      <c r="R95" s="79"/>
    </row>
    <row r="96" spans="14:18">
      <c r="N96" s="79"/>
      <c r="O96" s="79"/>
      <c r="P96" s="79"/>
      <c r="Q96" s="79"/>
      <c r="R96" s="79"/>
    </row>
    <row r="97" spans="14:18">
      <c r="N97" s="79"/>
      <c r="O97" s="79"/>
      <c r="P97" s="79"/>
      <c r="Q97" s="79"/>
      <c r="R97" s="79"/>
    </row>
    <row r="98" spans="14:18">
      <c r="N98" s="79"/>
      <c r="O98" s="79"/>
      <c r="P98" s="79"/>
      <c r="Q98" s="79"/>
      <c r="R98" s="79"/>
    </row>
    <row r="99" spans="14:18">
      <c r="N99" s="79"/>
      <c r="O99" s="79"/>
      <c r="P99" s="79"/>
      <c r="Q99" s="79"/>
      <c r="R99" s="79"/>
    </row>
    <row r="100" spans="14:18">
      <c r="N100" s="79"/>
      <c r="O100" s="79"/>
      <c r="P100" s="79"/>
      <c r="Q100" s="79"/>
      <c r="R100" s="79"/>
    </row>
    <row r="101" spans="14:18">
      <c r="N101" s="79"/>
      <c r="O101" s="79"/>
      <c r="P101" s="79"/>
      <c r="Q101" s="79"/>
      <c r="R101" s="79"/>
    </row>
    <row r="102" spans="14:18">
      <c r="N102" s="79"/>
      <c r="O102" s="79"/>
      <c r="P102" s="79"/>
      <c r="Q102" s="79"/>
      <c r="R102" s="79"/>
    </row>
    <row r="103" spans="14:18">
      <c r="N103" s="79"/>
      <c r="O103" s="79"/>
      <c r="P103" s="79"/>
      <c r="Q103" s="79"/>
      <c r="R103" s="79"/>
    </row>
    <row r="104" spans="14:18">
      <c r="N104" s="79"/>
      <c r="O104" s="79"/>
      <c r="P104" s="79"/>
      <c r="Q104" s="79"/>
      <c r="R104" s="79"/>
    </row>
    <row r="105" spans="14:18">
      <c r="N105" s="79"/>
      <c r="O105" s="79"/>
      <c r="P105" s="79"/>
      <c r="Q105" s="79"/>
      <c r="R105" s="79"/>
    </row>
    <row r="106" spans="14:18">
      <c r="N106" s="79"/>
      <c r="O106" s="79"/>
      <c r="P106" s="79"/>
      <c r="Q106" s="79"/>
      <c r="R106" s="79"/>
    </row>
    <row r="107" spans="14:18">
      <c r="N107" s="79"/>
      <c r="O107" s="79"/>
      <c r="P107" s="79"/>
      <c r="Q107" s="79"/>
      <c r="R107" s="79"/>
    </row>
    <row r="108" spans="14:18">
      <c r="N108" s="79"/>
      <c r="O108" s="79"/>
      <c r="P108" s="79"/>
      <c r="Q108" s="79"/>
      <c r="R108" s="79"/>
    </row>
    <row r="109" spans="14:18">
      <c r="N109" s="79"/>
      <c r="O109" s="79"/>
      <c r="P109" s="79"/>
      <c r="Q109" s="79"/>
      <c r="R109" s="79"/>
    </row>
    <row r="110" spans="14:18">
      <c r="N110" s="79"/>
      <c r="O110" s="79"/>
      <c r="P110" s="79"/>
      <c r="Q110" s="79"/>
      <c r="R110" s="79"/>
    </row>
    <row r="111" spans="14:18">
      <c r="N111" s="79"/>
      <c r="O111" s="79"/>
      <c r="P111" s="79"/>
      <c r="Q111" s="79"/>
      <c r="R111" s="79"/>
    </row>
    <row r="112" spans="14:18">
      <c r="N112" s="79"/>
      <c r="O112" s="79"/>
      <c r="P112" s="79"/>
      <c r="Q112" s="79"/>
      <c r="R112" s="79"/>
    </row>
    <row r="113" spans="14:18">
      <c r="N113" s="79"/>
      <c r="O113" s="79"/>
      <c r="P113" s="79"/>
      <c r="Q113" s="79"/>
      <c r="R113" s="79"/>
    </row>
    <row r="114" spans="14:18">
      <c r="N114" s="79"/>
      <c r="O114" s="79"/>
      <c r="P114" s="79"/>
      <c r="Q114" s="79"/>
      <c r="R114" s="79"/>
    </row>
    <row r="115" spans="14:18">
      <c r="N115" s="79"/>
      <c r="O115" s="79"/>
      <c r="P115" s="79"/>
      <c r="Q115" s="79"/>
      <c r="R115" s="79"/>
    </row>
    <row r="116" spans="14:18">
      <c r="N116" s="79"/>
      <c r="O116" s="79"/>
      <c r="P116" s="79"/>
      <c r="Q116" s="79"/>
      <c r="R116" s="79"/>
    </row>
    <row r="117" spans="14:18">
      <c r="N117" s="79"/>
      <c r="O117" s="79"/>
      <c r="P117" s="79"/>
      <c r="Q117" s="79"/>
      <c r="R117" s="79"/>
    </row>
    <row r="118" spans="14:18">
      <c r="N118" s="79"/>
      <c r="O118" s="79"/>
      <c r="P118" s="79"/>
      <c r="Q118" s="79"/>
      <c r="R118" s="79"/>
    </row>
    <row r="119" spans="14:18">
      <c r="N119" s="79"/>
      <c r="O119" s="79"/>
      <c r="P119" s="79"/>
      <c r="Q119" s="79"/>
      <c r="R119" s="79"/>
    </row>
    <row r="120" spans="14:18">
      <c r="N120" s="79"/>
      <c r="O120" s="79"/>
      <c r="P120" s="79"/>
      <c r="Q120" s="79"/>
      <c r="R120" s="79"/>
    </row>
    <row r="121" spans="14:18">
      <c r="N121" s="79"/>
      <c r="O121" s="79"/>
      <c r="P121" s="79"/>
      <c r="Q121" s="79"/>
      <c r="R121" s="79"/>
    </row>
    <row r="122" spans="14:18">
      <c r="N122" s="79"/>
      <c r="O122" s="79"/>
      <c r="P122" s="79"/>
      <c r="Q122" s="79"/>
      <c r="R122" s="79"/>
    </row>
    <row r="123" spans="14:18">
      <c r="N123" s="79"/>
      <c r="O123" s="79"/>
      <c r="P123" s="79"/>
      <c r="Q123" s="79"/>
      <c r="R123" s="79"/>
    </row>
    <row r="124" spans="14:18">
      <c r="N124" s="79"/>
      <c r="O124" s="79"/>
      <c r="P124" s="79"/>
      <c r="Q124" s="79"/>
      <c r="R124" s="79"/>
    </row>
    <row r="125" spans="14:18">
      <c r="N125" s="79"/>
      <c r="O125" s="79"/>
      <c r="P125" s="79"/>
      <c r="Q125" s="79"/>
      <c r="R125" s="79"/>
    </row>
    <row r="126" spans="14:18">
      <c r="N126" s="79"/>
      <c r="O126" s="79"/>
      <c r="P126" s="79"/>
      <c r="Q126" s="79"/>
      <c r="R126" s="79"/>
    </row>
    <row r="127" spans="14:18">
      <c r="N127" s="79"/>
      <c r="O127" s="79"/>
      <c r="P127" s="79"/>
      <c r="Q127" s="79"/>
      <c r="R127" s="79"/>
    </row>
    <row r="128" spans="14:18">
      <c r="N128" s="79"/>
      <c r="O128" s="79"/>
      <c r="P128" s="79"/>
      <c r="Q128" s="79"/>
      <c r="R128" s="79"/>
    </row>
    <row r="129" spans="14:18">
      <c r="N129" s="79"/>
      <c r="O129" s="79"/>
      <c r="P129" s="79"/>
      <c r="Q129" s="79"/>
      <c r="R129" s="79"/>
    </row>
    <row r="130" spans="14:18">
      <c r="N130" s="79"/>
      <c r="O130" s="79"/>
      <c r="P130" s="79"/>
      <c r="Q130" s="79"/>
      <c r="R130" s="79"/>
    </row>
    <row r="131" spans="14:18">
      <c r="N131" s="79"/>
      <c r="O131" s="79"/>
      <c r="P131" s="79"/>
      <c r="Q131" s="79"/>
      <c r="R131" s="79"/>
    </row>
    <row r="132" spans="14:18">
      <c r="N132" s="79"/>
      <c r="O132" s="79"/>
      <c r="P132" s="79"/>
      <c r="Q132" s="79"/>
      <c r="R132" s="79"/>
    </row>
    <row r="133" spans="14:18">
      <c r="N133" s="79"/>
      <c r="O133" s="79"/>
      <c r="P133" s="79"/>
      <c r="Q133" s="79"/>
      <c r="R133" s="79"/>
    </row>
    <row r="134" spans="14:18">
      <c r="N134" s="79"/>
      <c r="O134" s="79"/>
      <c r="P134" s="79"/>
      <c r="Q134" s="79"/>
      <c r="R134" s="79"/>
    </row>
    <row r="135" spans="14:18">
      <c r="N135" s="79"/>
      <c r="O135" s="79"/>
      <c r="P135" s="79"/>
      <c r="Q135" s="79"/>
      <c r="R135" s="79"/>
    </row>
    <row r="136" spans="14:18">
      <c r="N136" s="79"/>
      <c r="O136" s="79"/>
      <c r="P136" s="79"/>
      <c r="Q136" s="79"/>
      <c r="R136" s="79"/>
    </row>
    <row r="137" spans="14:18">
      <c r="N137" s="79"/>
      <c r="O137" s="79"/>
      <c r="P137" s="79"/>
      <c r="Q137" s="79"/>
      <c r="R137" s="79"/>
    </row>
    <row r="138" spans="14:18">
      <c r="N138" s="79"/>
      <c r="O138" s="79"/>
      <c r="P138" s="79"/>
      <c r="Q138" s="79"/>
      <c r="R138" s="79"/>
    </row>
    <row r="139" spans="14:18">
      <c r="N139" s="79"/>
      <c r="O139" s="79"/>
      <c r="P139" s="79"/>
      <c r="Q139" s="79"/>
      <c r="R139" s="79"/>
    </row>
    <row r="140" spans="14:18">
      <c r="N140" s="79"/>
      <c r="O140" s="79"/>
      <c r="P140" s="79"/>
      <c r="Q140" s="79"/>
      <c r="R140" s="79"/>
    </row>
    <row r="141" spans="14:18">
      <c r="N141" s="79"/>
      <c r="O141" s="79"/>
      <c r="P141" s="79"/>
      <c r="Q141" s="79"/>
      <c r="R141" s="79"/>
    </row>
    <row r="142" spans="14:18">
      <c r="N142" s="79"/>
      <c r="O142" s="79"/>
      <c r="P142" s="79"/>
      <c r="Q142" s="79"/>
      <c r="R142" s="79"/>
    </row>
    <row r="143" spans="14:18">
      <c r="N143" s="79"/>
      <c r="O143" s="79"/>
      <c r="P143" s="79"/>
      <c r="Q143" s="79"/>
      <c r="R143" s="79"/>
    </row>
    <row r="144" spans="14:18">
      <c r="N144" s="79"/>
      <c r="O144" s="79"/>
      <c r="P144" s="79"/>
      <c r="Q144" s="79"/>
      <c r="R144" s="79"/>
    </row>
    <row r="145" spans="14:18">
      <c r="N145" s="79"/>
      <c r="O145" s="79"/>
      <c r="P145" s="79"/>
      <c r="Q145" s="79"/>
      <c r="R145" s="79"/>
    </row>
    <row r="146" spans="14:18">
      <c r="N146" s="79"/>
      <c r="O146" s="79"/>
      <c r="P146" s="79"/>
      <c r="Q146" s="79"/>
      <c r="R146" s="79"/>
    </row>
    <row r="147" spans="14:18">
      <c r="N147" s="79"/>
      <c r="O147" s="79"/>
      <c r="P147" s="79"/>
      <c r="Q147" s="79"/>
      <c r="R147" s="79"/>
    </row>
    <row r="148" spans="14:18">
      <c r="N148" s="79"/>
      <c r="O148" s="79"/>
      <c r="P148" s="79"/>
      <c r="Q148" s="79"/>
      <c r="R148" s="79"/>
    </row>
    <row r="149" spans="14:18">
      <c r="N149" s="79"/>
      <c r="O149" s="79"/>
      <c r="P149" s="79"/>
      <c r="Q149" s="79"/>
      <c r="R149" s="79"/>
    </row>
    <row r="150" spans="14:18">
      <c r="N150" s="79"/>
      <c r="O150" s="79"/>
      <c r="P150" s="79"/>
      <c r="Q150" s="79"/>
      <c r="R150" s="79"/>
    </row>
    <row r="151" spans="14:18">
      <c r="N151" s="79"/>
      <c r="O151" s="79"/>
      <c r="P151" s="79"/>
      <c r="Q151" s="79"/>
      <c r="R151" s="79"/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20</vt:i4>
      </vt:variant>
    </vt:vector>
  </HeadingPairs>
  <TitlesOfParts>
    <vt:vector size="25" baseType="lpstr">
      <vt:lpstr>Report</vt:lpstr>
      <vt:lpstr>Query</vt:lpstr>
      <vt:lpstr>Bloomberg</vt:lpstr>
      <vt:lpstr>Function Of Rate</vt:lpstr>
      <vt:lpstr>Current Coupon</vt:lpstr>
      <vt:lpstr>CurrentCloseDate</vt:lpstr>
      <vt:lpstr>CurrentRate</vt:lpstr>
      <vt:lpstr>CurrentRate1</vt:lpstr>
      <vt:lpstr>CurrentRateDate</vt:lpstr>
      <vt:lpstr>CurrMonth</vt:lpstr>
      <vt:lpstr>CuurentRate1</vt:lpstr>
      <vt:lpstr>CuurRate</vt:lpstr>
      <vt:lpstr>DatabaseEnv</vt:lpstr>
      <vt:lpstr>DateToChangeLag</vt:lpstr>
      <vt:lpstr>ImpliedRate</vt:lpstr>
      <vt:lpstr>LastMonth</vt:lpstr>
      <vt:lpstr>LastThursday</vt:lpstr>
      <vt:lpstr>PDFReportDir</vt:lpstr>
      <vt:lpstr>PDFReportName</vt:lpstr>
      <vt:lpstr>Report!Print_Area</vt:lpstr>
      <vt:lpstr>SaveRatesToDB</vt:lpstr>
      <vt:lpstr>ServSpread</vt:lpstr>
      <vt:lpstr>SPREAD_DATE</vt:lpstr>
      <vt:lpstr>Query!temp</vt:lpstr>
      <vt:lpstr>Query!temp_2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IT-Processing</cp:lastModifiedBy>
  <cp:lastPrinted>2016-06-29T21:53:02Z</cp:lastPrinted>
  <dcterms:created xsi:type="dcterms:W3CDTF">2006-09-16T00:00:00Z</dcterms:created>
  <dcterms:modified xsi:type="dcterms:W3CDTF">2016-06-29T21:53:03Z</dcterms:modified>
</cp:coreProperties>
</file>