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 activeTab="2"/>
  </bookViews>
  <sheets>
    <sheet name="Report" sheetId="4" r:id="rId1"/>
    <sheet name="Time Series Query" sheetId="5" r:id="rId2"/>
    <sheet name="Dynamic Pivot" sheetId="11" r:id="rId3"/>
    <sheet name="Historic Change" sheetId="12" r:id="rId4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newDataPoint">'Dynamic Pivot'!$P$3</definedName>
    <definedName name="PDFReportDir">Report!$T$3</definedName>
    <definedName name="PDFReportName">Report!$T$4</definedName>
    <definedName name="_xlnm.Print_Area" localSheetId="0">Report!$D$7:$Q$59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2" localSheetId="1" hidden="1">'Time Series Query'!#REF!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Query'!$A$4:$C$816</definedName>
    <definedName name="SaveRatesToDB">Report!$V$1</definedName>
  </definedNames>
  <calcPr calcId="145621"/>
  <pivotCaches>
    <pivotCache cacheId="28" r:id="rId5"/>
  </pivotCaches>
</workbook>
</file>

<file path=xl/calcChain.xml><?xml version="1.0" encoding="utf-8"?>
<calcChain xmlns="http://schemas.openxmlformats.org/spreadsheetml/2006/main">
  <c r="D5" i="5" l="1"/>
  <c r="D6" i="5"/>
  <c r="D7" i="5"/>
  <c r="D8" i="5"/>
  <c r="F8" i="5" s="1"/>
  <c r="D9" i="5"/>
  <c r="D10" i="5"/>
  <c r="D11" i="5"/>
  <c r="E11" i="5" s="1"/>
  <c r="D12" i="5"/>
  <c r="D13" i="5"/>
  <c r="D14" i="5"/>
  <c r="D15" i="5"/>
  <c r="D16" i="5"/>
  <c r="D17" i="5"/>
  <c r="D18" i="5"/>
  <c r="D19" i="5"/>
  <c r="E19" i="5" s="1"/>
  <c r="D20" i="5"/>
  <c r="D21" i="5"/>
  <c r="D22" i="5"/>
  <c r="D23" i="5"/>
  <c r="D24" i="5"/>
  <c r="D25" i="5"/>
  <c r="D26" i="5"/>
  <c r="D27" i="5"/>
  <c r="E27" i="5" s="1"/>
  <c r="D28" i="5"/>
  <c r="D29" i="5"/>
  <c r="D30" i="5"/>
  <c r="D31" i="5"/>
  <c r="D32" i="5"/>
  <c r="D33" i="5"/>
  <c r="D34" i="5"/>
  <c r="D35" i="5"/>
  <c r="E35" i="5" s="1"/>
  <c r="D36" i="5"/>
  <c r="D37" i="5"/>
  <c r="D38" i="5"/>
  <c r="D39" i="5"/>
  <c r="D40" i="5"/>
  <c r="D41" i="5"/>
  <c r="D42" i="5"/>
  <c r="D43" i="5"/>
  <c r="E43" i="5" s="1"/>
  <c r="D44" i="5"/>
  <c r="D45" i="5"/>
  <c r="D46" i="5"/>
  <c r="D47" i="5"/>
  <c r="D48" i="5"/>
  <c r="D49" i="5"/>
  <c r="D50" i="5"/>
  <c r="D51" i="5"/>
  <c r="E51" i="5" s="1"/>
  <c r="D52" i="5"/>
  <c r="D53" i="5"/>
  <c r="D54" i="5"/>
  <c r="D55" i="5"/>
  <c r="D56" i="5"/>
  <c r="D57" i="5"/>
  <c r="D58" i="5"/>
  <c r="D59" i="5"/>
  <c r="E59" i="5" s="1"/>
  <c r="D60" i="5"/>
  <c r="D61" i="5"/>
  <c r="D62" i="5"/>
  <c r="D63" i="5"/>
  <c r="D64" i="5"/>
  <c r="D65" i="5"/>
  <c r="D66" i="5"/>
  <c r="D67" i="5"/>
  <c r="E67" i="5" s="1"/>
  <c r="D68" i="5"/>
  <c r="D69" i="5"/>
  <c r="D70" i="5"/>
  <c r="D71" i="5"/>
  <c r="D72" i="5"/>
  <c r="D73" i="5"/>
  <c r="D74" i="5"/>
  <c r="D75" i="5"/>
  <c r="E75" i="5" s="1"/>
  <c r="D76" i="5"/>
  <c r="D77" i="5"/>
  <c r="D78" i="5"/>
  <c r="D79" i="5"/>
  <c r="D80" i="5"/>
  <c r="D81" i="5"/>
  <c r="D82" i="5"/>
  <c r="D83" i="5"/>
  <c r="E83" i="5" s="1"/>
  <c r="D84" i="5"/>
  <c r="D85" i="5"/>
  <c r="D86" i="5"/>
  <c r="D87" i="5"/>
  <c r="D88" i="5"/>
  <c r="D89" i="5"/>
  <c r="D90" i="5"/>
  <c r="D91" i="5"/>
  <c r="E91" i="5" s="1"/>
  <c r="D92" i="5"/>
  <c r="D93" i="5"/>
  <c r="D94" i="5"/>
  <c r="D95" i="5"/>
  <c r="D96" i="5"/>
  <c r="D97" i="5"/>
  <c r="D98" i="5"/>
  <c r="D99" i="5"/>
  <c r="E99" i="5" s="1"/>
  <c r="D100" i="5"/>
  <c r="D101" i="5"/>
  <c r="D102" i="5"/>
  <c r="D103" i="5"/>
  <c r="D104" i="5"/>
  <c r="D105" i="5"/>
  <c r="D106" i="5"/>
  <c r="D107" i="5"/>
  <c r="E107" i="5" s="1"/>
  <c r="D108" i="5"/>
  <c r="D109" i="5"/>
  <c r="D110" i="5"/>
  <c r="D111" i="5"/>
  <c r="D112" i="5"/>
  <c r="D113" i="5"/>
  <c r="D114" i="5"/>
  <c r="D115" i="5"/>
  <c r="E115" i="5" s="1"/>
  <c r="D116" i="5"/>
  <c r="D117" i="5"/>
  <c r="D118" i="5"/>
  <c r="D119" i="5"/>
  <c r="D120" i="5"/>
  <c r="D121" i="5"/>
  <c r="D122" i="5"/>
  <c r="D123" i="5"/>
  <c r="E123" i="5" s="1"/>
  <c r="D124" i="5"/>
  <c r="D125" i="5"/>
  <c r="D126" i="5"/>
  <c r="D127" i="5"/>
  <c r="D128" i="5"/>
  <c r="D129" i="5"/>
  <c r="D130" i="5"/>
  <c r="D131" i="5"/>
  <c r="E131" i="5" s="1"/>
  <c r="D132" i="5"/>
  <c r="D133" i="5"/>
  <c r="D134" i="5"/>
  <c r="D135" i="5"/>
  <c r="D136" i="5"/>
  <c r="D137" i="5"/>
  <c r="D138" i="5"/>
  <c r="D139" i="5"/>
  <c r="E139" i="5" s="1"/>
  <c r="D140" i="5"/>
  <c r="D141" i="5"/>
  <c r="D142" i="5"/>
  <c r="D143" i="5"/>
  <c r="D144" i="5"/>
  <c r="D145" i="5"/>
  <c r="D146" i="5"/>
  <c r="D147" i="5"/>
  <c r="E147" i="5" s="1"/>
  <c r="D148" i="5"/>
  <c r="D149" i="5"/>
  <c r="D150" i="5"/>
  <c r="D151" i="5"/>
  <c r="D152" i="5"/>
  <c r="D153" i="5"/>
  <c r="D154" i="5"/>
  <c r="D155" i="5"/>
  <c r="E155" i="5" s="1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E179" i="5" s="1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E680" i="5" s="1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E784" i="5" s="1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E5" i="5"/>
  <c r="E6" i="5"/>
  <c r="E7" i="5"/>
  <c r="H7" i="5" s="1"/>
  <c r="E8" i="5"/>
  <c r="E10" i="5"/>
  <c r="E13" i="5"/>
  <c r="E14" i="5"/>
  <c r="E15" i="5"/>
  <c r="E18" i="5"/>
  <c r="E21" i="5"/>
  <c r="E22" i="5"/>
  <c r="E23" i="5"/>
  <c r="E26" i="5"/>
  <c r="E29" i="5"/>
  <c r="E30" i="5"/>
  <c r="E31" i="5"/>
  <c r="E34" i="5"/>
  <c r="E37" i="5"/>
  <c r="E38" i="5"/>
  <c r="E39" i="5"/>
  <c r="E42" i="5"/>
  <c r="E45" i="5"/>
  <c r="E46" i="5"/>
  <c r="E47" i="5"/>
  <c r="E50" i="5"/>
  <c r="E53" i="5"/>
  <c r="E54" i="5"/>
  <c r="E55" i="5"/>
  <c r="E58" i="5"/>
  <c r="E61" i="5"/>
  <c r="E62" i="5"/>
  <c r="E63" i="5"/>
  <c r="E66" i="5"/>
  <c r="E69" i="5"/>
  <c r="E70" i="5"/>
  <c r="E71" i="5"/>
  <c r="E74" i="5"/>
  <c r="E77" i="5"/>
  <c r="E78" i="5"/>
  <c r="E79" i="5"/>
  <c r="E82" i="5"/>
  <c r="E85" i="5"/>
  <c r="E86" i="5"/>
  <c r="E87" i="5"/>
  <c r="E90" i="5"/>
  <c r="E93" i="5"/>
  <c r="E94" i="5"/>
  <c r="E95" i="5"/>
  <c r="E98" i="5"/>
  <c r="E101" i="5"/>
  <c r="E102" i="5"/>
  <c r="E103" i="5"/>
  <c r="E106" i="5"/>
  <c r="E109" i="5"/>
  <c r="E110" i="5"/>
  <c r="E111" i="5"/>
  <c r="E114" i="5"/>
  <c r="E117" i="5"/>
  <c r="E118" i="5"/>
  <c r="E119" i="5"/>
  <c r="E122" i="5"/>
  <c r="E125" i="5"/>
  <c r="E126" i="5"/>
  <c r="E127" i="5"/>
  <c r="E130" i="5"/>
  <c r="E133" i="5"/>
  <c r="E134" i="5"/>
  <c r="E135" i="5"/>
  <c r="E138" i="5"/>
  <c r="E141" i="5"/>
  <c r="E142" i="5"/>
  <c r="E143" i="5"/>
  <c r="E146" i="5"/>
  <c r="E149" i="5"/>
  <c r="E150" i="5"/>
  <c r="E151" i="5"/>
  <c r="E154" i="5"/>
  <c r="E157" i="5"/>
  <c r="E158" i="5"/>
  <c r="E159" i="5"/>
  <c r="E162" i="5"/>
  <c r="E165" i="5"/>
  <c r="E166" i="5"/>
  <c r="E167" i="5"/>
  <c r="E170" i="5"/>
  <c r="E173" i="5"/>
  <c r="E174" i="5"/>
  <c r="E175" i="5"/>
  <c r="E178" i="5"/>
  <c r="E181" i="5"/>
  <c r="E182" i="5"/>
  <c r="E183" i="5"/>
  <c r="E186" i="5"/>
  <c r="E189" i="5"/>
  <c r="E190" i="5"/>
  <c r="E191" i="5"/>
  <c r="E194" i="5"/>
  <c r="E197" i="5"/>
  <c r="E198" i="5"/>
  <c r="E199" i="5"/>
  <c r="E202" i="5"/>
  <c r="E205" i="5"/>
  <c r="E206" i="5"/>
  <c r="E207" i="5"/>
  <c r="E210" i="5"/>
  <c r="E213" i="5"/>
  <c r="E214" i="5"/>
  <c r="E215" i="5"/>
  <c r="E218" i="5"/>
  <c r="E221" i="5"/>
  <c r="E222" i="5"/>
  <c r="E223" i="5"/>
  <c r="E226" i="5"/>
  <c r="E229" i="5"/>
  <c r="E230" i="5"/>
  <c r="E231" i="5"/>
  <c r="E234" i="5"/>
  <c r="E237" i="5"/>
  <c r="E238" i="5"/>
  <c r="E239" i="5"/>
  <c r="E242" i="5"/>
  <c r="E245" i="5"/>
  <c r="E246" i="5"/>
  <c r="E247" i="5"/>
  <c r="E250" i="5"/>
  <c r="E253" i="5"/>
  <c r="E254" i="5"/>
  <c r="E255" i="5"/>
  <c r="E258" i="5"/>
  <c r="E261" i="5"/>
  <c r="E262" i="5"/>
  <c r="E263" i="5"/>
  <c r="E266" i="5"/>
  <c r="E269" i="5"/>
  <c r="E270" i="5"/>
  <c r="E271" i="5"/>
  <c r="E274" i="5"/>
  <c r="E277" i="5"/>
  <c r="E278" i="5"/>
  <c r="E279" i="5"/>
  <c r="E282" i="5"/>
  <c r="E285" i="5"/>
  <c r="E286" i="5"/>
  <c r="E287" i="5"/>
  <c r="E290" i="5"/>
  <c r="E293" i="5"/>
  <c r="E294" i="5"/>
  <c r="E295" i="5"/>
  <c r="E298" i="5"/>
  <c r="E301" i="5"/>
  <c r="E302" i="5"/>
  <c r="E303" i="5"/>
  <c r="E306" i="5"/>
  <c r="E309" i="5"/>
  <c r="E310" i="5"/>
  <c r="E311" i="5"/>
  <c r="E314" i="5"/>
  <c r="E317" i="5"/>
  <c r="E318" i="5"/>
  <c r="E319" i="5"/>
  <c r="E322" i="5"/>
  <c r="E325" i="5"/>
  <c r="E326" i="5"/>
  <c r="E327" i="5"/>
  <c r="E330" i="5"/>
  <c r="E333" i="5"/>
  <c r="E334" i="5"/>
  <c r="E335" i="5"/>
  <c r="E338" i="5"/>
  <c r="E341" i="5"/>
  <c r="E342" i="5"/>
  <c r="E343" i="5"/>
  <c r="E346" i="5"/>
  <c r="E349" i="5"/>
  <c r="E350" i="5"/>
  <c r="E351" i="5"/>
  <c r="E354" i="5"/>
  <c r="E357" i="5"/>
  <c r="E358" i="5"/>
  <c r="E359" i="5"/>
  <c r="E362" i="5"/>
  <c r="E365" i="5"/>
  <c r="E366" i="5"/>
  <c r="E367" i="5"/>
  <c r="E370" i="5"/>
  <c r="E373" i="5"/>
  <c r="E374" i="5"/>
  <c r="E375" i="5"/>
  <c r="E378" i="5"/>
  <c r="E381" i="5"/>
  <c r="E382" i="5"/>
  <c r="E383" i="5"/>
  <c r="E386" i="5"/>
  <c r="E389" i="5"/>
  <c r="E390" i="5"/>
  <c r="E391" i="5"/>
  <c r="E394" i="5"/>
  <c r="E397" i="5"/>
  <c r="E398" i="5"/>
  <c r="E399" i="5"/>
  <c r="E402" i="5"/>
  <c r="E405" i="5"/>
  <c r="E406" i="5"/>
  <c r="E407" i="5"/>
  <c r="E410" i="5"/>
  <c r="E413" i="5"/>
  <c r="E414" i="5"/>
  <c r="E415" i="5"/>
  <c r="E418" i="5"/>
  <c r="E421" i="5"/>
  <c r="E422" i="5"/>
  <c r="E423" i="5"/>
  <c r="E426" i="5"/>
  <c r="E429" i="5"/>
  <c r="E430" i="5"/>
  <c r="E431" i="5"/>
  <c r="E434" i="5"/>
  <c r="E437" i="5"/>
  <c r="E438" i="5"/>
  <c r="E439" i="5"/>
  <c r="E442" i="5"/>
  <c r="E445" i="5"/>
  <c r="E446" i="5"/>
  <c r="E447" i="5"/>
  <c r="E450" i="5"/>
  <c r="E453" i="5"/>
  <c r="E454" i="5"/>
  <c r="E455" i="5"/>
  <c r="E458" i="5"/>
  <c r="E461" i="5"/>
  <c r="E462" i="5"/>
  <c r="E463" i="5"/>
  <c r="E466" i="5"/>
  <c r="E469" i="5"/>
  <c r="E470" i="5"/>
  <c r="E471" i="5"/>
  <c r="E474" i="5"/>
  <c r="E477" i="5"/>
  <c r="E478" i="5"/>
  <c r="E479" i="5"/>
  <c r="E482" i="5"/>
  <c r="E485" i="5"/>
  <c r="E486" i="5"/>
  <c r="E487" i="5"/>
  <c r="E490" i="5"/>
  <c r="E493" i="5"/>
  <c r="E494" i="5"/>
  <c r="E495" i="5"/>
  <c r="E498" i="5"/>
  <c r="E501" i="5"/>
  <c r="E502" i="5"/>
  <c r="E503" i="5"/>
  <c r="E506" i="5"/>
  <c r="E509" i="5"/>
  <c r="E510" i="5"/>
  <c r="E511" i="5"/>
  <c r="E514" i="5"/>
  <c r="E517" i="5"/>
  <c r="E518" i="5"/>
  <c r="E519" i="5"/>
  <c r="E522" i="5"/>
  <c r="E525" i="5"/>
  <c r="E526" i="5"/>
  <c r="E527" i="5"/>
  <c r="E530" i="5"/>
  <c r="E533" i="5"/>
  <c r="E534" i="5"/>
  <c r="E535" i="5"/>
  <c r="E538" i="5"/>
  <c r="E541" i="5"/>
  <c r="E542" i="5"/>
  <c r="E543" i="5"/>
  <c r="E546" i="5"/>
  <c r="E549" i="5"/>
  <c r="E550" i="5"/>
  <c r="E551" i="5"/>
  <c r="E554" i="5"/>
  <c r="E557" i="5"/>
  <c r="E558" i="5"/>
  <c r="E559" i="5"/>
  <c r="E562" i="5"/>
  <c r="E565" i="5"/>
  <c r="E566" i="5"/>
  <c r="E567" i="5"/>
  <c r="E570" i="5"/>
  <c r="E573" i="5"/>
  <c r="E574" i="5"/>
  <c r="E575" i="5"/>
  <c r="E578" i="5"/>
  <c r="E581" i="5"/>
  <c r="E582" i="5"/>
  <c r="E583" i="5"/>
  <c r="E586" i="5"/>
  <c r="E589" i="5"/>
  <c r="E590" i="5"/>
  <c r="E591" i="5"/>
  <c r="E594" i="5"/>
  <c r="E597" i="5"/>
  <c r="E598" i="5"/>
  <c r="E599" i="5"/>
  <c r="E602" i="5"/>
  <c r="E605" i="5"/>
  <c r="E606" i="5"/>
  <c r="E607" i="5"/>
  <c r="E610" i="5"/>
  <c r="E613" i="5"/>
  <c r="E614" i="5"/>
  <c r="E615" i="5"/>
  <c r="E618" i="5"/>
  <c r="E621" i="5"/>
  <c r="E622" i="5"/>
  <c r="E623" i="5"/>
  <c r="E626" i="5"/>
  <c r="E629" i="5"/>
  <c r="E630" i="5"/>
  <c r="E631" i="5"/>
  <c r="E634" i="5"/>
  <c r="E637" i="5"/>
  <c r="E638" i="5"/>
  <c r="E639" i="5"/>
  <c r="E640" i="5"/>
  <c r="E642" i="5"/>
  <c r="E645" i="5"/>
  <c r="E646" i="5"/>
  <c r="E647" i="5"/>
  <c r="E650" i="5"/>
  <c r="E653" i="5"/>
  <c r="E654" i="5"/>
  <c r="E655" i="5"/>
  <c r="E658" i="5"/>
  <c r="E661" i="5"/>
  <c r="E662" i="5"/>
  <c r="E663" i="5"/>
  <c r="E666" i="5"/>
  <c r="E669" i="5"/>
  <c r="E670" i="5"/>
  <c r="E671" i="5"/>
  <c r="E674" i="5"/>
  <c r="E677" i="5"/>
  <c r="E678" i="5"/>
  <c r="E679" i="5"/>
  <c r="E682" i="5"/>
  <c r="E685" i="5"/>
  <c r="E686" i="5"/>
  <c r="E687" i="5"/>
  <c r="E690" i="5"/>
  <c r="E693" i="5"/>
  <c r="E694" i="5"/>
  <c r="E695" i="5"/>
  <c r="E698" i="5"/>
  <c r="E701" i="5"/>
  <c r="E702" i="5"/>
  <c r="E703" i="5"/>
  <c r="E706" i="5"/>
  <c r="E709" i="5"/>
  <c r="E710" i="5"/>
  <c r="E711" i="5"/>
  <c r="E714" i="5"/>
  <c r="E717" i="5"/>
  <c r="E718" i="5"/>
  <c r="E719" i="5"/>
  <c r="E722" i="5"/>
  <c r="E725" i="5"/>
  <c r="E726" i="5"/>
  <c r="E727" i="5"/>
  <c r="E730" i="5"/>
  <c r="E733" i="5"/>
  <c r="E734" i="5"/>
  <c r="E735" i="5"/>
  <c r="E738" i="5"/>
  <c r="E741" i="5"/>
  <c r="E742" i="5"/>
  <c r="E743" i="5"/>
  <c r="E746" i="5"/>
  <c r="E749" i="5"/>
  <c r="E750" i="5"/>
  <c r="E751" i="5"/>
  <c r="E754" i="5"/>
  <c r="E757" i="5"/>
  <c r="E758" i="5"/>
  <c r="E759" i="5"/>
  <c r="E762" i="5"/>
  <c r="E765" i="5"/>
  <c r="E766" i="5"/>
  <c r="E767" i="5"/>
  <c r="E770" i="5"/>
  <c r="E773" i="5"/>
  <c r="E774" i="5"/>
  <c r="E775" i="5"/>
  <c r="E778" i="5"/>
  <c r="E781" i="5"/>
  <c r="E782" i="5"/>
  <c r="E783" i="5"/>
  <c r="E786" i="5"/>
  <c r="E789" i="5"/>
  <c r="E790" i="5"/>
  <c r="E791" i="5"/>
  <c r="E794" i="5"/>
  <c r="E797" i="5"/>
  <c r="E798" i="5"/>
  <c r="E799" i="5"/>
  <c r="E802" i="5"/>
  <c r="E805" i="5"/>
  <c r="E806" i="5"/>
  <c r="E807" i="5"/>
  <c r="E810" i="5"/>
  <c r="E813" i="5"/>
  <c r="E814" i="5"/>
  <c r="E815" i="5"/>
  <c r="F5" i="5"/>
  <c r="F6" i="5" s="1"/>
  <c r="F7" i="5" s="1"/>
  <c r="H6" i="5"/>
  <c r="I5" i="5"/>
  <c r="I6" i="5"/>
  <c r="J5" i="5"/>
  <c r="J6" i="5"/>
  <c r="K6" i="5" s="1"/>
  <c r="K5" i="5"/>
  <c r="L5" i="5" s="1"/>
  <c r="M5" i="5"/>
  <c r="M6" i="5" s="1"/>
  <c r="M7" i="5" s="1"/>
  <c r="O3" i="11"/>
  <c r="E804" i="5" l="1"/>
  <c r="E780" i="5"/>
  <c r="E756" i="5"/>
  <c r="E732" i="5"/>
  <c r="E708" i="5"/>
  <c r="E684" i="5"/>
  <c r="E668" i="5"/>
  <c r="E652" i="5"/>
  <c r="E628" i="5"/>
  <c r="E612" i="5"/>
  <c r="E596" i="5"/>
  <c r="E580" i="5"/>
  <c r="E564" i="5"/>
  <c r="E556" i="5"/>
  <c r="E548" i="5"/>
  <c r="E540" i="5"/>
  <c r="E532" i="5"/>
  <c r="E524" i="5"/>
  <c r="E516" i="5"/>
  <c r="E484" i="5"/>
  <c r="E476" i="5"/>
  <c r="E468" i="5"/>
  <c r="E460" i="5"/>
  <c r="E452" i="5"/>
  <c r="E444" i="5"/>
  <c r="E436" i="5"/>
  <c r="E428" i="5"/>
  <c r="E420" i="5"/>
  <c r="E412" i="5"/>
  <c r="E404" i="5"/>
  <c r="E396" i="5"/>
  <c r="E388" i="5"/>
  <c r="E380" i="5"/>
  <c r="E372" i="5"/>
  <c r="E364" i="5"/>
  <c r="E356" i="5"/>
  <c r="E348" i="5"/>
  <c r="E340" i="5"/>
  <c r="E332" i="5"/>
  <c r="E324" i="5"/>
  <c r="E316" i="5"/>
  <c r="E308" i="5"/>
  <c r="E300" i="5"/>
  <c r="E796" i="5"/>
  <c r="E772" i="5"/>
  <c r="E748" i="5"/>
  <c r="E724" i="5"/>
  <c r="E700" i="5"/>
  <c r="E676" i="5"/>
  <c r="E636" i="5"/>
  <c r="E500" i="5"/>
  <c r="E508" i="5"/>
  <c r="E812" i="5"/>
  <c r="E788" i="5"/>
  <c r="E764" i="5"/>
  <c r="E740" i="5"/>
  <c r="E716" i="5"/>
  <c r="E692" i="5"/>
  <c r="E660" i="5"/>
  <c r="E644" i="5"/>
  <c r="E620" i="5"/>
  <c r="E604" i="5"/>
  <c r="E588" i="5"/>
  <c r="E572" i="5"/>
  <c r="E492" i="5"/>
  <c r="E292" i="5"/>
  <c r="E284" i="5"/>
  <c r="E276" i="5"/>
  <c r="E268" i="5"/>
  <c r="E260" i="5"/>
  <c r="E252" i="5"/>
  <c r="E244" i="5"/>
  <c r="E236" i="5"/>
  <c r="E228" i="5"/>
  <c r="E220" i="5"/>
  <c r="E212" i="5"/>
  <c r="E204" i="5"/>
  <c r="E196" i="5"/>
  <c r="E188" i="5"/>
  <c r="E180" i="5"/>
  <c r="E172" i="5"/>
  <c r="E164" i="5"/>
  <c r="E156" i="5"/>
  <c r="E148" i="5"/>
  <c r="E140" i="5"/>
  <c r="E132" i="5"/>
  <c r="E124" i="5"/>
  <c r="E116" i="5"/>
  <c r="E108" i="5"/>
  <c r="E100" i="5"/>
  <c r="E92" i="5"/>
  <c r="E84" i="5"/>
  <c r="E76" i="5"/>
  <c r="E68" i="5"/>
  <c r="E60" i="5"/>
  <c r="E52" i="5"/>
  <c r="E44" i="5"/>
  <c r="E36" i="5"/>
  <c r="E28" i="5"/>
  <c r="E20" i="5"/>
  <c r="E12" i="5"/>
  <c r="E811" i="5"/>
  <c r="E803" i="5"/>
  <c r="E795" i="5"/>
  <c r="E787" i="5"/>
  <c r="E779" i="5"/>
  <c r="E771" i="5"/>
  <c r="E763" i="5"/>
  <c r="E755" i="5"/>
  <c r="E747" i="5"/>
  <c r="E739" i="5"/>
  <c r="E731" i="5"/>
  <c r="E723" i="5"/>
  <c r="E715" i="5"/>
  <c r="E707" i="5"/>
  <c r="E699" i="5"/>
  <c r="E691" i="5"/>
  <c r="E683" i="5"/>
  <c r="E675" i="5"/>
  <c r="E667" i="5"/>
  <c r="E659" i="5"/>
  <c r="E651" i="5"/>
  <c r="E643" i="5"/>
  <c r="E635" i="5"/>
  <c r="E627" i="5"/>
  <c r="E619" i="5"/>
  <c r="E611" i="5"/>
  <c r="E603" i="5"/>
  <c r="E595" i="5"/>
  <c r="E587" i="5"/>
  <c r="E579" i="5"/>
  <c r="E571" i="5"/>
  <c r="E563" i="5"/>
  <c r="E555" i="5"/>
  <c r="E547" i="5"/>
  <c r="E539" i="5"/>
  <c r="E531" i="5"/>
  <c r="E523" i="5"/>
  <c r="E515" i="5"/>
  <c r="E507" i="5"/>
  <c r="E499" i="5"/>
  <c r="E491" i="5"/>
  <c r="E483" i="5"/>
  <c r="E475" i="5"/>
  <c r="E467" i="5"/>
  <c r="E459" i="5"/>
  <c r="E451" i="5"/>
  <c r="E443" i="5"/>
  <c r="E435" i="5"/>
  <c r="E427" i="5"/>
  <c r="E419" i="5"/>
  <c r="E411" i="5"/>
  <c r="E403" i="5"/>
  <c r="E395" i="5"/>
  <c r="E387" i="5"/>
  <c r="E379" i="5"/>
  <c r="E371" i="5"/>
  <c r="E363" i="5"/>
  <c r="E355" i="5"/>
  <c r="E347" i="5"/>
  <c r="E339" i="5"/>
  <c r="E331" i="5"/>
  <c r="E323" i="5"/>
  <c r="E315" i="5"/>
  <c r="E307" i="5"/>
  <c r="E299" i="5"/>
  <c r="E291" i="5"/>
  <c r="E283" i="5"/>
  <c r="E275" i="5"/>
  <c r="E267" i="5"/>
  <c r="E259" i="5"/>
  <c r="E251" i="5"/>
  <c r="E243" i="5"/>
  <c r="E235" i="5"/>
  <c r="E227" i="5"/>
  <c r="E219" i="5"/>
  <c r="E211" i="5"/>
  <c r="E203" i="5"/>
  <c r="E195" i="5"/>
  <c r="E801" i="5"/>
  <c r="E777" i="5"/>
  <c r="E753" i="5"/>
  <c r="E729" i="5"/>
  <c r="E705" i="5"/>
  <c r="E681" i="5"/>
  <c r="E657" i="5"/>
  <c r="E633" i="5"/>
  <c r="E609" i="5"/>
  <c r="E585" i="5"/>
  <c r="E561" i="5"/>
  <c r="E537" i="5"/>
  <c r="E513" i="5"/>
  <c r="E489" i="5"/>
  <c r="E465" i="5"/>
  <c r="E441" i="5"/>
  <c r="E417" i="5"/>
  <c r="E393" i="5"/>
  <c r="E369" i="5"/>
  <c r="E345" i="5"/>
  <c r="E321" i="5"/>
  <c r="E297" i="5"/>
  <c r="E273" i="5"/>
  <c r="E249" i="5"/>
  <c r="E225" i="5"/>
  <c r="E201" i="5"/>
  <c r="E177" i="5"/>
  <c r="E153" i="5"/>
  <c r="E129" i="5"/>
  <c r="E113" i="5"/>
  <c r="E97" i="5"/>
  <c r="E73" i="5"/>
  <c r="E41" i="5"/>
  <c r="E17" i="5"/>
  <c r="E800" i="5"/>
  <c r="E776" i="5"/>
  <c r="E752" i="5"/>
  <c r="E728" i="5"/>
  <c r="E704" i="5"/>
  <c r="E688" i="5"/>
  <c r="E672" i="5"/>
  <c r="E648" i="5"/>
  <c r="E624" i="5"/>
  <c r="E600" i="5"/>
  <c r="E576" i="5"/>
  <c r="E552" i="5"/>
  <c r="E528" i="5"/>
  <c r="E504" i="5"/>
  <c r="E480" i="5"/>
  <c r="E456" i="5"/>
  <c r="E440" i="5"/>
  <c r="E416" i="5"/>
  <c r="E400" i="5"/>
  <c r="E384" i="5"/>
  <c r="E368" i="5"/>
  <c r="E352" i="5"/>
  <c r="E336" i="5"/>
  <c r="E320" i="5"/>
  <c r="E304" i="5"/>
  <c r="E288" i="5"/>
  <c r="E272" i="5"/>
  <c r="E256" i="5"/>
  <c r="E240" i="5"/>
  <c r="E224" i="5"/>
  <c r="E208" i="5"/>
  <c r="E192" i="5"/>
  <c r="E176" i="5"/>
  <c r="E160" i="5"/>
  <c r="E136" i="5"/>
  <c r="E120" i="5"/>
  <c r="E104" i="5"/>
  <c r="E88" i="5"/>
  <c r="E72" i="5"/>
  <c r="E56" i="5"/>
  <c r="E40" i="5"/>
  <c r="E24" i="5"/>
  <c r="H8" i="5"/>
  <c r="I7" i="5"/>
  <c r="L6" i="5"/>
  <c r="G5" i="5"/>
  <c r="H5" i="5"/>
  <c r="E793" i="5"/>
  <c r="E769" i="5"/>
  <c r="E745" i="5"/>
  <c r="E713" i="5"/>
  <c r="E689" i="5"/>
  <c r="E665" i="5"/>
  <c r="E641" i="5"/>
  <c r="E617" i="5"/>
  <c r="E593" i="5"/>
  <c r="E569" i="5"/>
  <c r="E545" i="5"/>
  <c r="E521" i="5"/>
  <c r="E497" i="5"/>
  <c r="E473" i="5"/>
  <c r="E449" i="5"/>
  <c r="E425" i="5"/>
  <c r="E401" i="5"/>
  <c r="E377" i="5"/>
  <c r="E353" i="5"/>
  <c r="E329" i="5"/>
  <c r="E305" i="5"/>
  <c r="E281" i="5"/>
  <c r="E265" i="5"/>
  <c r="E233" i="5"/>
  <c r="E209" i="5"/>
  <c r="E185" i="5"/>
  <c r="E161" i="5"/>
  <c r="E137" i="5"/>
  <c r="E105" i="5"/>
  <c r="E81" i="5"/>
  <c r="E57" i="5"/>
  <c r="E33" i="5"/>
  <c r="E25" i="5"/>
  <c r="E816" i="5"/>
  <c r="E792" i="5"/>
  <c r="E768" i="5"/>
  <c r="E744" i="5"/>
  <c r="E720" i="5"/>
  <c r="E656" i="5"/>
  <c r="E632" i="5"/>
  <c r="E608" i="5"/>
  <c r="E584" i="5"/>
  <c r="E560" i="5"/>
  <c r="E536" i="5"/>
  <c r="E512" i="5"/>
  <c r="E488" i="5"/>
  <c r="E464" i="5"/>
  <c r="E448" i="5"/>
  <c r="E424" i="5"/>
  <c r="E408" i="5"/>
  <c r="E392" i="5"/>
  <c r="E376" i="5"/>
  <c r="E360" i="5"/>
  <c r="E344" i="5"/>
  <c r="E328" i="5"/>
  <c r="E312" i="5"/>
  <c r="E296" i="5"/>
  <c r="E280" i="5"/>
  <c r="E264" i="5"/>
  <c r="E248" i="5"/>
  <c r="E232" i="5"/>
  <c r="E216" i="5"/>
  <c r="E200" i="5"/>
  <c r="E184" i="5"/>
  <c r="E168" i="5"/>
  <c r="E144" i="5"/>
  <c r="E128" i="5"/>
  <c r="E112" i="5"/>
  <c r="E96" i="5"/>
  <c r="E80" i="5"/>
  <c r="E64" i="5"/>
  <c r="E48" i="5"/>
  <c r="E32" i="5"/>
  <c r="E16" i="5"/>
  <c r="E809" i="5"/>
  <c r="E785" i="5"/>
  <c r="E761" i="5"/>
  <c r="E737" i="5"/>
  <c r="E721" i="5"/>
  <c r="E697" i="5"/>
  <c r="E673" i="5"/>
  <c r="E649" i="5"/>
  <c r="E625" i="5"/>
  <c r="E601" i="5"/>
  <c r="E577" i="5"/>
  <c r="E553" i="5"/>
  <c r="E529" i="5"/>
  <c r="E505" i="5"/>
  <c r="E481" i="5"/>
  <c r="E457" i="5"/>
  <c r="E433" i="5"/>
  <c r="E409" i="5"/>
  <c r="E385" i="5"/>
  <c r="E361" i="5"/>
  <c r="E337" i="5"/>
  <c r="E313" i="5"/>
  <c r="E289" i="5"/>
  <c r="E257" i="5"/>
  <c r="E241" i="5"/>
  <c r="E217" i="5"/>
  <c r="E193" i="5"/>
  <c r="E169" i="5"/>
  <c r="E145" i="5"/>
  <c r="E121" i="5"/>
  <c r="E89" i="5"/>
  <c r="E65" i="5"/>
  <c r="E49" i="5"/>
  <c r="E9" i="5"/>
  <c r="F9" i="5"/>
  <c r="E808" i="5"/>
  <c r="E760" i="5"/>
  <c r="E736" i="5"/>
  <c r="E712" i="5"/>
  <c r="E696" i="5"/>
  <c r="E664" i="5"/>
  <c r="E616" i="5"/>
  <c r="E592" i="5"/>
  <c r="E568" i="5"/>
  <c r="E544" i="5"/>
  <c r="E520" i="5"/>
  <c r="E496" i="5"/>
  <c r="E472" i="5"/>
  <c r="E432" i="5"/>
  <c r="E152" i="5"/>
  <c r="E187" i="5"/>
  <c r="E171" i="5"/>
  <c r="E163" i="5"/>
  <c r="G6" i="5"/>
  <c r="G7" i="5" s="1"/>
  <c r="G8" i="5" s="1"/>
  <c r="T4" i="4"/>
  <c r="G9" i="5" l="1"/>
  <c r="H9" i="5"/>
  <c r="I8" i="5"/>
  <c r="F10" i="5"/>
  <c r="J7" i="5"/>
  <c r="K7" i="5" s="1"/>
  <c r="M8" i="5"/>
  <c r="C11" i="12"/>
  <c r="C12" i="12"/>
  <c r="C13" i="12"/>
  <c r="C14" i="12"/>
  <c r="C15" i="12"/>
  <c r="C16" i="12"/>
  <c r="C17" i="12"/>
  <c r="C18" i="12"/>
  <c r="C10" i="12"/>
  <c r="D11" i="12"/>
  <c r="D12" i="12"/>
  <c r="D13" i="12"/>
  <c r="D14" i="12"/>
  <c r="D15" i="12"/>
  <c r="D16" i="12"/>
  <c r="D17" i="12"/>
  <c r="D18" i="12"/>
  <c r="D10" i="12"/>
  <c r="B18" i="12"/>
  <c r="B17" i="12"/>
  <c r="B16" i="12"/>
  <c r="B15" i="12"/>
  <c r="B14" i="12"/>
  <c r="B13" i="12"/>
  <c r="B12" i="12"/>
  <c r="B11" i="12"/>
  <c r="B10" i="12"/>
  <c r="F11" i="5" l="1"/>
  <c r="G10" i="5"/>
  <c r="H10" i="5"/>
  <c r="M9" i="5"/>
  <c r="J8" i="5"/>
  <c r="K8" i="5" s="1"/>
  <c r="I9" i="5"/>
  <c r="L8" i="5"/>
  <c r="L7" i="5"/>
  <c r="T8" i="4"/>
  <c r="G54" i="4" s="1"/>
  <c r="G11" i="5" l="1"/>
  <c r="H11" i="5"/>
  <c r="F12" i="5"/>
  <c r="J9" i="5"/>
  <c r="K9" i="5" s="1"/>
  <c r="L9" i="5" s="1"/>
  <c r="M10" i="5"/>
  <c r="I10" i="5"/>
  <c r="T9" i="4"/>
  <c r="J10" i="5" l="1"/>
  <c r="K10" i="5" s="1"/>
  <c r="L10" i="5" s="1"/>
  <c r="M11" i="5"/>
  <c r="G12" i="5"/>
  <c r="H12" i="5"/>
  <c r="F13" i="5"/>
  <c r="I11" i="5"/>
  <c r="F2" i="12"/>
  <c r="H2" i="12"/>
  <c r="I2" i="12"/>
  <c r="G2" i="12"/>
  <c r="C4" i="12"/>
  <c r="G56" i="4" s="1"/>
  <c r="E2" i="12"/>
  <c r="D2" i="12"/>
  <c r="F14" i="5" l="1"/>
  <c r="H13" i="5"/>
  <c r="G13" i="5"/>
  <c r="I13" i="5"/>
  <c r="I12" i="5"/>
  <c r="J11" i="5"/>
  <c r="K11" i="5" s="1"/>
  <c r="M12" i="5"/>
  <c r="L11" i="5"/>
  <c r="G4" i="12"/>
  <c r="J56" i="4" s="1"/>
  <c r="I4" i="12"/>
  <c r="L56" i="4" s="1"/>
  <c r="F4" i="12"/>
  <c r="I56" i="4" s="1"/>
  <c r="D4" i="12"/>
  <c r="E4" i="12"/>
  <c r="H56" i="4" s="1"/>
  <c r="H4" i="12"/>
  <c r="K56" i="4" s="1"/>
  <c r="J12" i="5" l="1"/>
  <c r="K12" i="5" s="1"/>
  <c r="M13" i="5"/>
  <c r="J13" i="5"/>
  <c r="K13" i="5" s="1"/>
  <c r="M14" i="5"/>
  <c r="F15" i="5"/>
  <c r="H14" i="5"/>
  <c r="G14" i="5"/>
  <c r="G15" i="5" l="1"/>
  <c r="H15" i="5"/>
  <c r="F16" i="5"/>
  <c r="I14" i="5"/>
  <c r="L13" i="5"/>
  <c r="L12" i="5"/>
  <c r="J14" i="5" l="1"/>
  <c r="K14" i="5" s="1"/>
  <c r="M15" i="5"/>
  <c r="H16" i="5"/>
  <c r="G16" i="5"/>
  <c r="F17" i="5"/>
  <c r="I16" i="5" s="1"/>
  <c r="I15" i="5"/>
  <c r="J16" i="5" l="1"/>
  <c r="J15" i="5"/>
  <c r="K15" i="5" s="1"/>
  <c r="M16" i="5"/>
  <c r="M17" i="5" s="1"/>
  <c r="H17" i="5"/>
  <c r="G17" i="5"/>
  <c r="F18" i="5"/>
  <c r="I17" i="5" s="1"/>
  <c r="L14" i="5"/>
  <c r="J17" i="5" l="1"/>
  <c r="M18" i="5"/>
  <c r="F19" i="5"/>
  <c r="G18" i="5"/>
  <c r="H18" i="5"/>
  <c r="I18" i="5"/>
  <c r="L15" i="5"/>
  <c r="K16" i="5"/>
  <c r="L16" i="5" s="1"/>
  <c r="M19" i="5" l="1"/>
  <c r="J18" i="5"/>
  <c r="G19" i="5"/>
  <c r="H19" i="5"/>
  <c r="F20" i="5"/>
  <c r="K17" i="5"/>
  <c r="L17" i="5" l="1"/>
  <c r="G20" i="5"/>
  <c r="H20" i="5"/>
  <c r="F21" i="5"/>
  <c r="I19" i="5"/>
  <c r="K18" i="5"/>
  <c r="F22" i="5" l="1"/>
  <c r="G21" i="5"/>
  <c r="I21" i="5"/>
  <c r="H21" i="5"/>
  <c r="J19" i="5"/>
  <c r="K19" i="5" s="1"/>
  <c r="M20" i="5"/>
  <c r="I20" i="5"/>
  <c r="L18" i="5"/>
  <c r="J21" i="5" l="1"/>
  <c r="M21" i="5"/>
  <c r="M22" i="5" s="1"/>
  <c r="J20" i="5"/>
  <c r="K20" i="5" s="1"/>
  <c r="F23" i="5"/>
  <c r="H22" i="5"/>
  <c r="G22" i="5"/>
  <c r="L19" i="5"/>
  <c r="G23" i="5" l="1"/>
  <c r="H23" i="5"/>
  <c r="F24" i="5"/>
  <c r="K21" i="5"/>
  <c r="L21" i="5"/>
  <c r="I22" i="5"/>
  <c r="L20" i="5"/>
  <c r="M23" i="5" l="1"/>
  <c r="J22" i="5"/>
  <c r="K22" i="5" s="1"/>
  <c r="G24" i="5"/>
  <c r="H24" i="5"/>
  <c r="F25" i="5"/>
  <c r="I24" i="5" s="1"/>
  <c r="I23" i="5"/>
  <c r="J24" i="5" l="1"/>
  <c r="J23" i="5"/>
  <c r="K23" i="5" s="1"/>
  <c r="M24" i="5"/>
  <c r="M25" i="5" s="1"/>
  <c r="H25" i="5"/>
  <c r="G25" i="5"/>
  <c r="F26" i="5"/>
  <c r="L22" i="5"/>
  <c r="F27" i="5" l="1"/>
  <c r="G26" i="5"/>
  <c r="H26" i="5"/>
  <c r="I26" i="5"/>
  <c r="I25" i="5"/>
  <c r="L23" i="5"/>
  <c r="K24" i="5"/>
  <c r="L24" i="5" l="1"/>
  <c r="J25" i="5"/>
  <c r="K25" i="5" s="1"/>
  <c r="M26" i="5"/>
  <c r="J26" i="5"/>
  <c r="M27" i="5"/>
  <c r="H27" i="5"/>
  <c r="G27" i="5"/>
  <c r="F28" i="5"/>
  <c r="K26" i="5" l="1"/>
  <c r="G28" i="5"/>
  <c r="H28" i="5"/>
  <c r="F29" i="5"/>
  <c r="I27" i="5"/>
  <c r="L25" i="5"/>
  <c r="J27" i="5" l="1"/>
  <c r="K27" i="5" s="1"/>
  <c r="M28" i="5"/>
  <c r="L27" i="5"/>
  <c r="F30" i="5"/>
  <c r="G29" i="5"/>
  <c r="H29" i="5"/>
  <c r="I29" i="5"/>
  <c r="I28" i="5"/>
  <c r="L26" i="5"/>
  <c r="J28" i="5" l="1"/>
  <c r="K28" i="5" s="1"/>
  <c r="M29" i="5"/>
  <c r="F31" i="5"/>
  <c r="G30" i="5"/>
  <c r="H30" i="5"/>
  <c r="I30" i="5" s="1"/>
  <c r="J29" i="5"/>
  <c r="K29" i="5" s="1"/>
  <c r="M30" i="5"/>
  <c r="L28" i="5"/>
  <c r="J30" i="5" l="1"/>
  <c r="K30" i="5" s="1"/>
  <c r="M31" i="5"/>
  <c r="L30" i="5"/>
  <c r="H31" i="5"/>
  <c r="G31" i="5"/>
  <c r="F32" i="5"/>
  <c r="L29" i="5"/>
  <c r="H32" i="5" l="1"/>
  <c r="G32" i="5"/>
  <c r="F33" i="5"/>
  <c r="I31" i="5"/>
  <c r="J31" i="5" l="1"/>
  <c r="K31" i="5" s="1"/>
  <c r="M32" i="5"/>
  <c r="G33" i="5"/>
  <c r="H33" i="5"/>
  <c r="F34" i="5"/>
  <c r="I32" i="5"/>
  <c r="J32" i="5" l="1"/>
  <c r="K32" i="5" s="1"/>
  <c r="M33" i="5"/>
  <c r="F35" i="5"/>
  <c r="G34" i="5"/>
  <c r="H34" i="5"/>
  <c r="I33" i="5"/>
  <c r="L32" i="5"/>
  <c r="L31" i="5"/>
  <c r="H35" i="5" l="1"/>
  <c r="G35" i="5"/>
  <c r="F36" i="5"/>
  <c r="I35" i="5" s="1"/>
  <c r="J33" i="5"/>
  <c r="K33" i="5" s="1"/>
  <c r="M34" i="5"/>
  <c r="I34" i="5"/>
  <c r="L33" i="5"/>
  <c r="J35" i="5" l="1"/>
  <c r="K35" i="5" s="1"/>
  <c r="M36" i="5"/>
  <c r="J34" i="5"/>
  <c r="K34" i="5" s="1"/>
  <c r="L35" i="5" s="1"/>
  <c r="M35" i="5"/>
  <c r="H36" i="5"/>
  <c r="G36" i="5"/>
  <c r="I36" i="5"/>
  <c r="F37" i="5"/>
  <c r="L34" i="5" l="1"/>
  <c r="J36" i="5"/>
  <c r="K36" i="5" s="1"/>
  <c r="M37" i="5"/>
  <c r="F38" i="5"/>
  <c r="G37" i="5"/>
  <c r="H37" i="5"/>
  <c r="I37" i="5"/>
  <c r="L36" i="5"/>
  <c r="M38" i="5" l="1"/>
  <c r="J37" i="5"/>
  <c r="K37" i="5" s="1"/>
  <c r="F39" i="5"/>
  <c r="G38" i="5"/>
  <c r="I38" i="5"/>
  <c r="H38" i="5"/>
  <c r="L37" i="5"/>
  <c r="M39" i="5" l="1"/>
  <c r="J38" i="5"/>
  <c r="K38" i="5" s="1"/>
  <c r="G39" i="5"/>
  <c r="H39" i="5"/>
  <c r="F40" i="5"/>
  <c r="H40" i="5" l="1"/>
  <c r="G40" i="5"/>
  <c r="F41" i="5"/>
  <c r="I40" i="5" s="1"/>
  <c r="I39" i="5"/>
  <c r="L38" i="5"/>
  <c r="J40" i="5" l="1"/>
  <c r="K40" i="5" s="1"/>
  <c r="M41" i="5"/>
  <c r="J39" i="5"/>
  <c r="K39" i="5" s="1"/>
  <c r="M40" i="5"/>
  <c r="H41" i="5"/>
  <c r="G41" i="5"/>
  <c r="F42" i="5"/>
  <c r="I41" i="5" s="1"/>
  <c r="J41" i="5" l="1"/>
  <c r="K41" i="5" s="1"/>
  <c r="M42" i="5"/>
  <c r="L40" i="5"/>
  <c r="L39" i="5"/>
  <c r="F43" i="5"/>
  <c r="G42" i="5"/>
  <c r="H42" i="5"/>
  <c r="I42" i="5"/>
  <c r="L41" i="5"/>
  <c r="M43" i="5" l="1"/>
  <c r="J42" i="5"/>
  <c r="K42" i="5" s="1"/>
  <c r="G43" i="5"/>
  <c r="H43" i="5"/>
  <c r="F44" i="5"/>
  <c r="L42" i="5"/>
  <c r="H44" i="5" l="1"/>
  <c r="G44" i="5"/>
  <c r="F45" i="5"/>
  <c r="I43" i="5"/>
  <c r="F46" i="5" l="1"/>
  <c r="H45" i="5"/>
  <c r="G45" i="5"/>
  <c r="I45" i="5"/>
  <c r="J43" i="5"/>
  <c r="K43" i="5" s="1"/>
  <c r="M44" i="5"/>
  <c r="I44" i="5"/>
  <c r="J44" i="5" l="1"/>
  <c r="K44" i="5" s="1"/>
  <c r="M45" i="5"/>
  <c r="J45" i="5"/>
  <c r="K45" i="5" s="1"/>
  <c r="M46" i="5"/>
  <c r="L44" i="5"/>
  <c r="L43" i="5"/>
  <c r="F47" i="5"/>
  <c r="I46" i="5" s="1"/>
  <c r="G46" i="5"/>
  <c r="H46" i="5"/>
  <c r="J46" i="5" l="1"/>
  <c r="K46" i="5" s="1"/>
  <c r="M47" i="5"/>
  <c r="L46" i="5"/>
  <c r="G47" i="5"/>
  <c r="H47" i="5"/>
  <c r="F48" i="5"/>
  <c r="L45" i="5"/>
  <c r="G48" i="5" l="1"/>
  <c r="H48" i="5"/>
  <c r="F49" i="5"/>
  <c r="I47" i="5"/>
  <c r="J47" i="5" l="1"/>
  <c r="K47" i="5" s="1"/>
  <c r="M48" i="5"/>
  <c r="H49" i="5"/>
  <c r="G49" i="5"/>
  <c r="F50" i="5"/>
  <c r="I48" i="5"/>
  <c r="F51" i="5" l="1"/>
  <c r="G50" i="5"/>
  <c r="H50" i="5"/>
  <c r="I50" i="5"/>
  <c r="I49" i="5"/>
  <c r="J48" i="5"/>
  <c r="K48" i="5" s="1"/>
  <c r="M49" i="5"/>
  <c r="L48" i="5"/>
  <c r="L47" i="5"/>
  <c r="J50" i="5" l="1"/>
  <c r="J49" i="5"/>
  <c r="K49" i="5" s="1"/>
  <c r="M50" i="5"/>
  <c r="M51" i="5" s="1"/>
  <c r="I51" i="5"/>
  <c r="H51" i="5"/>
  <c r="G51" i="5"/>
  <c r="F52" i="5"/>
  <c r="K50" i="5" l="1"/>
  <c r="L50" i="5"/>
  <c r="J51" i="5"/>
  <c r="K51" i="5" s="1"/>
  <c r="M52" i="5"/>
  <c r="G52" i="5"/>
  <c r="H52" i="5"/>
  <c r="F53" i="5"/>
  <c r="I52" i="5" s="1"/>
  <c r="L49" i="5"/>
  <c r="J52" i="5" l="1"/>
  <c r="K52" i="5" s="1"/>
  <c r="M53" i="5"/>
  <c r="L52" i="5"/>
  <c r="F54" i="5"/>
  <c r="H53" i="5"/>
  <c r="G53" i="5"/>
  <c r="I53" i="5"/>
  <c r="L51" i="5"/>
  <c r="M54" i="5" l="1"/>
  <c r="J53" i="5"/>
  <c r="K53" i="5" s="1"/>
  <c r="F55" i="5"/>
  <c r="H54" i="5"/>
  <c r="G54" i="5"/>
  <c r="I54" i="5" s="1"/>
  <c r="L53" i="5"/>
  <c r="J54" i="5" l="1"/>
  <c r="K54" i="5" s="1"/>
  <c r="M55" i="5"/>
  <c r="L54" i="5"/>
  <c r="G55" i="5"/>
  <c r="H55" i="5"/>
  <c r="F56" i="5"/>
  <c r="I55" i="5" s="1"/>
  <c r="J55" i="5" l="1"/>
  <c r="K55" i="5" s="1"/>
  <c r="M56" i="5"/>
  <c r="G56" i="5"/>
  <c r="H56" i="5"/>
  <c r="F57" i="5"/>
  <c r="L55" i="5"/>
  <c r="G57" i="5" l="1"/>
  <c r="H57" i="5"/>
  <c r="F58" i="5"/>
  <c r="I56" i="5"/>
  <c r="J56" i="5" l="1"/>
  <c r="K56" i="5" s="1"/>
  <c r="M57" i="5"/>
  <c r="F59" i="5"/>
  <c r="G58" i="5"/>
  <c r="H58" i="5"/>
  <c r="I57" i="5"/>
  <c r="H59" i="5" l="1"/>
  <c r="G59" i="5"/>
  <c r="F60" i="5"/>
  <c r="J57" i="5"/>
  <c r="K57" i="5" s="1"/>
  <c r="M58" i="5"/>
  <c r="I58" i="5"/>
  <c r="L57" i="5"/>
  <c r="L56" i="5"/>
  <c r="G60" i="5" l="1"/>
  <c r="H60" i="5"/>
  <c r="F61" i="5"/>
  <c r="I59" i="5"/>
  <c r="J58" i="5"/>
  <c r="K58" i="5" s="1"/>
  <c r="L58" i="5" s="1"/>
  <c r="M59" i="5"/>
  <c r="J59" i="5" l="1"/>
  <c r="K59" i="5" s="1"/>
  <c r="M60" i="5"/>
  <c r="F62" i="5"/>
  <c r="G61" i="5"/>
  <c r="H61" i="5"/>
  <c r="I61" i="5"/>
  <c r="I60" i="5"/>
  <c r="M61" i="5" l="1"/>
  <c r="J60" i="5"/>
  <c r="K60" i="5" s="1"/>
  <c r="L61" i="5" s="1"/>
  <c r="J61" i="5"/>
  <c r="K61" i="5" s="1"/>
  <c r="M62" i="5"/>
  <c r="F63" i="5"/>
  <c r="H62" i="5"/>
  <c r="G62" i="5"/>
  <c r="I62" i="5"/>
  <c r="L59" i="5"/>
  <c r="M63" i="5" l="1"/>
  <c r="J62" i="5"/>
  <c r="K62" i="5" s="1"/>
  <c r="H63" i="5"/>
  <c r="G63" i="5"/>
  <c r="F64" i="5"/>
  <c r="L60" i="5"/>
  <c r="G64" i="5" l="1"/>
  <c r="H64" i="5"/>
  <c r="F65" i="5"/>
  <c r="I63" i="5"/>
  <c r="L62" i="5"/>
  <c r="G65" i="5" l="1"/>
  <c r="H65" i="5"/>
  <c r="F66" i="5"/>
  <c r="I64" i="5"/>
  <c r="J63" i="5"/>
  <c r="K63" i="5" s="1"/>
  <c r="M64" i="5"/>
  <c r="J64" i="5" l="1"/>
  <c r="K64" i="5" s="1"/>
  <c r="M65" i="5"/>
  <c r="L64" i="5"/>
  <c r="L63" i="5"/>
  <c r="F67" i="5"/>
  <c r="G66" i="5"/>
  <c r="H66" i="5"/>
  <c r="I66" i="5"/>
  <c r="I65" i="5"/>
  <c r="G67" i="5" l="1"/>
  <c r="H67" i="5"/>
  <c r="F68" i="5"/>
  <c r="J66" i="5"/>
  <c r="J65" i="5"/>
  <c r="K65" i="5" s="1"/>
  <c r="M66" i="5"/>
  <c r="M67" i="5" s="1"/>
  <c r="H68" i="5" l="1"/>
  <c r="G68" i="5"/>
  <c r="F69" i="5"/>
  <c r="I68" i="5" s="1"/>
  <c r="I67" i="5"/>
  <c r="K66" i="5"/>
  <c r="L66" i="5" s="1"/>
  <c r="L65" i="5"/>
  <c r="J68" i="5" l="1"/>
  <c r="K68" i="5" s="1"/>
  <c r="M69" i="5"/>
  <c r="J67" i="5"/>
  <c r="K67" i="5" s="1"/>
  <c r="L68" i="5" s="1"/>
  <c r="M68" i="5"/>
  <c r="L67" i="5"/>
  <c r="F70" i="5"/>
  <c r="I69" i="5" s="1"/>
  <c r="H69" i="5"/>
  <c r="G69" i="5"/>
  <c r="M70" i="5" l="1"/>
  <c r="J69" i="5"/>
  <c r="K69" i="5" s="1"/>
  <c r="F71" i="5"/>
  <c r="G70" i="5"/>
  <c r="I70" i="5"/>
  <c r="H70" i="5"/>
  <c r="L69" i="5"/>
  <c r="M71" i="5" l="1"/>
  <c r="J70" i="5"/>
  <c r="K70" i="5" s="1"/>
  <c r="H71" i="5"/>
  <c r="G71" i="5"/>
  <c r="F72" i="5"/>
  <c r="H72" i="5" l="1"/>
  <c r="G72" i="5"/>
  <c r="F73" i="5"/>
  <c r="I72" i="5" s="1"/>
  <c r="I71" i="5"/>
  <c r="L70" i="5"/>
  <c r="J72" i="5" l="1"/>
  <c r="J71" i="5"/>
  <c r="K71" i="5" s="1"/>
  <c r="M72" i="5"/>
  <c r="M73" i="5" s="1"/>
  <c r="G73" i="5"/>
  <c r="H73" i="5"/>
  <c r="F74" i="5"/>
  <c r="L71" i="5" l="1"/>
  <c r="F75" i="5"/>
  <c r="G74" i="5"/>
  <c r="H74" i="5"/>
  <c r="I74" i="5"/>
  <c r="I73" i="5"/>
  <c r="K72" i="5"/>
  <c r="J73" i="5" l="1"/>
  <c r="K73" i="5" s="1"/>
  <c r="M74" i="5"/>
  <c r="L73" i="5"/>
  <c r="J74" i="5"/>
  <c r="K74" i="5" s="1"/>
  <c r="M75" i="5"/>
  <c r="G75" i="5"/>
  <c r="I75" i="5"/>
  <c r="H75" i="5"/>
  <c r="F76" i="5"/>
  <c r="L72" i="5"/>
  <c r="J75" i="5" l="1"/>
  <c r="K75" i="5" s="1"/>
  <c r="M76" i="5"/>
  <c r="G76" i="5"/>
  <c r="H76" i="5"/>
  <c r="F77" i="5"/>
  <c r="L74" i="5"/>
  <c r="F78" i="5" l="1"/>
  <c r="H77" i="5"/>
  <c r="G77" i="5"/>
  <c r="I77" i="5"/>
  <c r="I76" i="5"/>
  <c r="L75" i="5"/>
  <c r="J76" i="5" l="1"/>
  <c r="K76" i="5" s="1"/>
  <c r="M77" i="5"/>
  <c r="F79" i="5"/>
  <c r="G78" i="5"/>
  <c r="H78" i="5"/>
  <c r="I78" i="5"/>
  <c r="J77" i="5"/>
  <c r="K77" i="5" s="1"/>
  <c r="M78" i="5"/>
  <c r="G79" i="5" l="1"/>
  <c r="H79" i="5"/>
  <c r="F80" i="5"/>
  <c r="I79" i="5" s="1"/>
  <c r="J78" i="5"/>
  <c r="K78" i="5" s="1"/>
  <c r="M79" i="5"/>
  <c r="L77" i="5"/>
  <c r="L76" i="5"/>
  <c r="J79" i="5" l="1"/>
  <c r="K79" i="5" s="1"/>
  <c r="M80" i="5"/>
  <c r="L79" i="5"/>
  <c r="L78" i="5"/>
  <c r="H80" i="5"/>
  <c r="G80" i="5"/>
  <c r="F81" i="5"/>
  <c r="I80" i="5" s="1"/>
  <c r="J80" i="5" l="1"/>
  <c r="K80" i="5" s="1"/>
  <c r="M81" i="5"/>
  <c r="H81" i="5"/>
  <c r="G81" i="5"/>
  <c r="F82" i="5"/>
  <c r="L80" i="5"/>
  <c r="F83" i="5" l="1"/>
  <c r="G82" i="5"/>
  <c r="H82" i="5"/>
  <c r="I82" i="5"/>
  <c r="I81" i="5"/>
  <c r="J82" i="5" l="1"/>
  <c r="J81" i="5"/>
  <c r="K81" i="5" s="1"/>
  <c r="M82" i="5"/>
  <c r="M83" i="5" s="1"/>
  <c r="G83" i="5"/>
  <c r="H83" i="5"/>
  <c r="F84" i="5"/>
  <c r="L81" i="5" l="1"/>
  <c r="G84" i="5"/>
  <c r="H84" i="5"/>
  <c r="F85" i="5"/>
  <c r="I83" i="5"/>
  <c r="K82" i="5"/>
  <c r="F86" i="5" l="1"/>
  <c r="G85" i="5"/>
  <c r="I85" i="5"/>
  <c r="H85" i="5"/>
  <c r="M84" i="5"/>
  <c r="J83" i="5"/>
  <c r="K83" i="5" s="1"/>
  <c r="I84" i="5"/>
  <c r="L82" i="5"/>
  <c r="J85" i="5" l="1"/>
  <c r="J84" i="5"/>
  <c r="K84" i="5" s="1"/>
  <c r="M85" i="5"/>
  <c r="M86" i="5" s="1"/>
  <c r="L84" i="5"/>
  <c r="L83" i="5"/>
  <c r="F87" i="5"/>
  <c r="I86" i="5" s="1"/>
  <c r="H86" i="5"/>
  <c r="G86" i="5"/>
  <c r="J86" i="5" l="1"/>
  <c r="M87" i="5"/>
  <c r="H87" i="5"/>
  <c r="G87" i="5"/>
  <c r="F88" i="5"/>
  <c r="K85" i="5"/>
  <c r="L85" i="5" l="1"/>
  <c r="G88" i="5"/>
  <c r="H88" i="5"/>
  <c r="F89" i="5"/>
  <c r="I88" i="5" s="1"/>
  <c r="I87" i="5"/>
  <c r="K86" i="5"/>
  <c r="J88" i="5" l="1"/>
  <c r="K88" i="5" s="1"/>
  <c r="M89" i="5"/>
  <c r="J87" i="5"/>
  <c r="K87" i="5" s="1"/>
  <c r="L88" i="5" s="1"/>
  <c r="M88" i="5"/>
  <c r="H89" i="5"/>
  <c r="G89" i="5"/>
  <c r="I89" i="5"/>
  <c r="F90" i="5"/>
  <c r="L86" i="5"/>
  <c r="J89" i="5" l="1"/>
  <c r="K89" i="5" s="1"/>
  <c r="M90" i="5"/>
  <c r="L87" i="5"/>
  <c r="G90" i="5"/>
  <c r="F91" i="5"/>
  <c r="I90" i="5" s="1"/>
  <c r="H90" i="5"/>
  <c r="L89" i="5"/>
  <c r="M91" i="5" l="1"/>
  <c r="J90" i="5"/>
  <c r="K90" i="5" s="1"/>
  <c r="H91" i="5"/>
  <c r="G91" i="5"/>
  <c r="F92" i="5"/>
  <c r="L90" i="5"/>
  <c r="G92" i="5" l="1"/>
  <c r="H92" i="5"/>
  <c r="F93" i="5"/>
  <c r="I91" i="5"/>
  <c r="J91" i="5" l="1"/>
  <c r="K91" i="5" s="1"/>
  <c r="M92" i="5"/>
  <c r="F94" i="5"/>
  <c r="G93" i="5"/>
  <c r="H93" i="5"/>
  <c r="I92" i="5"/>
  <c r="F95" i="5" l="1"/>
  <c r="G94" i="5"/>
  <c r="I94" i="5"/>
  <c r="H94" i="5"/>
  <c r="J92" i="5"/>
  <c r="K92" i="5" s="1"/>
  <c r="M93" i="5"/>
  <c r="I93" i="5"/>
  <c r="L92" i="5"/>
  <c r="L91" i="5"/>
  <c r="J94" i="5" l="1"/>
  <c r="J93" i="5"/>
  <c r="K93" i="5" s="1"/>
  <c r="M94" i="5"/>
  <c r="M95" i="5" s="1"/>
  <c r="H95" i="5"/>
  <c r="G95" i="5"/>
  <c r="I95" i="5"/>
  <c r="F96" i="5"/>
  <c r="J95" i="5" l="1"/>
  <c r="K95" i="5" s="1"/>
  <c r="M96" i="5"/>
  <c r="L93" i="5"/>
  <c r="G96" i="5"/>
  <c r="H96" i="5"/>
  <c r="F97" i="5"/>
  <c r="I96" i="5" s="1"/>
  <c r="K94" i="5"/>
  <c r="J96" i="5" l="1"/>
  <c r="K96" i="5" s="1"/>
  <c r="M97" i="5"/>
  <c r="G97" i="5"/>
  <c r="H97" i="5"/>
  <c r="F98" i="5"/>
  <c r="L96" i="5"/>
  <c r="L95" i="5"/>
  <c r="L94" i="5"/>
  <c r="F99" i="5" l="1"/>
  <c r="G98" i="5"/>
  <c r="H98" i="5"/>
  <c r="I98" i="5"/>
  <c r="I97" i="5"/>
  <c r="J98" i="5" l="1"/>
  <c r="K98" i="5" s="1"/>
  <c r="M99" i="5"/>
  <c r="J97" i="5"/>
  <c r="K97" i="5" s="1"/>
  <c r="M98" i="5"/>
  <c r="H99" i="5"/>
  <c r="G99" i="5"/>
  <c r="F100" i="5"/>
  <c r="I99" i="5" s="1"/>
  <c r="J99" i="5" l="1"/>
  <c r="K99" i="5" s="1"/>
  <c r="M100" i="5"/>
  <c r="L98" i="5"/>
  <c r="L97" i="5"/>
  <c r="H100" i="5"/>
  <c r="G100" i="5"/>
  <c r="F101" i="5"/>
  <c r="L99" i="5"/>
  <c r="F102" i="5" l="1"/>
  <c r="G101" i="5"/>
  <c r="H101" i="5"/>
  <c r="I101" i="5"/>
  <c r="I100" i="5"/>
  <c r="J100" i="5" l="1"/>
  <c r="K100" i="5" s="1"/>
  <c r="M101" i="5"/>
  <c r="M102" i="5"/>
  <c r="J101" i="5"/>
  <c r="K101" i="5" s="1"/>
  <c r="F103" i="5"/>
  <c r="G102" i="5"/>
  <c r="H102" i="5"/>
  <c r="I102" i="5"/>
  <c r="J102" i="5" l="1"/>
  <c r="K102" i="5" s="1"/>
  <c r="M103" i="5"/>
  <c r="L102" i="5"/>
  <c r="G103" i="5"/>
  <c r="H103" i="5"/>
  <c r="F104" i="5"/>
  <c r="I103" i="5" s="1"/>
  <c r="L101" i="5"/>
  <c r="L100" i="5"/>
  <c r="J103" i="5" l="1"/>
  <c r="K103" i="5" s="1"/>
  <c r="M104" i="5"/>
  <c r="H104" i="5"/>
  <c r="G104" i="5"/>
  <c r="F105" i="5"/>
  <c r="L103" i="5"/>
  <c r="H105" i="5" l="1"/>
  <c r="G105" i="5"/>
  <c r="F106" i="5"/>
  <c r="I104" i="5"/>
  <c r="J104" i="5" l="1"/>
  <c r="K104" i="5" s="1"/>
  <c r="M105" i="5"/>
  <c r="G106" i="5"/>
  <c r="F107" i="5"/>
  <c r="H106" i="5"/>
  <c r="I105" i="5"/>
  <c r="M106" i="5" l="1"/>
  <c r="J105" i="5"/>
  <c r="K105" i="5" s="1"/>
  <c r="G107" i="5"/>
  <c r="H107" i="5"/>
  <c r="F108" i="5"/>
  <c r="I106" i="5"/>
  <c r="L105" i="5"/>
  <c r="L104" i="5"/>
  <c r="H108" i="5" l="1"/>
  <c r="G108" i="5"/>
  <c r="F109" i="5"/>
  <c r="I108" i="5" s="1"/>
  <c r="J106" i="5"/>
  <c r="K106" i="5" s="1"/>
  <c r="M107" i="5"/>
  <c r="I107" i="5"/>
  <c r="J108" i="5" l="1"/>
  <c r="K108" i="5" s="1"/>
  <c r="M109" i="5"/>
  <c r="L106" i="5"/>
  <c r="J107" i="5"/>
  <c r="K107" i="5" s="1"/>
  <c r="L108" i="5" s="1"/>
  <c r="M108" i="5"/>
  <c r="F110" i="5"/>
  <c r="H109" i="5"/>
  <c r="G109" i="5"/>
  <c r="F111" i="5" l="1"/>
  <c r="G110" i="5"/>
  <c r="H110" i="5"/>
  <c r="I110" i="5"/>
  <c r="L107" i="5"/>
  <c r="I109" i="5"/>
  <c r="J109" i="5" l="1"/>
  <c r="K109" i="5" s="1"/>
  <c r="M110" i="5"/>
  <c r="M111" i="5"/>
  <c r="J110" i="5"/>
  <c r="K110" i="5" s="1"/>
  <c r="G111" i="5"/>
  <c r="H111" i="5"/>
  <c r="F112" i="5"/>
  <c r="G112" i="5" l="1"/>
  <c r="H112" i="5"/>
  <c r="F113" i="5"/>
  <c r="I112" i="5" s="1"/>
  <c r="I111" i="5"/>
  <c r="L110" i="5"/>
  <c r="L109" i="5"/>
  <c r="J112" i="5" l="1"/>
  <c r="K112" i="5" s="1"/>
  <c r="M113" i="5"/>
  <c r="J111" i="5"/>
  <c r="K111" i="5" s="1"/>
  <c r="M112" i="5"/>
  <c r="H113" i="5"/>
  <c r="G113" i="5"/>
  <c r="F114" i="5"/>
  <c r="I113" i="5" s="1"/>
  <c r="J113" i="5" l="1"/>
  <c r="K113" i="5" s="1"/>
  <c r="M114" i="5"/>
  <c r="L112" i="5"/>
  <c r="L111" i="5"/>
  <c r="F115" i="5"/>
  <c r="G114" i="5"/>
  <c r="H114" i="5"/>
  <c r="L113" i="5"/>
  <c r="G115" i="5" l="1"/>
  <c r="H115" i="5"/>
  <c r="F116" i="5"/>
  <c r="I114" i="5"/>
  <c r="G116" i="5" l="1"/>
  <c r="H116" i="5"/>
  <c r="F117" i="5"/>
  <c r="J114" i="5"/>
  <c r="K114" i="5" s="1"/>
  <c r="M115" i="5"/>
  <c r="I115" i="5"/>
  <c r="L114" i="5" l="1"/>
  <c r="J115" i="5"/>
  <c r="K115" i="5" s="1"/>
  <c r="M116" i="5"/>
  <c r="F118" i="5"/>
  <c r="H117" i="5"/>
  <c r="G117" i="5"/>
  <c r="I117" i="5"/>
  <c r="I116" i="5"/>
  <c r="F119" i="5" l="1"/>
  <c r="H118" i="5"/>
  <c r="G118" i="5"/>
  <c r="I118" i="5"/>
  <c r="J117" i="5"/>
  <c r="K117" i="5" s="1"/>
  <c r="M118" i="5"/>
  <c r="J116" i="5"/>
  <c r="K116" i="5" s="1"/>
  <c r="L117" i="5" s="1"/>
  <c r="M117" i="5"/>
  <c r="L115" i="5"/>
  <c r="J118" i="5" l="1"/>
  <c r="K118" i="5" s="1"/>
  <c r="M119" i="5"/>
  <c r="G119" i="5"/>
  <c r="H119" i="5"/>
  <c r="F120" i="5"/>
  <c r="L118" i="5"/>
  <c r="L116" i="5"/>
  <c r="G120" i="5" l="1"/>
  <c r="H120" i="5"/>
  <c r="F121" i="5"/>
  <c r="I119" i="5"/>
  <c r="G121" i="5" l="1"/>
  <c r="H121" i="5"/>
  <c r="F122" i="5"/>
  <c r="J119" i="5"/>
  <c r="K119" i="5" s="1"/>
  <c r="M120" i="5"/>
  <c r="I120" i="5"/>
  <c r="L119" i="5" l="1"/>
  <c r="J120" i="5"/>
  <c r="K120" i="5" s="1"/>
  <c r="M121" i="5"/>
  <c r="G122" i="5"/>
  <c r="F123" i="5"/>
  <c r="H122" i="5"/>
  <c r="I121" i="5"/>
  <c r="H123" i="5" l="1"/>
  <c r="G123" i="5"/>
  <c r="F124" i="5"/>
  <c r="I123" i="5" s="1"/>
  <c r="I122" i="5"/>
  <c r="J121" i="5"/>
  <c r="K121" i="5" s="1"/>
  <c r="M122" i="5"/>
  <c r="L120" i="5"/>
  <c r="J123" i="5" l="1"/>
  <c r="H124" i="5"/>
  <c r="G124" i="5"/>
  <c r="F125" i="5"/>
  <c r="I124" i="5" s="1"/>
  <c r="J122" i="5"/>
  <c r="K122" i="5" s="1"/>
  <c r="L122" i="5" s="1"/>
  <c r="M123" i="5"/>
  <c r="M124" i="5" s="1"/>
  <c r="L121" i="5"/>
  <c r="J124" i="5" l="1"/>
  <c r="M125" i="5"/>
  <c r="G125" i="5"/>
  <c r="H125" i="5"/>
  <c r="F126" i="5"/>
  <c r="K123" i="5"/>
  <c r="L123" i="5" l="1"/>
  <c r="F127" i="5"/>
  <c r="H126" i="5"/>
  <c r="G126" i="5"/>
  <c r="I125" i="5"/>
  <c r="K124" i="5"/>
  <c r="H127" i="5" l="1"/>
  <c r="G127" i="5"/>
  <c r="F128" i="5"/>
  <c r="M126" i="5"/>
  <c r="J125" i="5"/>
  <c r="K125" i="5" s="1"/>
  <c r="I126" i="5"/>
  <c r="L124" i="5"/>
  <c r="G128" i="5" l="1"/>
  <c r="H128" i="5"/>
  <c r="F129" i="5"/>
  <c r="I128" i="5" s="1"/>
  <c r="I127" i="5"/>
  <c r="M127" i="5"/>
  <c r="J126" i="5"/>
  <c r="K126" i="5" s="1"/>
  <c r="L126" i="5" s="1"/>
  <c r="L125" i="5"/>
  <c r="J128" i="5" l="1"/>
  <c r="J127" i="5"/>
  <c r="K127" i="5" s="1"/>
  <c r="L127" i="5" s="1"/>
  <c r="M128" i="5"/>
  <c r="M129" i="5" s="1"/>
  <c r="G129" i="5"/>
  <c r="H129" i="5"/>
  <c r="I129" i="5"/>
  <c r="F130" i="5"/>
  <c r="J129" i="5" l="1"/>
  <c r="M130" i="5"/>
  <c r="G130" i="5"/>
  <c r="H130" i="5"/>
  <c r="F131" i="5"/>
  <c r="K128" i="5"/>
  <c r="G131" i="5" l="1"/>
  <c r="H131" i="5"/>
  <c r="F132" i="5"/>
  <c r="K129" i="5"/>
  <c r="L129" i="5" s="1"/>
  <c r="I130" i="5"/>
  <c r="L128" i="5"/>
  <c r="J130" i="5" l="1"/>
  <c r="K130" i="5" s="1"/>
  <c r="M131" i="5"/>
  <c r="H132" i="5"/>
  <c r="G132" i="5"/>
  <c r="F133" i="5"/>
  <c r="I131" i="5"/>
  <c r="L130" i="5"/>
  <c r="M132" i="5" l="1"/>
  <c r="J131" i="5"/>
  <c r="K131" i="5" s="1"/>
  <c r="F134" i="5"/>
  <c r="G133" i="5"/>
  <c r="H133" i="5"/>
  <c r="I133" i="5"/>
  <c r="I132" i="5"/>
  <c r="L131" i="5"/>
  <c r="J133" i="5" l="1"/>
  <c r="M133" i="5"/>
  <c r="M134" i="5" s="1"/>
  <c r="J132" i="5"/>
  <c r="K132" i="5" s="1"/>
  <c r="L132" i="5" s="1"/>
  <c r="F135" i="5"/>
  <c r="G134" i="5"/>
  <c r="H134" i="5"/>
  <c r="H135" i="5" l="1"/>
  <c r="G135" i="5"/>
  <c r="F136" i="5"/>
  <c r="I135" i="5" s="1"/>
  <c r="I134" i="5"/>
  <c r="K133" i="5"/>
  <c r="L133" i="5" s="1"/>
  <c r="J135" i="5" l="1"/>
  <c r="J134" i="5"/>
  <c r="K134" i="5" s="1"/>
  <c r="M135" i="5"/>
  <c r="M136" i="5" s="1"/>
  <c r="L134" i="5"/>
  <c r="H136" i="5"/>
  <c r="G136" i="5"/>
  <c r="I136" i="5"/>
  <c r="F137" i="5"/>
  <c r="J136" i="5" l="1"/>
  <c r="K136" i="5" s="1"/>
  <c r="M137" i="5"/>
  <c r="G137" i="5"/>
  <c r="H137" i="5"/>
  <c r="F138" i="5"/>
  <c r="I137" i="5" s="1"/>
  <c r="K135" i="5"/>
  <c r="L136" i="5" s="1"/>
  <c r="J137" i="5" l="1"/>
  <c r="K137" i="5" s="1"/>
  <c r="M138" i="5"/>
  <c r="L137" i="5"/>
  <c r="G138" i="5"/>
  <c r="H138" i="5"/>
  <c r="F139" i="5"/>
  <c r="L135" i="5"/>
  <c r="G139" i="5" l="1"/>
  <c r="H139" i="5"/>
  <c r="F140" i="5"/>
  <c r="I138" i="5"/>
  <c r="G140" i="5" l="1"/>
  <c r="H140" i="5"/>
  <c r="F141" i="5"/>
  <c r="J138" i="5"/>
  <c r="K138" i="5" s="1"/>
  <c r="M139" i="5"/>
  <c r="I139" i="5"/>
  <c r="L138" i="5" l="1"/>
  <c r="J139" i="5"/>
  <c r="K139" i="5" s="1"/>
  <c r="M140" i="5"/>
  <c r="F142" i="5"/>
  <c r="H141" i="5"/>
  <c r="G141" i="5"/>
  <c r="I141" i="5" s="1"/>
  <c r="I140" i="5"/>
  <c r="M142" i="5" l="1"/>
  <c r="J141" i="5"/>
  <c r="K141" i="5" s="1"/>
  <c r="F143" i="5"/>
  <c r="I142" i="5" s="1"/>
  <c r="H142" i="5"/>
  <c r="G142" i="5"/>
  <c r="J140" i="5"/>
  <c r="K140" i="5" s="1"/>
  <c r="L141" i="5" s="1"/>
  <c r="M141" i="5"/>
  <c r="L139" i="5"/>
  <c r="J142" i="5" l="1"/>
  <c r="K142" i="5" s="1"/>
  <c r="M143" i="5"/>
  <c r="L140" i="5"/>
  <c r="L142" i="5"/>
  <c r="G143" i="5"/>
  <c r="H143" i="5"/>
  <c r="F144" i="5"/>
  <c r="H144" i="5" l="1"/>
  <c r="G144" i="5"/>
  <c r="F145" i="5"/>
  <c r="I144" i="5" s="1"/>
  <c r="I143" i="5"/>
  <c r="J144" i="5" l="1"/>
  <c r="M144" i="5"/>
  <c r="M145" i="5" s="1"/>
  <c r="J143" i="5"/>
  <c r="K143" i="5" s="1"/>
  <c r="H145" i="5"/>
  <c r="G145" i="5"/>
  <c r="F146" i="5"/>
  <c r="L143" i="5" l="1"/>
  <c r="G146" i="5"/>
  <c r="H146" i="5"/>
  <c r="F147" i="5"/>
  <c r="I146" i="5" s="1"/>
  <c r="I145" i="5"/>
  <c r="K144" i="5"/>
  <c r="J146" i="5" l="1"/>
  <c r="K146" i="5" s="1"/>
  <c r="M147" i="5"/>
  <c r="J145" i="5"/>
  <c r="K145" i="5" s="1"/>
  <c r="L146" i="5" s="1"/>
  <c r="M146" i="5"/>
  <c r="G147" i="5"/>
  <c r="H147" i="5"/>
  <c r="I147" i="5"/>
  <c r="F148" i="5"/>
  <c r="L144" i="5"/>
  <c r="J147" i="5" l="1"/>
  <c r="K147" i="5" s="1"/>
  <c r="M148" i="5"/>
  <c r="L145" i="5"/>
  <c r="G148" i="5"/>
  <c r="H148" i="5"/>
  <c r="F149" i="5"/>
  <c r="L147" i="5"/>
  <c r="F150" i="5" l="1"/>
  <c r="G149" i="5"/>
  <c r="H149" i="5"/>
  <c r="I149" i="5"/>
  <c r="I148" i="5"/>
  <c r="J149" i="5" l="1"/>
  <c r="J148" i="5"/>
  <c r="K148" i="5" s="1"/>
  <c r="M149" i="5"/>
  <c r="M150" i="5" s="1"/>
  <c r="F151" i="5"/>
  <c r="H150" i="5"/>
  <c r="G150" i="5"/>
  <c r="I150" i="5"/>
  <c r="M151" i="5" l="1"/>
  <c r="J150" i="5"/>
  <c r="K150" i="5" s="1"/>
  <c r="K149" i="5"/>
  <c r="L150" i="5" s="1"/>
  <c r="G151" i="5"/>
  <c r="H151" i="5"/>
  <c r="F152" i="5"/>
  <c r="I151" i="5" s="1"/>
  <c r="L149" i="5"/>
  <c r="L148" i="5"/>
  <c r="J151" i="5" l="1"/>
  <c r="K151" i="5" s="1"/>
  <c r="M152" i="5"/>
  <c r="G152" i="5"/>
  <c r="H152" i="5"/>
  <c r="F153" i="5"/>
  <c r="L151" i="5"/>
  <c r="H153" i="5" l="1"/>
  <c r="G153" i="5"/>
  <c r="F154" i="5"/>
  <c r="I152" i="5"/>
  <c r="J152" i="5" l="1"/>
  <c r="K152" i="5" s="1"/>
  <c r="M153" i="5"/>
  <c r="G154" i="5"/>
  <c r="F155" i="5"/>
  <c r="H154" i="5"/>
  <c r="I154" i="5"/>
  <c r="I153" i="5"/>
  <c r="J154" i="5" l="1"/>
  <c r="H155" i="5"/>
  <c r="G155" i="5"/>
  <c r="F156" i="5"/>
  <c r="I155" i="5" s="1"/>
  <c r="J153" i="5"/>
  <c r="K153" i="5" s="1"/>
  <c r="M154" i="5"/>
  <c r="M155" i="5" s="1"/>
  <c r="L152" i="5"/>
  <c r="J155" i="5" l="1"/>
  <c r="K155" i="5" s="1"/>
  <c r="M156" i="5"/>
  <c r="G156" i="5"/>
  <c r="H156" i="5"/>
  <c r="F157" i="5"/>
  <c r="I156" i="5" s="1"/>
  <c r="L153" i="5"/>
  <c r="K154" i="5"/>
  <c r="L155" i="5" s="1"/>
  <c r="J156" i="5" l="1"/>
  <c r="K156" i="5" s="1"/>
  <c r="M157" i="5"/>
  <c r="L154" i="5"/>
  <c r="F158" i="5"/>
  <c r="G157" i="5"/>
  <c r="H157" i="5"/>
  <c r="I157" i="5"/>
  <c r="L156" i="5"/>
  <c r="J157" i="5" l="1"/>
  <c r="K157" i="5" s="1"/>
  <c r="M158" i="5"/>
  <c r="F159" i="5"/>
  <c r="G158" i="5"/>
  <c r="H158" i="5"/>
  <c r="L157" i="5"/>
  <c r="H159" i="5" l="1"/>
  <c r="G159" i="5"/>
  <c r="F160" i="5"/>
  <c r="I158" i="5"/>
  <c r="M159" i="5" l="1"/>
  <c r="J158" i="5"/>
  <c r="K158" i="5" s="1"/>
  <c r="H160" i="5"/>
  <c r="G160" i="5"/>
  <c r="F161" i="5"/>
  <c r="I159" i="5"/>
  <c r="M160" i="5" l="1"/>
  <c r="J159" i="5"/>
  <c r="K159" i="5" s="1"/>
  <c r="L159" i="5" s="1"/>
  <c r="L158" i="5"/>
  <c r="G161" i="5"/>
  <c r="H161" i="5"/>
  <c r="F162" i="5"/>
  <c r="I160" i="5"/>
  <c r="G162" i="5" l="1"/>
  <c r="H162" i="5"/>
  <c r="F163" i="5"/>
  <c r="I161" i="5"/>
  <c r="J160" i="5"/>
  <c r="K160" i="5" s="1"/>
  <c r="M161" i="5"/>
  <c r="H163" i="5" l="1"/>
  <c r="G163" i="5"/>
  <c r="F164" i="5"/>
  <c r="J161" i="5"/>
  <c r="K161" i="5" s="1"/>
  <c r="L161" i="5" s="1"/>
  <c r="M162" i="5"/>
  <c r="I162" i="5"/>
  <c r="L160" i="5"/>
  <c r="J162" i="5" l="1"/>
  <c r="K162" i="5" s="1"/>
  <c r="M163" i="5"/>
  <c r="H164" i="5"/>
  <c r="G164" i="5"/>
  <c r="F165" i="5"/>
  <c r="I163" i="5"/>
  <c r="L162" i="5"/>
  <c r="J163" i="5" l="1"/>
  <c r="K163" i="5" s="1"/>
  <c r="M164" i="5"/>
  <c r="F166" i="5"/>
  <c r="G165" i="5"/>
  <c r="H165" i="5"/>
  <c r="I165" i="5"/>
  <c r="I164" i="5"/>
  <c r="L163" i="5"/>
  <c r="J164" i="5" l="1"/>
  <c r="K164" i="5" s="1"/>
  <c r="M165" i="5"/>
  <c r="F167" i="5"/>
  <c r="G166" i="5"/>
  <c r="I166" i="5"/>
  <c r="H166" i="5"/>
  <c r="J165" i="5"/>
  <c r="K165" i="5" s="1"/>
  <c r="M166" i="5"/>
  <c r="L164" i="5"/>
  <c r="G167" i="5" l="1"/>
  <c r="H167" i="5"/>
  <c r="F168" i="5"/>
  <c r="J166" i="5"/>
  <c r="K166" i="5" s="1"/>
  <c r="L166" i="5" s="1"/>
  <c r="M167" i="5"/>
  <c r="L165" i="5"/>
  <c r="H168" i="5" l="1"/>
  <c r="G168" i="5"/>
  <c r="F169" i="5"/>
  <c r="I168" i="5" s="1"/>
  <c r="I167" i="5"/>
  <c r="M169" i="5" l="1"/>
  <c r="J168" i="5"/>
  <c r="K168" i="5" s="1"/>
  <c r="M168" i="5"/>
  <c r="J167" i="5"/>
  <c r="K167" i="5" s="1"/>
  <c r="H169" i="5"/>
  <c r="G169" i="5"/>
  <c r="F170" i="5"/>
  <c r="G170" i="5" l="1"/>
  <c r="H170" i="5"/>
  <c r="F171" i="5"/>
  <c r="I169" i="5"/>
  <c r="L168" i="5"/>
  <c r="L167" i="5"/>
  <c r="J169" i="5" l="1"/>
  <c r="K169" i="5" s="1"/>
  <c r="M170" i="5"/>
  <c r="G171" i="5"/>
  <c r="H171" i="5"/>
  <c r="F172" i="5"/>
  <c r="I170" i="5"/>
  <c r="J170" i="5" l="1"/>
  <c r="K170" i="5" s="1"/>
  <c r="M171" i="5"/>
  <c r="H172" i="5"/>
  <c r="G172" i="5"/>
  <c r="F173" i="5"/>
  <c r="I171" i="5"/>
  <c r="L170" i="5"/>
  <c r="L169" i="5"/>
  <c r="J171" i="5" l="1"/>
  <c r="K171" i="5" s="1"/>
  <c r="M172" i="5"/>
  <c r="F174" i="5"/>
  <c r="H173" i="5"/>
  <c r="G173" i="5"/>
  <c r="I173" i="5"/>
  <c r="I172" i="5"/>
  <c r="L171" i="5"/>
  <c r="J172" i="5" l="1"/>
  <c r="K172" i="5" s="1"/>
  <c r="M173" i="5"/>
  <c r="F175" i="5"/>
  <c r="G174" i="5"/>
  <c r="H174" i="5"/>
  <c r="I174" i="5"/>
  <c r="J173" i="5"/>
  <c r="K173" i="5" s="1"/>
  <c r="M174" i="5"/>
  <c r="L172" i="5"/>
  <c r="G175" i="5" l="1"/>
  <c r="H175" i="5"/>
  <c r="F176" i="5"/>
  <c r="I175" i="5" s="1"/>
  <c r="J174" i="5"/>
  <c r="K174" i="5" s="1"/>
  <c r="M175" i="5"/>
  <c r="L173" i="5"/>
  <c r="J175" i="5" l="1"/>
  <c r="K175" i="5" s="1"/>
  <c r="M176" i="5"/>
  <c r="L175" i="5"/>
  <c r="G176" i="5"/>
  <c r="H176" i="5"/>
  <c r="F177" i="5"/>
  <c r="L174" i="5"/>
  <c r="H177" i="5" l="1"/>
  <c r="G177" i="5"/>
  <c r="F178" i="5"/>
  <c r="I177" i="5" s="1"/>
  <c r="I176" i="5"/>
  <c r="J177" i="5" l="1"/>
  <c r="J176" i="5"/>
  <c r="K176" i="5" s="1"/>
  <c r="M177" i="5"/>
  <c r="M178" i="5" s="1"/>
  <c r="G178" i="5"/>
  <c r="H178" i="5"/>
  <c r="F179" i="5"/>
  <c r="L176" i="5" l="1"/>
  <c r="H179" i="5"/>
  <c r="G179" i="5"/>
  <c r="F180" i="5"/>
  <c r="I178" i="5"/>
  <c r="K177" i="5"/>
  <c r="J178" i="5" l="1"/>
  <c r="K178" i="5" s="1"/>
  <c r="M179" i="5"/>
  <c r="G180" i="5"/>
  <c r="H180" i="5"/>
  <c r="F181" i="5"/>
  <c r="L178" i="5"/>
  <c r="I179" i="5"/>
  <c r="L177" i="5"/>
  <c r="H181" i="5" l="1"/>
  <c r="F182" i="5"/>
  <c r="G181" i="5"/>
  <c r="I181" i="5"/>
  <c r="I180" i="5"/>
  <c r="J179" i="5"/>
  <c r="K179" i="5" s="1"/>
  <c r="L179" i="5" s="1"/>
  <c r="M180" i="5"/>
  <c r="M181" i="5" l="1"/>
  <c r="J180" i="5"/>
  <c r="K180" i="5" s="1"/>
  <c r="F183" i="5"/>
  <c r="H182" i="5"/>
  <c r="G182" i="5"/>
  <c r="I182" i="5"/>
  <c r="L180" i="5"/>
  <c r="M182" i="5"/>
  <c r="J181" i="5"/>
  <c r="H183" i="5" l="1"/>
  <c r="G183" i="5"/>
  <c r="F184" i="5"/>
  <c r="I183" i="5" s="1"/>
  <c r="J182" i="5"/>
  <c r="M183" i="5"/>
  <c r="K181" i="5"/>
  <c r="J183" i="5" l="1"/>
  <c r="K183" i="5" s="1"/>
  <c r="M184" i="5"/>
  <c r="K182" i="5"/>
  <c r="L183" i="5" s="1"/>
  <c r="L181" i="5"/>
  <c r="G184" i="5"/>
  <c r="I184" i="5"/>
  <c r="H184" i="5"/>
  <c r="F185" i="5"/>
  <c r="L182" i="5" l="1"/>
  <c r="J184" i="5"/>
  <c r="K184" i="5" s="1"/>
  <c r="M185" i="5"/>
  <c r="G185" i="5"/>
  <c r="H185" i="5"/>
  <c r="F186" i="5"/>
  <c r="L184" i="5"/>
  <c r="G186" i="5" l="1"/>
  <c r="H186" i="5"/>
  <c r="F187" i="5"/>
  <c r="I185" i="5"/>
  <c r="G187" i="5" l="1"/>
  <c r="H187" i="5"/>
  <c r="F188" i="5"/>
  <c r="I186" i="5"/>
  <c r="J185" i="5"/>
  <c r="K185" i="5" s="1"/>
  <c r="M186" i="5"/>
  <c r="J186" i="5" l="1"/>
  <c r="K186" i="5" s="1"/>
  <c r="M187" i="5"/>
  <c r="L186" i="5"/>
  <c r="L185" i="5"/>
  <c r="G188" i="5"/>
  <c r="H188" i="5"/>
  <c r="F189" i="5"/>
  <c r="I188" i="5" s="1"/>
  <c r="I187" i="5"/>
  <c r="J188" i="5" l="1"/>
  <c r="F190" i="5"/>
  <c r="G189" i="5"/>
  <c r="H189" i="5"/>
  <c r="I189" i="5"/>
  <c r="J187" i="5"/>
  <c r="K187" i="5" s="1"/>
  <c r="M188" i="5"/>
  <c r="M189" i="5" s="1"/>
  <c r="F191" i="5" l="1"/>
  <c r="H190" i="5"/>
  <c r="G190" i="5"/>
  <c r="I190" i="5"/>
  <c r="J189" i="5"/>
  <c r="K189" i="5" s="1"/>
  <c r="M190" i="5"/>
  <c r="L187" i="5"/>
  <c r="K188" i="5"/>
  <c r="J190" i="5" l="1"/>
  <c r="K190" i="5" s="1"/>
  <c r="M191" i="5"/>
  <c r="H191" i="5"/>
  <c r="G191" i="5"/>
  <c r="F192" i="5"/>
  <c r="L190" i="5"/>
  <c r="L189" i="5"/>
  <c r="L188" i="5"/>
  <c r="H192" i="5" l="1"/>
  <c r="G192" i="5"/>
  <c r="F193" i="5"/>
  <c r="I192" i="5" s="1"/>
  <c r="I191" i="5"/>
  <c r="J192" i="5" l="1"/>
  <c r="J191" i="5"/>
  <c r="K191" i="5" s="1"/>
  <c r="M192" i="5"/>
  <c r="M193" i="5" s="1"/>
  <c r="G193" i="5"/>
  <c r="H193" i="5"/>
  <c r="F194" i="5"/>
  <c r="L191" i="5" l="1"/>
  <c r="G194" i="5"/>
  <c r="H194" i="5"/>
  <c r="F195" i="5"/>
  <c r="I193" i="5"/>
  <c r="K192" i="5"/>
  <c r="J193" i="5" l="1"/>
  <c r="K193" i="5" s="1"/>
  <c r="M194" i="5"/>
  <c r="G195" i="5"/>
  <c r="H195" i="5"/>
  <c r="F196" i="5"/>
  <c r="I194" i="5"/>
  <c r="L192" i="5"/>
  <c r="J194" i="5" l="1"/>
  <c r="K194" i="5" s="1"/>
  <c r="M195" i="5"/>
  <c r="L194" i="5"/>
  <c r="G196" i="5"/>
  <c r="H196" i="5"/>
  <c r="F197" i="5"/>
  <c r="I196" i="5" s="1"/>
  <c r="I195" i="5"/>
  <c r="L193" i="5"/>
  <c r="M197" i="5" l="1"/>
  <c r="J196" i="5"/>
  <c r="K196" i="5" s="1"/>
  <c r="J195" i="5"/>
  <c r="K195" i="5" s="1"/>
  <c r="L196" i="5" s="1"/>
  <c r="M196" i="5"/>
  <c r="F198" i="5"/>
  <c r="H197" i="5"/>
  <c r="G197" i="5"/>
  <c r="F199" i="5" l="1"/>
  <c r="I198" i="5" s="1"/>
  <c r="G198" i="5"/>
  <c r="H198" i="5"/>
  <c r="I197" i="5"/>
  <c r="L195" i="5"/>
  <c r="J198" i="5" l="1"/>
  <c r="K198" i="5" s="1"/>
  <c r="J197" i="5"/>
  <c r="K197" i="5" s="1"/>
  <c r="M198" i="5"/>
  <c r="M199" i="5" s="1"/>
  <c r="H199" i="5"/>
  <c r="G199" i="5"/>
  <c r="F200" i="5"/>
  <c r="I199" i="5" s="1"/>
  <c r="M200" i="5" l="1"/>
  <c r="J199" i="5"/>
  <c r="K199" i="5" s="1"/>
  <c r="G200" i="5"/>
  <c r="H200" i="5"/>
  <c r="F201" i="5"/>
  <c r="I200" i="5" s="1"/>
  <c r="L199" i="5"/>
  <c r="L198" i="5"/>
  <c r="L197" i="5"/>
  <c r="J200" i="5" l="1"/>
  <c r="K200" i="5" s="1"/>
  <c r="M201" i="5"/>
  <c r="L200" i="5"/>
  <c r="H201" i="5"/>
  <c r="G201" i="5"/>
  <c r="F202" i="5"/>
  <c r="G202" i="5" l="1"/>
  <c r="H202" i="5"/>
  <c r="F203" i="5"/>
  <c r="I201" i="5"/>
  <c r="G203" i="5" l="1"/>
  <c r="H203" i="5"/>
  <c r="F204" i="5"/>
  <c r="J201" i="5"/>
  <c r="K201" i="5" s="1"/>
  <c r="M202" i="5"/>
  <c r="I202" i="5"/>
  <c r="L201" i="5" l="1"/>
  <c r="J202" i="5"/>
  <c r="K202" i="5" s="1"/>
  <c r="M203" i="5"/>
  <c r="G204" i="5"/>
  <c r="H204" i="5"/>
  <c r="F205" i="5"/>
  <c r="I203" i="5"/>
  <c r="F206" i="5" l="1"/>
  <c r="G205" i="5"/>
  <c r="H205" i="5"/>
  <c r="I205" i="5"/>
  <c r="I204" i="5"/>
  <c r="J203" i="5"/>
  <c r="K203" i="5" s="1"/>
  <c r="M204" i="5"/>
  <c r="L202" i="5"/>
  <c r="M206" i="5" l="1"/>
  <c r="J205" i="5"/>
  <c r="K205" i="5" s="1"/>
  <c r="J204" i="5"/>
  <c r="K204" i="5" s="1"/>
  <c r="M205" i="5"/>
  <c r="F207" i="5"/>
  <c r="H206" i="5"/>
  <c r="I206" i="5"/>
  <c r="G206" i="5"/>
  <c r="L203" i="5"/>
  <c r="L205" i="5" l="1"/>
  <c r="J206" i="5"/>
  <c r="K206" i="5" s="1"/>
  <c r="L206" i="5" s="1"/>
  <c r="M207" i="5"/>
  <c r="G207" i="5"/>
  <c r="H207" i="5"/>
  <c r="F208" i="5"/>
  <c r="I207" i="5" s="1"/>
  <c r="L204" i="5"/>
  <c r="J207" i="5" l="1"/>
  <c r="K207" i="5" s="1"/>
  <c r="M208" i="5"/>
  <c r="H208" i="5"/>
  <c r="G208" i="5"/>
  <c r="F209" i="5"/>
  <c r="L207" i="5"/>
  <c r="H209" i="5" l="1"/>
  <c r="G209" i="5"/>
  <c r="F210" i="5"/>
  <c r="I209" i="5" s="1"/>
  <c r="I208" i="5"/>
  <c r="J209" i="5" l="1"/>
  <c r="J208" i="5"/>
  <c r="K208" i="5" s="1"/>
  <c r="M209" i="5"/>
  <c r="M210" i="5" s="1"/>
  <c r="G210" i="5"/>
  <c r="H210" i="5"/>
  <c r="F211" i="5"/>
  <c r="L208" i="5" l="1"/>
  <c r="H211" i="5"/>
  <c r="G211" i="5"/>
  <c r="F212" i="5"/>
  <c r="I210" i="5"/>
  <c r="K209" i="5"/>
  <c r="G212" i="5" l="1"/>
  <c r="H212" i="5"/>
  <c r="F213" i="5"/>
  <c r="I212" i="5" s="1"/>
  <c r="I211" i="5"/>
  <c r="J210" i="5"/>
  <c r="K210" i="5" s="1"/>
  <c r="L210" i="5" s="1"/>
  <c r="M211" i="5"/>
  <c r="L209" i="5"/>
  <c r="J212" i="5" l="1"/>
  <c r="J211" i="5"/>
  <c r="K211" i="5" s="1"/>
  <c r="M212" i="5"/>
  <c r="M213" i="5" s="1"/>
  <c r="F214" i="5"/>
  <c r="G213" i="5"/>
  <c r="H213" i="5"/>
  <c r="F215" i="5" l="1"/>
  <c r="H214" i="5"/>
  <c r="G214" i="5"/>
  <c r="I214" i="5"/>
  <c r="L211" i="5"/>
  <c r="I213" i="5"/>
  <c r="K212" i="5"/>
  <c r="M214" i="5" l="1"/>
  <c r="J213" i="5"/>
  <c r="K213" i="5" s="1"/>
  <c r="G215" i="5"/>
  <c r="H215" i="5"/>
  <c r="F216" i="5"/>
  <c r="L213" i="5"/>
  <c r="M215" i="5"/>
  <c r="J214" i="5"/>
  <c r="L212" i="5"/>
  <c r="G216" i="5" l="1"/>
  <c r="H216" i="5"/>
  <c r="F217" i="5"/>
  <c r="I215" i="5"/>
  <c r="K214" i="5"/>
  <c r="J215" i="5" l="1"/>
  <c r="K215" i="5" s="1"/>
  <c r="M216" i="5"/>
  <c r="H217" i="5"/>
  <c r="G217" i="5"/>
  <c r="F218" i="5"/>
  <c r="I216" i="5"/>
  <c r="L214" i="5"/>
  <c r="G218" i="5" l="1"/>
  <c r="H218" i="5"/>
  <c r="F219" i="5"/>
  <c r="I218" i="5" s="1"/>
  <c r="I217" i="5"/>
  <c r="M217" i="5"/>
  <c r="J216" i="5"/>
  <c r="K216" i="5" s="1"/>
  <c r="L216" i="5" s="1"/>
  <c r="L215" i="5"/>
  <c r="J218" i="5" l="1"/>
  <c r="J217" i="5"/>
  <c r="K217" i="5" s="1"/>
  <c r="M218" i="5"/>
  <c r="M219" i="5" s="1"/>
  <c r="H219" i="5"/>
  <c r="G219" i="5"/>
  <c r="I219" i="5"/>
  <c r="F220" i="5"/>
  <c r="J219" i="5" l="1"/>
  <c r="M220" i="5"/>
  <c r="L218" i="5"/>
  <c r="L217" i="5"/>
  <c r="H220" i="5"/>
  <c r="G220" i="5"/>
  <c r="F221" i="5"/>
  <c r="K218" i="5"/>
  <c r="F222" i="5" l="1"/>
  <c r="G221" i="5"/>
  <c r="I221" i="5"/>
  <c r="H221" i="5"/>
  <c r="I220" i="5"/>
  <c r="K219" i="5"/>
  <c r="L219" i="5" s="1"/>
  <c r="J220" i="5" l="1"/>
  <c r="K220" i="5" s="1"/>
  <c r="M221" i="5"/>
  <c r="J221" i="5"/>
  <c r="K221" i="5" s="1"/>
  <c r="M222" i="5"/>
  <c r="G222" i="5"/>
  <c r="F223" i="5"/>
  <c r="H222" i="5"/>
  <c r="L221" i="5" l="1"/>
  <c r="H223" i="5"/>
  <c r="G223" i="5"/>
  <c r="F224" i="5"/>
  <c r="I222" i="5"/>
  <c r="L220" i="5"/>
  <c r="G224" i="5" l="1"/>
  <c r="H224" i="5"/>
  <c r="F225" i="5"/>
  <c r="M223" i="5"/>
  <c r="J222" i="5"/>
  <c r="K222" i="5" s="1"/>
  <c r="I223" i="5"/>
  <c r="L222" i="5" l="1"/>
  <c r="M224" i="5"/>
  <c r="J223" i="5"/>
  <c r="K223" i="5" s="1"/>
  <c r="G225" i="5"/>
  <c r="H225" i="5"/>
  <c r="F226" i="5"/>
  <c r="I224" i="5"/>
  <c r="G226" i="5" l="1"/>
  <c r="H226" i="5"/>
  <c r="F227" i="5"/>
  <c r="I225" i="5"/>
  <c r="J224" i="5"/>
  <c r="K224" i="5" s="1"/>
  <c r="M225" i="5"/>
  <c r="L223" i="5"/>
  <c r="J225" i="5" l="1"/>
  <c r="K225" i="5" s="1"/>
  <c r="M226" i="5"/>
  <c r="H227" i="5"/>
  <c r="G227" i="5"/>
  <c r="F228" i="5"/>
  <c r="I227" i="5" s="1"/>
  <c r="I226" i="5"/>
  <c r="L224" i="5"/>
  <c r="J227" i="5" l="1"/>
  <c r="J226" i="5"/>
  <c r="K226" i="5" s="1"/>
  <c r="M227" i="5"/>
  <c r="M228" i="5" s="1"/>
  <c r="L226" i="5"/>
  <c r="H228" i="5"/>
  <c r="G228" i="5"/>
  <c r="I228" i="5"/>
  <c r="F229" i="5"/>
  <c r="L225" i="5"/>
  <c r="J228" i="5" l="1"/>
  <c r="M229" i="5"/>
  <c r="F230" i="5"/>
  <c r="G229" i="5"/>
  <c r="H229" i="5"/>
  <c r="I229" i="5" s="1"/>
  <c r="K227" i="5"/>
  <c r="L227" i="5" s="1"/>
  <c r="J229" i="5" l="1"/>
  <c r="K229" i="5" s="1"/>
  <c r="M230" i="5"/>
  <c r="G230" i="5"/>
  <c r="F231" i="5"/>
  <c r="H230" i="5"/>
  <c r="K228" i="5"/>
  <c r="L229" i="5" s="1"/>
  <c r="G231" i="5" l="1"/>
  <c r="H231" i="5"/>
  <c r="F232" i="5"/>
  <c r="L228" i="5"/>
  <c r="I230" i="5"/>
  <c r="G232" i="5" l="1"/>
  <c r="H232" i="5"/>
  <c r="F233" i="5"/>
  <c r="I231" i="5"/>
  <c r="J230" i="5"/>
  <c r="K230" i="5" s="1"/>
  <c r="M231" i="5"/>
  <c r="J231" i="5" l="1"/>
  <c r="K231" i="5" s="1"/>
  <c r="M232" i="5"/>
  <c r="L231" i="5"/>
  <c r="L230" i="5"/>
  <c r="H233" i="5"/>
  <c r="G233" i="5"/>
  <c r="F234" i="5"/>
  <c r="I232" i="5"/>
  <c r="G234" i="5" l="1"/>
  <c r="H234" i="5"/>
  <c r="F235" i="5"/>
  <c r="I233" i="5"/>
  <c r="J232" i="5"/>
  <c r="K232" i="5" s="1"/>
  <c r="M233" i="5"/>
  <c r="L232" i="5"/>
  <c r="G235" i="5" l="1"/>
  <c r="H235" i="5"/>
  <c r="F236" i="5"/>
  <c r="J233" i="5"/>
  <c r="K233" i="5" s="1"/>
  <c r="M234" i="5"/>
  <c r="I234" i="5"/>
  <c r="L233" i="5"/>
  <c r="H236" i="5" l="1"/>
  <c r="G236" i="5"/>
  <c r="F237" i="5"/>
  <c r="I235" i="5"/>
  <c r="J234" i="5"/>
  <c r="K234" i="5" s="1"/>
  <c r="M235" i="5"/>
  <c r="J235" i="5" l="1"/>
  <c r="K235" i="5" s="1"/>
  <c r="M236" i="5"/>
  <c r="F238" i="5"/>
  <c r="H237" i="5"/>
  <c r="G237" i="5"/>
  <c r="I237" i="5"/>
  <c r="I236" i="5"/>
  <c r="L235" i="5"/>
  <c r="L234" i="5"/>
  <c r="J237" i="5" l="1"/>
  <c r="F239" i="5"/>
  <c r="H238" i="5"/>
  <c r="G238" i="5"/>
  <c r="I238" i="5"/>
  <c r="J236" i="5"/>
  <c r="K236" i="5" s="1"/>
  <c r="M237" i="5"/>
  <c r="M238" i="5" s="1"/>
  <c r="J238" i="5" l="1"/>
  <c r="M239" i="5"/>
  <c r="G239" i="5"/>
  <c r="H239" i="5"/>
  <c r="F240" i="5"/>
  <c r="I239" i="5" s="1"/>
  <c r="L237" i="5"/>
  <c r="L236" i="5"/>
  <c r="K237" i="5"/>
  <c r="J239" i="5" l="1"/>
  <c r="K239" i="5" s="1"/>
  <c r="M240" i="5"/>
  <c r="G240" i="5"/>
  <c r="H240" i="5"/>
  <c r="F241" i="5"/>
  <c r="I240" i="5" s="1"/>
  <c r="K238" i="5"/>
  <c r="L239" i="5" s="1"/>
  <c r="J240" i="5" l="1"/>
  <c r="K240" i="5" s="1"/>
  <c r="M241" i="5"/>
  <c r="L238" i="5"/>
  <c r="H241" i="5"/>
  <c r="G241" i="5"/>
  <c r="F242" i="5"/>
  <c r="L240" i="5"/>
  <c r="G242" i="5" l="1"/>
  <c r="H242" i="5"/>
  <c r="F243" i="5"/>
  <c r="I241" i="5"/>
  <c r="J241" i="5" l="1"/>
  <c r="K241" i="5" s="1"/>
  <c r="M242" i="5"/>
  <c r="H243" i="5"/>
  <c r="G243" i="5"/>
  <c r="F244" i="5"/>
  <c r="I242" i="5"/>
  <c r="G244" i="5" l="1"/>
  <c r="H244" i="5"/>
  <c r="F245" i="5"/>
  <c r="I244" i="5" s="1"/>
  <c r="I243" i="5"/>
  <c r="J242" i="5"/>
  <c r="K242" i="5" s="1"/>
  <c r="M243" i="5"/>
  <c r="L241" i="5"/>
  <c r="J244" i="5" l="1"/>
  <c r="K244" i="5" s="1"/>
  <c r="M245" i="5"/>
  <c r="J243" i="5"/>
  <c r="K243" i="5" s="1"/>
  <c r="L244" i="5" s="1"/>
  <c r="M244" i="5"/>
  <c r="L243" i="5"/>
  <c r="L242" i="5"/>
  <c r="F246" i="5"/>
  <c r="I245" i="5" s="1"/>
  <c r="G245" i="5"/>
  <c r="H245" i="5"/>
  <c r="M246" i="5" l="1"/>
  <c r="J245" i="5"/>
  <c r="K245" i="5" s="1"/>
  <c r="F247" i="5"/>
  <c r="G246" i="5"/>
  <c r="H246" i="5"/>
  <c r="I246" i="5"/>
  <c r="L245" i="5"/>
  <c r="J246" i="5" l="1"/>
  <c r="K246" i="5" s="1"/>
  <c r="M247" i="5"/>
  <c r="L246" i="5"/>
  <c r="G247" i="5"/>
  <c r="H247" i="5"/>
  <c r="F248" i="5"/>
  <c r="I247" i="5" s="1"/>
  <c r="J247" i="5" l="1"/>
  <c r="K247" i="5" s="1"/>
  <c r="M248" i="5"/>
  <c r="G248" i="5"/>
  <c r="H248" i="5"/>
  <c r="F249" i="5"/>
  <c r="L247" i="5"/>
  <c r="G249" i="5" l="1"/>
  <c r="H249" i="5"/>
  <c r="F250" i="5"/>
  <c r="I248" i="5"/>
  <c r="J248" i="5" l="1"/>
  <c r="K248" i="5" s="1"/>
  <c r="M249" i="5"/>
  <c r="G250" i="5"/>
  <c r="H250" i="5"/>
  <c r="F251" i="5"/>
  <c r="I249" i="5"/>
  <c r="J249" i="5" l="1"/>
  <c r="K249" i="5" s="1"/>
  <c r="M250" i="5"/>
  <c r="H251" i="5"/>
  <c r="G251" i="5"/>
  <c r="F252" i="5"/>
  <c r="I251" i="5" s="1"/>
  <c r="I250" i="5"/>
  <c r="L249" i="5"/>
  <c r="L248" i="5"/>
  <c r="J251" i="5" l="1"/>
  <c r="J250" i="5"/>
  <c r="K250" i="5" s="1"/>
  <c r="M251" i="5"/>
  <c r="M252" i="5" s="1"/>
  <c r="H252" i="5"/>
  <c r="G252" i="5"/>
  <c r="F253" i="5"/>
  <c r="F254" i="5" l="1"/>
  <c r="G253" i="5"/>
  <c r="H253" i="5"/>
  <c r="I253" i="5" s="1"/>
  <c r="I252" i="5"/>
  <c r="L250" i="5"/>
  <c r="K251" i="5"/>
  <c r="M254" i="5" l="1"/>
  <c r="J253" i="5"/>
  <c r="K253" i="5" s="1"/>
  <c r="J252" i="5"/>
  <c r="K252" i="5" s="1"/>
  <c r="L253" i="5" s="1"/>
  <c r="M253" i="5"/>
  <c r="F255" i="5"/>
  <c r="H254" i="5"/>
  <c r="G254" i="5"/>
  <c r="L251" i="5"/>
  <c r="H255" i="5" l="1"/>
  <c r="G255" i="5"/>
  <c r="F256" i="5"/>
  <c r="L252" i="5"/>
  <c r="I254" i="5"/>
  <c r="M255" i="5" l="1"/>
  <c r="J254" i="5"/>
  <c r="K254" i="5" s="1"/>
  <c r="H256" i="5"/>
  <c r="G256" i="5"/>
  <c r="F257" i="5"/>
  <c r="I255" i="5"/>
  <c r="J255" i="5" l="1"/>
  <c r="K255" i="5" s="1"/>
  <c r="M256" i="5"/>
  <c r="L255" i="5"/>
  <c r="L254" i="5"/>
  <c r="G257" i="5"/>
  <c r="H257" i="5"/>
  <c r="F258" i="5"/>
  <c r="I257" i="5" s="1"/>
  <c r="I256" i="5"/>
  <c r="J257" i="5" l="1"/>
  <c r="G258" i="5"/>
  <c r="H258" i="5"/>
  <c r="F259" i="5"/>
  <c r="J256" i="5"/>
  <c r="K256" i="5" s="1"/>
  <c r="M257" i="5"/>
  <c r="M258" i="5" s="1"/>
  <c r="G259" i="5" l="1"/>
  <c r="H259" i="5"/>
  <c r="F260" i="5"/>
  <c r="I258" i="5"/>
  <c r="L256" i="5"/>
  <c r="K257" i="5"/>
  <c r="G260" i="5" l="1"/>
  <c r="H260" i="5"/>
  <c r="F261" i="5"/>
  <c r="I260" i="5" s="1"/>
  <c r="J258" i="5"/>
  <c r="K258" i="5" s="1"/>
  <c r="M259" i="5"/>
  <c r="I259" i="5"/>
  <c r="L257" i="5"/>
  <c r="J260" i="5" l="1"/>
  <c r="J259" i="5"/>
  <c r="K259" i="5" s="1"/>
  <c r="L259" i="5" s="1"/>
  <c r="M260" i="5"/>
  <c r="M261" i="5" s="1"/>
  <c r="L258" i="5"/>
  <c r="F262" i="5"/>
  <c r="G261" i="5"/>
  <c r="H261" i="5"/>
  <c r="G262" i="5" l="1"/>
  <c r="H262" i="5"/>
  <c r="F263" i="5"/>
  <c r="I261" i="5"/>
  <c r="K260" i="5"/>
  <c r="L260" i="5" s="1"/>
  <c r="J261" i="5" l="1"/>
  <c r="K261" i="5" s="1"/>
  <c r="M262" i="5"/>
  <c r="L261" i="5"/>
  <c r="H263" i="5"/>
  <c r="G263" i="5"/>
  <c r="F264" i="5"/>
  <c r="I262" i="5"/>
  <c r="H264" i="5" l="1"/>
  <c r="G264" i="5"/>
  <c r="F265" i="5"/>
  <c r="J262" i="5"/>
  <c r="K262" i="5" s="1"/>
  <c r="M263" i="5"/>
  <c r="I263" i="5"/>
  <c r="L262" i="5"/>
  <c r="J263" i="5" l="1"/>
  <c r="K263" i="5" s="1"/>
  <c r="M264" i="5"/>
  <c r="H265" i="5"/>
  <c r="G265" i="5"/>
  <c r="F266" i="5"/>
  <c r="L263" i="5"/>
  <c r="I264" i="5"/>
  <c r="J264" i="5" l="1"/>
  <c r="K264" i="5" s="1"/>
  <c r="M265" i="5"/>
  <c r="G266" i="5"/>
  <c r="H266" i="5"/>
  <c r="F267" i="5"/>
  <c r="I265" i="5"/>
  <c r="L264" i="5"/>
  <c r="G267" i="5" l="1"/>
  <c r="H267" i="5"/>
  <c r="F268" i="5"/>
  <c r="J265" i="5"/>
  <c r="K265" i="5" s="1"/>
  <c r="M266" i="5"/>
  <c r="I266" i="5"/>
  <c r="L265" i="5"/>
  <c r="G268" i="5" l="1"/>
  <c r="H268" i="5"/>
  <c r="F269" i="5"/>
  <c r="I267" i="5"/>
  <c r="J266" i="5"/>
  <c r="K266" i="5" s="1"/>
  <c r="L266" i="5" s="1"/>
  <c r="M267" i="5"/>
  <c r="F270" i="5" l="1"/>
  <c r="G269" i="5"/>
  <c r="H269" i="5"/>
  <c r="I269" i="5"/>
  <c r="I268" i="5"/>
  <c r="J267" i="5"/>
  <c r="K267" i="5" s="1"/>
  <c r="M268" i="5"/>
  <c r="J269" i="5" l="1"/>
  <c r="L267" i="5"/>
  <c r="J268" i="5"/>
  <c r="K268" i="5" s="1"/>
  <c r="M269" i="5"/>
  <c r="M270" i="5" s="1"/>
  <c r="F271" i="5"/>
  <c r="G270" i="5"/>
  <c r="H270" i="5"/>
  <c r="K269" i="5" l="1"/>
  <c r="L269" i="5"/>
  <c r="G271" i="5"/>
  <c r="H271" i="5"/>
  <c r="F272" i="5"/>
  <c r="I270" i="5"/>
  <c r="L268" i="5"/>
  <c r="J270" i="5" l="1"/>
  <c r="K270" i="5" s="1"/>
  <c r="M271" i="5"/>
  <c r="H272" i="5"/>
  <c r="G272" i="5"/>
  <c r="F273" i="5"/>
  <c r="I271" i="5"/>
  <c r="L270" i="5"/>
  <c r="M272" i="5" l="1"/>
  <c r="J271" i="5"/>
  <c r="K271" i="5" s="1"/>
  <c r="H273" i="5"/>
  <c r="G273" i="5"/>
  <c r="F274" i="5"/>
  <c r="I272" i="5"/>
  <c r="L271" i="5"/>
  <c r="J272" i="5" l="1"/>
  <c r="K272" i="5" s="1"/>
  <c r="M273" i="5"/>
  <c r="L272" i="5"/>
  <c r="G274" i="5"/>
  <c r="H274" i="5"/>
  <c r="F275" i="5"/>
  <c r="I274" i="5" s="1"/>
  <c r="I273" i="5"/>
  <c r="J274" i="5" l="1"/>
  <c r="J273" i="5"/>
  <c r="K273" i="5" s="1"/>
  <c r="M274" i="5"/>
  <c r="M275" i="5" s="1"/>
  <c r="G275" i="5"/>
  <c r="H275" i="5"/>
  <c r="F276" i="5"/>
  <c r="G276" i="5" l="1"/>
  <c r="H276" i="5"/>
  <c r="F277" i="5"/>
  <c r="I275" i="5"/>
  <c r="L273" i="5"/>
  <c r="K274" i="5"/>
  <c r="J275" i="5" l="1"/>
  <c r="K275" i="5" s="1"/>
  <c r="M276" i="5"/>
  <c r="F278" i="5"/>
  <c r="G277" i="5"/>
  <c r="I277" i="5"/>
  <c r="H277" i="5"/>
  <c r="I276" i="5"/>
  <c r="L274" i="5"/>
  <c r="J276" i="5" l="1"/>
  <c r="K276" i="5" s="1"/>
  <c r="M277" i="5"/>
  <c r="M278" i="5"/>
  <c r="J277" i="5"/>
  <c r="K277" i="5" s="1"/>
  <c r="F279" i="5"/>
  <c r="G278" i="5"/>
  <c r="H278" i="5"/>
  <c r="L275" i="5"/>
  <c r="L277" i="5" l="1"/>
  <c r="H279" i="5"/>
  <c r="G279" i="5"/>
  <c r="F280" i="5"/>
  <c r="I279" i="5" s="1"/>
  <c r="I278" i="5"/>
  <c r="L276" i="5"/>
  <c r="J279" i="5" l="1"/>
  <c r="G280" i="5"/>
  <c r="H280" i="5"/>
  <c r="F281" i="5"/>
  <c r="M279" i="5"/>
  <c r="M280" i="5" s="1"/>
  <c r="J278" i="5"/>
  <c r="K278" i="5" s="1"/>
  <c r="L278" i="5" l="1"/>
  <c r="H281" i="5"/>
  <c r="G281" i="5"/>
  <c r="F282" i="5"/>
  <c r="I281" i="5" s="1"/>
  <c r="I280" i="5"/>
  <c r="K279" i="5"/>
  <c r="J281" i="5" l="1"/>
  <c r="G282" i="5"/>
  <c r="H282" i="5"/>
  <c r="F283" i="5"/>
  <c r="I282" i="5" s="1"/>
  <c r="J280" i="5"/>
  <c r="K280" i="5" s="1"/>
  <c r="L280" i="5" s="1"/>
  <c r="M281" i="5"/>
  <c r="M282" i="5" s="1"/>
  <c r="L279" i="5"/>
  <c r="J282" i="5" l="1"/>
  <c r="M283" i="5"/>
  <c r="H283" i="5"/>
  <c r="G283" i="5"/>
  <c r="F284" i="5"/>
  <c r="I283" i="5" s="1"/>
  <c r="K281" i="5"/>
  <c r="J283" i="5" l="1"/>
  <c r="K283" i="5" s="1"/>
  <c r="M284" i="5"/>
  <c r="L281" i="5"/>
  <c r="H284" i="5"/>
  <c r="G284" i="5"/>
  <c r="F285" i="5"/>
  <c r="I284" i="5" s="1"/>
  <c r="K282" i="5"/>
  <c r="L283" i="5" s="1"/>
  <c r="J284" i="5" l="1"/>
  <c r="K284" i="5" s="1"/>
  <c r="M285" i="5"/>
  <c r="L282" i="5"/>
  <c r="F286" i="5"/>
  <c r="G285" i="5"/>
  <c r="H285" i="5"/>
  <c r="I285" i="5"/>
  <c r="L284" i="5"/>
  <c r="J285" i="5" l="1"/>
  <c r="K285" i="5" s="1"/>
  <c r="M286" i="5"/>
  <c r="G286" i="5"/>
  <c r="F287" i="5"/>
  <c r="H286" i="5"/>
  <c r="L285" i="5"/>
  <c r="H287" i="5" l="1"/>
  <c r="G287" i="5"/>
  <c r="F288" i="5"/>
  <c r="I287" i="5" s="1"/>
  <c r="I286" i="5"/>
  <c r="J287" i="5" l="1"/>
  <c r="M287" i="5"/>
  <c r="M288" i="5" s="1"/>
  <c r="J286" i="5"/>
  <c r="K286" i="5" s="1"/>
  <c r="G288" i="5"/>
  <c r="H288" i="5"/>
  <c r="F289" i="5"/>
  <c r="I288" i="5" s="1"/>
  <c r="J288" i="5" l="1"/>
  <c r="K288" i="5" s="1"/>
  <c r="M289" i="5"/>
  <c r="K287" i="5"/>
  <c r="L288" i="5" s="1"/>
  <c r="G289" i="5"/>
  <c r="H289" i="5"/>
  <c r="F290" i="5"/>
  <c r="L287" i="5"/>
  <c r="L286" i="5"/>
  <c r="G290" i="5" l="1"/>
  <c r="H290" i="5"/>
  <c r="F291" i="5"/>
  <c r="I289" i="5"/>
  <c r="H291" i="5" l="1"/>
  <c r="G291" i="5"/>
  <c r="F292" i="5"/>
  <c r="J289" i="5"/>
  <c r="K289" i="5" s="1"/>
  <c r="M290" i="5"/>
  <c r="I290" i="5"/>
  <c r="J290" i="5" l="1"/>
  <c r="K290" i="5" s="1"/>
  <c r="M291" i="5"/>
  <c r="H292" i="5"/>
  <c r="G292" i="5"/>
  <c r="F293" i="5"/>
  <c r="L290" i="5"/>
  <c r="L289" i="5"/>
  <c r="I291" i="5"/>
  <c r="F294" i="5" l="1"/>
  <c r="H293" i="5"/>
  <c r="G293" i="5"/>
  <c r="I293" i="5"/>
  <c r="I292" i="5"/>
  <c r="J291" i="5"/>
  <c r="K291" i="5" s="1"/>
  <c r="L291" i="5" s="1"/>
  <c r="M292" i="5"/>
  <c r="J292" i="5" l="1"/>
  <c r="K292" i="5" s="1"/>
  <c r="M293" i="5"/>
  <c r="J293" i="5"/>
  <c r="M294" i="5"/>
  <c r="F295" i="5"/>
  <c r="G294" i="5"/>
  <c r="I294" i="5"/>
  <c r="H294" i="5"/>
  <c r="J294" i="5" l="1"/>
  <c r="M295" i="5"/>
  <c r="G295" i="5"/>
  <c r="H295" i="5"/>
  <c r="F296" i="5"/>
  <c r="K293" i="5"/>
  <c r="L293" i="5" s="1"/>
  <c r="L292" i="5"/>
  <c r="G296" i="5" l="1"/>
  <c r="H296" i="5"/>
  <c r="F297" i="5"/>
  <c r="I295" i="5"/>
  <c r="K294" i="5"/>
  <c r="L294" i="5" s="1"/>
  <c r="M296" i="5" l="1"/>
  <c r="J295" i="5"/>
  <c r="K295" i="5" s="1"/>
  <c r="H297" i="5"/>
  <c r="G297" i="5"/>
  <c r="F298" i="5"/>
  <c r="I296" i="5"/>
  <c r="J296" i="5" l="1"/>
  <c r="K296" i="5" s="1"/>
  <c r="M297" i="5"/>
  <c r="L296" i="5"/>
  <c r="G298" i="5"/>
  <c r="H298" i="5"/>
  <c r="F299" i="5"/>
  <c r="I297" i="5"/>
  <c r="L295" i="5"/>
  <c r="J297" i="5" l="1"/>
  <c r="K297" i="5" s="1"/>
  <c r="M298" i="5"/>
  <c r="G299" i="5"/>
  <c r="H299" i="5"/>
  <c r="F300" i="5"/>
  <c r="I298" i="5"/>
  <c r="L297" i="5"/>
  <c r="H300" i="5" l="1"/>
  <c r="G300" i="5"/>
  <c r="F301" i="5"/>
  <c r="I300" i="5" s="1"/>
  <c r="I299" i="5"/>
  <c r="J298" i="5"/>
  <c r="K298" i="5" s="1"/>
  <c r="M299" i="5"/>
  <c r="J300" i="5" l="1"/>
  <c r="J299" i="5"/>
  <c r="K299" i="5" s="1"/>
  <c r="L299" i="5" s="1"/>
  <c r="M300" i="5"/>
  <c r="M301" i="5" s="1"/>
  <c r="L298" i="5"/>
  <c r="F302" i="5"/>
  <c r="G301" i="5"/>
  <c r="H301" i="5"/>
  <c r="F303" i="5" l="1"/>
  <c r="G302" i="5"/>
  <c r="H302" i="5"/>
  <c r="I302" i="5" s="1"/>
  <c r="I301" i="5"/>
  <c r="K300" i="5"/>
  <c r="L300" i="5" s="1"/>
  <c r="J302" i="5" l="1"/>
  <c r="K302" i="5" s="1"/>
  <c r="M303" i="5"/>
  <c r="J301" i="5"/>
  <c r="K301" i="5" s="1"/>
  <c r="L302" i="5" s="1"/>
  <c r="M302" i="5"/>
  <c r="G303" i="5"/>
  <c r="H303" i="5"/>
  <c r="I303" i="5"/>
  <c r="F304" i="5"/>
  <c r="J303" i="5" l="1"/>
  <c r="K303" i="5" s="1"/>
  <c r="M304" i="5"/>
  <c r="L301" i="5"/>
  <c r="G304" i="5"/>
  <c r="H304" i="5"/>
  <c r="F305" i="5"/>
  <c r="L303" i="5"/>
  <c r="H305" i="5" l="1"/>
  <c r="G305" i="5"/>
  <c r="F306" i="5"/>
  <c r="I305" i="5" s="1"/>
  <c r="I304" i="5"/>
  <c r="J305" i="5" l="1"/>
  <c r="J304" i="5"/>
  <c r="K304" i="5" s="1"/>
  <c r="M305" i="5"/>
  <c r="M306" i="5" s="1"/>
  <c r="G306" i="5"/>
  <c r="H306" i="5"/>
  <c r="F307" i="5"/>
  <c r="L304" i="5" l="1"/>
  <c r="H307" i="5"/>
  <c r="G307" i="5"/>
  <c r="F308" i="5"/>
  <c r="I306" i="5"/>
  <c r="K305" i="5"/>
  <c r="G308" i="5" l="1"/>
  <c r="H308" i="5"/>
  <c r="F309" i="5"/>
  <c r="J306" i="5"/>
  <c r="K306" i="5" s="1"/>
  <c r="M307" i="5"/>
  <c r="I307" i="5"/>
  <c r="L305" i="5"/>
  <c r="J307" i="5" l="1"/>
  <c r="K307" i="5" s="1"/>
  <c r="M308" i="5"/>
  <c r="F310" i="5"/>
  <c r="H309" i="5"/>
  <c r="G309" i="5"/>
  <c r="I309" i="5"/>
  <c r="I308" i="5"/>
  <c r="L307" i="5"/>
  <c r="L306" i="5"/>
  <c r="M309" i="5" l="1"/>
  <c r="J308" i="5"/>
  <c r="K308" i="5" s="1"/>
  <c r="M310" i="5"/>
  <c r="J309" i="5"/>
  <c r="K309" i="5" s="1"/>
  <c r="F311" i="5"/>
  <c r="H310" i="5"/>
  <c r="G310" i="5"/>
  <c r="H311" i="5" l="1"/>
  <c r="G311" i="5"/>
  <c r="F312" i="5"/>
  <c r="I311" i="5" s="1"/>
  <c r="L309" i="5"/>
  <c r="I310" i="5"/>
  <c r="L308" i="5"/>
  <c r="J311" i="5" l="1"/>
  <c r="J310" i="5"/>
  <c r="K310" i="5" s="1"/>
  <c r="M311" i="5"/>
  <c r="M312" i="5" s="1"/>
  <c r="G312" i="5"/>
  <c r="H312" i="5"/>
  <c r="F313" i="5"/>
  <c r="L310" i="5" l="1"/>
  <c r="H313" i="5"/>
  <c r="G313" i="5"/>
  <c r="F314" i="5"/>
  <c r="I312" i="5"/>
  <c r="K311" i="5"/>
  <c r="G314" i="5" l="1"/>
  <c r="H314" i="5"/>
  <c r="F315" i="5"/>
  <c r="I314" i="5" s="1"/>
  <c r="I313" i="5"/>
  <c r="J312" i="5"/>
  <c r="K312" i="5" s="1"/>
  <c r="M313" i="5"/>
  <c r="L311" i="5"/>
  <c r="J314" i="5" l="1"/>
  <c r="J313" i="5"/>
  <c r="K313" i="5" s="1"/>
  <c r="M314" i="5"/>
  <c r="M315" i="5" s="1"/>
  <c r="L313" i="5"/>
  <c r="G315" i="5"/>
  <c r="H315" i="5"/>
  <c r="I315" i="5"/>
  <c r="F316" i="5"/>
  <c r="L312" i="5"/>
  <c r="J315" i="5" l="1"/>
  <c r="M316" i="5"/>
  <c r="H316" i="5"/>
  <c r="G316" i="5"/>
  <c r="F317" i="5"/>
  <c r="K314" i="5"/>
  <c r="F318" i="5" l="1"/>
  <c r="G317" i="5"/>
  <c r="H317" i="5"/>
  <c r="I317" i="5" s="1"/>
  <c r="K315" i="5"/>
  <c r="L315" i="5"/>
  <c r="I316" i="5"/>
  <c r="L314" i="5"/>
  <c r="J317" i="5" l="1"/>
  <c r="K317" i="5" s="1"/>
  <c r="M318" i="5"/>
  <c r="J316" i="5"/>
  <c r="K316" i="5" s="1"/>
  <c r="L317" i="5" s="1"/>
  <c r="M317" i="5"/>
  <c r="F319" i="5"/>
  <c r="H318" i="5"/>
  <c r="I318" i="5"/>
  <c r="G318" i="5"/>
  <c r="L316" i="5" l="1"/>
  <c r="J318" i="5"/>
  <c r="K318" i="5" s="1"/>
  <c r="M319" i="5"/>
  <c r="H319" i="5"/>
  <c r="G319" i="5"/>
  <c r="F320" i="5"/>
  <c r="L318" i="5"/>
  <c r="H320" i="5" l="1"/>
  <c r="G320" i="5"/>
  <c r="F321" i="5"/>
  <c r="I320" i="5" s="1"/>
  <c r="I319" i="5"/>
  <c r="J320" i="5" l="1"/>
  <c r="J319" i="5"/>
  <c r="K319" i="5" s="1"/>
  <c r="M320" i="5"/>
  <c r="M321" i="5" s="1"/>
  <c r="H321" i="5"/>
  <c r="G321" i="5"/>
  <c r="F322" i="5"/>
  <c r="L319" i="5" l="1"/>
  <c r="G322" i="5"/>
  <c r="H322" i="5"/>
  <c r="F323" i="5"/>
  <c r="I321" i="5"/>
  <c r="K320" i="5"/>
  <c r="J321" i="5" l="1"/>
  <c r="K321" i="5" s="1"/>
  <c r="M322" i="5"/>
  <c r="G323" i="5"/>
  <c r="H323" i="5"/>
  <c r="F324" i="5"/>
  <c r="I322" i="5"/>
  <c r="L320" i="5"/>
  <c r="G324" i="5" l="1"/>
  <c r="H324" i="5"/>
  <c r="F325" i="5"/>
  <c r="I324" i="5" s="1"/>
  <c r="J322" i="5"/>
  <c r="K322" i="5" s="1"/>
  <c r="M323" i="5"/>
  <c r="I323" i="5"/>
  <c r="L321" i="5"/>
  <c r="J324" i="5" l="1"/>
  <c r="J323" i="5"/>
  <c r="K323" i="5" s="1"/>
  <c r="L323" i="5" s="1"/>
  <c r="M324" i="5"/>
  <c r="M325" i="5" s="1"/>
  <c r="L322" i="5"/>
  <c r="F326" i="5"/>
  <c r="G325" i="5"/>
  <c r="H325" i="5"/>
  <c r="G326" i="5" l="1"/>
  <c r="F327" i="5"/>
  <c r="H326" i="5"/>
  <c r="K324" i="5"/>
  <c r="I325" i="5"/>
  <c r="L324" i="5" l="1"/>
  <c r="H327" i="5"/>
  <c r="G327" i="5"/>
  <c r="F328" i="5"/>
  <c r="I327" i="5" s="1"/>
  <c r="J325" i="5"/>
  <c r="K325" i="5" s="1"/>
  <c r="M326" i="5"/>
  <c r="I326" i="5"/>
  <c r="J327" i="5" l="1"/>
  <c r="H328" i="5"/>
  <c r="G328" i="5"/>
  <c r="F329" i="5"/>
  <c r="I328" i="5" s="1"/>
  <c r="M327" i="5"/>
  <c r="M328" i="5" s="1"/>
  <c r="J326" i="5"/>
  <c r="K326" i="5" s="1"/>
  <c r="L326" i="5" s="1"/>
  <c r="L325" i="5"/>
  <c r="J328" i="5" l="1"/>
  <c r="M329" i="5"/>
  <c r="K327" i="5"/>
  <c r="H329" i="5"/>
  <c r="G329" i="5"/>
  <c r="F330" i="5"/>
  <c r="I329" i="5" s="1"/>
  <c r="L327" i="5"/>
  <c r="J329" i="5" l="1"/>
  <c r="M330" i="5"/>
  <c r="G330" i="5"/>
  <c r="H330" i="5"/>
  <c r="F331" i="5"/>
  <c r="K328" i="5"/>
  <c r="G331" i="5" l="1"/>
  <c r="H331" i="5"/>
  <c r="F332" i="5"/>
  <c r="I330" i="5"/>
  <c r="L328" i="5"/>
  <c r="K329" i="5"/>
  <c r="G332" i="5" l="1"/>
  <c r="H332" i="5"/>
  <c r="F333" i="5"/>
  <c r="I332" i="5" s="1"/>
  <c r="I331" i="5"/>
  <c r="J330" i="5"/>
  <c r="K330" i="5" s="1"/>
  <c r="L330" i="5" s="1"/>
  <c r="M331" i="5"/>
  <c r="L329" i="5"/>
  <c r="J332" i="5" l="1"/>
  <c r="J331" i="5"/>
  <c r="K331" i="5" s="1"/>
  <c r="M332" i="5"/>
  <c r="M333" i="5" s="1"/>
  <c r="L331" i="5"/>
  <c r="F334" i="5"/>
  <c r="G333" i="5"/>
  <c r="H333" i="5"/>
  <c r="F335" i="5" l="1"/>
  <c r="G334" i="5"/>
  <c r="H334" i="5"/>
  <c r="I334" i="5"/>
  <c r="I333" i="5"/>
  <c r="K332" i="5"/>
  <c r="M334" i="5" l="1"/>
  <c r="J333" i="5"/>
  <c r="K333" i="5" s="1"/>
  <c r="G335" i="5"/>
  <c r="H335" i="5"/>
  <c r="F336" i="5"/>
  <c r="I335" i="5" s="1"/>
  <c r="L333" i="5"/>
  <c r="J334" i="5"/>
  <c r="K334" i="5" s="1"/>
  <c r="M335" i="5"/>
  <c r="L332" i="5"/>
  <c r="J335" i="5" l="1"/>
  <c r="K335" i="5" s="1"/>
  <c r="M336" i="5"/>
  <c r="L335" i="5"/>
  <c r="H336" i="5"/>
  <c r="G336" i="5"/>
  <c r="F337" i="5"/>
  <c r="I336" i="5" s="1"/>
  <c r="L334" i="5"/>
  <c r="J336" i="5" l="1"/>
  <c r="K336" i="5" s="1"/>
  <c r="M337" i="5"/>
  <c r="H337" i="5"/>
  <c r="G337" i="5"/>
  <c r="F338" i="5"/>
  <c r="L336" i="5"/>
  <c r="G338" i="5" l="1"/>
  <c r="H338" i="5"/>
  <c r="F339" i="5"/>
  <c r="I337" i="5"/>
  <c r="J337" i="5" l="1"/>
  <c r="K337" i="5" s="1"/>
  <c r="M338" i="5"/>
  <c r="H339" i="5"/>
  <c r="G339" i="5"/>
  <c r="F340" i="5"/>
  <c r="I338" i="5"/>
  <c r="J338" i="5" l="1"/>
  <c r="K338" i="5" s="1"/>
  <c r="M339" i="5"/>
  <c r="G340" i="5"/>
  <c r="H340" i="5"/>
  <c r="F341" i="5"/>
  <c r="I339" i="5"/>
  <c r="L338" i="5"/>
  <c r="L337" i="5"/>
  <c r="F342" i="5" l="1"/>
  <c r="G341" i="5"/>
  <c r="H341" i="5"/>
  <c r="I341" i="5" s="1"/>
  <c r="J339" i="5"/>
  <c r="K339" i="5" s="1"/>
  <c r="M340" i="5"/>
  <c r="I340" i="5"/>
  <c r="M342" i="5" l="1"/>
  <c r="J341" i="5"/>
  <c r="K341" i="5" s="1"/>
  <c r="L339" i="5"/>
  <c r="J340" i="5"/>
  <c r="K340" i="5" s="1"/>
  <c r="L341" i="5" s="1"/>
  <c r="M341" i="5"/>
  <c r="F343" i="5"/>
  <c r="H342" i="5"/>
  <c r="G342" i="5"/>
  <c r="L340" i="5" l="1"/>
  <c r="G343" i="5"/>
  <c r="H343" i="5"/>
  <c r="F344" i="5"/>
  <c r="I342" i="5"/>
  <c r="G344" i="5" l="1"/>
  <c r="H344" i="5"/>
  <c r="F345" i="5"/>
  <c r="M343" i="5"/>
  <c r="J342" i="5"/>
  <c r="K342" i="5" s="1"/>
  <c r="I343" i="5"/>
  <c r="J343" i="5" l="1"/>
  <c r="K343" i="5" s="1"/>
  <c r="M344" i="5"/>
  <c r="H345" i="5"/>
  <c r="G345" i="5"/>
  <c r="F346" i="5"/>
  <c r="I344" i="5"/>
  <c r="L343" i="5"/>
  <c r="L342" i="5"/>
  <c r="G346" i="5" l="1"/>
  <c r="H346" i="5"/>
  <c r="F347" i="5"/>
  <c r="J344" i="5"/>
  <c r="K344" i="5" s="1"/>
  <c r="M345" i="5"/>
  <c r="I345" i="5"/>
  <c r="L344" i="5" l="1"/>
  <c r="J345" i="5"/>
  <c r="K345" i="5" s="1"/>
  <c r="M346" i="5"/>
  <c r="H347" i="5"/>
  <c r="G347" i="5"/>
  <c r="F348" i="5"/>
  <c r="I347" i="5" s="1"/>
  <c r="I346" i="5"/>
  <c r="J347" i="5" l="1"/>
  <c r="H348" i="5"/>
  <c r="G348" i="5"/>
  <c r="F349" i="5"/>
  <c r="J346" i="5"/>
  <c r="K346" i="5" s="1"/>
  <c r="L346" i="5" s="1"/>
  <c r="M347" i="5"/>
  <c r="M348" i="5" s="1"/>
  <c r="L345" i="5"/>
  <c r="F350" i="5" l="1"/>
  <c r="I349" i="5" s="1"/>
  <c r="G349" i="5"/>
  <c r="H349" i="5"/>
  <c r="I348" i="5"/>
  <c r="K347" i="5"/>
  <c r="L347" i="5" s="1"/>
  <c r="J349" i="5" l="1"/>
  <c r="J348" i="5"/>
  <c r="K348" i="5" s="1"/>
  <c r="M349" i="5"/>
  <c r="M350" i="5" s="1"/>
  <c r="F351" i="5"/>
  <c r="G350" i="5"/>
  <c r="I350" i="5"/>
  <c r="H350" i="5"/>
  <c r="M351" i="5" l="1"/>
  <c r="J350" i="5"/>
  <c r="K350" i="5" s="1"/>
  <c r="L348" i="5"/>
  <c r="H351" i="5"/>
  <c r="G351" i="5"/>
  <c r="F352" i="5"/>
  <c r="K349" i="5"/>
  <c r="H352" i="5" l="1"/>
  <c r="G352" i="5"/>
  <c r="F353" i="5"/>
  <c r="I351" i="5"/>
  <c r="L350" i="5"/>
  <c r="L349" i="5"/>
  <c r="G353" i="5" l="1"/>
  <c r="H353" i="5"/>
  <c r="F354" i="5"/>
  <c r="M352" i="5"/>
  <c r="J351" i="5"/>
  <c r="K351" i="5" s="1"/>
  <c r="I352" i="5"/>
  <c r="J352" i="5" l="1"/>
  <c r="K352" i="5" s="1"/>
  <c r="M353" i="5"/>
  <c r="L352" i="5"/>
  <c r="L351" i="5"/>
  <c r="G354" i="5"/>
  <c r="H354" i="5"/>
  <c r="F355" i="5"/>
  <c r="I353" i="5"/>
  <c r="G355" i="5" l="1"/>
  <c r="H355" i="5"/>
  <c r="F356" i="5"/>
  <c r="I354" i="5"/>
  <c r="J353" i="5"/>
  <c r="K353" i="5" s="1"/>
  <c r="L353" i="5" s="1"/>
  <c r="M354" i="5"/>
  <c r="J354" i="5" l="1"/>
  <c r="K354" i="5" s="1"/>
  <c r="M355" i="5"/>
  <c r="L354" i="5"/>
  <c r="G356" i="5"/>
  <c r="H356" i="5"/>
  <c r="F357" i="5"/>
  <c r="I355" i="5"/>
  <c r="F358" i="5" l="1"/>
  <c r="G357" i="5"/>
  <c r="H357" i="5"/>
  <c r="I357" i="5"/>
  <c r="J355" i="5"/>
  <c r="K355" i="5" s="1"/>
  <c r="M356" i="5"/>
  <c r="I356" i="5"/>
  <c r="L355" i="5"/>
  <c r="J357" i="5" l="1"/>
  <c r="J356" i="5"/>
  <c r="K356" i="5" s="1"/>
  <c r="M357" i="5"/>
  <c r="M358" i="5" s="1"/>
  <c r="F359" i="5"/>
  <c r="H358" i="5"/>
  <c r="G358" i="5"/>
  <c r="H359" i="5" l="1"/>
  <c r="G359" i="5"/>
  <c r="F360" i="5"/>
  <c r="K357" i="5"/>
  <c r="I358" i="5"/>
  <c r="L357" i="5"/>
  <c r="L356" i="5"/>
  <c r="J358" i="5" l="1"/>
  <c r="K358" i="5" s="1"/>
  <c r="M359" i="5"/>
  <c r="G360" i="5"/>
  <c r="H360" i="5"/>
  <c r="F361" i="5"/>
  <c r="I359" i="5"/>
  <c r="L358" i="5"/>
  <c r="H361" i="5" l="1"/>
  <c r="G361" i="5"/>
  <c r="F362" i="5"/>
  <c r="I361" i="5" s="1"/>
  <c r="J359" i="5"/>
  <c r="K359" i="5" s="1"/>
  <c r="M360" i="5"/>
  <c r="I360" i="5"/>
  <c r="L359" i="5"/>
  <c r="J361" i="5" l="1"/>
  <c r="M361" i="5"/>
  <c r="M362" i="5" s="1"/>
  <c r="J360" i="5"/>
  <c r="K360" i="5" s="1"/>
  <c r="G362" i="5"/>
  <c r="I362" i="5"/>
  <c r="H362" i="5"/>
  <c r="F363" i="5"/>
  <c r="L360" i="5" l="1"/>
  <c r="J362" i="5"/>
  <c r="K362" i="5" s="1"/>
  <c r="M363" i="5"/>
  <c r="G363" i="5"/>
  <c r="H363" i="5"/>
  <c r="F364" i="5"/>
  <c r="I363" i="5" s="1"/>
  <c r="K361" i="5"/>
  <c r="J363" i="5" l="1"/>
  <c r="K363" i="5" s="1"/>
  <c r="M364" i="5"/>
  <c r="L363" i="5"/>
  <c r="H364" i="5"/>
  <c r="G364" i="5"/>
  <c r="F365" i="5"/>
  <c r="L362" i="5"/>
  <c r="L361" i="5"/>
  <c r="F366" i="5" l="1"/>
  <c r="G365" i="5"/>
  <c r="H365" i="5"/>
  <c r="I365" i="5"/>
  <c r="I364" i="5"/>
  <c r="J365" i="5" l="1"/>
  <c r="K365" i="5" s="1"/>
  <c r="M366" i="5"/>
  <c r="J364" i="5"/>
  <c r="K364" i="5" s="1"/>
  <c r="M365" i="5"/>
  <c r="F367" i="5"/>
  <c r="G366" i="5"/>
  <c r="H366" i="5"/>
  <c r="I366" i="5"/>
  <c r="L365" i="5" l="1"/>
  <c r="L364" i="5"/>
  <c r="J366" i="5"/>
  <c r="K366" i="5" s="1"/>
  <c r="M367" i="5"/>
  <c r="G367" i="5"/>
  <c r="H367" i="5"/>
  <c r="F368" i="5"/>
  <c r="G368" i="5" l="1"/>
  <c r="H368" i="5"/>
  <c r="F369" i="5"/>
  <c r="I368" i="5" s="1"/>
  <c r="I367" i="5"/>
  <c r="L366" i="5"/>
  <c r="J368" i="5" l="1"/>
  <c r="H369" i="5"/>
  <c r="G369" i="5"/>
  <c r="F370" i="5"/>
  <c r="J367" i="5"/>
  <c r="K367" i="5" s="1"/>
  <c r="M368" i="5"/>
  <c r="M369" i="5" s="1"/>
  <c r="G370" i="5" l="1"/>
  <c r="H370" i="5"/>
  <c r="F371" i="5"/>
  <c r="I369" i="5"/>
  <c r="L367" i="5"/>
  <c r="K368" i="5"/>
  <c r="J369" i="5" l="1"/>
  <c r="K369" i="5" s="1"/>
  <c r="M370" i="5"/>
  <c r="L368" i="5"/>
  <c r="G371" i="5"/>
  <c r="H371" i="5"/>
  <c r="F372" i="5"/>
  <c r="I371" i="5" s="1"/>
  <c r="I370" i="5"/>
  <c r="J371" i="5" l="1"/>
  <c r="G372" i="5"/>
  <c r="H372" i="5"/>
  <c r="F373" i="5"/>
  <c r="J370" i="5"/>
  <c r="K370" i="5" s="1"/>
  <c r="L370" i="5" s="1"/>
  <c r="M371" i="5"/>
  <c r="M372" i="5" s="1"/>
  <c r="L369" i="5"/>
  <c r="F374" i="5" l="1"/>
  <c r="H373" i="5"/>
  <c r="I373" i="5"/>
  <c r="G373" i="5"/>
  <c r="I372" i="5"/>
  <c r="K371" i="5"/>
  <c r="J373" i="5" l="1"/>
  <c r="K373" i="5" s="1"/>
  <c r="J372" i="5"/>
  <c r="K372" i="5" s="1"/>
  <c r="M373" i="5"/>
  <c r="M374" i="5" s="1"/>
  <c r="L371" i="5"/>
  <c r="F375" i="5"/>
  <c r="I374" i="5" s="1"/>
  <c r="H374" i="5"/>
  <c r="G374" i="5"/>
  <c r="J374" i="5" l="1"/>
  <c r="K374" i="5" s="1"/>
  <c r="M375" i="5"/>
  <c r="L374" i="5"/>
  <c r="G375" i="5"/>
  <c r="H375" i="5"/>
  <c r="F376" i="5"/>
  <c r="L373" i="5"/>
  <c r="L372" i="5"/>
  <c r="G376" i="5" l="1"/>
  <c r="H376" i="5"/>
  <c r="F377" i="5"/>
  <c r="I375" i="5"/>
  <c r="H377" i="5" l="1"/>
  <c r="G377" i="5"/>
  <c r="F378" i="5"/>
  <c r="J375" i="5"/>
  <c r="K375" i="5" s="1"/>
  <c r="M376" i="5"/>
  <c r="I376" i="5"/>
  <c r="L375" i="5" l="1"/>
  <c r="J376" i="5"/>
  <c r="K376" i="5" s="1"/>
  <c r="M377" i="5"/>
  <c r="G378" i="5"/>
  <c r="H378" i="5"/>
  <c r="F379" i="5"/>
  <c r="I377" i="5"/>
  <c r="H379" i="5" l="1"/>
  <c r="G379" i="5"/>
  <c r="F380" i="5"/>
  <c r="I379" i="5" s="1"/>
  <c r="I378" i="5"/>
  <c r="J377" i="5"/>
  <c r="K377" i="5" s="1"/>
  <c r="M378" i="5"/>
  <c r="L376" i="5"/>
  <c r="J379" i="5" l="1"/>
  <c r="J378" i="5"/>
  <c r="K378" i="5" s="1"/>
  <c r="M379" i="5"/>
  <c r="M380" i="5" s="1"/>
  <c r="H380" i="5"/>
  <c r="G380" i="5"/>
  <c r="F381" i="5"/>
  <c r="L377" i="5"/>
  <c r="F382" i="5" l="1"/>
  <c r="G381" i="5"/>
  <c r="I381" i="5"/>
  <c r="H381" i="5"/>
  <c r="I380" i="5"/>
  <c r="L378" i="5"/>
  <c r="K379" i="5"/>
  <c r="J381" i="5" l="1"/>
  <c r="J380" i="5"/>
  <c r="K380" i="5" s="1"/>
  <c r="L380" i="5" s="1"/>
  <c r="M381" i="5"/>
  <c r="M382" i="5" s="1"/>
  <c r="F383" i="5"/>
  <c r="G382" i="5"/>
  <c r="I382" i="5"/>
  <c r="H382" i="5"/>
  <c r="L379" i="5"/>
  <c r="K381" i="5" l="1"/>
  <c r="L382" i="5" s="1"/>
  <c r="J382" i="5"/>
  <c r="K382" i="5" s="1"/>
  <c r="M383" i="5"/>
  <c r="H383" i="5"/>
  <c r="G383" i="5"/>
  <c r="F384" i="5"/>
  <c r="H384" i="5" l="1"/>
  <c r="G384" i="5"/>
  <c r="F385" i="5"/>
  <c r="I384" i="5" s="1"/>
  <c r="I383" i="5"/>
  <c r="L381" i="5"/>
  <c r="J384" i="5" l="1"/>
  <c r="J383" i="5"/>
  <c r="K383" i="5" s="1"/>
  <c r="M384" i="5"/>
  <c r="M385" i="5" s="1"/>
  <c r="H385" i="5"/>
  <c r="G385" i="5"/>
  <c r="F386" i="5"/>
  <c r="L383" i="5" l="1"/>
  <c r="G386" i="5"/>
  <c r="H386" i="5"/>
  <c r="F387" i="5"/>
  <c r="I385" i="5"/>
  <c r="K384" i="5"/>
  <c r="J385" i="5" l="1"/>
  <c r="K385" i="5" s="1"/>
  <c r="M386" i="5"/>
  <c r="G387" i="5"/>
  <c r="H387" i="5"/>
  <c r="F388" i="5"/>
  <c r="I386" i="5"/>
  <c r="L384" i="5"/>
  <c r="G388" i="5" l="1"/>
  <c r="H388" i="5"/>
  <c r="F389" i="5"/>
  <c r="I388" i="5" s="1"/>
  <c r="J386" i="5"/>
  <c r="K386" i="5" s="1"/>
  <c r="M387" i="5"/>
  <c r="I387" i="5"/>
  <c r="L385" i="5"/>
  <c r="J388" i="5" l="1"/>
  <c r="M388" i="5"/>
  <c r="M389" i="5" s="1"/>
  <c r="J387" i="5"/>
  <c r="K387" i="5" s="1"/>
  <c r="L387" i="5" s="1"/>
  <c r="L386" i="5"/>
  <c r="F390" i="5"/>
  <c r="G389" i="5"/>
  <c r="H389" i="5"/>
  <c r="F391" i="5" l="1"/>
  <c r="G390" i="5"/>
  <c r="I390" i="5"/>
  <c r="H390" i="5"/>
  <c r="K388" i="5"/>
  <c r="L388" i="5" s="1"/>
  <c r="I389" i="5"/>
  <c r="J389" i="5" l="1"/>
  <c r="K389" i="5" s="1"/>
  <c r="M390" i="5"/>
  <c r="J390" i="5"/>
  <c r="K390" i="5" s="1"/>
  <c r="M391" i="5"/>
  <c r="L389" i="5"/>
  <c r="H391" i="5"/>
  <c r="G391" i="5"/>
  <c r="F392" i="5"/>
  <c r="I391" i="5" s="1"/>
  <c r="J391" i="5" l="1"/>
  <c r="K391" i="5" s="1"/>
  <c r="M392" i="5"/>
  <c r="L391" i="5"/>
  <c r="H392" i="5"/>
  <c r="G392" i="5"/>
  <c r="F393" i="5"/>
  <c r="L390" i="5"/>
  <c r="H393" i="5" l="1"/>
  <c r="G393" i="5"/>
  <c r="F394" i="5"/>
  <c r="I393" i="5" s="1"/>
  <c r="I392" i="5"/>
  <c r="J393" i="5" l="1"/>
  <c r="J392" i="5"/>
  <c r="K392" i="5" s="1"/>
  <c r="M393" i="5"/>
  <c r="M394" i="5" s="1"/>
  <c r="G394" i="5"/>
  <c r="H394" i="5"/>
  <c r="F395" i="5"/>
  <c r="G395" i="5" l="1"/>
  <c r="H395" i="5"/>
  <c r="F396" i="5"/>
  <c r="L392" i="5"/>
  <c r="I394" i="5"/>
  <c r="K393" i="5"/>
  <c r="L393" i="5" s="1"/>
  <c r="J394" i="5" l="1"/>
  <c r="K394" i="5" s="1"/>
  <c r="M395" i="5"/>
  <c r="G396" i="5"/>
  <c r="H396" i="5"/>
  <c r="F397" i="5"/>
  <c r="L394" i="5"/>
  <c r="I395" i="5"/>
  <c r="F398" i="5" l="1"/>
  <c r="G397" i="5"/>
  <c r="H397" i="5"/>
  <c r="I397" i="5"/>
  <c r="I396" i="5"/>
  <c r="J395" i="5"/>
  <c r="K395" i="5" s="1"/>
  <c r="M396" i="5"/>
  <c r="L395" i="5"/>
  <c r="J396" i="5" l="1"/>
  <c r="K396" i="5" s="1"/>
  <c r="M397" i="5"/>
  <c r="M398" i="5"/>
  <c r="J397" i="5"/>
  <c r="K397" i="5" s="1"/>
  <c r="F399" i="5"/>
  <c r="G398" i="5"/>
  <c r="I398" i="5"/>
  <c r="H398" i="5"/>
  <c r="G399" i="5" l="1"/>
  <c r="H399" i="5"/>
  <c r="F400" i="5"/>
  <c r="I399" i="5" s="1"/>
  <c r="L397" i="5"/>
  <c r="J398" i="5"/>
  <c r="K398" i="5" s="1"/>
  <c r="M399" i="5"/>
  <c r="L396" i="5"/>
  <c r="M400" i="5" l="1"/>
  <c r="J399" i="5"/>
  <c r="K399" i="5" s="1"/>
  <c r="L399" i="5" s="1"/>
  <c r="L398" i="5"/>
  <c r="H400" i="5"/>
  <c r="G400" i="5"/>
  <c r="F401" i="5"/>
  <c r="I400" i="5" s="1"/>
  <c r="J400" i="5" l="1"/>
  <c r="K400" i="5" s="1"/>
  <c r="M401" i="5"/>
  <c r="L400" i="5"/>
  <c r="H401" i="5"/>
  <c r="G401" i="5"/>
  <c r="F402" i="5"/>
  <c r="G402" i="5" l="1"/>
  <c r="H402" i="5"/>
  <c r="F403" i="5"/>
  <c r="I401" i="5"/>
  <c r="J401" i="5" l="1"/>
  <c r="K401" i="5" s="1"/>
  <c r="M402" i="5"/>
  <c r="H403" i="5"/>
  <c r="G403" i="5"/>
  <c r="F404" i="5"/>
  <c r="I403" i="5" s="1"/>
  <c r="I402" i="5"/>
  <c r="J403" i="5" l="1"/>
  <c r="G404" i="5"/>
  <c r="H404" i="5"/>
  <c r="F405" i="5"/>
  <c r="J402" i="5"/>
  <c r="K402" i="5" s="1"/>
  <c r="M403" i="5"/>
  <c r="M404" i="5" s="1"/>
  <c r="L401" i="5"/>
  <c r="F406" i="5" l="1"/>
  <c r="G405" i="5"/>
  <c r="H405" i="5"/>
  <c r="I405" i="5"/>
  <c r="I404" i="5"/>
  <c r="L403" i="5"/>
  <c r="L402" i="5"/>
  <c r="K403" i="5"/>
  <c r="J404" i="5" l="1"/>
  <c r="K404" i="5" s="1"/>
  <c r="M405" i="5"/>
  <c r="M406" i="5"/>
  <c r="J405" i="5"/>
  <c r="K405" i="5" s="1"/>
  <c r="G406" i="5"/>
  <c r="H406" i="5"/>
  <c r="F407" i="5"/>
  <c r="G407" i="5" l="1"/>
  <c r="H407" i="5"/>
  <c r="F408" i="5"/>
  <c r="L405" i="5"/>
  <c r="I406" i="5"/>
  <c r="L404" i="5"/>
  <c r="J406" i="5" l="1"/>
  <c r="K406" i="5" s="1"/>
  <c r="M407" i="5"/>
  <c r="G408" i="5"/>
  <c r="H408" i="5"/>
  <c r="F409" i="5"/>
  <c r="I407" i="5"/>
  <c r="J407" i="5" l="1"/>
  <c r="K407" i="5" s="1"/>
  <c r="M408" i="5"/>
  <c r="H409" i="5"/>
  <c r="G409" i="5"/>
  <c r="F410" i="5"/>
  <c r="I409" i="5" s="1"/>
  <c r="I408" i="5"/>
  <c r="L407" i="5"/>
  <c r="L406" i="5"/>
  <c r="J409" i="5" l="1"/>
  <c r="K409" i="5" s="1"/>
  <c r="J408" i="5"/>
  <c r="K408" i="5" s="1"/>
  <c r="M409" i="5"/>
  <c r="M410" i="5" s="1"/>
  <c r="G410" i="5"/>
  <c r="H410" i="5"/>
  <c r="F411" i="5"/>
  <c r="L408" i="5"/>
  <c r="H411" i="5" l="1"/>
  <c r="G411" i="5"/>
  <c r="F412" i="5"/>
  <c r="L409" i="5"/>
  <c r="I410" i="5"/>
  <c r="H412" i="5" l="1"/>
  <c r="G412" i="5"/>
  <c r="F413" i="5"/>
  <c r="J410" i="5"/>
  <c r="K410" i="5" s="1"/>
  <c r="M411" i="5"/>
  <c r="I411" i="5"/>
  <c r="F414" i="5" l="1"/>
  <c r="I413" i="5" s="1"/>
  <c r="G413" i="5"/>
  <c r="H413" i="5"/>
  <c r="J411" i="5"/>
  <c r="K411" i="5" s="1"/>
  <c r="M412" i="5"/>
  <c r="I412" i="5"/>
  <c r="L411" i="5"/>
  <c r="L410" i="5"/>
  <c r="J413" i="5" l="1"/>
  <c r="K413" i="5" s="1"/>
  <c r="M414" i="5"/>
  <c r="J412" i="5"/>
  <c r="K412" i="5" s="1"/>
  <c r="L413" i="5" s="1"/>
  <c r="M413" i="5"/>
  <c r="F415" i="5"/>
  <c r="H414" i="5"/>
  <c r="G414" i="5"/>
  <c r="H415" i="5" l="1"/>
  <c r="G415" i="5"/>
  <c r="F416" i="5"/>
  <c r="L412" i="5"/>
  <c r="I414" i="5"/>
  <c r="J414" i="5" l="1"/>
  <c r="K414" i="5" s="1"/>
  <c r="M415" i="5"/>
  <c r="G416" i="5"/>
  <c r="H416" i="5"/>
  <c r="F417" i="5"/>
  <c r="I415" i="5"/>
  <c r="M416" i="5" l="1"/>
  <c r="J415" i="5"/>
  <c r="K415" i="5" s="1"/>
  <c r="G417" i="5"/>
  <c r="H417" i="5"/>
  <c r="F418" i="5"/>
  <c r="I416" i="5"/>
  <c r="L415" i="5"/>
  <c r="L414" i="5"/>
  <c r="G418" i="5" l="1"/>
  <c r="H418" i="5"/>
  <c r="F419" i="5"/>
  <c r="I417" i="5"/>
  <c r="J416" i="5"/>
  <c r="K416" i="5" s="1"/>
  <c r="L416" i="5" s="1"/>
  <c r="M417" i="5"/>
  <c r="J417" i="5" l="1"/>
  <c r="K417" i="5" s="1"/>
  <c r="M418" i="5"/>
  <c r="G419" i="5"/>
  <c r="H419" i="5"/>
  <c r="F420" i="5"/>
  <c r="I418" i="5"/>
  <c r="H420" i="5" l="1"/>
  <c r="G420" i="5"/>
  <c r="F421" i="5"/>
  <c r="I420" i="5" s="1"/>
  <c r="J418" i="5"/>
  <c r="K418" i="5" s="1"/>
  <c r="L418" i="5" s="1"/>
  <c r="M419" i="5"/>
  <c r="I419" i="5"/>
  <c r="L417" i="5"/>
  <c r="J420" i="5" l="1"/>
  <c r="J419" i="5"/>
  <c r="K419" i="5" s="1"/>
  <c r="M420" i="5"/>
  <c r="M421" i="5" s="1"/>
  <c r="F422" i="5"/>
  <c r="H421" i="5"/>
  <c r="G421" i="5"/>
  <c r="F423" i="5" l="1"/>
  <c r="H422" i="5"/>
  <c r="G422" i="5"/>
  <c r="L419" i="5"/>
  <c r="I421" i="5"/>
  <c r="K420" i="5"/>
  <c r="J421" i="5" l="1"/>
  <c r="K421" i="5" s="1"/>
  <c r="M422" i="5"/>
  <c r="G423" i="5"/>
  <c r="H423" i="5"/>
  <c r="F424" i="5"/>
  <c r="L421" i="5"/>
  <c r="I422" i="5"/>
  <c r="L420" i="5"/>
  <c r="H424" i="5" l="1"/>
  <c r="G424" i="5"/>
  <c r="F425" i="5"/>
  <c r="J422" i="5"/>
  <c r="K422" i="5" s="1"/>
  <c r="M423" i="5"/>
  <c r="I423" i="5"/>
  <c r="L422" i="5"/>
  <c r="M424" i="5" l="1"/>
  <c r="J423" i="5"/>
  <c r="K423" i="5" s="1"/>
  <c r="L423" i="5"/>
  <c r="H425" i="5"/>
  <c r="G425" i="5"/>
  <c r="F426" i="5"/>
  <c r="I424" i="5"/>
  <c r="M425" i="5" l="1"/>
  <c r="J424" i="5"/>
  <c r="K424" i="5" s="1"/>
  <c r="G426" i="5"/>
  <c r="H426" i="5"/>
  <c r="F427" i="5"/>
  <c r="I425" i="5"/>
  <c r="J425" i="5" l="1"/>
  <c r="K425" i="5" s="1"/>
  <c r="M426" i="5"/>
  <c r="G427" i="5"/>
  <c r="H427" i="5"/>
  <c r="F428" i="5"/>
  <c r="L425" i="5"/>
  <c r="I426" i="5"/>
  <c r="L424" i="5"/>
  <c r="J426" i="5" l="1"/>
  <c r="K426" i="5" s="1"/>
  <c r="M427" i="5"/>
  <c r="G428" i="5"/>
  <c r="H428" i="5"/>
  <c r="F429" i="5"/>
  <c r="I427" i="5"/>
  <c r="L426" i="5"/>
  <c r="J427" i="5" l="1"/>
  <c r="K427" i="5" s="1"/>
  <c r="M428" i="5"/>
  <c r="F430" i="5"/>
  <c r="G429" i="5"/>
  <c r="H429" i="5"/>
  <c r="I429" i="5"/>
  <c r="I428" i="5"/>
  <c r="L427" i="5"/>
  <c r="J428" i="5" l="1"/>
  <c r="K428" i="5" s="1"/>
  <c r="M429" i="5"/>
  <c r="J429" i="5"/>
  <c r="K429" i="5" s="1"/>
  <c r="M430" i="5"/>
  <c r="F431" i="5"/>
  <c r="G430" i="5"/>
  <c r="H430" i="5"/>
  <c r="I430" i="5"/>
  <c r="L428" i="5"/>
  <c r="J430" i="5" l="1"/>
  <c r="K430" i="5" s="1"/>
  <c r="M431" i="5"/>
  <c r="H431" i="5"/>
  <c r="G431" i="5"/>
  <c r="F432" i="5"/>
  <c r="L429" i="5"/>
  <c r="H432" i="5" l="1"/>
  <c r="G432" i="5"/>
  <c r="F433" i="5"/>
  <c r="I431" i="5"/>
  <c r="L430" i="5"/>
  <c r="H433" i="5" l="1"/>
  <c r="G433" i="5"/>
  <c r="F434" i="5"/>
  <c r="J431" i="5"/>
  <c r="K431" i="5" s="1"/>
  <c r="M432" i="5"/>
  <c r="I432" i="5"/>
  <c r="L431" i="5" l="1"/>
  <c r="G434" i="5"/>
  <c r="H434" i="5"/>
  <c r="F435" i="5"/>
  <c r="J432" i="5"/>
  <c r="K432" i="5" s="1"/>
  <c r="M433" i="5"/>
  <c r="I433" i="5"/>
  <c r="G435" i="5" l="1"/>
  <c r="H435" i="5"/>
  <c r="F436" i="5"/>
  <c r="I434" i="5"/>
  <c r="J433" i="5"/>
  <c r="K433" i="5" s="1"/>
  <c r="M434" i="5"/>
  <c r="L432" i="5"/>
  <c r="G436" i="5" l="1"/>
  <c r="H436" i="5"/>
  <c r="F437" i="5"/>
  <c r="I436" i="5" s="1"/>
  <c r="J434" i="5"/>
  <c r="K434" i="5" s="1"/>
  <c r="L434" i="5" s="1"/>
  <c r="M435" i="5"/>
  <c r="I435" i="5"/>
  <c r="L433" i="5"/>
  <c r="M437" i="5" l="1"/>
  <c r="J436" i="5"/>
  <c r="K436" i="5" s="1"/>
  <c r="J435" i="5"/>
  <c r="K435" i="5" s="1"/>
  <c r="L436" i="5" s="1"/>
  <c r="M436" i="5"/>
  <c r="F438" i="5"/>
  <c r="I437" i="5" s="1"/>
  <c r="G437" i="5"/>
  <c r="H437" i="5"/>
  <c r="M438" i="5" l="1"/>
  <c r="J437" i="5"/>
  <c r="K437" i="5" s="1"/>
  <c r="F439" i="5"/>
  <c r="G438" i="5"/>
  <c r="H438" i="5"/>
  <c r="L435" i="5"/>
  <c r="G439" i="5" l="1"/>
  <c r="H439" i="5"/>
  <c r="F440" i="5"/>
  <c r="I438" i="5"/>
  <c r="L437" i="5"/>
  <c r="J438" i="5" l="1"/>
  <c r="K438" i="5" s="1"/>
  <c r="M439" i="5"/>
  <c r="G440" i="5"/>
  <c r="H440" i="5"/>
  <c r="F441" i="5"/>
  <c r="I439" i="5"/>
  <c r="H441" i="5" l="1"/>
  <c r="G441" i="5"/>
  <c r="F442" i="5"/>
  <c r="I441" i="5" s="1"/>
  <c r="I440" i="5"/>
  <c r="J439" i="5"/>
  <c r="K439" i="5" s="1"/>
  <c r="M440" i="5"/>
  <c r="L439" i="5"/>
  <c r="L438" i="5"/>
  <c r="J441" i="5" l="1"/>
  <c r="J440" i="5"/>
  <c r="K440" i="5" s="1"/>
  <c r="M441" i="5"/>
  <c r="M442" i="5" s="1"/>
  <c r="G442" i="5"/>
  <c r="H442" i="5"/>
  <c r="F443" i="5"/>
  <c r="H443" i="5" l="1"/>
  <c r="G443" i="5"/>
  <c r="F444" i="5"/>
  <c r="I442" i="5"/>
  <c r="L440" i="5"/>
  <c r="K441" i="5"/>
  <c r="G444" i="5" l="1"/>
  <c r="H444" i="5"/>
  <c r="F445" i="5"/>
  <c r="I444" i="5" s="1"/>
  <c r="J442" i="5"/>
  <c r="K442" i="5" s="1"/>
  <c r="M443" i="5"/>
  <c r="I443" i="5"/>
  <c r="L441" i="5"/>
  <c r="J444" i="5" l="1"/>
  <c r="L442" i="5"/>
  <c r="J443" i="5"/>
  <c r="K443" i="5" s="1"/>
  <c r="L443" i="5" s="1"/>
  <c r="M444" i="5"/>
  <c r="M445" i="5" s="1"/>
  <c r="F446" i="5"/>
  <c r="G445" i="5"/>
  <c r="H445" i="5"/>
  <c r="G446" i="5" l="1"/>
  <c r="H446" i="5"/>
  <c r="F447" i="5"/>
  <c r="I445" i="5"/>
  <c r="K444" i="5"/>
  <c r="L444" i="5" s="1"/>
  <c r="J445" i="5" l="1"/>
  <c r="K445" i="5" s="1"/>
  <c r="M446" i="5"/>
  <c r="L445" i="5"/>
  <c r="H447" i="5"/>
  <c r="G447" i="5"/>
  <c r="F448" i="5"/>
  <c r="I447" i="5" s="1"/>
  <c r="I446" i="5"/>
  <c r="J447" i="5" l="1"/>
  <c r="J446" i="5"/>
  <c r="K446" i="5" s="1"/>
  <c r="M447" i="5"/>
  <c r="M448" i="5" s="1"/>
  <c r="G448" i="5"/>
  <c r="H448" i="5"/>
  <c r="F449" i="5"/>
  <c r="H449" i="5" l="1"/>
  <c r="G449" i="5"/>
  <c r="F450" i="5"/>
  <c r="I449" i="5" s="1"/>
  <c r="I448" i="5"/>
  <c r="L446" i="5"/>
  <c r="K447" i="5"/>
  <c r="J449" i="5" l="1"/>
  <c r="J448" i="5"/>
  <c r="K448" i="5" s="1"/>
  <c r="M449" i="5"/>
  <c r="M450" i="5" s="1"/>
  <c r="G450" i="5"/>
  <c r="H450" i="5"/>
  <c r="I450" i="5"/>
  <c r="F451" i="5"/>
  <c r="L447" i="5"/>
  <c r="J450" i="5" l="1"/>
  <c r="K450" i="5" s="1"/>
  <c r="M451" i="5"/>
  <c r="L448" i="5"/>
  <c r="G451" i="5"/>
  <c r="H451" i="5"/>
  <c r="F452" i="5"/>
  <c r="K449" i="5"/>
  <c r="H452" i="5" l="1"/>
  <c r="G452" i="5"/>
  <c r="F453" i="5"/>
  <c r="I451" i="5"/>
  <c r="L450" i="5"/>
  <c r="L449" i="5"/>
  <c r="J451" i="5" l="1"/>
  <c r="K451" i="5" s="1"/>
  <c r="M452" i="5"/>
  <c r="F454" i="5"/>
  <c r="H453" i="5"/>
  <c r="G453" i="5"/>
  <c r="I452" i="5"/>
  <c r="G454" i="5" l="1"/>
  <c r="F455" i="5"/>
  <c r="I454" i="5" s="1"/>
  <c r="H454" i="5"/>
  <c r="J452" i="5"/>
  <c r="K452" i="5" s="1"/>
  <c r="M453" i="5"/>
  <c r="I453" i="5"/>
  <c r="L451" i="5"/>
  <c r="J454" i="5" l="1"/>
  <c r="K454" i="5" s="1"/>
  <c r="M455" i="5"/>
  <c r="L452" i="5"/>
  <c r="G455" i="5"/>
  <c r="H455" i="5"/>
  <c r="F456" i="5"/>
  <c r="I455" i="5" s="1"/>
  <c r="J453" i="5"/>
  <c r="K453" i="5" s="1"/>
  <c r="L454" i="5" s="1"/>
  <c r="M454" i="5"/>
  <c r="M456" i="5" l="1"/>
  <c r="J455" i="5"/>
  <c r="K455" i="5" s="1"/>
  <c r="L453" i="5"/>
  <c r="H456" i="5"/>
  <c r="G456" i="5"/>
  <c r="F457" i="5"/>
  <c r="L455" i="5"/>
  <c r="H457" i="5" l="1"/>
  <c r="G457" i="5"/>
  <c r="F458" i="5"/>
  <c r="I457" i="5" s="1"/>
  <c r="I456" i="5"/>
  <c r="J457" i="5" l="1"/>
  <c r="J456" i="5"/>
  <c r="K456" i="5" s="1"/>
  <c r="M457" i="5"/>
  <c r="M458" i="5" s="1"/>
  <c r="G458" i="5"/>
  <c r="H458" i="5"/>
  <c r="F459" i="5"/>
  <c r="L456" i="5" l="1"/>
  <c r="G459" i="5"/>
  <c r="H459" i="5"/>
  <c r="F460" i="5"/>
  <c r="I459" i="5" s="1"/>
  <c r="I458" i="5"/>
  <c r="K457" i="5"/>
  <c r="J459" i="5" l="1"/>
  <c r="K459" i="5" s="1"/>
  <c r="M460" i="5"/>
  <c r="J458" i="5"/>
  <c r="K458" i="5" s="1"/>
  <c r="L459" i="5" s="1"/>
  <c r="M459" i="5"/>
  <c r="G460" i="5"/>
  <c r="H460" i="5"/>
  <c r="F461" i="5"/>
  <c r="L457" i="5"/>
  <c r="F462" i="5" l="1"/>
  <c r="G461" i="5"/>
  <c r="H461" i="5"/>
  <c r="I461" i="5"/>
  <c r="I460" i="5"/>
  <c r="L458" i="5"/>
  <c r="J461" i="5" l="1"/>
  <c r="J460" i="5"/>
  <c r="K460" i="5" s="1"/>
  <c r="M461" i="5"/>
  <c r="M462" i="5" s="1"/>
  <c r="F463" i="5"/>
  <c r="I462" i="5" s="1"/>
  <c r="H462" i="5"/>
  <c r="G462" i="5"/>
  <c r="J462" i="5" l="1"/>
  <c r="M463" i="5"/>
  <c r="K461" i="5"/>
  <c r="G463" i="5"/>
  <c r="H463" i="5"/>
  <c r="F464" i="5"/>
  <c r="L461" i="5"/>
  <c r="L460" i="5"/>
  <c r="G464" i="5" l="1"/>
  <c r="H464" i="5"/>
  <c r="F465" i="5"/>
  <c r="I463" i="5"/>
  <c r="K462" i="5"/>
  <c r="H465" i="5" l="1"/>
  <c r="G465" i="5"/>
  <c r="F466" i="5"/>
  <c r="I465" i="5" s="1"/>
  <c r="I464" i="5"/>
  <c r="J463" i="5"/>
  <c r="K463" i="5" s="1"/>
  <c r="L463" i="5" s="1"/>
  <c r="M464" i="5"/>
  <c r="L462" i="5"/>
  <c r="J465" i="5" l="1"/>
  <c r="G466" i="5"/>
  <c r="H466" i="5"/>
  <c r="F467" i="5"/>
  <c r="J464" i="5"/>
  <c r="K464" i="5" s="1"/>
  <c r="M465" i="5"/>
  <c r="M466" i="5" s="1"/>
  <c r="L464" i="5" l="1"/>
  <c r="H467" i="5"/>
  <c r="G467" i="5"/>
  <c r="F468" i="5"/>
  <c r="I467" i="5" s="1"/>
  <c r="I466" i="5"/>
  <c r="K465" i="5"/>
  <c r="J467" i="5" l="1"/>
  <c r="J466" i="5"/>
  <c r="K466" i="5" s="1"/>
  <c r="M467" i="5"/>
  <c r="M468" i="5" s="1"/>
  <c r="L466" i="5"/>
  <c r="G468" i="5"/>
  <c r="H468" i="5"/>
  <c r="I468" i="5"/>
  <c r="F469" i="5"/>
  <c r="L465" i="5"/>
  <c r="J468" i="5" l="1"/>
  <c r="M469" i="5"/>
  <c r="F470" i="5"/>
  <c r="I469" i="5" s="1"/>
  <c r="G469" i="5"/>
  <c r="H469" i="5"/>
  <c r="K467" i="5"/>
  <c r="L467" i="5" s="1"/>
  <c r="M470" i="5" l="1"/>
  <c r="J469" i="5"/>
  <c r="K469" i="5" s="1"/>
  <c r="G470" i="5"/>
  <c r="H470" i="5"/>
  <c r="F471" i="5"/>
  <c r="I470" i="5" s="1"/>
  <c r="K468" i="5"/>
  <c r="L469" i="5" s="1"/>
  <c r="M471" i="5" l="1"/>
  <c r="J470" i="5"/>
  <c r="K470" i="5" s="1"/>
  <c r="G471" i="5"/>
  <c r="H471" i="5"/>
  <c r="F472" i="5"/>
  <c r="L468" i="5"/>
  <c r="G472" i="5" l="1"/>
  <c r="H472" i="5"/>
  <c r="F473" i="5"/>
  <c r="I471" i="5"/>
  <c r="L470" i="5"/>
  <c r="J471" i="5" l="1"/>
  <c r="K471" i="5" s="1"/>
  <c r="M472" i="5"/>
  <c r="H473" i="5"/>
  <c r="G473" i="5"/>
  <c r="F474" i="5"/>
  <c r="I472" i="5"/>
  <c r="M473" i="5" l="1"/>
  <c r="J472" i="5"/>
  <c r="K472" i="5" s="1"/>
  <c r="G474" i="5"/>
  <c r="H474" i="5"/>
  <c r="F475" i="5"/>
  <c r="I473" i="5"/>
  <c r="L472" i="5"/>
  <c r="L471" i="5"/>
  <c r="J473" i="5" l="1"/>
  <c r="K473" i="5" s="1"/>
  <c r="M474" i="5"/>
  <c r="L473" i="5"/>
  <c r="H475" i="5"/>
  <c r="G475" i="5"/>
  <c r="F476" i="5"/>
  <c r="I474" i="5"/>
  <c r="J474" i="5" l="1"/>
  <c r="K474" i="5" s="1"/>
  <c r="M475" i="5"/>
  <c r="H476" i="5"/>
  <c r="G476" i="5"/>
  <c r="F477" i="5"/>
  <c r="I475" i="5"/>
  <c r="L474" i="5"/>
  <c r="J475" i="5" l="1"/>
  <c r="K475" i="5" s="1"/>
  <c r="M476" i="5"/>
  <c r="F478" i="5"/>
  <c r="I477" i="5" s="1"/>
  <c r="H477" i="5"/>
  <c r="G477" i="5"/>
  <c r="I476" i="5"/>
  <c r="L475" i="5"/>
  <c r="J477" i="5" l="1"/>
  <c r="F479" i="5"/>
  <c r="G478" i="5"/>
  <c r="H478" i="5"/>
  <c r="J476" i="5"/>
  <c r="K476" i="5" s="1"/>
  <c r="M477" i="5"/>
  <c r="M478" i="5" s="1"/>
  <c r="G479" i="5" l="1"/>
  <c r="H479" i="5"/>
  <c r="F480" i="5"/>
  <c r="I478" i="5"/>
  <c r="L476" i="5"/>
  <c r="K477" i="5"/>
  <c r="L477" i="5" s="1"/>
  <c r="J478" i="5" l="1"/>
  <c r="K478" i="5" s="1"/>
  <c r="M479" i="5"/>
  <c r="G480" i="5"/>
  <c r="H480" i="5"/>
  <c r="F481" i="5"/>
  <c r="I479" i="5"/>
  <c r="G481" i="5" l="1"/>
  <c r="H481" i="5"/>
  <c r="F482" i="5"/>
  <c r="I481" i="5" s="1"/>
  <c r="M480" i="5"/>
  <c r="J479" i="5"/>
  <c r="K479" i="5" s="1"/>
  <c r="L479" i="5" s="1"/>
  <c r="I480" i="5"/>
  <c r="L478" i="5"/>
  <c r="J481" i="5" l="1"/>
  <c r="J480" i="5"/>
  <c r="K480" i="5" s="1"/>
  <c r="M481" i="5"/>
  <c r="M482" i="5" s="1"/>
  <c r="G482" i="5"/>
  <c r="I482" i="5"/>
  <c r="H482" i="5"/>
  <c r="F483" i="5"/>
  <c r="J482" i="5" l="1"/>
  <c r="K482" i="5" s="1"/>
  <c r="M483" i="5"/>
  <c r="L480" i="5"/>
  <c r="G483" i="5"/>
  <c r="H483" i="5"/>
  <c r="F484" i="5"/>
  <c r="K481" i="5"/>
  <c r="H484" i="5" l="1"/>
  <c r="G484" i="5"/>
  <c r="F485" i="5"/>
  <c r="I484" i="5" s="1"/>
  <c r="I483" i="5"/>
  <c r="L482" i="5"/>
  <c r="L481" i="5"/>
  <c r="J484" i="5" l="1"/>
  <c r="J483" i="5"/>
  <c r="K483" i="5" s="1"/>
  <c r="M484" i="5"/>
  <c r="M485" i="5" s="1"/>
  <c r="F486" i="5"/>
  <c r="H485" i="5"/>
  <c r="I485" i="5"/>
  <c r="G485" i="5"/>
  <c r="L483" i="5" l="1"/>
  <c r="J485" i="5"/>
  <c r="K485" i="5" s="1"/>
  <c r="M486" i="5"/>
  <c r="G486" i="5"/>
  <c r="F487" i="5"/>
  <c r="H486" i="5"/>
  <c r="K484" i="5"/>
  <c r="G487" i="5" l="1"/>
  <c r="H487" i="5"/>
  <c r="F488" i="5"/>
  <c r="I486" i="5"/>
  <c r="L485" i="5"/>
  <c r="L484" i="5"/>
  <c r="H488" i="5" l="1"/>
  <c r="G488" i="5"/>
  <c r="F489" i="5"/>
  <c r="J486" i="5"/>
  <c r="K486" i="5" s="1"/>
  <c r="M487" i="5"/>
  <c r="I487" i="5"/>
  <c r="H489" i="5" l="1"/>
  <c r="G489" i="5"/>
  <c r="F490" i="5"/>
  <c r="I489" i="5" s="1"/>
  <c r="L486" i="5"/>
  <c r="J487" i="5"/>
  <c r="K487" i="5" s="1"/>
  <c r="M488" i="5"/>
  <c r="I488" i="5"/>
  <c r="J489" i="5" l="1"/>
  <c r="G490" i="5"/>
  <c r="H490" i="5"/>
  <c r="F491" i="5"/>
  <c r="L487" i="5"/>
  <c r="M489" i="5"/>
  <c r="M490" i="5" s="1"/>
  <c r="J488" i="5"/>
  <c r="K488" i="5" s="1"/>
  <c r="L488" i="5" s="1"/>
  <c r="G491" i="5" l="1"/>
  <c r="H491" i="5"/>
  <c r="F492" i="5"/>
  <c r="I490" i="5"/>
  <c r="K489" i="5"/>
  <c r="J490" i="5" l="1"/>
  <c r="K490" i="5" s="1"/>
  <c r="M491" i="5"/>
  <c r="G492" i="5"/>
  <c r="H492" i="5"/>
  <c r="F493" i="5"/>
  <c r="I492" i="5" s="1"/>
  <c r="L490" i="5"/>
  <c r="I491" i="5"/>
  <c r="L489" i="5"/>
  <c r="J492" i="5" l="1"/>
  <c r="M492" i="5"/>
  <c r="M493" i="5" s="1"/>
  <c r="J491" i="5"/>
  <c r="K491" i="5" s="1"/>
  <c r="F494" i="5"/>
  <c r="H493" i="5"/>
  <c r="G493" i="5"/>
  <c r="I493" i="5"/>
  <c r="J493" i="5" l="1"/>
  <c r="K493" i="5" s="1"/>
  <c r="M494" i="5"/>
  <c r="F495" i="5"/>
  <c r="H494" i="5"/>
  <c r="G494" i="5"/>
  <c r="I494" i="5"/>
  <c r="L491" i="5"/>
  <c r="K492" i="5"/>
  <c r="L493" i="5" s="1"/>
  <c r="L492" i="5" l="1"/>
  <c r="H495" i="5"/>
  <c r="G495" i="5"/>
  <c r="F496" i="5"/>
  <c r="J494" i="5"/>
  <c r="K494" i="5" s="1"/>
  <c r="M495" i="5"/>
  <c r="G496" i="5" l="1"/>
  <c r="H496" i="5"/>
  <c r="F497" i="5"/>
  <c r="I495" i="5"/>
  <c r="L494" i="5"/>
  <c r="J495" i="5" l="1"/>
  <c r="K495" i="5" s="1"/>
  <c r="M496" i="5"/>
  <c r="H497" i="5"/>
  <c r="G497" i="5"/>
  <c r="F498" i="5"/>
  <c r="I496" i="5"/>
  <c r="J496" i="5" l="1"/>
  <c r="K496" i="5" s="1"/>
  <c r="M497" i="5"/>
  <c r="G498" i="5"/>
  <c r="H498" i="5"/>
  <c r="F499" i="5"/>
  <c r="I497" i="5"/>
  <c r="L496" i="5"/>
  <c r="L495" i="5"/>
  <c r="J497" i="5" l="1"/>
  <c r="K497" i="5" s="1"/>
  <c r="M498" i="5"/>
  <c r="G499" i="5"/>
  <c r="H499" i="5"/>
  <c r="F500" i="5"/>
  <c r="I499" i="5" s="1"/>
  <c r="I498" i="5"/>
  <c r="L497" i="5"/>
  <c r="J499" i="5" l="1"/>
  <c r="J498" i="5"/>
  <c r="K498" i="5" s="1"/>
  <c r="M499" i="5"/>
  <c r="M500" i="5" s="1"/>
  <c r="G500" i="5"/>
  <c r="H500" i="5"/>
  <c r="F501" i="5"/>
  <c r="F502" i="5" l="1"/>
  <c r="G501" i="5"/>
  <c r="H501" i="5"/>
  <c r="I501" i="5"/>
  <c r="I500" i="5"/>
  <c r="L498" i="5"/>
  <c r="K499" i="5"/>
  <c r="J501" i="5" l="1"/>
  <c r="J500" i="5"/>
  <c r="K500" i="5" s="1"/>
  <c r="M501" i="5"/>
  <c r="M502" i="5" s="1"/>
  <c r="F503" i="5"/>
  <c r="G502" i="5"/>
  <c r="H502" i="5"/>
  <c r="L499" i="5"/>
  <c r="K501" i="5" l="1"/>
  <c r="L501" i="5"/>
  <c r="G503" i="5"/>
  <c r="H503" i="5"/>
  <c r="F504" i="5"/>
  <c r="I502" i="5"/>
  <c r="L500" i="5"/>
  <c r="J502" i="5" l="1"/>
  <c r="K502" i="5" s="1"/>
  <c r="M503" i="5"/>
  <c r="H504" i="5"/>
  <c r="G504" i="5"/>
  <c r="F505" i="5"/>
  <c r="I503" i="5"/>
  <c r="L502" i="5"/>
  <c r="H505" i="5" l="1"/>
  <c r="G505" i="5"/>
  <c r="F506" i="5"/>
  <c r="I504" i="5"/>
  <c r="J503" i="5"/>
  <c r="K503" i="5" s="1"/>
  <c r="L503" i="5" s="1"/>
  <c r="M504" i="5"/>
  <c r="J504" i="5" l="1"/>
  <c r="K504" i="5" s="1"/>
  <c r="M505" i="5"/>
  <c r="G506" i="5"/>
  <c r="H506" i="5"/>
  <c r="F507" i="5"/>
  <c r="I505" i="5"/>
  <c r="L504" i="5"/>
  <c r="J505" i="5" l="1"/>
  <c r="K505" i="5" s="1"/>
  <c r="M506" i="5"/>
  <c r="G507" i="5"/>
  <c r="H507" i="5"/>
  <c r="F508" i="5"/>
  <c r="I506" i="5"/>
  <c r="L505" i="5"/>
  <c r="J506" i="5" l="1"/>
  <c r="K506" i="5" s="1"/>
  <c r="M507" i="5"/>
  <c r="G508" i="5"/>
  <c r="H508" i="5"/>
  <c r="F509" i="5"/>
  <c r="I507" i="5"/>
  <c r="L506" i="5"/>
  <c r="F510" i="5" l="1"/>
  <c r="G509" i="5"/>
  <c r="I509" i="5"/>
  <c r="H509" i="5"/>
  <c r="I508" i="5"/>
  <c r="J507" i="5"/>
  <c r="K507" i="5" s="1"/>
  <c r="M508" i="5"/>
  <c r="L507" i="5"/>
  <c r="J509" i="5" l="1"/>
  <c r="J508" i="5"/>
  <c r="K508" i="5" s="1"/>
  <c r="L508" i="5" s="1"/>
  <c r="M509" i="5"/>
  <c r="M510" i="5" s="1"/>
  <c r="F511" i="5"/>
  <c r="G510" i="5"/>
  <c r="H510" i="5"/>
  <c r="G511" i="5" l="1"/>
  <c r="H511" i="5"/>
  <c r="F512" i="5"/>
  <c r="I510" i="5"/>
  <c r="K509" i="5"/>
  <c r="L509" i="5"/>
  <c r="J510" i="5" l="1"/>
  <c r="K510" i="5" s="1"/>
  <c r="M511" i="5"/>
  <c r="L510" i="5"/>
  <c r="G512" i="5"/>
  <c r="H512" i="5"/>
  <c r="F513" i="5"/>
  <c r="I511" i="5"/>
  <c r="H513" i="5" l="1"/>
  <c r="G513" i="5"/>
  <c r="F514" i="5"/>
  <c r="J511" i="5"/>
  <c r="K511" i="5" s="1"/>
  <c r="M512" i="5"/>
  <c r="I512" i="5"/>
  <c r="L511" i="5" l="1"/>
  <c r="G514" i="5"/>
  <c r="H514" i="5"/>
  <c r="F515" i="5"/>
  <c r="J512" i="5"/>
  <c r="K512" i="5" s="1"/>
  <c r="M513" i="5"/>
  <c r="I513" i="5"/>
  <c r="G515" i="5" l="1"/>
  <c r="H515" i="5"/>
  <c r="F516" i="5"/>
  <c r="I514" i="5"/>
  <c r="J513" i="5"/>
  <c r="K513" i="5" s="1"/>
  <c r="M514" i="5"/>
  <c r="L512" i="5"/>
  <c r="H516" i="5" l="1"/>
  <c r="G516" i="5"/>
  <c r="F517" i="5"/>
  <c r="J514" i="5"/>
  <c r="K514" i="5" s="1"/>
  <c r="L514" i="5" s="1"/>
  <c r="M515" i="5"/>
  <c r="I515" i="5"/>
  <c r="L513" i="5"/>
  <c r="F518" i="5" l="1"/>
  <c r="G517" i="5"/>
  <c r="H517" i="5"/>
  <c r="I517" i="5"/>
  <c r="J515" i="5"/>
  <c r="K515" i="5" s="1"/>
  <c r="M516" i="5"/>
  <c r="I516" i="5"/>
  <c r="L515" i="5"/>
  <c r="J516" i="5" l="1"/>
  <c r="K516" i="5" s="1"/>
  <c r="M517" i="5"/>
  <c r="J517" i="5"/>
  <c r="K517" i="5" s="1"/>
  <c r="M518" i="5"/>
  <c r="L516" i="5"/>
  <c r="F519" i="5"/>
  <c r="G518" i="5"/>
  <c r="H518" i="5"/>
  <c r="H519" i="5" l="1"/>
  <c r="G519" i="5"/>
  <c r="F520" i="5"/>
  <c r="I518" i="5"/>
  <c r="L517" i="5"/>
  <c r="H520" i="5" l="1"/>
  <c r="G520" i="5"/>
  <c r="F521" i="5"/>
  <c r="I520" i="5" s="1"/>
  <c r="J518" i="5"/>
  <c r="K518" i="5" s="1"/>
  <c r="M519" i="5"/>
  <c r="I519" i="5"/>
  <c r="J520" i="5" l="1"/>
  <c r="L518" i="5"/>
  <c r="J519" i="5"/>
  <c r="K519" i="5" s="1"/>
  <c r="L519" i="5" s="1"/>
  <c r="M520" i="5"/>
  <c r="M521" i="5" s="1"/>
  <c r="H521" i="5"/>
  <c r="G521" i="5"/>
  <c r="F522" i="5"/>
  <c r="G522" i="5" l="1"/>
  <c r="H522" i="5"/>
  <c r="F523" i="5"/>
  <c r="I521" i="5"/>
  <c r="K520" i="5"/>
  <c r="L520" i="5" s="1"/>
  <c r="J521" i="5" l="1"/>
  <c r="K521" i="5" s="1"/>
  <c r="M522" i="5"/>
  <c r="L521" i="5"/>
  <c r="G523" i="5"/>
  <c r="H523" i="5"/>
  <c r="F524" i="5"/>
  <c r="I522" i="5"/>
  <c r="J522" i="5" l="1"/>
  <c r="K522" i="5" s="1"/>
  <c r="M523" i="5"/>
  <c r="G524" i="5"/>
  <c r="H524" i="5"/>
  <c r="F525" i="5"/>
  <c r="I523" i="5"/>
  <c r="L522" i="5"/>
  <c r="F526" i="5" l="1"/>
  <c r="H525" i="5"/>
  <c r="I525" i="5"/>
  <c r="G525" i="5"/>
  <c r="I524" i="5"/>
  <c r="J523" i="5"/>
  <c r="K523" i="5" s="1"/>
  <c r="L523" i="5" s="1"/>
  <c r="M524" i="5"/>
  <c r="J525" i="5" l="1"/>
  <c r="J524" i="5"/>
  <c r="K524" i="5" s="1"/>
  <c r="M525" i="5"/>
  <c r="M526" i="5" s="1"/>
  <c r="F527" i="5"/>
  <c r="H526" i="5"/>
  <c r="G526" i="5"/>
  <c r="G527" i="5" l="1"/>
  <c r="H527" i="5"/>
  <c r="F528" i="5"/>
  <c r="K525" i="5"/>
  <c r="I526" i="5"/>
  <c r="L524" i="5"/>
  <c r="J526" i="5" l="1"/>
  <c r="K526" i="5" s="1"/>
  <c r="M527" i="5"/>
  <c r="G528" i="5"/>
  <c r="H528" i="5"/>
  <c r="F529" i="5"/>
  <c r="I527" i="5"/>
  <c r="L525" i="5"/>
  <c r="H529" i="5" l="1"/>
  <c r="G529" i="5"/>
  <c r="F530" i="5"/>
  <c r="I529" i="5" s="1"/>
  <c r="J527" i="5"/>
  <c r="K527" i="5" s="1"/>
  <c r="L527" i="5" s="1"/>
  <c r="M528" i="5"/>
  <c r="I528" i="5"/>
  <c r="L526" i="5"/>
  <c r="J529" i="5" l="1"/>
  <c r="J528" i="5"/>
  <c r="K528" i="5" s="1"/>
  <c r="M529" i="5"/>
  <c r="M530" i="5" s="1"/>
  <c r="G530" i="5"/>
  <c r="H530" i="5"/>
  <c r="F531" i="5"/>
  <c r="H531" i="5" l="1"/>
  <c r="G531" i="5"/>
  <c r="F532" i="5"/>
  <c r="I530" i="5"/>
  <c r="L528" i="5"/>
  <c r="K529" i="5"/>
  <c r="G532" i="5" l="1"/>
  <c r="H532" i="5"/>
  <c r="F533" i="5"/>
  <c r="I532" i="5" s="1"/>
  <c r="J530" i="5"/>
  <c r="K530" i="5" s="1"/>
  <c r="M531" i="5"/>
  <c r="I531" i="5"/>
  <c r="L529" i="5"/>
  <c r="J532" i="5" l="1"/>
  <c r="K532" i="5" s="1"/>
  <c r="M533" i="5"/>
  <c r="J531" i="5"/>
  <c r="K531" i="5" s="1"/>
  <c r="L532" i="5" s="1"/>
  <c r="M532" i="5"/>
  <c r="L530" i="5"/>
  <c r="F534" i="5"/>
  <c r="I533" i="5" s="1"/>
  <c r="G533" i="5"/>
  <c r="H533" i="5"/>
  <c r="M534" i="5" l="1"/>
  <c r="J533" i="5"/>
  <c r="K533" i="5" s="1"/>
  <c r="L531" i="5"/>
  <c r="F535" i="5"/>
  <c r="G534" i="5"/>
  <c r="H534" i="5"/>
  <c r="L533" i="5"/>
  <c r="G535" i="5" l="1"/>
  <c r="H535" i="5"/>
  <c r="F536" i="5"/>
  <c r="I534" i="5"/>
  <c r="M535" i="5" l="1"/>
  <c r="J534" i="5"/>
  <c r="K534" i="5" s="1"/>
  <c r="G536" i="5"/>
  <c r="H536" i="5"/>
  <c r="F537" i="5"/>
  <c r="I535" i="5"/>
  <c r="J535" i="5" l="1"/>
  <c r="K535" i="5" s="1"/>
  <c r="M536" i="5"/>
  <c r="L535" i="5"/>
  <c r="L534" i="5"/>
  <c r="H537" i="5"/>
  <c r="G537" i="5"/>
  <c r="F538" i="5"/>
  <c r="I536" i="5"/>
  <c r="G538" i="5" l="1"/>
  <c r="H538" i="5"/>
  <c r="F539" i="5"/>
  <c r="I537" i="5"/>
  <c r="J536" i="5"/>
  <c r="K536" i="5" s="1"/>
  <c r="M537" i="5"/>
  <c r="L536" i="5"/>
  <c r="J537" i="5" l="1"/>
  <c r="K537" i="5" s="1"/>
  <c r="M538" i="5"/>
  <c r="L537" i="5"/>
  <c r="H539" i="5"/>
  <c r="G539" i="5"/>
  <c r="F540" i="5"/>
  <c r="I539" i="5" s="1"/>
  <c r="I538" i="5"/>
  <c r="J539" i="5" l="1"/>
  <c r="J538" i="5"/>
  <c r="K538" i="5" s="1"/>
  <c r="M539" i="5"/>
  <c r="M540" i="5" s="1"/>
  <c r="H540" i="5"/>
  <c r="G540" i="5"/>
  <c r="F541" i="5"/>
  <c r="F542" i="5" l="1"/>
  <c r="G541" i="5"/>
  <c r="H541" i="5"/>
  <c r="I541" i="5" s="1"/>
  <c r="I540" i="5"/>
  <c r="L538" i="5"/>
  <c r="K539" i="5"/>
  <c r="J541" i="5" l="1"/>
  <c r="K541" i="5" s="1"/>
  <c r="M542" i="5"/>
  <c r="J540" i="5"/>
  <c r="K540" i="5" s="1"/>
  <c r="L541" i="5" s="1"/>
  <c r="M541" i="5"/>
  <c r="G542" i="5"/>
  <c r="F543" i="5"/>
  <c r="I542" i="5"/>
  <c r="H542" i="5"/>
  <c r="L539" i="5"/>
  <c r="J542" i="5" l="1"/>
  <c r="K542" i="5" s="1"/>
  <c r="M543" i="5"/>
  <c r="L540" i="5"/>
  <c r="G543" i="5"/>
  <c r="H543" i="5"/>
  <c r="F544" i="5"/>
  <c r="L542" i="5"/>
  <c r="G544" i="5" l="1"/>
  <c r="H544" i="5"/>
  <c r="F545" i="5"/>
  <c r="I543" i="5"/>
  <c r="M544" i="5" l="1"/>
  <c r="J543" i="5"/>
  <c r="K543" i="5" s="1"/>
  <c r="G545" i="5"/>
  <c r="H545" i="5"/>
  <c r="F546" i="5"/>
  <c r="I544" i="5"/>
  <c r="G546" i="5" l="1"/>
  <c r="H546" i="5"/>
  <c r="F547" i="5"/>
  <c r="I546" i="5" s="1"/>
  <c r="I545" i="5"/>
  <c r="J544" i="5"/>
  <c r="K544" i="5" s="1"/>
  <c r="M545" i="5"/>
  <c r="L543" i="5"/>
  <c r="J546" i="5" l="1"/>
  <c r="K546" i="5" s="1"/>
  <c r="M547" i="5"/>
  <c r="M546" i="5"/>
  <c r="J545" i="5"/>
  <c r="K545" i="5" s="1"/>
  <c r="L546" i="5" s="1"/>
  <c r="L544" i="5"/>
  <c r="I547" i="5"/>
  <c r="H547" i="5"/>
  <c r="G547" i="5"/>
  <c r="F548" i="5"/>
  <c r="J547" i="5" l="1"/>
  <c r="K547" i="5" s="1"/>
  <c r="M548" i="5"/>
  <c r="H548" i="5"/>
  <c r="G548" i="5"/>
  <c r="F549" i="5"/>
  <c r="L545" i="5"/>
  <c r="L547" i="5"/>
  <c r="F550" i="5" l="1"/>
  <c r="H549" i="5"/>
  <c r="G549" i="5"/>
  <c r="I549" i="5"/>
  <c r="I548" i="5"/>
  <c r="J549" i="5" l="1"/>
  <c r="J548" i="5"/>
  <c r="K548" i="5" s="1"/>
  <c r="M549" i="5"/>
  <c r="M550" i="5" s="1"/>
  <c r="F551" i="5"/>
  <c r="G550" i="5"/>
  <c r="H550" i="5"/>
  <c r="I550" i="5"/>
  <c r="L548" i="5" l="1"/>
  <c r="J550" i="5"/>
  <c r="K550" i="5" s="1"/>
  <c r="M551" i="5"/>
  <c r="G551" i="5"/>
  <c r="H551" i="5"/>
  <c r="F552" i="5"/>
  <c r="K549" i="5"/>
  <c r="G552" i="5" l="1"/>
  <c r="H552" i="5"/>
  <c r="F553" i="5"/>
  <c r="I552" i="5" s="1"/>
  <c r="I551" i="5"/>
  <c r="L550" i="5"/>
  <c r="L549" i="5"/>
  <c r="J552" i="5" l="1"/>
  <c r="H553" i="5"/>
  <c r="G553" i="5"/>
  <c r="F554" i="5"/>
  <c r="J551" i="5"/>
  <c r="K551" i="5" s="1"/>
  <c r="M552" i="5"/>
  <c r="M553" i="5" s="1"/>
  <c r="L551" i="5" l="1"/>
  <c r="G554" i="5"/>
  <c r="H554" i="5"/>
  <c r="F555" i="5"/>
  <c r="I553" i="5"/>
  <c r="K552" i="5"/>
  <c r="G555" i="5" l="1"/>
  <c r="H555" i="5"/>
  <c r="F556" i="5"/>
  <c r="I555" i="5" s="1"/>
  <c r="I554" i="5"/>
  <c r="J553" i="5"/>
  <c r="K553" i="5" s="1"/>
  <c r="L553" i="5" s="1"/>
  <c r="M554" i="5"/>
  <c r="L552" i="5"/>
  <c r="J555" i="5" l="1"/>
  <c r="J554" i="5"/>
  <c r="K554" i="5" s="1"/>
  <c r="M555" i="5"/>
  <c r="M556" i="5" s="1"/>
  <c r="G556" i="5"/>
  <c r="I556" i="5" s="1"/>
  <c r="H556" i="5"/>
  <c r="F557" i="5"/>
  <c r="J556" i="5" l="1"/>
  <c r="K556" i="5" s="1"/>
  <c r="M557" i="5"/>
  <c r="L555" i="5"/>
  <c r="L554" i="5"/>
  <c r="F558" i="5"/>
  <c r="H557" i="5"/>
  <c r="G557" i="5"/>
  <c r="I557" i="5"/>
  <c r="K555" i="5"/>
  <c r="L556" i="5" s="1"/>
  <c r="J557" i="5" l="1"/>
  <c r="K557" i="5" s="1"/>
  <c r="M558" i="5"/>
  <c r="F559" i="5"/>
  <c r="H558" i="5"/>
  <c r="G558" i="5"/>
  <c r="L557" i="5"/>
  <c r="G559" i="5" l="1"/>
  <c r="H559" i="5"/>
  <c r="F560" i="5"/>
  <c r="I558" i="5"/>
  <c r="J558" i="5" l="1"/>
  <c r="K558" i="5" s="1"/>
  <c r="M559" i="5"/>
  <c r="H560" i="5"/>
  <c r="G560" i="5"/>
  <c r="F561" i="5"/>
  <c r="I559" i="5"/>
  <c r="J559" i="5" l="1"/>
  <c r="K559" i="5" s="1"/>
  <c r="M560" i="5"/>
  <c r="H561" i="5"/>
  <c r="G561" i="5"/>
  <c r="F562" i="5"/>
  <c r="I560" i="5"/>
  <c r="L559" i="5"/>
  <c r="L558" i="5"/>
  <c r="J560" i="5" l="1"/>
  <c r="K560" i="5" s="1"/>
  <c r="M561" i="5"/>
  <c r="G562" i="5"/>
  <c r="H562" i="5"/>
  <c r="F563" i="5"/>
  <c r="I561" i="5"/>
  <c r="L560" i="5"/>
  <c r="M562" i="5" l="1"/>
  <c r="J561" i="5"/>
  <c r="K561" i="5" s="1"/>
  <c r="G563" i="5"/>
  <c r="H563" i="5"/>
  <c r="F564" i="5"/>
  <c r="I562" i="5"/>
  <c r="L561" i="5"/>
  <c r="G564" i="5" l="1"/>
  <c r="H564" i="5"/>
  <c r="F565" i="5"/>
  <c r="I563" i="5"/>
  <c r="J562" i="5"/>
  <c r="K562" i="5" s="1"/>
  <c r="M563" i="5"/>
  <c r="J563" i="5" l="1"/>
  <c r="K563" i="5" s="1"/>
  <c r="M564" i="5"/>
  <c r="L563" i="5"/>
  <c r="F566" i="5"/>
  <c r="G565" i="5"/>
  <c r="I565" i="5"/>
  <c r="H565" i="5"/>
  <c r="I564" i="5"/>
  <c r="L562" i="5"/>
  <c r="J565" i="5" l="1"/>
  <c r="H566" i="5"/>
  <c r="G566" i="5"/>
  <c r="F567" i="5"/>
  <c r="I566" i="5" s="1"/>
  <c r="J564" i="5"/>
  <c r="K564" i="5" s="1"/>
  <c r="M565" i="5"/>
  <c r="M566" i="5" s="1"/>
  <c r="J566" i="5" l="1"/>
  <c r="K566" i="5" s="1"/>
  <c r="M567" i="5"/>
  <c r="H567" i="5"/>
  <c r="G567" i="5"/>
  <c r="F568" i="5"/>
  <c r="L564" i="5"/>
  <c r="K565" i="5"/>
  <c r="L566" i="5" s="1"/>
  <c r="H568" i="5" l="1"/>
  <c r="G568" i="5"/>
  <c r="F569" i="5"/>
  <c r="L565" i="5"/>
  <c r="I567" i="5"/>
  <c r="H569" i="5" l="1"/>
  <c r="G569" i="5"/>
  <c r="F570" i="5"/>
  <c r="I569" i="5" s="1"/>
  <c r="J567" i="5"/>
  <c r="K567" i="5" s="1"/>
  <c r="M568" i="5"/>
  <c r="I568" i="5"/>
  <c r="J569" i="5" l="1"/>
  <c r="J568" i="5"/>
  <c r="K568" i="5" s="1"/>
  <c r="M569" i="5"/>
  <c r="M570" i="5" s="1"/>
  <c r="G570" i="5"/>
  <c r="H570" i="5"/>
  <c r="F571" i="5"/>
  <c r="I570" i="5" s="1"/>
  <c r="L567" i="5"/>
  <c r="J570" i="5" l="1"/>
  <c r="K570" i="5" s="1"/>
  <c r="M571" i="5"/>
  <c r="H571" i="5"/>
  <c r="G571" i="5"/>
  <c r="F572" i="5"/>
  <c r="I571" i="5" s="1"/>
  <c r="K569" i="5"/>
  <c r="L570" i="5" s="1"/>
  <c r="L568" i="5"/>
  <c r="M572" i="5" l="1"/>
  <c r="J571" i="5"/>
  <c r="K571" i="5" s="1"/>
  <c r="L569" i="5"/>
  <c r="G572" i="5"/>
  <c r="H572" i="5"/>
  <c r="F573" i="5"/>
  <c r="I572" i="5" s="1"/>
  <c r="L571" i="5"/>
  <c r="J572" i="5" l="1"/>
  <c r="K572" i="5" s="1"/>
  <c r="M573" i="5"/>
  <c r="L572" i="5"/>
  <c r="F574" i="5"/>
  <c r="I573" i="5" s="1"/>
  <c r="G573" i="5"/>
  <c r="H573" i="5"/>
  <c r="J573" i="5" l="1"/>
  <c r="K573" i="5" s="1"/>
  <c r="M574" i="5"/>
  <c r="G574" i="5"/>
  <c r="H574" i="5"/>
  <c r="F575" i="5"/>
  <c r="L573" i="5"/>
  <c r="G575" i="5" l="1"/>
  <c r="H575" i="5"/>
  <c r="F576" i="5"/>
  <c r="I574" i="5"/>
  <c r="J574" i="5" l="1"/>
  <c r="K574" i="5" s="1"/>
  <c r="M575" i="5"/>
  <c r="G576" i="5"/>
  <c r="H576" i="5"/>
  <c r="F577" i="5"/>
  <c r="I575" i="5"/>
  <c r="J575" i="5" l="1"/>
  <c r="K575" i="5" s="1"/>
  <c r="M576" i="5"/>
  <c r="H577" i="5"/>
  <c r="G577" i="5"/>
  <c r="F578" i="5"/>
  <c r="I576" i="5"/>
  <c r="L575" i="5"/>
  <c r="L574" i="5"/>
  <c r="J576" i="5" l="1"/>
  <c r="K576" i="5" s="1"/>
  <c r="M577" i="5"/>
  <c r="G578" i="5"/>
  <c r="H578" i="5"/>
  <c r="F579" i="5"/>
  <c r="I577" i="5"/>
  <c r="L576" i="5"/>
  <c r="J577" i="5" l="1"/>
  <c r="K577" i="5" s="1"/>
  <c r="M578" i="5"/>
  <c r="H579" i="5"/>
  <c r="G579" i="5"/>
  <c r="F580" i="5"/>
  <c r="I578" i="5"/>
  <c r="L577" i="5"/>
  <c r="G580" i="5" l="1"/>
  <c r="H580" i="5"/>
  <c r="F581" i="5"/>
  <c r="I579" i="5"/>
  <c r="J578" i="5"/>
  <c r="K578" i="5" s="1"/>
  <c r="M579" i="5"/>
  <c r="J579" i="5" l="1"/>
  <c r="K579" i="5" s="1"/>
  <c r="M580" i="5"/>
  <c r="L579" i="5"/>
  <c r="L578" i="5"/>
  <c r="F582" i="5"/>
  <c r="G581" i="5"/>
  <c r="H581" i="5"/>
  <c r="I580" i="5"/>
  <c r="F583" i="5" l="1"/>
  <c r="G582" i="5"/>
  <c r="I582" i="5"/>
  <c r="H582" i="5"/>
  <c r="I581" i="5"/>
  <c r="M581" i="5"/>
  <c r="J580" i="5"/>
  <c r="K580" i="5" s="1"/>
  <c r="J581" i="5" l="1"/>
  <c r="K581" i="5" s="1"/>
  <c r="M582" i="5"/>
  <c r="L580" i="5"/>
  <c r="M583" i="5"/>
  <c r="J582" i="5"/>
  <c r="K582" i="5" s="1"/>
  <c r="I583" i="5"/>
  <c r="G583" i="5"/>
  <c r="H583" i="5"/>
  <c r="F584" i="5"/>
  <c r="L582" i="5" l="1"/>
  <c r="J583" i="5"/>
  <c r="K583" i="5" s="1"/>
  <c r="M584" i="5"/>
  <c r="G584" i="5"/>
  <c r="H584" i="5"/>
  <c r="F585" i="5"/>
  <c r="L581" i="5"/>
  <c r="H585" i="5" l="1"/>
  <c r="G585" i="5"/>
  <c r="F586" i="5"/>
  <c r="I585" i="5" s="1"/>
  <c r="I584" i="5"/>
  <c r="L583" i="5"/>
  <c r="J585" i="5" l="1"/>
  <c r="K585" i="5" s="1"/>
  <c r="M586" i="5"/>
  <c r="J584" i="5"/>
  <c r="K584" i="5" s="1"/>
  <c r="M585" i="5"/>
  <c r="G586" i="5"/>
  <c r="H586" i="5"/>
  <c r="F587" i="5"/>
  <c r="I586" i="5" s="1"/>
  <c r="J586" i="5" l="1"/>
  <c r="K586" i="5" s="1"/>
  <c r="M587" i="5"/>
  <c r="L585" i="5"/>
  <c r="L584" i="5"/>
  <c r="G587" i="5"/>
  <c r="H587" i="5"/>
  <c r="F588" i="5"/>
  <c r="I587" i="5" s="1"/>
  <c r="L586" i="5"/>
  <c r="J587" i="5" l="1"/>
  <c r="K587" i="5" s="1"/>
  <c r="M588" i="5"/>
  <c r="G588" i="5"/>
  <c r="H588" i="5"/>
  <c r="F589" i="5"/>
  <c r="L587" i="5"/>
  <c r="F590" i="5" l="1"/>
  <c r="H589" i="5"/>
  <c r="G589" i="5"/>
  <c r="I589" i="5"/>
  <c r="I588" i="5"/>
  <c r="J589" i="5" l="1"/>
  <c r="J588" i="5"/>
  <c r="K588" i="5" s="1"/>
  <c r="M589" i="5"/>
  <c r="M590" i="5" s="1"/>
  <c r="G590" i="5"/>
  <c r="F591" i="5"/>
  <c r="H590" i="5"/>
  <c r="I590" i="5"/>
  <c r="J590" i="5" l="1"/>
  <c r="K590" i="5" s="1"/>
  <c r="M591" i="5"/>
  <c r="L588" i="5"/>
  <c r="G591" i="5"/>
  <c r="H591" i="5"/>
  <c r="F592" i="5"/>
  <c r="K589" i="5"/>
  <c r="L590" i="5" s="1"/>
  <c r="G592" i="5" l="1"/>
  <c r="H592" i="5"/>
  <c r="F593" i="5"/>
  <c r="L589" i="5"/>
  <c r="I591" i="5"/>
  <c r="I5" i="12"/>
  <c r="J591" i="5" l="1"/>
  <c r="K591" i="5" s="1"/>
  <c r="M592" i="5"/>
  <c r="H593" i="5"/>
  <c r="G593" i="5"/>
  <c r="F594" i="5"/>
  <c r="I593" i="5" s="1"/>
  <c r="I592" i="5"/>
  <c r="J593" i="5" l="1"/>
  <c r="J592" i="5"/>
  <c r="K592" i="5" s="1"/>
  <c r="M593" i="5"/>
  <c r="M594" i="5" s="1"/>
  <c r="G594" i="5"/>
  <c r="H594" i="5"/>
  <c r="F595" i="5"/>
  <c r="L591" i="5"/>
  <c r="G595" i="5" l="1"/>
  <c r="H595" i="5"/>
  <c r="F596" i="5"/>
  <c r="I594" i="5"/>
  <c r="L592" i="5"/>
  <c r="K593" i="5"/>
  <c r="L593" i="5" s="1"/>
  <c r="J594" i="5" l="1"/>
  <c r="K594" i="5" s="1"/>
  <c r="M595" i="5"/>
  <c r="G596" i="5"/>
  <c r="H596" i="5"/>
  <c r="F597" i="5"/>
  <c r="I595" i="5"/>
  <c r="F598" i="5" l="1"/>
  <c r="G597" i="5"/>
  <c r="H597" i="5"/>
  <c r="I597" i="5"/>
  <c r="J595" i="5"/>
  <c r="K595" i="5" s="1"/>
  <c r="M596" i="5"/>
  <c r="I596" i="5"/>
  <c r="L594" i="5"/>
  <c r="J596" i="5" l="1"/>
  <c r="K596" i="5" s="1"/>
  <c r="M597" i="5"/>
  <c r="L596" i="5"/>
  <c r="J597" i="5"/>
  <c r="K597" i="5" s="1"/>
  <c r="M598" i="5"/>
  <c r="L595" i="5"/>
  <c r="F599" i="5"/>
  <c r="I598" i="5" s="1"/>
  <c r="H598" i="5"/>
  <c r="G598" i="5"/>
  <c r="M599" i="5" l="1"/>
  <c r="J598" i="5"/>
  <c r="K598" i="5" s="1"/>
  <c r="H599" i="5"/>
  <c r="G599" i="5"/>
  <c r="F600" i="5"/>
  <c r="L597" i="5"/>
  <c r="G600" i="5" l="1"/>
  <c r="H600" i="5"/>
  <c r="F601" i="5"/>
  <c r="I599" i="5"/>
  <c r="L598" i="5"/>
  <c r="H601" i="5" l="1"/>
  <c r="G601" i="5"/>
  <c r="F602" i="5"/>
  <c r="I601" i="5" s="1"/>
  <c r="J599" i="5"/>
  <c r="K599" i="5" s="1"/>
  <c r="M600" i="5"/>
  <c r="I600" i="5"/>
  <c r="J601" i="5" l="1"/>
  <c r="L599" i="5"/>
  <c r="J600" i="5"/>
  <c r="K600" i="5" s="1"/>
  <c r="L600" i="5" s="1"/>
  <c r="M601" i="5"/>
  <c r="M602" i="5" s="1"/>
  <c r="G602" i="5"/>
  <c r="H602" i="5"/>
  <c r="F603" i="5"/>
  <c r="H603" i="5" l="1"/>
  <c r="G603" i="5"/>
  <c r="F604" i="5"/>
  <c r="I602" i="5"/>
  <c r="K601" i="5"/>
  <c r="H604" i="5" l="1"/>
  <c r="G604" i="5"/>
  <c r="F605" i="5"/>
  <c r="J602" i="5"/>
  <c r="K602" i="5" s="1"/>
  <c r="M603" i="5"/>
  <c r="L601" i="5"/>
  <c r="I603" i="5"/>
  <c r="F606" i="5" l="1"/>
  <c r="G605" i="5"/>
  <c r="H605" i="5"/>
  <c r="I605" i="5" s="1"/>
  <c r="I604" i="5"/>
  <c r="L602" i="5"/>
  <c r="J603" i="5"/>
  <c r="K603" i="5" s="1"/>
  <c r="M604" i="5"/>
  <c r="J605" i="5" l="1"/>
  <c r="K605" i="5" s="1"/>
  <c r="M606" i="5"/>
  <c r="L603" i="5"/>
  <c r="J604" i="5"/>
  <c r="K604" i="5" s="1"/>
  <c r="L605" i="5" s="1"/>
  <c r="M605" i="5"/>
  <c r="G606" i="5"/>
  <c r="H606" i="5"/>
  <c r="F607" i="5"/>
  <c r="L604" i="5" l="1"/>
  <c r="G607" i="5"/>
  <c r="H607" i="5"/>
  <c r="F608" i="5"/>
  <c r="I606" i="5"/>
  <c r="G608" i="5" l="1"/>
  <c r="H608" i="5"/>
  <c r="F609" i="5"/>
  <c r="I607" i="5"/>
  <c r="M607" i="5"/>
  <c r="J606" i="5"/>
  <c r="K606" i="5" s="1"/>
  <c r="M608" i="5" l="1"/>
  <c r="J607" i="5"/>
  <c r="K607" i="5" s="1"/>
  <c r="L607" i="5"/>
  <c r="L606" i="5"/>
  <c r="G609" i="5"/>
  <c r="H609" i="5"/>
  <c r="F610" i="5"/>
  <c r="I609" i="5" s="1"/>
  <c r="I608" i="5"/>
  <c r="J609" i="5" l="1"/>
  <c r="K609" i="5" s="1"/>
  <c r="M610" i="5"/>
  <c r="G610" i="5"/>
  <c r="H610" i="5"/>
  <c r="F611" i="5"/>
  <c r="J608" i="5"/>
  <c r="K608" i="5" s="1"/>
  <c r="L609" i="5" s="1"/>
  <c r="M609" i="5"/>
  <c r="G611" i="5" l="1"/>
  <c r="H611" i="5"/>
  <c r="F612" i="5"/>
  <c r="I610" i="5"/>
  <c r="L608" i="5"/>
  <c r="J610" i="5" l="1"/>
  <c r="K610" i="5" s="1"/>
  <c r="M611" i="5"/>
  <c r="G612" i="5"/>
  <c r="H612" i="5"/>
  <c r="F613" i="5"/>
  <c r="I611" i="5"/>
  <c r="J611" i="5" l="1"/>
  <c r="K611" i="5" s="1"/>
  <c r="M612" i="5"/>
  <c r="F614" i="5"/>
  <c r="H613" i="5"/>
  <c r="G613" i="5"/>
  <c r="I613" i="5"/>
  <c r="I612" i="5"/>
  <c r="L611" i="5"/>
  <c r="L610" i="5"/>
  <c r="H614" i="5" l="1"/>
  <c r="G614" i="5"/>
  <c r="F615" i="5"/>
  <c r="J613" i="5"/>
  <c r="J612" i="5"/>
  <c r="K612" i="5" s="1"/>
  <c r="M613" i="5"/>
  <c r="M614" i="5" s="1"/>
  <c r="G615" i="5" l="1"/>
  <c r="H615" i="5"/>
  <c r="F616" i="5"/>
  <c r="I615" i="5" s="1"/>
  <c r="I614" i="5"/>
  <c r="K613" i="5"/>
  <c r="L612" i="5"/>
  <c r="J615" i="5" l="1"/>
  <c r="J614" i="5"/>
  <c r="K614" i="5" s="1"/>
  <c r="M615" i="5"/>
  <c r="M616" i="5" s="1"/>
  <c r="G616" i="5"/>
  <c r="H616" i="5"/>
  <c r="F617" i="5"/>
  <c r="L613" i="5"/>
  <c r="H617" i="5" l="1"/>
  <c r="G617" i="5"/>
  <c r="F618" i="5"/>
  <c r="I617" i="5" s="1"/>
  <c r="I616" i="5"/>
  <c r="L614" i="5"/>
  <c r="K615" i="5"/>
  <c r="J617" i="5" l="1"/>
  <c r="M617" i="5"/>
  <c r="M618" i="5" s="1"/>
  <c r="J616" i="5"/>
  <c r="K616" i="5" s="1"/>
  <c r="L616" i="5" s="1"/>
  <c r="G618" i="5"/>
  <c r="H618" i="5"/>
  <c r="I618" i="5"/>
  <c r="F619" i="5"/>
  <c r="L615" i="5"/>
  <c r="J618" i="5" l="1"/>
  <c r="M619" i="5"/>
  <c r="G619" i="5"/>
  <c r="H619" i="5"/>
  <c r="F620" i="5"/>
  <c r="K617" i="5"/>
  <c r="G620" i="5" l="1"/>
  <c r="H620" i="5"/>
  <c r="F621" i="5"/>
  <c r="K618" i="5"/>
  <c r="L618" i="5" s="1"/>
  <c r="I619" i="5"/>
  <c r="L617" i="5"/>
  <c r="F622" i="5" l="1"/>
  <c r="H621" i="5"/>
  <c r="I621" i="5"/>
  <c r="G621" i="5"/>
  <c r="M620" i="5"/>
  <c r="J619" i="5"/>
  <c r="K619" i="5" s="1"/>
  <c r="I620" i="5"/>
  <c r="J620" i="5" l="1"/>
  <c r="K620" i="5" s="1"/>
  <c r="M621" i="5"/>
  <c r="L620" i="5"/>
  <c r="L619" i="5"/>
  <c r="J621" i="5"/>
  <c r="K621" i="5" s="1"/>
  <c r="M622" i="5"/>
  <c r="F623" i="5"/>
  <c r="H622" i="5"/>
  <c r="G622" i="5"/>
  <c r="G623" i="5" l="1"/>
  <c r="H623" i="5"/>
  <c r="F624" i="5"/>
  <c r="I622" i="5"/>
  <c r="L621" i="5"/>
  <c r="J622" i="5" l="1"/>
  <c r="K622" i="5" s="1"/>
  <c r="M623" i="5"/>
  <c r="G624" i="5"/>
  <c r="H624" i="5"/>
  <c r="F625" i="5"/>
  <c r="I623" i="5"/>
  <c r="J623" i="5" l="1"/>
  <c r="K623" i="5" s="1"/>
  <c r="M624" i="5"/>
  <c r="H625" i="5"/>
  <c r="G625" i="5"/>
  <c r="F626" i="5"/>
  <c r="I624" i="5"/>
  <c r="L623" i="5"/>
  <c r="L622" i="5"/>
  <c r="G626" i="5" l="1"/>
  <c r="H626" i="5"/>
  <c r="F627" i="5"/>
  <c r="J624" i="5"/>
  <c r="K624" i="5" s="1"/>
  <c r="M625" i="5"/>
  <c r="I625" i="5"/>
  <c r="L624" i="5" l="1"/>
  <c r="J625" i="5"/>
  <c r="K625" i="5" s="1"/>
  <c r="M626" i="5"/>
  <c r="G627" i="5"/>
  <c r="H627" i="5"/>
  <c r="F628" i="5"/>
  <c r="I626" i="5"/>
  <c r="G628" i="5" l="1"/>
  <c r="H628" i="5"/>
  <c r="F629" i="5"/>
  <c r="I627" i="5"/>
  <c r="J626" i="5"/>
  <c r="K626" i="5" s="1"/>
  <c r="M627" i="5"/>
  <c r="L625" i="5"/>
  <c r="J627" i="5" l="1"/>
  <c r="K627" i="5" s="1"/>
  <c r="M628" i="5"/>
  <c r="F630" i="5"/>
  <c r="G629" i="5"/>
  <c r="H629" i="5"/>
  <c r="I629" i="5" s="1"/>
  <c r="I628" i="5"/>
  <c r="L626" i="5"/>
  <c r="J629" i="5" l="1"/>
  <c r="K629" i="5" s="1"/>
  <c r="M630" i="5"/>
  <c r="J628" i="5"/>
  <c r="K628" i="5" s="1"/>
  <c r="L629" i="5" s="1"/>
  <c r="M629" i="5"/>
  <c r="L628" i="5"/>
  <c r="F631" i="5"/>
  <c r="G630" i="5"/>
  <c r="H630" i="5"/>
  <c r="L627" i="5"/>
  <c r="H631" i="5" l="1"/>
  <c r="G631" i="5"/>
  <c r="F632" i="5"/>
  <c r="I630" i="5"/>
  <c r="G632" i="5" l="1"/>
  <c r="H632" i="5"/>
  <c r="F633" i="5"/>
  <c r="J630" i="5"/>
  <c r="K630" i="5" s="1"/>
  <c r="M631" i="5"/>
  <c r="I631" i="5"/>
  <c r="L630" i="5" l="1"/>
  <c r="H633" i="5"/>
  <c r="G633" i="5"/>
  <c r="F634" i="5"/>
  <c r="I632" i="5"/>
  <c r="J631" i="5"/>
  <c r="K631" i="5" s="1"/>
  <c r="M632" i="5"/>
  <c r="G634" i="5" l="1"/>
  <c r="H634" i="5"/>
  <c r="F635" i="5"/>
  <c r="I633" i="5"/>
  <c r="J632" i="5"/>
  <c r="K632" i="5" s="1"/>
  <c r="M633" i="5"/>
  <c r="L631" i="5"/>
  <c r="H635" i="5" l="1"/>
  <c r="G635" i="5"/>
  <c r="F636" i="5"/>
  <c r="J633" i="5"/>
  <c r="K633" i="5" s="1"/>
  <c r="M634" i="5"/>
  <c r="I634" i="5"/>
  <c r="L632" i="5"/>
  <c r="G636" i="5" l="1"/>
  <c r="H636" i="5"/>
  <c r="F637" i="5"/>
  <c r="I636" i="5" s="1"/>
  <c r="I635" i="5"/>
  <c r="J634" i="5"/>
  <c r="K634" i="5" s="1"/>
  <c r="L634" i="5" s="1"/>
  <c r="M635" i="5"/>
  <c r="L633" i="5"/>
  <c r="J636" i="5" l="1"/>
  <c r="M636" i="5"/>
  <c r="M637" i="5" s="1"/>
  <c r="J635" i="5"/>
  <c r="K635" i="5" s="1"/>
  <c r="L635" i="5"/>
  <c r="F638" i="5"/>
  <c r="I637" i="5" s="1"/>
  <c r="G637" i="5"/>
  <c r="H637" i="5"/>
  <c r="J637" i="5" l="1"/>
  <c r="M638" i="5"/>
  <c r="F639" i="5"/>
  <c r="G638" i="5"/>
  <c r="H638" i="5"/>
  <c r="K636" i="5"/>
  <c r="L636" i="5" s="1"/>
  <c r="G639" i="5" l="1"/>
  <c r="H639" i="5"/>
  <c r="F640" i="5"/>
  <c r="I638" i="5"/>
  <c r="K637" i="5"/>
  <c r="L637" i="5" s="1"/>
  <c r="J638" i="5" l="1"/>
  <c r="K638" i="5" s="1"/>
  <c r="M639" i="5"/>
  <c r="H640" i="5"/>
  <c r="G640" i="5"/>
  <c r="F641" i="5"/>
  <c r="I639" i="5"/>
  <c r="J639" i="5" l="1"/>
  <c r="K639" i="5" s="1"/>
  <c r="M640" i="5"/>
  <c r="L639" i="5"/>
  <c r="H641" i="5"/>
  <c r="G641" i="5"/>
  <c r="F642" i="5"/>
  <c r="I640" i="5"/>
  <c r="L638" i="5"/>
  <c r="J640" i="5" l="1"/>
  <c r="K640" i="5" s="1"/>
  <c r="M641" i="5"/>
  <c r="G642" i="5"/>
  <c r="H642" i="5"/>
  <c r="F643" i="5"/>
  <c r="I641" i="5"/>
  <c r="L640" i="5"/>
  <c r="J641" i="5" l="1"/>
  <c r="K641" i="5" s="1"/>
  <c r="M642" i="5"/>
  <c r="H643" i="5"/>
  <c r="G643" i="5"/>
  <c r="F644" i="5"/>
  <c r="I642" i="5"/>
  <c r="L641" i="5"/>
  <c r="H644" i="5" l="1"/>
  <c r="G644" i="5"/>
  <c r="F645" i="5"/>
  <c r="I644" i="5" s="1"/>
  <c r="I643" i="5"/>
  <c r="J642" i="5"/>
  <c r="K642" i="5" s="1"/>
  <c r="M643" i="5"/>
  <c r="L642" i="5"/>
  <c r="J644" i="5" l="1"/>
  <c r="M644" i="5"/>
  <c r="M645" i="5" s="1"/>
  <c r="J643" i="5"/>
  <c r="K643" i="5" s="1"/>
  <c r="L643" i="5" s="1"/>
  <c r="F646" i="5"/>
  <c r="G645" i="5"/>
  <c r="I645" i="5"/>
  <c r="H645" i="5"/>
  <c r="G646" i="5" l="1"/>
  <c r="H646" i="5"/>
  <c r="F647" i="5"/>
  <c r="J645" i="5"/>
  <c r="M646" i="5"/>
  <c r="K644" i="5"/>
  <c r="K645" i="5" l="1"/>
  <c r="L645" i="5"/>
  <c r="L644" i="5"/>
  <c r="G647" i="5"/>
  <c r="H647" i="5"/>
  <c r="F648" i="5"/>
  <c r="I647" i="5" s="1"/>
  <c r="I646" i="5"/>
  <c r="J647" i="5" l="1"/>
  <c r="J646" i="5"/>
  <c r="K646" i="5" s="1"/>
  <c r="M647" i="5"/>
  <c r="M648" i="5" s="1"/>
  <c r="G648" i="5"/>
  <c r="H648" i="5"/>
  <c r="F649" i="5"/>
  <c r="I648" i="5" s="1"/>
  <c r="J648" i="5" l="1"/>
  <c r="K648" i="5" s="1"/>
  <c r="M649" i="5"/>
  <c r="H649" i="5"/>
  <c r="G649" i="5"/>
  <c r="F650" i="5"/>
  <c r="L646" i="5"/>
  <c r="K647" i="5"/>
  <c r="L648" i="5" s="1"/>
  <c r="H650" i="5" l="1"/>
  <c r="G650" i="5"/>
  <c r="F651" i="5"/>
  <c r="I650" i="5" s="1"/>
  <c r="L647" i="5"/>
  <c r="I649" i="5"/>
  <c r="J650" i="5" l="1"/>
  <c r="J649" i="5"/>
  <c r="K649" i="5" s="1"/>
  <c r="M650" i="5"/>
  <c r="M651" i="5" s="1"/>
  <c r="G651" i="5"/>
  <c r="H651" i="5"/>
  <c r="F652" i="5"/>
  <c r="L649" i="5" l="1"/>
  <c r="G652" i="5"/>
  <c r="H652" i="5"/>
  <c r="F653" i="5"/>
  <c r="I652" i="5" s="1"/>
  <c r="I651" i="5"/>
  <c r="K650" i="5"/>
  <c r="J652" i="5" l="1"/>
  <c r="J651" i="5"/>
  <c r="K651" i="5" s="1"/>
  <c r="L651" i="5" s="1"/>
  <c r="M652" i="5"/>
  <c r="M653" i="5" s="1"/>
  <c r="F654" i="5"/>
  <c r="G653" i="5"/>
  <c r="H653" i="5"/>
  <c r="L650" i="5"/>
  <c r="F655" i="5" l="1"/>
  <c r="G654" i="5"/>
  <c r="H654" i="5"/>
  <c r="I654" i="5"/>
  <c r="I653" i="5"/>
  <c r="K652" i="5"/>
  <c r="M654" i="5" l="1"/>
  <c r="J653" i="5"/>
  <c r="K653" i="5" s="1"/>
  <c r="L652" i="5"/>
  <c r="J654" i="5"/>
  <c r="M655" i="5"/>
  <c r="G655" i="5"/>
  <c r="H655" i="5"/>
  <c r="F656" i="5"/>
  <c r="K654" i="5" l="1"/>
  <c r="G656" i="5"/>
  <c r="H656" i="5"/>
  <c r="F657" i="5"/>
  <c r="I655" i="5"/>
  <c r="L653" i="5"/>
  <c r="H657" i="5" l="1"/>
  <c r="G657" i="5"/>
  <c r="F658" i="5"/>
  <c r="I656" i="5"/>
  <c r="M656" i="5"/>
  <c r="J655" i="5"/>
  <c r="K655" i="5" s="1"/>
  <c r="L655" i="5"/>
  <c r="L654" i="5"/>
  <c r="G658" i="5" l="1"/>
  <c r="H658" i="5"/>
  <c r="F659" i="5"/>
  <c r="I657" i="5"/>
  <c r="J656" i="5"/>
  <c r="K656" i="5" s="1"/>
  <c r="M657" i="5"/>
  <c r="L656" i="5"/>
  <c r="H659" i="5" l="1"/>
  <c r="G659" i="5"/>
  <c r="F660" i="5"/>
  <c r="J657" i="5"/>
  <c r="K657" i="5" s="1"/>
  <c r="M658" i="5"/>
  <c r="I658" i="5"/>
  <c r="L657" i="5"/>
  <c r="J658" i="5" l="1"/>
  <c r="K658" i="5" s="1"/>
  <c r="M659" i="5"/>
  <c r="G660" i="5"/>
  <c r="H660" i="5"/>
  <c r="F661" i="5"/>
  <c r="L658" i="5"/>
  <c r="I659" i="5"/>
  <c r="J659" i="5" l="1"/>
  <c r="K659" i="5" s="1"/>
  <c r="M660" i="5"/>
  <c r="F662" i="5"/>
  <c r="G661" i="5"/>
  <c r="H661" i="5"/>
  <c r="I661" i="5"/>
  <c r="I660" i="5"/>
  <c r="L659" i="5"/>
  <c r="J660" i="5" l="1"/>
  <c r="K660" i="5" s="1"/>
  <c r="M661" i="5"/>
  <c r="F663" i="5"/>
  <c r="H662" i="5"/>
  <c r="G662" i="5"/>
  <c r="I662" i="5"/>
  <c r="J661" i="5"/>
  <c r="K661" i="5" s="1"/>
  <c r="M662" i="5"/>
  <c r="L660" i="5"/>
  <c r="J662" i="5" l="1"/>
  <c r="K662" i="5" s="1"/>
  <c r="M663" i="5"/>
  <c r="H663" i="5"/>
  <c r="G663" i="5"/>
  <c r="F664" i="5"/>
  <c r="L662" i="5"/>
  <c r="L661" i="5"/>
  <c r="G664" i="5" l="1"/>
  <c r="H664" i="5"/>
  <c r="F665" i="5"/>
  <c r="I663" i="5"/>
  <c r="H665" i="5" l="1"/>
  <c r="G665" i="5"/>
  <c r="F666" i="5"/>
  <c r="I665" i="5" s="1"/>
  <c r="J663" i="5"/>
  <c r="K663" i="5" s="1"/>
  <c r="M664" i="5"/>
  <c r="I664" i="5"/>
  <c r="J665" i="5" l="1"/>
  <c r="L663" i="5"/>
  <c r="J664" i="5"/>
  <c r="K664" i="5" s="1"/>
  <c r="M665" i="5"/>
  <c r="M666" i="5" s="1"/>
  <c r="G666" i="5"/>
  <c r="H666" i="5"/>
  <c r="F667" i="5"/>
  <c r="L664" i="5" l="1"/>
  <c r="H667" i="5"/>
  <c r="G667" i="5"/>
  <c r="F668" i="5"/>
  <c r="I666" i="5"/>
  <c r="K665" i="5"/>
  <c r="G668" i="5" l="1"/>
  <c r="H668" i="5"/>
  <c r="F669" i="5"/>
  <c r="I668" i="5" s="1"/>
  <c r="J666" i="5"/>
  <c r="K666" i="5" s="1"/>
  <c r="L666" i="5" s="1"/>
  <c r="M667" i="5"/>
  <c r="I667" i="5"/>
  <c r="L665" i="5"/>
  <c r="J668" i="5" l="1"/>
  <c r="J667" i="5"/>
  <c r="K667" i="5" s="1"/>
  <c r="M668" i="5"/>
  <c r="M669" i="5" s="1"/>
  <c r="F670" i="5"/>
  <c r="G669" i="5"/>
  <c r="I669" i="5"/>
  <c r="H669" i="5"/>
  <c r="F671" i="5" l="1"/>
  <c r="G670" i="5"/>
  <c r="H670" i="5"/>
  <c r="I670" i="5"/>
  <c r="J669" i="5"/>
  <c r="K669" i="5" s="1"/>
  <c r="M670" i="5"/>
  <c r="L667" i="5"/>
  <c r="K668" i="5"/>
  <c r="J670" i="5" l="1"/>
  <c r="K670" i="5" s="1"/>
  <c r="M671" i="5"/>
  <c r="H671" i="5"/>
  <c r="G671" i="5"/>
  <c r="F672" i="5"/>
  <c r="L669" i="5"/>
  <c r="L668" i="5"/>
  <c r="G672" i="5" l="1"/>
  <c r="H672" i="5"/>
  <c r="F673" i="5"/>
  <c r="I671" i="5"/>
  <c r="L670" i="5"/>
  <c r="G673" i="5" l="1"/>
  <c r="H673" i="5"/>
  <c r="F674" i="5"/>
  <c r="I672" i="5"/>
  <c r="M672" i="5"/>
  <c r="J671" i="5"/>
  <c r="K671" i="5" s="1"/>
  <c r="J672" i="5" l="1"/>
  <c r="K672" i="5" s="1"/>
  <c r="M673" i="5"/>
  <c r="L672" i="5"/>
  <c r="L671" i="5"/>
  <c r="G674" i="5"/>
  <c r="H674" i="5"/>
  <c r="F675" i="5"/>
  <c r="I673" i="5"/>
  <c r="G675" i="5" l="1"/>
  <c r="H675" i="5"/>
  <c r="F676" i="5"/>
  <c r="I674" i="5"/>
  <c r="J673" i="5"/>
  <c r="K673" i="5" s="1"/>
  <c r="M674" i="5"/>
  <c r="L673" i="5"/>
  <c r="G676" i="5" l="1"/>
  <c r="H676" i="5"/>
  <c r="F677" i="5"/>
  <c r="J674" i="5"/>
  <c r="K674" i="5" s="1"/>
  <c r="M675" i="5"/>
  <c r="I675" i="5"/>
  <c r="L674" i="5"/>
  <c r="J675" i="5" l="1"/>
  <c r="K675" i="5" s="1"/>
  <c r="M676" i="5"/>
  <c r="F678" i="5"/>
  <c r="G677" i="5"/>
  <c r="H677" i="5"/>
  <c r="I676" i="5"/>
  <c r="J676" i="5" l="1"/>
  <c r="K676" i="5" s="1"/>
  <c r="M677" i="5"/>
  <c r="F679" i="5"/>
  <c r="G678" i="5"/>
  <c r="H678" i="5"/>
  <c r="L676" i="5"/>
  <c r="I677" i="5"/>
  <c r="L675" i="5"/>
  <c r="G679" i="5" l="1"/>
  <c r="H679" i="5"/>
  <c r="F680" i="5"/>
  <c r="I678" i="5"/>
  <c r="J677" i="5"/>
  <c r="K677" i="5" s="1"/>
  <c r="L677" i="5" s="1"/>
  <c r="M678" i="5"/>
  <c r="J678" i="5" l="1"/>
  <c r="K678" i="5" s="1"/>
  <c r="M679" i="5"/>
  <c r="L678" i="5"/>
  <c r="H680" i="5"/>
  <c r="G680" i="5"/>
  <c r="F681" i="5"/>
  <c r="I679" i="5"/>
  <c r="H681" i="5" l="1"/>
  <c r="G681" i="5"/>
  <c r="F682" i="5"/>
  <c r="M680" i="5"/>
  <c r="J679" i="5"/>
  <c r="K679" i="5" s="1"/>
  <c r="I680" i="5"/>
  <c r="L679" i="5"/>
  <c r="G682" i="5" l="1"/>
  <c r="H682" i="5"/>
  <c r="F683" i="5"/>
  <c r="M681" i="5"/>
  <c r="J680" i="5"/>
  <c r="K680" i="5" s="1"/>
  <c r="I681" i="5"/>
  <c r="G683" i="5" l="1"/>
  <c r="H683" i="5"/>
  <c r="F684" i="5"/>
  <c r="I682" i="5"/>
  <c r="J681" i="5"/>
  <c r="K681" i="5" s="1"/>
  <c r="M682" i="5"/>
  <c r="L681" i="5"/>
  <c r="L680" i="5"/>
  <c r="G684" i="5" l="1"/>
  <c r="H684" i="5"/>
  <c r="F685" i="5"/>
  <c r="I683" i="5"/>
  <c r="J682" i="5"/>
  <c r="K682" i="5" s="1"/>
  <c r="M683" i="5"/>
  <c r="J683" i="5" l="1"/>
  <c r="K683" i="5" s="1"/>
  <c r="M684" i="5"/>
  <c r="F686" i="5"/>
  <c r="G685" i="5"/>
  <c r="H685" i="5"/>
  <c r="I684" i="5"/>
  <c r="L682" i="5"/>
  <c r="F687" i="5" l="1"/>
  <c r="H686" i="5"/>
  <c r="G686" i="5"/>
  <c r="I686" i="5"/>
  <c r="J684" i="5"/>
  <c r="K684" i="5" s="1"/>
  <c r="M685" i="5"/>
  <c r="I685" i="5"/>
  <c r="L683" i="5"/>
  <c r="L684" i="5" l="1"/>
  <c r="J685" i="5"/>
  <c r="K685" i="5" s="1"/>
  <c r="M686" i="5"/>
  <c r="J686" i="5"/>
  <c r="K686" i="5" s="1"/>
  <c r="M687" i="5"/>
  <c r="H687" i="5"/>
  <c r="I687" i="5" s="1"/>
  <c r="G687" i="5"/>
  <c r="F688" i="5"/>
  <c r="J687" i="5" l="1"/>
  <c r="K687" i="5" s="1"/>
  <c r="M688" i="5"/>
  <c r="L686" i="5"/>
  <c r="G688" i="5"/>
  <c r="H688" i="5"/>
  <c r="F689" i="5"/>
  <c r="I688" i="5" s="1"/>
  <c r="L687" i="5"/>
  <c r="L685" i="5"/>
  <c r="J688" i="5" l="1"/>
  <c r="K688" i="5" s="1"/>
  <c r="M689" i="5"/>
  <c r="G689" i="5"/>
  <c r="H689" i="5"/>
  <c r="F690" i="5"/>
  <c r="I689" i="5" s="1"/>
  <c r="L688" i="5"/>
  <c r="M690" i="5" l="1"/>
  <c r="J689" i="5"/>
  <c r="K689" i="5" s="1"/>
  <c r="G690" i="5"/>
  <c r="H690" i="5"/>
  <c r="F691" i="5"/>
  <c r="L689" i="5"/>
  <c r="G691" i="5" l="1"/>
  <c r="H691" i="5"/>
  <c r="F692" i="5"/>
  <c r="I690" i="5"/>
  <c r="G692" i="5" l="1"/>
  <c r="H692" i="5"/>
  <c r="F693" i="5"/>
  <c r="I691" i="5"/>
  <c r="J690" i="5"/>
  <c r="K690" i="5" s="1"/>
  <c r="M691" i="5"/>
  <c r="F694" i="5" l="1"/>
  <c r="G693" i="5"/>
  <c r="I693" i="5"/>
  <c r="H693" i="5"/>
  <c r="I692" i="5"/>
  <c r="L690" i="5"/>
  <c r="J691" i="5"/>
  <c r="K691" i="5" s="1"/>
  <c r="M692" i="5"/>
  <c r="L691" i="5" l="1"/>
  <c r="M693" i="5"/>
  <c r="J692" i="5"/>
  <c r="K692" i="5" s="1"/>
  <c r="J693" i="5"/>
  <c r="K693" i="5" s="1"/>
  <c r="M694" i="5"/>
  <c r="F695" i="5"/>
  <c r="G694" i="5"/>
  <c r="H694" i="5"/>
  <c r="H695" i="5" l="1"/>
  <c r="G695" i="5"/>
  <c r="F696" i="5"/>
  <c r="I695" i="5" s="1"/>
  <c r="I694" i="5"/>
  <c r="L693" i="5"/>
  <c r="L692" i="5"/>
  <c r="J695" i="5" l="1"/>
  <c r="J694" i="5"/>
  <c r="K694" i="5" s="1"/>
  <c r="M695" i="5"/>
  <c r="M696" i="5" s="1"/>
  <c r="H696" i="5"/>
  <c r="G696" i="5"/>
  <c r="F697" i="5"/>
  <c r="K695" i="5" l="1"/>
  <c r="G697" i="5"/>
  <c r="H697" i="5"/>
  <c r="F698" i="5"/>
  <c r="I696" i="5"/>
  <c r="L695" i="5"/>
  <c r="L694" i="5"/>
  <c r="H698" i="5" l="1"/>
  <c r="G698" i="5"/>
  <c r="F699" i="5"/>
  <c r="J696" i="5"/>
  <c r="K696" i="5" s="1"/>
  <c r="M697" i="5"/>
  <c r="I697" i="5"/>
  <c r="L696" i="5"/>
  <c r="J697" i="5" l="1"/>
  <c r="K697" i="5" s="1"/>
  <c r="M698" i="5"/>
  <c r="H699" i="5"/>
  <c r="G699" i="5"/>
  <c r="F700" i="5"/>
  <c r="L697" i="5"/>
  <c r="I698" i="5"/>
  <c r="J698" i="5" l="1"/>
  <c r="K698" i="5" s="1"/>
  <c r="M699" i="5"/>
  <c r="G700" i="5"/>
  <c r="H700" i="5"/>
  <c r="F701" i="5"/>
  <c r="I699" i="5"/>
  <c r="L698" i="5"/>
  <c r="F702" i="5" l="1"/>
  <c r="G701" i="5"/>
  <c r="H701" i="5"/>
  <c r="I701" i="5"/>
  <c r="J699" i="5"/>
  <c r="K699" i="5" s="1"/>
  <c r="M700" i="5"/>
  <c r="I700" i="5"/>
  <c r="L699" i="5"/>
  <c r="J701" i="5" l="1"/>
  <c r="J700" i="5"/>
  <c r="K700" i="5" s="1"/>
  <c r="M701" i="5"/>
  <c r="M702" i="5" s="1"/>
  <c r="F703" i="5"/>
  <c r="G702" i="5"/>
  <c r="H702" i="5"/>
  <c r="G703" i="5" l="1"/>
  <c r="H703" i="5"/>
  <c r="F704" i="5"/>
  <c r="I702" i="5"/>
  <c r="L701" i="5"/>
  <c r="K701" i="5"/>
  <c r="L700" i="5"/>
  <c r="J702" i="5" l="1"/>
  <c r="K702" i="5" s="1"/>
  <c r="M703" i="5"/>
  <c r="H704" i="5"/>
  <c r="G704" i="5"/>
  <c r="F705" i="5"/>
  <c r="I704" i="5" s="1"/>
  <c r="I703" i="5"/>
  <c r="J704" i="5" l="1"/>
  <c r="J703" i="5"/>
  <c r="K703" i="5" s="1"/>
  <c r="M704" i="5"/>
  <c r="M705" i="5" s="1"/>
  <c r="I705" i="5"/>
  <c r="G705" i="5"/>
  <c r="H705" i="5"/>
  <c r="F706" i="5"/>
  <c r="L702" i="5"/>
  <c r="J705" i="5" l="1"/>
  <c r="K705" i="5" s="1"/>
  <c r="M706" i="5"/>
  <c r="L703" i="5"/>
  <c r="G706" i="5"/>
  <c r="H706" i="5"/>
  <c r="F707" i="5"/>
  <c r="I706" i="5" s="1"/>
  <c r="K704" i="5"/>
  <c r="J706" i="5" l="1"/>
  <c r="K706" i="5" s="1"/>
  <c r="M707" i="5"/>
  <c r="L706" i="5"/>
  <c r="L705" i="5"/>
  <c r="L704" i="5"/>
  <c r="I707" i="5"/>
  <c r="G707" i="5"/>
  <c r="H707" i="5"/>
  <c r="F708" i="5"/>
  <c r="J707" i="5" l="1"/>
  <c r="K707" i="5" s="1"/>
  <c r="L707" i="5" s="1"/>
  <c r="M708" i="5"/>
  <c r="G708" i="5"/>
  <c r="H708" i="5"/>
  <c r="F709" i="5"/>
  <c r="F710" i="5" l="1"/>
  <c r="G709" i="5"/>
  <c r="H709" i="5"/>
  <c r="I708" i="5"/>
  <c r="G710" i="5" l="1"/>
  <c r="F711" i="5"/>
  <c r="H710" i="5"/>
  <c r="I710" i="5"/>
  <c r="M709" i="5"/>
  <c r="J708" i="5"/>
  <c r="K708" i="5" s="1"/>
  <c r="I709" i="5"/>
  <c r="J709" i="5" l="1"/>
  <c r="K709" i="5" s="1"/>
  <c r="L709" i="5" s="1"/>
  <c r="M710" i="5"/>
  <c r="H5" i="12"/>
  <c r="L708" i="5"/>
  <c r="J710" i="5"/>
  <c r="M711" i="5"/>
  <c r="G711" i="5"/>
  <c r="H711" i="5"/>
  <c r="F712" i="5"/>
  <c r="K710" i="5" l="1"/>
  <c r="G712" i="5"/>
  <c r="H712" i="5"/>
  <c r="F713" i="5"/>
  <c r="I711" i="5"/>
  <c r="J711" i="5" l="1"/>
  <c r="K711" i="5" s="1"/>
  <c r="M712" i="5"/>
  <c r="L711" i="5"/>
  <c r="L710" i="5"/>
  <c r="G713" i="5"/>
  <c r="H713" i="5"/>
  <c r="F714" i="5"/>
  <c r="I713" i="5" s="1"/>
  <c r="I712" i="5"/>
  <c r="J713" i="5" l="1"/>
  <c r="K713" i="5" s="1"/>
  <c r="M714" i="5"/>
  <c r="G714" i="5"/>
  <c r="H714" i="5"/>
  <c r="F715" i="5"/>
  <c r="J712" i="5"/>
  <c r="K712" i="5" s="1"/>
  <c r="M713" i="5"/>
  <c r="L713" i="5" l="1"/>
  <c r="L712" i="5"/>
  <c r="G715" i="5"/>
  <c r="H715" i="5"/>
  <c r="F716" i="5"/>
  <c r="I714" i="5"/>
  <c r="J714" i="5" l="1"/>
  <c r="K714" i="5" s="1"/>
  <c r="M715" i="5"/>
  <c r="H716" i="5"/>
  <c r="G716" i="5"/>
  <c r="F717" i="5"/>
  <c r="I716" i="5" s="1"/>
  <c r="I715" i="5"/>
  <c r="J716" i="5" l="1"/>
  <c r="J715" i="5"/>
  <c r="K715" i="5" s="1"/>
  <c r="L715" i="5" s="1"/>
  <c r="M716" i="5"/>
  <c r="M717" i="5" s="1"/>
  <c r="L714" i="5"/>
  <c r="F718" i="5"/>
  <c r="G717" i="5"/>
  <c r="H717" i="5"/>
  <c r="F719" i="5" l="1"/>
  <c r="H718" i="5"/>
  <c r="G718" i="5"/>
  <c r="I717" i="5"/>
  <c r="K716" i="5"/>
  <c r="G719" i="5" l="1"/>
  <c r="H719" i="5"/>
  <c r="F720" i="5"/>
  <c r="M718" i="5"/>
  <c r="J717" i="5"/>
  <c r="K717" i="5" s="1"/>
  <c r="L716" i="5"/>
  <c r="I718" i="5"/>
  <c r="G720" i="5" l="1"/>
  <c r="H720" i="5"/>
  <c r="F721" i="5"/>
  <c r="I719" i="5"/>
  <c r="J718" i="5"/>
  <c r="K718" i="5" s="1"/>
  <c r="M719" i="5"/>
  <c r="L717" i="5"/>
  <c r="G721" i="5" l="1"/>
  <c r="H721" i="5"/>
  <c r="F722" i="5"/>
  <c r="I720" i="5"/>
  <c r="J719" i="5"/>
  <c r="K719" i="5" s="1"/>
  <c r="M720" i="5"/>
  <c r="L718" i="5"/>
  <c r="J720" i="5" l="1"/>
  <c r="K720" i="5" s="1"/>
  <c r="L720" i="5" s="1"/>
  <c r="M721" i="5"/>
  <c r="H722" i="5"/>
  <c r="G722" i="5"/>
  <c r="F723" i="5"/>
  <c r="I721" i="5"/>
  <c r="L719" i="5"/>
  <c r="J721" i="5" l="1"/>
  <c r="K721" i="5" s="1"/>
  <c r="M722" i="5"/>
  <c r="H723" i="5"/>
  <c r="G723" i="5"/>
  <c r="F724" i="5"/>
  <c r="I722" i="5"/>
  <c r="L721" i="5"/>
  <c r="G724" i="5" l="1"/>
  <c r="H724" i="5"/>
  <c r="F725" i="5"/>
  <c r="J722" i="5"/>
  <c r="K722" i="5" s="1"/>
  <c r="M723" i="5"/>
  <c r="I723" i="5"/>
  <c r="L722" i="5"/>
  <c r="J723" i="5" l="1"/>
  <c r="K723" i="5" s="1"/>
  <c r="M724" i="5"/>
  <c r="F726" i="5"/>
  <c r="G725" i="5"/>
  <c r="H725" i="5"/>
  <c r="I725" i="5"/>
  <c r="I724" i="5"/>
  <c r="F727" i="5" l="1"/>
  <c r="G726" i="5"/>
  <c r="H726" i="5"/>
  <c r="I726" i="5"/>
  <c r="J724" i="5"/>
  <c r="K724" i="5" s="1"/>
  <c r="M725" i="5"/>
  <c r="J725" i="5"/>
  <c r="K725" i="5" s="1"/>
  <c r="M726" i="5"/>
  <c r="L723" i="5"/>
  <c r="L725" i="5" l="1"/>
  <c r="L726" i="5"/>
  <c r="M727" i="5"/>
  <c r="J726" i="5"/>
  <c r="K726" i="5" s="1"/>
  <c r="L724" i="5"/>
  <c r="H727" i="5"/>
  <c r="G727" i="5"/>
  <c r="I727" i="5"/>
  <c r="F728" i="5"/>
  <c r="J727" i="5" l="1"/>
  <c r="K727" i="5" s="1"/>
  <c r="M728" i="5"/>
  <c r="G728" i="5"/>
  <c r="H728" i="5"/>
  <c r="F729" i="5"/>
  <c r="G729" i="5" l="1"/>
  <c r="H729" i="5"/>
  <c r="F730" i="5"/>
  <c r="I729" i="5" s="1"/>
  <c r="I728" i="5"/>
  <c r="L727" i="5"/>
  <c r="J729" i="5" l="1"/>
  <c r="K729" i="5" s="1"/>
  <c r="M730" i="5"/>
  <c r="M729" i="5"/>
  <c r="J728" i="5"/>
  <c r="K728" i="5" s="1"/>
  <c r="G730" i="5"/>
  <c r="H730" i="5"/>
  <c r="F731" i="5"/>
  <c r="I731" i="5" l="1"/>
  <c r="G731" i="5"/>
  <c r="H731" i="5"/>
  <c r="F732" i="5"/>
  <c r="I730" i="5"/>
  <c r="L729" i="5"/>
  <c r="L728" i="5"/>
  <c r="J731" i="5" l="1"/>
  <c r="K731" i="5" s="1"/>
  <c r="J730" i="5"/>
  <c r="K730" i="5" s="1"/>
  <c r="M731" i="5"/>
  <c r="M732" i="5" s="1"/>
  <c r="H732" i="5"/>
  <c r="G732" i="5"/>
  <c r="F733" i="5"/>
  <c r="F734" i="5" l="1"/>
  <c r="G733" i="5"/>
  <c r="I733" i="5"/>
  <c r="H733" i="5"/>
  <c r="L731" i="5"/>
  <c r="L730" i="5"/>
  <c r="I732" i="5"/>
  <c r="J732" i="5" l="1"/>
  <c r="K732" i="5" s="1"/>
  <c r="M733" i="5"/>
  <c r="J733" i="5"/>
  <c r="K733" i="5" s="1"/>
  <c r="M734" i="5"/>
  <c r="G734" i="5"/>
  <c r="H734" i="5"/>
  <c r="F735" i="5"/>
  <c r="H735" i="5" l="1"/>
  <c r="G735" i="5"/>
  <c r="F736" i="5"/>
  <c r="I734" i="5"/>
  <c r="L733" i="5"/>
  <c r="L732" i="5"/>
  <c r="J734" i="5" l="1"/>
  <c r="K734" i="5" s="1"/>
  <c r="M735" i="5"/>
  <c r="H736" i="5"/>
  <c r="G736" i="5"/>
  <c r="F737" i="5"/>
  <c r="I735" i="5"/>
  <c r="G737" i="5" l="1"/>
  <c r="H737" i="5"/>
  <c r="F738" i="5"/>
  <c r="I736" i="5"/>
  <c r="J735" i="5"/>
  <c r="K735" i="5" s="1"/>
  <c r="M736" i="5"/>
  <c r="L735" i="5"/>
  <c r="L734" i="5"/>
  <c r="G738" i="5" l="1"/>
  <c r="H738" i="5"/>
  <c r="F739" i="5"/>
  <c r="I737" i="5"/>
  <c r="J736" i="5"/>
  <c r="K736" i="5" s="1"/>
  <c r="M737" i="5"/>
  <c r="G739" i="5" l="1"/>
  <c r="H739" i="5"/>
  <c r="F740" i="5"/>
  <c r="L736" i="5"/>
  <c r="J737" i="5"/>
  <c r="K737" i="5" s="1"/>
  <c r="M738" i="5"/>
  <c r="I738" i="5"/>
  <c r="H740" i="5" l="1"/>
  <c r="G740" i="5"/>
  <c r="F741" i="5"/>
  <c r="I739" i="5"/>
  <c r="L737" i="5"/>
  <c r="J738" i="5"/>
  <c r="K738" i="5" s="1"/>
  <c r="M739" i="5"/>
  <c r="J739" i="5" l="1"/>
  <c r="K739" i="5" s="1"/>
  <c r="M740" i="5"/>
  <c r="F742" i="5"/>
  <c r="G741" i="5"/>
  <c r="I741" i="5"/>
  <c r="H741" i="5"/>
  <c r="I740" i="5"/>
  <c r="L738" i="5"/>
  <c r="J740" i="5" l="1"/>
  <c r="K740" i="5" s="1"/>
  <c r="M741" i="5"/>
  <c r="L740" i="5"/>
  <c r="J741" i="5"/>
  <c r="K741" i="5" s="1"/>
  <c r="M742" i="5"/>
  <c r="F743" i="5"/>
  <c r="G742" i="5"/>
  <c r="H742" i="5"/>
  <c r="L739" i="5"/>
  <c r="G743" i="5" l="1"/>
  <c r="H743" i="5"/>
  <c r="F744" i="5"/>
  <c r="I742" i="5"/>
  <c r="L741" i="5"/>
  <c r="J742" i="5" l="1"/>
  <c r="K742" i="5" s="1"/>
  <c r="M743" i="5"/>
  <c r="G744" i="5"/>
  <c r="H744" i="5"/>
  <c r="F745" i="5"/>
  <c r="I743" i="5"/>
  <c r="J743" i="5" l="1"/>
  <c r="K743" i="5" s="1"/>
  <c r="M744" i="5"/>
  <c r="G745" i="5"/>
  <c r="H745" i="5"/>
  <c r="F746" i="5"/>
  <c r="I744" i="5"/>
  <c r="L743" i="5"/>
  <c r="L742" i="5"/>
  <c r="G746" i="5" l="1"/>
  <c r="H746" i="5"/>
  <c r="F747" i="5"/>
  <c r="M745" i="5"/>
  <c r="J744" i="5"/>
  <c r="K744" i="5" s="1"/>
  <c r="L744" i="5" s="1"/>
  <c r="I745" i="5"/>
  <c r="J745" i="5" l="1"/>
  <c r="K745" i="5" s="1"/>
  <c r="M746" i="5"/>
  <c r="L745" i="5"/>
  <c r="G747" i="5"/>
  <c r="H747" i="5"/>
  <c r="F748" i="5"/>
  <c r="I746" i="5"/>
  <c r="J746" i="5" l="1"/>
  <c r="K746" i="5" s="1"/>
  <c r="M747" i="5"/>
  <c r="G748" i="5"/>
  <c r="H748" i="5"/>
  <c r="F749" i="5"/>
  <c r="I747" i="5"/>
  <c r="L746" i="5"/>
  <c r="J747" i="5" l="1"/>
  <c r="K747" i="5" s="1"/>
  <c r="M748" i="5"/>
  <c r="F750" i="5"/>
  <c r="G749" i="5"/>
  <c r="H749" i="5"/>
  <c r="I748" i="5"/>
  <c r="L747" i="5"/>
  <c r="F751" i="5" l="1"/>
  <c r="G750" i="5"/>
  <c r="H750" i="5"/>
  <c r="I750" i="5"/>
  <c r="J748" i="5"/>
  <c r="K748" i="5" s="1"/>
  <c r="M749" i="5"/>
  <c r="I749" i="5"/>
  <c r="L748" i="5"/>
  <c r="J749" i="5" l="1"/>
  <c r="K749" i="5" s="1"/>
  <c r="M750" i="5"/>
  <c r="J750" i="5"/>
  <c r="K750" i="5" s="1"/>
  <c r="M751" i="5"/>
  <c r="H751" i="5"/>
  <c r="I751" i="5"/>
  <c r="G751" i="5"/>
  <c r="F752" i="5"/>
  <c r="J751" i="5" l="1"/>
  <c r="K751" i="5" s="1"/>
  <c r="M752" i="5"/>
  <c r="L750" i="5"/>
  <c r="L751" i="5"/>
  <c r="G752" i="5"/>
  <c r="H752" i="5"/>
  <c r="F753" i="5"/>
  <c r="L749" i="5"/>
  <c r="H753" i="5" l="1"/>
  <c r="G753" i="5"/>
  <c r="F754" i="5"/>
  <c r="I753" i="5" s="1"/>
  <c r="I752" i="5"/>
  <c r="G5" i="12"/>
  <c r="J753" i="5" l="1"/>
  <c r="M753" i="5"/>
  <c r="M754" i="5" s="1"/>
  <c r="J752" i="5"/>
  <c r="K752" i="5" s="1"/>
  <c r="H754" i="5"/>
  <c r="G754" i="5"/>
  <c r="F755" i="5"/>
  <c r="L752" i="5" l="1"/>
  <c r="G755" i="5"/>
  <c r="H755" i="5"/>
  <c r="F756" i="5"/>
  <c r="I755" i="5" s="1"/>
  <c r="K753" i="5"/>
  <c r="I754" i="5"/>
  <c r="J755" i="5" l="1"/>
  <c r="J754" i="5"/>
  <c r="K754" i="5" s="1"/>
  <c r="L754" i="5" s="1"/>
  <c r="M755" i="5"/>
  <c r="M756" i="5" s="1"/>
  <c r="G756" i="5"/>
  <c r="H756" i="5"/>
  <c r="I756" i="5"/>
  <c r="F757" i="5"/>
  <c r="L753" i="5"/>
  <c r="J756" i="5" l="1"/>
  <c r="M757" i="5"/>
  <c r="F758" i="5"/>
  <c r="G757" i="5"/>
  <c r="H757" i="5"/>
  <c r="I757" i="5" s="1"/>
  <c r="K755" i="5"/>
  <c r="L755" i="5" s="1"/>
  <c r="J757" i="5" l="1"/>
  <c r="K757" i="5" s="1"/>
  <c r="M758" i="5"/>
  <c r="F759" i="5"/>
  <c r="G758" i="5"/>
  <c r="H758" i="5"/>
  <c r="I758" i="5"/>
  <c r="K756" i="5"/>
  <c r="L757" i="5" s="1"/>
  <c r="L756" i="5" l="1"/>
  <c r="J758" i="5"/>
  <c r="K758" i="5" s="1"/>
  <c r="M759" i="5"/>
  <c r="H759" i="5"/>
  <c r="G759" i="5"/>
  <c r="F760" i="5"/>
  <c r="L758" i="5"/>
  <c r="H760" i="5" l="1"/>
  <c r="G760" i="5"/>
  <c r="F761" i="5"/>
  <c r="I759" i="5"/>
  <c r="J759" i="5" l="1"/>
  <c r="K759" i="5" s="1"/>
  <c r="M760" i="5"/>
  <c r="G761" i="5"/>
  <c r="H761" i="5"/>
  <c r="F762" i="5"/>
  <c r="I761" i="5" s="1"/>
  <c r="I760" i="5"/>
  <c r="J761" i="5" l="1"/>
  <c r="J760" i="5"/>
  <c r="K760" i="5" s="1"/>
  <c r="M761" i="5"/>
  <c r="M762" i="5" s="1"/>
  <c r="G762" i="5"/>
  <c r="H762" i="5"/>
  <c r="F763" i="5"/>
  <c r="L759" i="5"/>
  <c r="G763" i="5" l="1"/>
  <c r="H763" i="5"/>
  <c r="F764" i="5"/>
  <c r="I762" i="5"/>
  <c r="L760" i="5"/>
  <c r="K761" i="5"/>
  <c r="G764" i="5" l="1"/>
  <c r="H764" i="5"/>
  <c r="F765" i="5"/>
  <c r="I764" i="5" s="1"/>
  <c r="I763" i="5"/>
  <c r="M763" i="5"/>
  <c r="J762" i="5"/>
  <c r="K762" i="5" s="1"/>
  <c r="L761" i="5"/>
  <c r="J764" i="5" l="1"/>
  <c r="L762" i="5"/>
  <c r="F766" i="5"/>
  <c r="G765" i="5"/>
  <c r="H765" i="5"/>
  <c r="J763" i="5"/>
  <c r="K763" i="5" s="1"/>
  <c r="L763" i="5" s="1"/>
  <c r="M764" i="5"/>
  <c r="M765" i="5" s="1"/>
  <c r="F767" i="5" l="1"/>
  <c r="G766" i="5"/>
  <c r="H766" i="5"/>
  <c r="I766" i="5"/>
  <c r="I765" i="5"/>
  <c r="K764" i="5"/>
  <c r="L764" i="5" s="1"/>
  <c r="J766" i="5" l="1"/>
  <c r="J765" i="5"/>
  <c r="K765" i="5" s="1"/>
  <c r="L765" i="5" s="1"/>
  <c r="M766" i="5"/>
  <c r="M767" i="5" s="1"/>
  <c r="G767" i="5"/>
  <c r="H767" i="5"/>
  <c r="I767" i="5" s="1"/>
  <c r="F768" i="5"/>
  <c r="J767" i="5" l="1"/>
  <c r="K767" i="5" s="1"/>
  <c r="M768" i="5"/>
  <c r="G768" i="5"/>
  <c r="H768" i="5"/>
  <c r="F769" i="5"/>
  <c r="I768" i="5" s="1"/>
  <c r="K766" i="5"/>
  <c r="L767" i="5" s="1"/>
  <c r="J768" i="5" l="1"/>
  <c r="K768" i="5" s="1"/>
  <c r="M769" i="5"/>
  <c r="L766" i="5"/>
  <c r="H769" i="5"/>
  <c r="G769" i="5"/>
  <c r="F770" i="5"/>
  <c r="I769" i="5" s="1"/>
  <c r="L768" i="5"/>
  <c r="J769" i="5" l="1"/>
  <c r="K769" i="5" s="1"/>
  <c r="M770" i="5"/>
  <c r="G770" i="5"/>
  <c r="H770" i="5"/>
  <c r="F771" i="5"/>
  <c r="L769" i="5"/>
  <c r="I771" i="5" l="1"/>
  <c r="H771" i="5"/>
  <c r="G771" i="5"/>
  <c r="F772" i="5"/>
  <c r="I770" i="5"/>
  <c r="J771" i="5" l="1"/>
  <c r="M771" i="5"/>
  <c r="M772" i="5" s="1"/>
  <c r="J770" i="5"/>
  <c r="K770" i="5" s="1"/>
  <c r="H772" i="5"/>
  <c r="G772" i="5"/>
  <c r="F773" i="5"/>
  <c r="L770" i="5" l="1"/>
  <c r="F774" i="5"/>
  <c r="G773" i="5"/>
  <c r="H773" i="5"/>
  <c r="I773" i="5"/>
  <c r="I772" i="5"/>
  <c r="K771" i="5"/>
  <c r="J773" i="5" l="1"/>
  <c r="J772" i="5"/>
  <c r="K772" i="5" s="1"/>
  <c r="M773" i="5"/>
  <c r="M774" i="5" s="1"/>
  <c r="G774" i="5"/>
  <c r="F775" i="5"/>
  <c r="H774" i="5"/>
  <c r="L771" i="5"/>
  <c r="G775" i="5" l="1"/>
  <c r="H775" i="5"/>
  <c r="F776" i="5"/>
  <c r="K773" i="5"/>
  <c r="L773" i="5"/>
  <c r="I774" i="5"/>
  <c r="L772" i="5"/>
  <c r="J774" i="5" l="1"/>
  <c r="K774" i="5" s="1"/>
  <c r="M775" i="5"/>
  <c r="L774" i="5"/>
  <c r="G776" i="5"/>
  <c r="H776" i="5"/>
  <c r="F777" i="5"/>
  <c r="I775" i="5"/>
  <c r="H777" i="5" l="1"/>
  <c r="G777" i="5"/>
  <c r="F778" i="5"/>
  <c r="I776" i="5"/>
  <c r="J775" i="5"/>
  <c r="K775" i="5" s="1"/>
  <c r="M776" i="5"/>
  <c r="L775" i="5"/>
  <c r="J776" i="5" l="1"/>
  <c r="K776" i="5" s="1"/>
  <c r="M777" i="5"/>
  <c r="G778" i="5"/>
  <c r="H778" i="5"/>
  <c r="F779" i="5"/>
  <c r="I778" i="5" s="1"/>
  <c r="L776" i="5"/>
  <c r="I777" i="5"/>
  <c r="J778" i="5" l="1"/>
  <c r="J777" i="5"/>
  <c r="K777" i="5" s="1"/>
  <c r="M778" i="5"/>
  <c r="M779" i="5" s="1"/>
  <c r="G779" i="5"/>
  <c r="H779" i="5"/>
  <c r="F780" i="5"/>
  <c r="I779" i="5" s="1"/>
  <c r="J779" i="5" l="1"/>
  <c r="M780" i="5"/>
  <c r="L778" i="5"/>
  <c r="K778" i="5"/>
  <c r="G780" i="5"/>
  <c r="H780" i="5"/>
  <c r="F781" i="5"/>
  <c r="L777" i="5"/>
  <c r="F782" i="5" l="1"/>
  <c r="G781" i="5"/>
  <c r="H781" i="5"/>
  <c r="I781" i="5"/>
  <c r="I780" i="5"/>
  <c r="K779" i="5"/>
  <c r="M781" i="5" l="1"/>
  <c r="J780" i="5"/>
  <c r="K780" i="5" s="1"/>
  <c r="L780" i="5"/>
  <c r="J781" i="5"/>
  <c r="K781" i="5" s="1"/>
  <c r="M782" i="5"/>
  <c r="L779" i="5"/>
  <c r="F783" i="5"/>
  <c r="G782" i="5"/>
  <c r="H782" i="5"/>
  <c r="G783" i="5" l="1"/>
  <c r="H783" i="5"/>
  <c r="F784" i="5"/>
  <c r="L781" i="5"/>
  <c r="I782" i="5"/>
  <c r="J782" i="5" l="1"/>
  <c r="K782" i="5" s="1"/>
  <c r="M783" i="5"/>
  <c r="G784" i="5"/>
  <c r="H784" i="5"/>
  <c r="F785" i="5"/>
  <c r="I783" i="5"/>
  <c r="J783" i="5" l="1"/>
  <c r="K783" i="5" s="1"/>
  <c r="M784" i="5"/>
  <c r="G785" i="5"/>
  <c r="H785" i="5"/>
  <c r="F786" i="5"/>
  <c r="I785" i="5" s="1"/>
  <c r="I784" i="5"/>
  <c r="L783" i="5"/>
  <c r="L782" i="5"/>
  <c r="J785" i="5" l="1"/>
  <c r="J784" i="5"/>
  <c r="K784" i="5" s="1"/>
  <c r="M785" i="5"/>
  <c r="M786" i="5" s="1"/>
  <c r="G786" i="5"/>
  <c r="H786" i="5"/>
  <c r="F787" i="5"/>
  <c r="G787" i="5" l="1"/>
  <c r="H787" i="5"/>
  <c r="F788" i="5"/>
  <c r="I786" i="5"/>
  <c r="L784" i="5"/>
  <c r="K785" i="5"/>
  <c r="G788" i="5" l="1"/>
  <c r="H788" i="5"/>
  <c r="F789" i="5"/>
  <c r="I787" i="5"/>
  <c r="M787" i="5"/>
  <c r="J786" i="5"/>
  <c r="K786" i="5" s="1"/>
  <c r="L785" i="5"/>
  <c r="F790" i="5" l="1"/>
  <c r="G789" i="5"/>
  <c r="H789" i="5"/>
  <c r="I789" i="5"/>
  <c r="I788" i="5"/>
  <c r="J787" i="5"/>
  <c r="K787" i="5" s="1"/>
  <c r="M788" i="5"/>
  <c r="L786" i="5"/>
  <c r="J788" i="5" l="1"/>
  <c r="K788" i="5" s="1"/>
  <c r="M789" i="5"/>
  <c r="J789" i="5"/>
  <c r="K789" i="5" s="1"/>
  <c r="M790" i="5"/>
  <c r="L788" i="5"/>
  <c r="L787" i="5"/>
  <c r="F791" i="5"/>
  <c r="H790" i="5"/>
  <c r="G790" i="5"/>
  <c r="H791" i="5" l="1"/>
  <c r="G791" i="5"/>
  <c r="F792" i="5"/>
  <c r="I791" i="5" s="1"/>
  <c r="I790" i="5"/>
  <c r="L789" i="5"/>
  <c r="J791" i="5" l="1"/>
  <c r="K791" i="5" s="1"/>
  <c r="M792" i="5"/>
  <c r="J790" i="5"/>
  <c r="K790" i="5" s="1"/>
  <c r="M791" i="5"/>
  <c r="G792" i="5"/>
  <c r="H792" i="5"/>
  <c r="F793" i="5"/>
  <c r="G793" i="5" l="1"/>
  <c r="H793" i="5"/>
  <c r="F794" i="5"/>
  <c r="L791" i="5"/>
  <c r="L790" i="5"/>
  <c r="I792" i="5"/>
  <c r="J792" i="5" l="1"/>
  <c r="K792" i="5" s="1"/>
  <c r="M793" i="5"/>
  <c r="G794" i="5"/>
  <c r="H794" i="5"/>
  <c r="F795" i="5"/>
  <c r="I794" i="5" s="1"/>
  <c r="I793" i="5"/>
  <c r="J794" i="5" l="1"/>
  <c r="J793" i="5"/>
  <c r="K793" i="5" s="1"/>
  <c r="M794" i="5"/>
  <c r="M795" i="5" s="1"/>
  <c r="H795" i="5"/>
  <c r="G795" i="5"/>
  <c r="F796" i="5"/>
  <c r="L792" i="5"/>
  <c r="H796" i="5" l="1"/>
  <c r="G796" i="5"/>
  <c r="F797" i="5"/>
  <c r="I795" i="5"/>
  <c r="K794" i="5"/>
  <c r="L793" i="5"/>
  <c r="F798" i="5" l="1"/>
  <c r="G797" i="5"/>
  <c r="I797" i="5"/>
  <c r="H797" i="5"/>
  <c r="J795" i="5"/>
  <c r="K795" i="5" s="1"/>
  <c r="M796" i="5"/>
  <c r="I796" i="5"/>
  <c r="L794" i="5"/>
  <c r="J797" i="5" l="1"/>
  <c r="M797" i="5"/>
  <c r="M798" i="5" s="1"/>
  <c r="J796" i="5"/>
  <c r="K796" i="5" s="1"/>
  <c r="F5" i="12"/>
  <c r="L795" i="5"/>
  <c r="F799" i="5"/>
  <c r="G798" i="5"/>
  <c r="H798" i="5"/>
  <c r="H799" i="5" l="1"/>
  <c r="G799" i="5"/>
  <c r="F800" i="5"/>
  <c r="I799" i="5" s="1"/>
  <c r="L796" i="5"/>
  <c r="I798" i="5"/>
  <c r="K797" i="5"/>
  <c r="J799" i="5" l="1"/>
  <c r="J798" i="5"/>
  <c r="K798" i="5" s="1"/>
  <c r="L798" i="5" s="1"/>
  <c r="M799" i="5"/>
  <c r="M800" i="5" s="1"/>
  <c r="G800" i="5"/>
  <c r="H800" i="5"/>
  <c r="I800" i="5"/>
  <c r="F801" i="5"/>
  <c r="L797" i="5"/>
  <c r="J800" i="5" l="1"/>
  <c r="M801" i="5"/>
  <c r="G801" i="5"/>
  <c r="H801" i="5"/>
  <c r="F802" i="5"/>
  <c r="K799" i="5"/>
  <c r="G802" i="5" l="1"/>
  <c r="H802" i="5"/>
  <c r="F803" i="5"/>
  <c r="I801" i="5"/>
  <c r="K800" i="5"/>
  <c r="L799" i="5"/>
  <c r="G803" i="5" l="1"/>
  <c r="H803" i="5"/>
  <c r="F804" i="5"/>
  <c r="J801" i="5"/>
  <c r="K801" i="5" s="1"/>
  <c r="M802" i="5"/>
  <c r="I802" i="5"/>
  <c r="L800" i="5"/>
  <c r="M803" i="5" l="1"/>
  <c r="J802" i="5"/>
  <c r="K802" i="5" s="1"/>
  <c r="G804" i="5"/>
  <c r="H804" i="5"/>
  <c r="F805" i="5"/>
  <c r="I804" i="5" s="1"/>
  <c r="I803" i="5"/>
  <c r="L802" i="5"/>
  <c r="L801" i="5"/>
  <c r="J804" i="5" l="1"/>
  <c r="J803" i="5"/>
  <c r="K803" i="5" s="1"/>
  <c r="M804" i="5"/>
  <c r="M805" i="5" s="1"/>
  <c r="F806" i="5"/>
  <c r="G805" i="5"/>
  <c r="I805" i="5"/>
  <c r="H805" i="5"/>
  <c r="J805" i="5" l="1"/>
  <c r="K805" i="5" s="1"/>
  <c r="M806" i="5"/>
  <c r="L803" i="5"/>
  <c r="F807" i="5"/>
  <c r="H806" i="5"/>
  <c r="G806" i="5"/>
  <c r="K804" i="5"/>
  <c r="G807" i="5" l="1"/>
  <c r="H807" i="5"/>
  <c r="F808" i="5"/>
  <c r="I806" i="5"/>
  <c r="L805" i="5"/>
  <c r="L804" i="5"/>
  <c r="J806" i="5" l="1"/>
  <c r="K806" i="5" s="1"/>
  <c r="M807" i="5"/>
  <c r="H808" i="5"/>
  <c r="G808" i="5"/>
  <c r="F809" i="5"/>
  <c r="I807" i="5"/>
  <c r="J807" i="5" l="1"/>
  <c r="K807" i="5" s="1"/>
  <c r="M808" i="5"/>
  <c r="H809" i="5"/>
  <c r="G809" i="5"/>
  <c r="F810" i="5"/>
  <c r="I809" i="5" s="1"/>
  <c r="I808" i="5"/>
  <c r="L807" i="5"/>
  <c r="L806" i="5"/>
  <c r="J809" i="5" l="1"/>
  <c r="J808" i="5"/>
  <c r="K808" i="5" s="1"/>
  <c r="M809" i="5"/>
  <c r="M810" i="5" s="1"/>
  <c r="G810" i="5"/>
  <c r="H810" i="5"/>
  <c r="F811" i="5"/>
  <c r="G811" i="5" l="1"/>
  <c r="H811" i="5"/>
  <c r="F812" i="5"/>
  <c r="I810" i="5"/>
  <c r="L808" i="5"/>
  <c r="K809" i="5"/>
  <c r="G812" i="5" l="1"/>
  <c r="H812" i="5"/>
  <c r="F813" i="5"/>
  <c r="I812" i="5" s="1"/>
  <c r="M811" i="5"/>
  <c r="J810" i="5"/>
  <c r="K810" i="5" s="1"/>
  <c r="I811" i="5"/>
  <c r="L809" i="5"/>
  <c r="J812" i="5" l="1"/>
  <c r="L810" i="5"/>
  <c r="J811" i="5"/>
  <c r="K811" i="5" s="1"/>
  <c r="M812" i="5"/>
  <c r="M813" i="5" s="1"/>
  <c r="F814" i="5"/>
  <c r="I813" i="5" s="1"/>
  <c r="G813" i="5"/>
  <c r="H813" i="5"/>
  <c r="J813" i="5" l="1"/>
  <c r="M814" i="5"/>
  <c r="L812" i="5"/>
  <c r="E5" i="12"/>
  <c r="L811" i="5"/>
  <c r="F815" i="5"/>
  <c r="G814" i="5"/>
  <c r="H814" i="5"/>
  <c r="K812" i="5"/>
  <c r="H815" i="5" l="1"/>
  <c r="G815" i="5"/>
  <c r="F816" i="5"/>
  <c r="I814" i="5"/>
  <c r="K813" i="5"/>
  <c r="L813" i="5" s="1"/>
  <c r="G816" i="5" l="1"/>
  <c r="H816" i="5"/>
  <c r="I816" i="5" s="1"/>
  <c r="J816" i="5" s="1"/>
  <c r="I815" i="5"/>
  <c r="J814" i="5"/>
  <c r="K814" i="5" s="1"/>
  <c r="L814" i="5" s="1"/>
  <c r="M815" i="5"/>
  <c r="K816" i="5" l="1"/>
  <c r="C5" i="12" s="1"/>
  <c r="P3" i="11"/>
  <c r="J815" i="5"/>
  <c r="K815" i="5" s="1"/>
  <c r="M816" i="5"/>
  <c r="L815" i="5"/>
  <c r="L816" i="5" l="1"/>
  <c r="D5" i="12"/>
  <c r="K57" i="4"/>
  <c r="H57" i="4"/>
  <c r="I57" i="4"/>
  <c r="J57" i="4"/>
  <c r="L57" i="4"/>
  <c r="G57" i="4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7-01' and AsOfDate&gt;= '20120404' order by d.AsOfDate"/>
  </connection>
</connections>
</file>

<file path=xl/sharedStrings.xml><?xml version="1.0" encoding="utf-8"?>
<sst xmlns="http://schemas.openxmlformats.org/spreadsheetml/2006/main" count="1214" uniqueCount="865">
  <si>
    <t>Database Env</t>
  </si>
  <si>
    <t>Save Data to DB</t>
  </si>
  <si>
    <t>As of Date</t>
  </si>
  <si>
    <t>Report Name</t>
  </si>
  <si>
    <t>No</t>
  </si>
  <si>
    <t>AsOfDate</t>
  </si>
  <si>
    <t>SeriesNumValue</t>
  </si>
  <si>
    <t>Weekday</t>
  </si>
  <si>
    <t>Weight</t>
  </si>
  <si>
    <t>Counter</t>
  </si>
  <si>
    <t>WA CC</t>
  </si>
  <si>
    <t>MONDAY</t>
  </si>
  <si>
    <t>TUESDAY</t>
  </si>
  <si>
    <t>WEDNESDAY</t>
  </si>
  <si>
    <t>THURSDAY</t>
  </si>
  <si>
    <t>FRIDAY</t>
  </si>
  <si>
    <t>SATURDAY</t>
  </si>
  <si>
    <t>SUNDAY</t>
  </si>
  <si>
    <t>Rate</t>
  </si>
  <si>
    <t>2012-04-04</t>
  </si>
  <si>
    <t>2012-04-11</t>
  </si>
  <si>
    <t>2012-04-18</t>
  </si>
  <si>
    <t>2012-04-25</t>
  </si>
  <si>
    <t>2012-05-02</t>
  </si>
  <si>
    <t>2012-05-09</t>
  </si>
  <si>
    <t>2012-05-16</t>
  </si>
  <si>
    <t>2012-05-23</t>
  </si>
  <si>
    <t>2012-05-30</t>
  </si>
  <si>
    <t>2012-06-06</t>
  </si>
  <si>
    <t>2012-06-13</t>
  </si>
  <si>
    <t>2012-06-20</t>
  </si>
  <si>
    <t>2012-06-27</t>
  </si>
  <si>
    <t>2012-07-11</t>
  </si>
  <si>
    <t>2012-07-18</t>
  </si>
  <si>
    <t>2012-07-25</t>
  </si>
  <si>
    <t>2012-08-01</t>
  </si>
  <si>
    <t>2012-08-08</t>
  </si>
  <si>
    <t>2012-08-15</t>
  </si>
  <si>
    <t>2012-08-22</t>
  </si>
  <si>
    <t>2012-08-29</t>
  </si>
  <si>
    <t>2012-09-05</t>
  </si>
  <si>
    <t>2012-09-12</t>
  </si>
  <si>
    <t>2012-09-19</t>
  </si>
  <si>
    <t>2012-09-26</t>
  </si>
  <si>
    <t>2012-10-03</t>
  </si>
  <si>
    <t>2012-10-10</t>
  </si>
  <si>
    <t>2012-10-17</t>
  </si>
  <si>
    <t>2012-10-24</t>
  </si>
  <si>
    <t>2012-10-31</t>
  </si>
  <si>
    <t>2012-11-07</t>
  </si>
  <si>
    <t>2012-11-14</t>
  </si>
  <si>
    <t>2012-11-20</t>
  </si>
  <si>
    <t>2012-11-28</t>
  </si>
  <si>
    <t>2012-12-05</t>
  </si>
  <si>
    <t>2012-12-12</t>
  </si>
  <si>
    <t>2012-12-19</t>
  </si>
  <si>
    <t>2012-12-26</t>
  </si>
  <si>
    <t>2013-01-02</t>
  </si>
  <si>
    <t>2013-01-09</t>
  </si>
  <si>
    <t>2013-01-16</t>
  </si>
  <si>
    <t>2013-01-23</t>
  </si>
  <si>
    <t>2013-01-30</t>
  </si>
  <si>
    <t>2013-02-06</t>
  </si>
  <si>
    <t>2013-02-13</t>
  </si>
  <si>
    <t>2013-02-20</t>
  </si>
  <si>
    <t>2013-02-27</t>
  </si>
  <si>
    <t>2013-03-06</t>
  </si>
  <si>
    <t>2013-03-13</t>
  </si>
  <si>
    <t>2013-03-20</t>
  </si>
  <si>
    <t>2013-03-27</t>
  </si>
  <si>
    <t>2013-04-03</t>
  </si>
  <si>
    <t>2013-04-10</t>
  </si>
  <si>
    <t>2013-04-17</t>
  </si>
  <si>
    <t>2013-04-24</t>
  </si>
  <si>
    <t>2013-05-01</t>
  </si>
  <si>
    <t>2013-05-08</t>
  </si>
  <si>
    <t>2013-05-15</t>
  </si>
  <si>
    <t>2013-05-22</t>
  </si>
  <si>
    <t>2013-05-29</t>
  </si>
  <si>
    <t>2013-06-05</t>
  </si>
  <si>
    <t>2013-06-12</t>
  </si>
  <si>
    <t>2013-06-19</t>
  </si>
  <si>
    <t>2013-06-26</t>
  </si>
  <si>
    <t>2013-07-02</t>
  </si>
  <si>
    <t>2013-07-10</t>
  </si>
  <si>
    <t>2013-07-17</t>
  </si>
  <si>
    <t>2013-07-24</t>
  </si>
  <si>
    <t>2013-07-31</t>
  </si>
  <si>
    <t>2013-08-07</t>
  </si>
  <si>
    <t>2013-08-14</t>
  </si>
  <si>
    <t>2013-08-21</t>
  </si>
  <si>
    <t>2013-08-28</t>
  </si>
  <si>
    <t>2013-09-04</t>
  </si>
  <si>
    <t>2013-09-11</t>
  </si>
  <si>
    <t>2013-09-18</t>
  </si>
  <si>
    <t>2013-09-25</t>
  </si>
  <si>
    <t>2013-10-02</t>
  </si>
  <si>
    <t>2013-10-09</t>
  </si>
  <si>
    <t>2013-10-16</t>
  </si>
  <si>
    <t>2013-10-23</t>
  </si>
  <si>
    <t>2013-10-30</t>
  </si>
  <si>
    <t>2013-11-06</t>
  </si>
  <si>
    <t>2013-11-13</t>
  </si>
  <si>
    <t>2013-11-20</t>
  </si>
  <si>
    <t>2013-11-26</t>
  </si>
  <si>
    <t>2013-12-04</t>
  </si>
  <si>
    <t>2013-12-11</t>
  </si>
  <si>
    <t>2013-12-18</t>
  </si>
  <si>
    <t>2014-01-08</t>
  </si>
  <si>
    <t>2014-01-15</t>
  </si>
  <si>
    <t>2014-01-22</t>
  </si>
  <si>
    <t>2014-01-29</t>
  </si>
  <si>
    <t>2014-02-05</t>
  </si>
  <si>
    <t>2014-02-12</t>
  </si>
  <si>
    <t>2014-02-19</t>
  </si>
  <si>
    <t>2014-02-26</t>
  </si>
  <si>
    <t>2014-03-05</t>
  </si>
  <si>
    <t>2014-03-12</t>
  </si>
  <si>
    <t>2014-03-19</t>
  </si>
  <si>
    <t>2014-03-26</t>
  </si>
  <si>
    <t>2014-04-02</t>
  </si>
  <si>
    <t>2014-04-09</t>
  </si>
  <si>
    <t>2014-04-16</t>
  </si>
  <si>
    <t>2014-04-23</t>
  </si>
  <si>
    <t>2014-04-30</t>
  </si>
  <si>
    <t>2014-05-07</t>
  </si>
  <si>
    <t>2014-05-14</t>
  </si>
  <si>
    <t>2014-05-21</t>
  </si>
  <si>
    <t>2014-05-28</t>
  </si>
  <si>
    <t>2014-06-04</t>
  </si>
  <si>
    <t>2014-06-11</t>
  </si>
  <si>
    <t>2014-06-18</t>
  </si>
  <si>
    <t>2014-06-25</t>
  </si>
  <si>
    <t>2014-07-02</t>
  </si>
  <si>
    <t>2014-07-09</t>
  </si>
  <si>
    <t>2014-07-16</t>
  </si>
  <si>
    <t>2014-07-23</t>
  </si>
  <si>
    <t>2014-07-30</t>
  </si>
  <si>
    <t>2014-08-06</t>
  </si>
  <si>
    <t>2014-08-13</t>
  </si>
  <si>
    <t>2014-08-20</t>
  </si>
  <si>
    <t>2014-08-27</t>
  </si>
  <si>
    <t>2014-09-03</t>
  </si>
  <si>
    <t>2014-09-10</t>
  </si>
  <si>
    <t>2014-09-17</t>
  </si>
  <si>
    <t>2014-09-24</t>
  </si>
  <si>
    <t>2014-10-01</t>
  </si>
  <si>
    <t>2014-10-08</t>
  </si>
  <si>
    <t>2014-10-15</t>
  </si>
  <si>
    <t>2014-10-22</t>
  </si>
  <si>
    <t>2014-10-29</t>
  </si>
  <si>
    <t>2014-11-05</t>
  </si>
  <si>
    <t>2014-11-12</t>
  </si>
  <si>
    <t>2014-11-19</t>
  </si>
  <si>
    <t>2014-11-25</t>
  </si>
  <si>
    <t>2014-12-03</t>
  </si>
  <si>
    <t>2014-12-10</t>
  </si>
  <si>
    <t>2014-12-17</t>
  </si>
  <si>
    <t>2014-12-23</t>
  </si>
  <si>
    <t>2014-12-30</t>
  </si>
  <si>
    <t>2015-01-07</t>
  </si>
  <si>
    <t>2015-01-14</t>
  </si>
  <si>
    <t>2015-01-21</t>
  </si>
  <si>
    <t>2015-01-28</t>
  </si>
  <si>
    <t>2015-02-04</t>
  </si>
  <si>
    <t>2012-04-10</t>
  </si>
  <si>
    <t>2012-04-17</t>
  </si>
  <si>
    <t>2012-04-24</t>
  </si>
  <si>
    <t>2012-05-01</t>
  </si>
  <si>
    <t>2012-05-08</t>
  </si>
  <si>
    <t>2012-05-15</t>
  </si>
  <si>
    <t>2012-05-22</t>
  </si>
  <si>
    <t>2012-05-29</t>
  </si>
  <si>
    <t>2012-06-05</t>
  </si>
  <si>
    <t>2012-06-12</t>
  </si>
  <si>
    <t>2012-06-19</t>
  </si>
  <si>
    <t>2012-06-26</t>
  </si>
  <si>
    <t>2012-07-03</t>
  </si>
  <si>
    <t>2012-07-10</t>
  </si>
  <si>
    <t>2012-07-17</t>
  </si>
  <si>
    <t>2012-07-24</t>
  </si>
  <si>
    <t>2012-07-31</t>
  </si>
  <si>
    <t>2012-08-07</t>
  </si>
  <si>
    <t>2012-08-14</t>
  </si>
  <si>
    <t>2012-08-21</t>
  </si>
  <si>
    <t>2012-08-28</t>
  </si>
  <si>
    <t>2012-09-04</t>
  </si>
  <si>
    <t>2012-09-11</t>
  </si>
  <si>
    <t>2012-09-18</t>
  </si>
  <si>
    <t>2012-09-25</t>
  </si>
  <si>
    <t>2012-10-02</t>
  </si>
  <si>
    <t>2012-10-09</t>
  </si>
  <si>
    <t>2012-10-16</t>
  </si>
  <si>
    <t>2012-10-23</t>
  </si>
  <si>
    <t>2012-11-06</t>
  </si>
  <si>
    <t>2012-11-13</t>
  </si>
  <si>
    <t>2012-11-19</t>
  </si>
  <si>
    <t>2012-11-27</t>
  </si>
  <si>
    <t>2012-12-04</t>
  </si>
  <si>
    <t>2012-12-11</t>
  </si>
  <si>
    <t>2012-12-18</t>
  </si>
  <si>
    <t>2013-01-08</t>
  </si>
  <si>
    <t>2013-01-15</t>
  </si>
  <si>
    <t>2013-01-22</t>
  </si>
  <si>
    <t>2013-01-29</t>
  </si>
  <si>
    <t>2013-02-05</t>
  </si>
  <si>
    <t>2013-02-12</t>
  </si>
  <si>
    <t>2013-02-19</t>
  </si>
  <si>
    <t>2013-02-26</t>
  </si>
  <si>
    <t>2013-03-05</t>
  </si>
  <si>
    <t>2013-03-12</t>
  </si>
  <si>
    <t>2013-03-19</t>
  </si>
  <si>
    <t>2013-03-26</t>
  </si>
  <si>
    <t>2013-04-02</t>
  </si>
  <si>
    <t>2013-04-09</t>
  </si>
  <si>
    <t>2013-04-16</t>
  </si>
  <si>
    <t>2013-04-23</t>
  </si>
  <si>
    <t>2013-04-30</t>
  </si>
  <si>
    <t>2013-05-07</t>
  </si>
  <si>
    <t>2013-05-14</t>
  </si>
  <si>
    <t>2013-05-21</t>
  </si>
  <si>
    <t>2013-05-28</t>
  </si>
  <si>
    <t>2013-06-04</t>
  </si>
  <si>
    <t>2013-06-11</t>
  </si>
  <si>
    <t>2013-06-18</t>
  </si>
  <si>
    <t>2013-06-25</t>
  </si>
  <si>
    <t>2013-07-01</t>
  </si>
  <si>
    <t>2013-07-09</t>
  </si>
  <si>
    <t>2013-07-16</t>
  </si>
  <si>
    <t>2013-07-23</t>
  </si>
  <si>
    <t>2013-07-30</t>
  </si>
  <si>
    <t>2013-08-06</t>
  </si>
  <si>
    <t>2013-08-13</t>
  </si>
  <si>
    <t>2013-08-20</t>
  </si>
  <si>
    <t>2013-08-27</t>
  </si>
  <si>
    <t>2013-09-03</t>
  </si>
  <si>
    <t>2013-09-10</t>
  </si>
  <si>
    <t>2013-09-17</t>
  </si>
  <si>
    <t>2013-09-24</t>
  </si>
  <si>
    <t>2013-10-01</t>
  </si>
  <si>
    <t>2013-10-08</t>
  </si>
  <si>
    <t>2013-10-15</t>
  </si>
  <si>
    <t>2013-10-22</t>
  </si>
  <si>
    <t>2013-10-29</t>
  </si>
  <si>
    <t>2013-11-05</t>
  </si>
  <si>
    <t>2013-11-12</t>
  </si>
  <si>
    <t>2013-11-19</t>
  </si>
  <si>
    <t>2013-11-25</t>
  </si>
  <si>
    <t>2013-12-03</t>
  </si>
  <si>
    <t>2013-12-10</t>
  </si>
  <si>
    <t>2013-12-17</t>
  </si>
  <si>
    <t>2013-12-24</t>
  </si>
  <si>
    <t>2013-12-31</t>
  </si>
  <si>
    <t>2014-01-07</t>
  </si>
  <si>
    <t>2014-01-14</t>
  </si>
  <si>
    <t>2014-01-21</t>
  </si>
  <si>
    <t>2014-01-28</t>
  </si>
  <si>
    <t>2014-02-04</t>
  </si>
  <si>
    <t>2014-02-11</t>
  </si>
  <si>
    <t>2014-02-18</t>
  </si>
  <si>
    <t>2014-02-25</t>
  </si>
  <si>
    <t>2014-03-04</t>
  </si>
  <si>
    <t>2014-03-11</t>
  </si>
  <si>
    <t>2014-03-18</t>
  </si>
  <si>
    <t>2014-03-25</t>
  </si>
  <si>
    <t>2014-04-01</t>
  </si>
  <si>
    <t>2014-04-08</t>
  </si>
  <si>
    <t>2014-04-15</t>
  </si>
  <si>
    <t>2014-04-22</t>
  </si>
  <si>
    <t>2014-04-29</t>
  </si>
  <si>
    <t>2014-05-06</t>
  </si>
  <si>
    <t>2014-05-13</t>
  </si>
  <si>
    <t>2014-05-20</t>
  </si>
  <si>
    <t>2014-05-27</t>
  </si>
  <si>
    <t>2014-06-03</t>
  </si>
  <si>
    <t>2014-06-10</t>
  </si>
  <si>
    <t>2014-06-17</t>
  </si>
  <si>
    <t>2014-06-24</t>
  </si>
  <si>
    <t>2014-07-01</t>
  </si>
  <si>
    <t>2014-07-08</t>
  </si>
  <si>
    <t>2014-07-15</t>
  </si>
  <si>
    <t>2014-07-22</t>
  </si>
  <si>
    <t>2014-07-29</t>
  </si>
  <si>
    <t>2014-08-05</t>
  </si>
  <si>
    <t>2014-08-12</t>
  </si>
  <si>
    <t>2014-08-19</t>
  </si>
  <si>
    <t>2014-08-26</t>
  </si>
  <si>
    <t>2014-09-02</t>
  </si>
  <si>
    <t>2014-09-09</t>
  </si>
  <si>
    <t>2014-09-16</t>
  </si>
  <si>
    <t>2014-09-23</t>
  </si>
  <si>
    <t>2014-09-30</t>
  </si>
  <si>
    <t>2014-10-07</t>
  </si>
  <si>
    <t>2014-10-14</t>
  </si>
  <si>
    <t>2014-10-21</t>
  </si>
  <si>
    <t>2014-10-28</t>
  </si>
  <si>
    <t>2014-11-04</t>
  </si>
  <si>
    <t>2014-11-18</t>
  </si>
  <si>
    <t>2014-11-24</t>
  </si>
  <si>
    <t>2014-12-02</t>
  </si>
  <si>
    <t>2014-12-09</t>
  </si>
  <si>
    <t>2014-12-16</t>
  </si>
  <si>
    <t>2014-12-22</t>
  </si>
  <si>
    <t>2014-12-29</t>
  </si>
  <si>
    <t>2015-01-06</t>
  </si>
  <si>
    <t>2015-01-13</t>
  </si>
  <si>
    <t>2015-01-20</t>
  </si>
  <si>
    <t>2015-01-27</t>
  </si>
  <si>
    <t>2015-02-03</t>
  </si>
  <si>
    <t>2012-04-09</t>
  </si>
  <si>
    <t>2012-04-16</t>
  </si>
  <si>
    <t>2012-04-23</t>
  </si>
  <si>
    <t>2012-04-30</t>
  </si>
  <si>
    <t>2012-05-07</t>
  </si>
  <si>
    <t>2012-05-14</t>
  </si>
  <si>
    <t>2012-05-21</t>
  </si>
  <si>
    <t>2012-06-04</t>
  </si>
  <si>
    <t>2012-06-11</t>
  </si>
  <si>
    <t>2012-06-18</t>
  </si>
  <si>
    <t>2012-06-25</t>
  </si>
  <si>
    <t>2012-07-02</t>
  </si>
  <si>
    <t>2012-07-09</t>
  </si>
  <si>
    <t>2012-07-16</t>
  </si>
  <si>
    <t>2012-07-23</t>
  </si>
  <si>
    <t>2012-07-30</t>
  </si>
  <si>
    <t>2012-08-06</t>
  </si>
  <si>
    <t>2012-08-13</t>
  </si>
  <si>
    <t>2012-08-20</t>
  </si>
  <si>
    <t>2012-08-27</t>
  </si>
  <si>
    <t>2012-09-10</t>
  </si>
  <si>
    <t>2012-09-17</t>
  </si>
  <si>
    <t>2012-09-24</t>
  </si>
  <si>
    <t>2012-10-01</t>
  </si>
  <si>
    <t>2012-10-15</t>
  </si>
  <si>
    <t>2012-10-22</t>
  </si>
  <si>
    <t>2012-10-29</t>
  </si>
  <si>
    <t>2012-11-05</t>
  </si>
  <si>
    <t>2012-11-26</t>
  </si>
  <si>
    <t>2012-12-03</t>
  </si>
  <si>
    <t>2012-12-10</t>
  </si>
  <si>
    <t>2012-12-17</t>
  </si>
  <si>
    <t>2012-12-24</t>
  </si>
  <si>
    <t>2012-12-31</t>
  </si>
  <si>
    <t>2013-01-07</t>
  </si>
  <si>
    <t>2013-01-14</t>
  </si>
  <si>
    <t>2013-01-28</t>
  </si>
  <si>
    <t>2013-02-04</t>
  </si>
  <si>
    <t>2013-02-11</t>
  </si>
  <si>
    <t>2013-02-25</t>
  </si>
  <si>
    <t>2013-03-04</t>
  </si>
  <si>
    <t>2013-03-11</t>
  </si>
  <si>
    <t>2013-03-18</t>
  </si>
  <si>
    <t>2013-03-25</t>
  </si>
  <si>
    <t>2013-04-01</t>
  </si>
  <si>
    <t>2013-04-08</t>
  </si>
  <si>
    <t>2013-04-15</t>
  </si>
  <si>
    <t>2013-04-22</t>
  </si>
  <si>
    <t>2013-04-29</t>
  </si>
  <si>
    <t>2013-05-06</t>
  </si>
  <si>
    <t>2013-05-13</t>
  </si>
  <si>
    <t>2013-05-20</t>
  </si>
  <si>
    <t>2013-06-03</t>
  </si>
  <si>
    <t>2013-06-10</t>
  </si>
  <si>
    <t>2013-06-17</t>
  </si>
  <si>
    <t>2013-06-24</t>
  </si>
  <si>
    <t>2013-07-08</t>
  </si>
  <si>
    <t>2013-07-15</t>
  </si>
  <si>
    <t>2013-07-22</t>
  </si>
  <si>
    <t>2013-07-29</t>
  </si>
  <si>
    <t>2013-08-05</t>
  </si>
  <si>
    <t>2013-08-12</t>
  </si>
  <si>
    <t>2013-08-19</t>
  </si>
  <si>
    <t>2013-08-26</t>
  </si>
  <si>
    <t>2013-09-09</t>
  </si>
  <si>
    <t>2013-09-16</t>
  </si>
  <si>
    <t>2013-09-23</t>
  </si>
  <si>
    <t>2013-09-30</t>
  </si>
  <si>
    <t>2013-10-07</t>
  </si>
  <si>
    <t>2013-10-21</t>
  </si>
  <si>
    <t>2013-10-28</t>
  </si>
  <si>
    <t>2013-11-04</t>
  </si>
  <si>
    <t>2013-11-18</t>
  </si>
  <si>
    <t>2013-12-02</t>
  </si>
  <si>
    <t>2013-12-09</t>
  </si>
  <si>
    <t>2013-12-16</t>
  </si>
  <si>
    <t>2013-12-23</t>
  </si>
  <si>
    <t>2013-12-30</t>
  </si>
  <si>
    <t>2014-01-06</t>
  </si>
  <si>
    <t>2014-01-13</t>
  </si>
  <si>
    <t>2014-01-27</t>
  </si>
  <si>
    <t>2014-02-03</t>
  </si>
  <si>
    <t>2014-02-10</t>
  </si>
  <si>
    <t>2014-02-24</t>
  </si>
  <si>
    <t>2014-03-03</t>
  </si>
  <si>
    <t>2014-03-10</t>
  </si>
  <si>
    <t>2014-03-17</t>
  </si>
  <si>
    <t>2014-03-24</t>
  </si>
  <si>
    <t>2014-03-31</t>
  </si>
  <si>
    <t>2014-04-07</t>
  </si>
  <si>
    <t>2014-04-14</t>
  </si>
  <si>
    <t>2014-04-21</t>
  </si>
  <si>
    <t>2014-04-28</t>
  </si>
  <si>
    <t>2014-05-05</t>
  </si>
  <si>
    <t>2014-05-12</t>
  </si>
  <si>
    <t>2014-05-19</t>
  </si>
  <si>
    <t>2014-06-02</t>
  </si>
  <si>
    <t>2014-06-09</t>
  </si>
  <si>
    <t>2014-06-16</t>
  </si>
  <si>
    <t>2014-06-23</t>
  </si>
  <si>
    <t>2014-06-30</t>
  </si>
  <si>
    <t>2014-07-07</t>
  </si>
  <si>
    <t>2014-07-14</t>
  </si>
  <si>
    <t>2014-07-21</t>
  </si>
  <si>
    <t>2014-07-28</t>
  </si>
  <si>
    <t>2014-08-04</t>
  </si>
  <si>
    <t>2014-08-11</t>
  </si>
  <si>
    <t>2014-08-18</t>
  </si>
  <si>
    <t>2014-08-25</t>
  </si>
  <si>
    <t>2014-09-08</t>
  </si>
  <si>
    <t>2014-09-15</t>
  </si>
  <si>
    <t>2014-09-22</t>
  </si>
  <si>
    <t>2014-09-29</t>
  </si>
  <si>
    <t>2014-10-06</t>
  </si>
  <si>
    <t>2014-10-20</t>
  </si>
  <si>
    <t>2014-10-27</t>
  </si>
  <si>
    <t>2014-11-03</t>
  </si>
  <si>
    <t>2014-11-10</t>
  </si>
  <si>
    <t>2014-11-17</t>
  </si>
  <si>
    <t>2014-12-01</t>
  </si>
  <si>
    <t>2014-12-08</t>
  </si>
  <si>
    <t>2014-12-15</t>
  </si>
  <si>
    <t>2015-01-05</t>
  </si>
  <si>
    <t>2015-01-12</t>
  </si>
  <si>
    <t>2015-01-26</t>
  </si>
  <si>
    <t>2015-02-02</t>
  </si>
  <si>
    <t>2012-11-16</t>
  </si>
  <si>
    <t>2013-06-28</t>
  </si>
  <si>
    <t>2013-11-22</t>
  </si>
  <si>
    <t>2014-11-21</t>
  </si>
  <si>
    <t>2014-12-19</t>
  </si>
  <si>
    <t>2014-12-26</t>
  </si>
  <si>
    <t>2012-04-06</t>
  </si>
  <si>
    <t>2012-04-13</t>
  </si>
  <si>
    <t>2012-04-20</t>
  </si>
  <si>
    <t>2012-04-27</t>
  </si>
  <si>
    <t>2012-05-04</t>
  </si>
  <si>
    <t>2012-05-11</t>
  </si>
  <si>
    <t>2012-05-18</t>
  </si>
  <si>
    <t>2012-05-25</t>
  </si>
  <si>
    <t>2012-06-01</t>
  </si>
  <si>
    <t>2012-06-08</t>
  </si>
  <si>
    <t>2012-06-15</t>
  </si>
  <si>
    <t>2012-06-22</t>
  </si>
  <si>
    <t>2012-06-29</t>
  </si>
  <si>
    <t>2012-07-06</t>
  </si>
  <si>
    <t>2012-07-13</t>
  </si>
  <si>
    <t>2012-07-20</t>
  </si>
  <si>
    <t>2012-07-27</t>
  </si>
  <si>
    <t>2012-08-03</t>
  </si>
  <si>
    <t>2012-08-10</t>
  </si>
  <si>
    <t>2012-08-17</t>
  </si>
  <si>
    <t>2012-08-24</t>
  </si>
  <si>
    <t>2012-08-31</t>
  </si>
  <si>
    <t>2012-09-07</t>
  </si>
  <si>
    <t>2012-09-14</t>
  </si>
  <si>
    <t>2012-09-21</t>
  </si>
  <si>
    <t>2012-09-28</t>
  </si>
  <si>
    <t>2012-10-05</t>
  </si>
  <si>
    <t>2012-10-12</t>
  </si>
  <si>
    <t>2012-10-19</t>
  </si>
  <si>
    <t>2012-10-26</t>
  </si>
  <si>
    <t>2012-11-02</t>
  </si>
  <si>
    <t>2012-11-09</t>
  </si>
  <si>
    <t>2012-11-15</t>
  </si>
  <si>
    <t>2012-11-23</t>
  </si>
  <si>
    <t>2012-11-30</t>
  </si>
  <si>
    <t>2012-12-07</t>
  </si>
  <si>
    <t>2012-12-14</t>
  </si>
  <si>
    <t>2012-12-21</t>
  </si>
  <si>
    <t>2012-12-28</t>
  </si>
  <si>
    <t>2013-01-04</t>
  </si>
  <si>
    <t>2013-01-11</t>
  </si>
  <si>
    <t>2013-01-18</t>
  </si>
  <si>
    <t>2013-01-25</t>
  </si>
  <si>
    <t>2013-02-01</t>
  </si>
  <si>
    <t>2013-02-08</t>
  </si>
  <si>
    <t>2013-02-15</t>
  </si>
  <si>
    <t>2013-02-22</t>
  </si>
  <si>
    <t>2013-03-01</t>
  </si>
  <si>
    <t>2013-03-08</t>
  </si>
  <si>
    <t>2013-03-15</t>
  </si>
  <si>
    <t>2013-03-22</t>
  </si>
  <si>
    <t>2013-04-05</t>
  </si>
  <si>
    <t>2013-04-12</t>
  </si>
  <si>
    <t>2013-04-19</t>
  </si>
  <si>
    <t>2013-04-26</t>
  </si>
  <si>
    <t>2013-05-03</t>
  </si>
  <si>
    <t>2013-05-10</t>
  </si>
  <si>
    <t>2013-05-17</t>
  </si>
  <si>
    <t>2013-05-24</t>
  </si>
  <si>
    <t>2013-05-31</t>
  </si>
  <si>
    <t>2013-06-07</t>
  </si>
  <si>
    <t>2013-06-14</t>
  </si>
  <si>
    <t>2013-06-21</t>
  </si>
  <si>
    <t>2013-06-27</t>
  </si>
  <si>
    <t>2013-07-05</t>
  </si>
  <si>
    <t>2013-07-12</t>
  </si>
  <si>
    <t>2013-07-19</t>
  </si>
  <si>
    <t>2013-07-26</t>
  </si>
  <si>
    <t>2013-08-02</t>
  </si>
  <si>
    <t>2013-08-09</t>
  </si>
  <si>
    <t>2013-08-16</t>
  </si>
  <si>
    <t>2013-08-23</t>
  </si>
  <si>
    <t>2013-08-30</t>
  </si>
  <si>
    <t>2013-09-06</t>
  </si>
  <si>
    <t>2013-09-13</t>
  </si>
  <si>
    <t>2013-09-20</t>
  </si>
  <si>
    <t>2013-09-27</t>
  </si>
  <si>
    <t>2013-10-04</t>
  </si>
  <si>
    <t>2013-10-11</t>
  </si>
  <si>
    <t>2013-10-18</t>
  </si>
  <si>
    <t>2013-10-25</t>
  </si>
  <si>
    <t>2013-11-01</t>
  </si>
  <si>
    <t>2013-11-08</t>
  </si>
  <si>
    <t>2013-11-15</t>
  </si>
  <si>
    <t>2013-11-21</t>
  </si>
  <si>
    <t>2013-11-29</t>
  </si>
  <si>
    <t>2013-12-06</t>
  </si>
  <si>
    <t>2013-12-13</t>
  </si>
  <si>
    <t>2013-12-20</t>
  </si>
  <si>
    <t>2013-12-27</t>
  </si>
  <si>
    <t>2014-01-03</t>
  </si>
  <si>
    <t>2014-01-10</t>
  </si>
  <si>
    <t>2014-01-17</t>
  </si>
  <si>
    <t>2014-01-24</t>
  </si>
  <si>
    <t>2014-01-31</t>
  </si>
  <si>
    <t>2014-02-07</t>
  </si>
  <si>
    <t>2014-02-14</t>
  </si>
  <si>
    <t>2014-02-21</t>
  </si>
  <si>
    <t>2014-02-28</t>
  </si>
  <si>
    <t>2014-03-07</t>
  </si>
  <si>
    <t>2014-03-14</t>
  </si>
  <si>
    <t>2014-03-21</t>
  </si>
  <si>
    <t>2014-03-28</t>
  </si>
  <si>
    <t>2014-04-04</t>
  </si>
  <si>
    <t>2014-04-11</t>
  </si>
  <si>
    <t>2014-04-25</t>
  </si>
  <si>
    <t>2014-05-02</t>
  </si>
  <si>
    <t>2014-05-09</t>
  </si>
  <si>
    <t>2014-05-16</t>
  </si>
  <si>
    <t>2014-05-23</t>
  </si>
  <si>
    <t>2014-05-30</t>
  </si>
  <si>
    <t>2014-06-06</t>
  </si>
  <si>
    <t>2014-06-13</t>
  </si>
  <si>
    <t>2014-06-20</t>
  </si>
  <si>
    <t>2014-06-27</t>
  </si>
  <si>
    <t>2014-07-11</t>
  </si>
  <si>
    <t>2014-07-18</t>
  </si>
  <si>
    <t>2014-07-25</t>
  </si>
  <si>
    <t>2014-08-01</t>
  </si>
  <si>
    <t>2014-08-08</t>
  </si>
  <si>
    <t>2014-08-15</t>
  </si>
  <si>
    <t>2014-08-22</t>
  </si>
  <si>
    <t>2014-08-29</t>
  </si>
  <si>
    <t>2014-09-05</t>
  </si>
  <si>
    <t>2014-09-12</t>
  </si>
  <si>
    <t>2014-09-19</t>
  </si>
  <si>
    <t>2014-09-26</t>
  </si>
  <si>
    <t>2014-10-03</t>
  </si>
  <si>
    <t>2014-10-10</t>
  </si>
  <si>
    <t>2014-10-17</t>
  </si>
  <si>
    <t>2014-10-24</t>
  </si>
  <si>
    <t>2014-10-31</t>
  </si>
  <si>
    <t>2014-11-07</t>
  </si>
  <si>
    <t>2014-11-14</t>
  </si>
  <si>
    <t>2014-11-20</t>
  </si>
  <si>
    <t>2014-11-28</t>
  </si>
  <si>
    <t>2014-12-05</t>
  </si>
  <si>
    <t>2014-12-12</t>
  </si>
  <si>
    <t>2014-12-18</t>
  </si>
  <si>
    <t>2015-01-02</t>
  </si>
  <si>
    <t>2015-01-09</t>
  </si>
  <si>
    <t>2015-01-16</t>
  </si>
  <si>
    <t>2015-01-23</t>
  </si>
  <si>
    <t>2015-01-30</t>
  </si>
  <si>
    <t>2015-02-06</t>
  </si>
  <si>
    <t>2012-04-05</t>
  </si>
  <si>
    <t>2012-04-12</t>
  </si>
  <si>
    <t>2012-04-19</t>
  </si>
  <si>
    <t>2012-04-26</t>
  </si>
  <si>
    <t>2012-05-03</t>
  </si>
  <si>
    <t>2012-05-10</t>
  </si>
  <si>
    <t>2012-05-17</t>
  </si>
  <si>
    <t>2012-05-24</t>
  </si>
  <si>
    <t>2012-05-31</t>
  </si>
  <si>
    <t>2012-06-07</t>
  </si>
  <si>
    <t>2012-06-14</t>
  </si>
  <si>
    <t>2012-06-21</t>
  </si>
  <si>
    <t>2012-06-28</t>
  </si>
  <si>
    <t>2012-07-05</t>
  </si>
  <si>
    <t>2012-07-12</t>
  </si>
  <si>
    <t>2012-07-19</t>
  </si>
  <si>
    <t>2012-07-26</t>
  </si>
  <si>
    <t>2012-08-02</t>
  </si>
  <si>
    <t>2012-08-09</t>
  </si>
  <si>
    <t>2012-08-16</t>
  </si>
  <si>
    <t>2012-08-23</t>
  </si>
  <si>
    <t>2012-08-30</t>
  </si>
  <si>
    <t>2012-09-06</t>
  </si>
  <si>
    <t>2012-09-13</t>
  </si>
  <si>
    <t>2012-09-20</t>
  </si>
  <si>
    <t>2012-09-27</t>
  </si>
  <si>
    <t>2012-10-04</t>
  </si>
  <si>
    <t>2012-10-11</t>
  </si>
  <si>
    <t>2012-10-18</t>
  </si>
  <si>
    <t>2012-10-25</t>
  </si>
  <si>
    <t>2012-11-01</t>
  </si>
  <si>
    <t>2012-11-08</t>
  </si>
  <si>
    <t>2012-11-29</t>
  </si>
  <si>
    <t>2012-12-06</t>
  </si>
  <si>
    <t>2012-12-13</t>
  </si>
  <si>
    <t>2012-12-20</t>
  </si>
  <si>
    <t>2012-12-27</t>
  </si>
  <si>
    <t>2013-01-03</t>
  </si>
  <si>
    <t>2013-01-10</t>
  </si>
  <si>
    <t>2013-01-17</t>
  </si>
  <si>
    <t>2013-01-24</t>
  </si>
  <si>
    <t>2013-01-31</t>
  </si>
  <si>
    <t>2013-02-07</t>
  </si>
  <si>
    <t>2013-02-14</t>
  </si>
  <si>
    <t>2013-02-21</t>
  </si>
  <si>
    <t>2013-02-28</t>
  </si>
  <si>
    <t>2013-03-07</t>
  </si>
  <si>
    <t>2013-03-14</t>
  </si>
  <si>
    <t>2013-03-21</t>
  </si>
  <si>
    <t>2013-03-28</t>
  </si>
  <si>
    <t>2013-04-04</t>
  </si>
  <si>
    <t>2013-04-11</t>
  </si>
  <si>
    <t>2013-04-18</t>
  </si>
  <si>
    <t>2013-04-25</t>
  </si>
  <si>
    <t>2013-05-02</t>
  </si>
  <si>
    <t>2013-05-09</t>
  </si>
  <si>
    <t>2013-05-16</t>
  </si>
  <si>
    <t>2013-05-23</t>
  </si>
  <si>
    <t>2013-05-30</t>
  </si>
  <si>
    <t>2013-06-06</t>
  </si>
  <si>
    <t>2013-06-13</t>
  </si>
  <si>
    <t>2013-06-20</t>
  </si>
  <si>
    <t>2013-07-11</t>
  </si>
  <si>
    <t>2013-07-18</t>
  </si>
  <si>
    <t>2013-07-25</t>
  </si>
  <si>
    <t>2013-08-01</t>
  </si>
  <si>
    <t>2013-08-08</t>
  </si>
  <si>
    <t>2013-08-15</t>
  </si>
  <si>
    <t>2013-08-22</t>
  </si>
  <si>
    <t>2013-08-29</t>
  </si>
  <si>
    <t>2013-09-05</t>
  </si>
  <si>
    <t>2013-09-12</t>
  </si>
  <si>
    <t>2013-09-19</t>
  </si>
  <si>
    <t>2013-09-26</t>
  </si>
  <si>
    <t>2013-10-03</t>
  </si>
  <si>
    <t>2013-10-10</t>
  </si>
  <si>
    <t>2013-10-17</t>
  </si>
  <si>
    <t>2013-10-24</t>
  </si>
  <si>
    <t>2013-10-31</t>
  </si>
  <si>
    <t>2013-11-07</t>
  </si>
  <si>
    <t>2013-11-14</t>
  </si>
  <si>
    <t>2013-12-05</t>
  </si>
  <si>
    <t>2013-12-12</t>
  </si>
  <si>
    <t>2013-12-19</t>
  </si>
  <si>
    <t>2013-12-26</t>
  </si>
  <si>
    <t>2014-01-02</t>
  </si>
  <si>
    <t>2014-01-09</t>
  </si>
  <si>
    <t>2014-01-16</t>
  </si>
  <si>
    <t>2014-01-23</t>
  </si>
  <si>
    <t>2014-01-30</t>
  </si>
  <si>
    <t>2014-02-06</t>
  </si>
  <si>
    <t>2014-02-13</t>
  </si>
  <si>
    <t>2014-02-20</t>
  </si>
  <si>
    <t>2014-02-27</t>
  </si>
  <si>
    <t>2014-03-06</t>
  </si>
  <si>
    <t>2014-03-13</t>
  </si>
  <si>
    <t>2014-03-20</t>
  </si>
  <si>
    <t>2014-03-27</t>
  </si>
  <si>
    <t>2014-04-03</t>
  </si>
  <si>
    <t>2014-04-10</t>
  </si>
  <si>
    <t>2014-04-17</t>
  </si>
  <si>
    <t>2014-04-24</t>
  </si>
  <si>
    <t>2014-05-01</t>
  </si>
  <si>
    <t>2014-05-08</t>
  </si>
  <si>
    <t>2014-05-15</t>
  </si>
  <si>
    <t>2014-05-22</t>
  </si>
  <si>
    <t>2014-05-29</t>
  </si>
  <si>
    <t>2014-06-05</t>
  </si>
  <si>
    <t>2014-06-12</t>
  </si>
  <si>
    <t>2014-06-19</t>
  </si>
  <si>
    <t>2014-06-26</t>
  </si>
  <si>
    <t>2014-07-03</t>
  </si>
  <si>
    <t>2014-07-10</t>
  </si>
  <si>
    <t>2014-07-17</t>
  </si>
  <si>
    <t>2014-07-24</t>
  </si>
  <si>
    <t>2014-07-31</t>
  </si>
  <si>
    <t>2014-08-07</t>
  </si>
  <si>
    <t>2014-08-14</t>
  </si>
  <si>
    <t>2014-08-21</t>
  </si>
  <si>
    <t>2014-08-28</t>
  </si>
  <si>
    <t>2014-09-04</t>
  </si>
  <si>
    <t>2014-09-11</t>
  </si>
  <si>
    <t>2014-09-18</t>
  </si>
  <si>
    <t>2014-09-25</t>
  </si>
  <si>
    <t>2014-10-02</t>
  </si>
  <si>
    <t>2014-10-09</t>
  </si>
  <si>
    <t>2014-10-16</t>
  </si>
  <si>
    <t>2014-10-23</t>
  </si>
  <si>
    <t>2014-10-30</t>
  </si>
  <si>
    <t>2014-11-06</t>
  </si>
  <si>
    <t>2014-11-13</t>
  </si>
  <si>
    <t>2014-12-04</t>
  </si>
  <si>
    <t>2014-12-11</t>
  </si>
  <si>
    <t>2014-12-24</t>
  </si>
  <si>
    <t>2015-01-08</t>
  </si>
  <si>
    <t>2015-01-15</t>
  </si>
  <si>
    <t>2015-01-22</t>
  </si>
  <si>
    <t>2015-01-29</t>
  </si>
  <si>
    <t>2015-02-05</t>
  </si>
  <si>
    <t>Current Coupon Query</t>
  </si>
  <si>
    <t>Grand Total</t>
  </si>
  <si>
    <t>Accumulated Weighted CC</t>
  </si>
  <si>
    <t>AccumulatedWeight</t>
  </si>
  <si>
    <t>Servicing Spread</t>
  </si>
  <si>
    <t>(Multiple Items)</t>
  </si>
  <si>
    <t xml:space="preserve">Servicing Spread </t>
  </si>
  <si>
    <t>FHLMC Survey Rate</t>
  </si>
  <si>
    <t>Servicing Spread Non-Zero</t>
  </si>
  <si>
    <t>1M Rate Chg</t>
  </si>
  <si>
    <t>3M Rate Chg</t>
  </si>
  <si>
    <t>6M Rate Chg</t>
  </si>
  <si>
    <t>1Y Rate Chg</t>
  </si>
  <si>
    <t>Servicing Spread (bps)</t>
  </si>
  <si>
    <t>1D Rate</t>
  </si>
  <si>
    <t>1W Rate</t>
  </si>
  <si>
    <t>1M Rate</t>
  </si>
  <si>
    <t>3M Rate</t>
  </si>
  <si>
    <t>6M Rate</t>
  </si>
  <si>
    <t>1Y Rate</t>
  </si>
  <si>
    <t>PROD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</si>
  <si>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</si>
  <si>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</si>
  <si>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</si>
  <si>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</si>
  <si>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</si>
  <si>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</si>
  <si>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</si>
  <si>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</si>
  <si>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</si>
  <si>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</si>
  <si>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</si>
  <si>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</si>
  <si>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</si>
  <si>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</si>
  <si>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</si>
  <si>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</si>
  <si>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</si>
  <si>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Last Survey Date</t>
  </si>
  <si>
    <t>One Day Before Last Survey Date</t>
  </si>
  <si>
    <t>Last Survey Date: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</si>
  <si>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</si>
  <si>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</si>
  <si>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</si>
  <si>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</si>
  <si>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</si>
  <si>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</si>
  <si>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</si>
  <si>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</si>
  <si>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</si>
  <si>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</si>
  <si>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Servicing Spread 1m chg</t>
  </si>
  <si>
    <t>Row Labels</t>
  </si>
  <si>
    <t>Servicing Spread chg</t>
  </si>
  <si>
    <t>1W Rate Chg (bps)</t>
  </si>
  <si>
    <t>AsOf</t>
  </si>
  <si>
    <t>Survey Rate 1m chg</t>
  </si>
  <si>
    <t>Survey Rate chg</t>
  </si>
  <si>
    <t>Servicing Spread Chg</t>
  </si>
  <si>
    <t>FHLMC Survey Rate Chg</t>
  </si>
  <si>
    <t>Report Folder</t>
  </si>
  <si>
    <t>S:\IT\Production\Daily Reports\Primary Market\tmp\</t>
  </si>
  <si>
    <t xml:space="preserve">Implied Servicing Spread </t>
  </si>
  <si>
    <t>1-point FHLMC Survey Rate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</si>
  <si>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</si>
  <si>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</si>
  <si>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</si>
  <si>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</si>
  <si>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</si>
  <si>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</si>
  <si>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</si>
  <si>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</si>
  <si>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</si>
  <si>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</si>
  <si>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</si>
  <si>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</si>
  <si>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</si>
  <si>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</si>
  <si>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</si>
  <si>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</si>
  <si>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</si>
  <si>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</si>
  <si>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</si>
  <si>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</si>
  <si>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</si>
  <si>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</si>
  <si>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</si>
  <si>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</si>
  <si>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</si>
  <si>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</si>
  <si>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</si>
  <si>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</si>
  <si>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</si>
  <si>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</si>
  <si>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</si>
  <si>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</si>
  <si>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</si>
  <si>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</si>
  <si>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</si>
  <si>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</si>
  <si>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</si>
  <si>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</si>
  <si>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</si>
  <si>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</si>
  <si>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</si>
  <si>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</si>
  <si>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</si>
  <si>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</si>
  <si>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</si>
  <si>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</si>
  <si>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</si>
  <si>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</si>
  <si>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</si>
  <si>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</si>
  <si>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</si>
  <si>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</si>
  <si>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</si>
  <si>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</si>
  <si>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</si>
  <si>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</si>
  <si>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</si>
  <si>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</si>
  <si>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</si>
  <si>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</si>
  <si>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</si>
  <si>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</si>
  <si>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</si>
  <si>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</si>
  <si>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</si>
  <si>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</si>
  <si>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</si>
  <si>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</si>
  <si>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</si>
  <si>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Changes</t>
  </si>
  <si>
    <t>2015-06-25</t>
  </si>
  <si>
    <t>2015-06-26</t>
  </si>
  <si>
    <t>2015-06-29</t>
  </si>
  <si>
    <t>2015-06-30</t>
  </si>
  <si>
    <t>2015-07-01</t>
  </si>
  <si>
    <t>New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</si>
</sst>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</cellStyleXfs>
  <cellXfs count="47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127" fillId="40" borderId="0" xfId="350" applyFont="1"/>
    <xf numFmtId="0" fontId="31" fillId="40" borderId="0" xfId="350" applyFont="1"/>
    <xf numFmtId="14" fontId="31" fillId="40" borderId="0" xfId="350" applyNumberFormat="1" applyFont="1"/>
    <xf numFmtId="0" fontId="128" fillId="40" borderId="0" xfId="350" applyFont="1"/>
    <xf numFmtId="14" fontId="0" fillId="0" borderId="0" xfId="0" applyNumberFormat="1"/>
    <xf numFmtId="0" fontId="6" fillId="0" borderId="0" xfId="0" applyFont="1"/>
    <xf numFmtId="14" fontId="129" fillId="40" borderId="0" xfId="350" applyNumberFormat="1" applyFont="1"/>
    <xf numFmtId="0" fontId="130" fillId="0" borderId="0" xfId="0" applyFont="1"/>
    <xf numFmtId="0" fontId="129" fillId="40" borderId="0" xfId="350" applyFont="1"/>
    <xf numFmtId="0" fontId="129" fillId="40" borderId="0" xfId="350" applyNumberFormat="1" applyFont="1"/>
    <xf numFmtId="0" fontId="31" fillId="40" borderId="0" xfId="35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1" fillId="40" borderId="0" xfId="350" applyFont="1" applyAlignment="1">
      <alignment horizontal="center"/>
    </xf>
    <xf numFmtId="0" fontId="129" fillId="40" borderId="0" xfId="350" applyFont="1" applyAlignment="1">
      <alignment horizontal="center"/>
    </xf>
    <xf numFmtId="164" fontId="131" fillId="51" borderId="38" xfId="0" applyNumberFormat="1" applyFont="1" applyFill="1" applyBorder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0" fontId="0" fillId="0" borderId="38" xfId="0" applyBorder="1"/>
    <xf numFmtId="164" fontId="6" fillId="0" borderId="38" xfId="1" applyNumberFormat="1" applyFont="1" applyBorder="1" applyAlignment="1">
      <alignment horizontal="left"/>
    </xf>
    <xf numFmtId="0" fontId="4" fillId="7" borderId="39" xfId="0" applyFont="1" applyFill="1" applyBorder="1" applyAlignment="1">
      <alignment horizontal="center" wrapText="1"/>
    </xf>
    <xf numFmtId="164" fontId="131" fillId="51" borderId="40" xfId="0" applyNumberFormat="1" applyFont="1" applyFill="1" applyBorder="1" applyAlignment="1">
      <alignment horizontal="center"/>
    </xf>
    <xf numFmtId="0" fontId="0" fillId="0" borderId="39" xfId="0" applyBorder="1"/>
    <xf numFmtId="164" fontId="131" fillId="51" borderId="39" xfId="0" applyNumberFormat="1" applyFont="1" applyFill="1" applyBorder="1" applyAlignment="1">
      <alignment horizontal="center"/>
    </xf>
    <xf numFmtId="164" fontId="131" fillId="51" borderId="41" xfId="0" applyNumberFormat="1" applyFont="1" applyFill="1" applyBorder="1" applyAlignment="1">
      <alignment horizontal="center"/>
    </xf>
    <xf numFmtId="177" fontId="6" fillId="0" borderId="38" xfId="1" applyNumberFormat="1" applyFont="1" applyBorder="1" applyAlignment="1">
      <alignment horizontal="center"/>
    </xf>
    <xf numFmtId="164" fontId="131" fillId="51" borderId="38" xfId="0" applyNumberFormat="1" applyFont="1" applyFill="1" applyBorder="1" applyAlignment="1">
      <alignment horizontal="left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0" fontId="132" fillId="0" borderId="0" xfId="0" applyFont="1"/>
    <xf numFmtId="0" fontId="133" fillId="0" borderId="0" xfId="0" applyFont="1"/>
    <xf numFmtId="14" fontId="133" fillId="0" borderId="0" xfId="0" applyNumberFormat="1" applyFont="1" applyAlignment="1">
      <alignment horizontal="center"/>
    </xf>
    <xf numFmtId="14" fontId="31" fillId="52" borderId="0" xfId="350" applyNumberFormat="1" applyFont="1" applyFill="1"/>
    <xf numFmtId="0" fontId="6" fillId="52" borderId="0" xfId="0" applyFont="1" applyFill="1"/>
    <xf numFmtId="0" fontId="134" fillId="52" borderId="0" xfId="0" applyFont="1" applyFill="1"/>
    <xf numFmtId="164" fontId="0" fillId="0" borderId="0" xfId="0" applyNumberFormat="1"/>
    <xf numFmtId="14" fontId="135" fillId="52" borderId="0" xfId="350" applyNumberFormat="1" applyFont="1" applyFill="1"/>
    <xf numFmtId="0" fontId="136" fillId="52" borderId="0" xfId="0" applyFont="1" applyFill="1"/>
    <xf numFmtId="0" fontId="136" fillId="0" borderId="0" xfId="0" applyFont="1"/>
    <xf numFmtId="0" fontId="135" fillId="40" borderId="0" xfId="350" applyNumberFormat="1" applyFont="1"/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6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D275C"/>
      <color rgb="FF2E398A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Week Changes (bps) - Recent Two Months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'Historic Change'!$C$9</c:f>
              <c:strCache>
                <c:ptCount val="1"/>
                <c:pt idx="0">
                  <c:v>Servicing Spread Chg</c:v>
                </c:pt>
              </c:strCache>
            </c:strRef>
          </c:tx>
          <c:spPr>
            <a:solidFill>
              <a:srgbClr val="2E398A"/>
            </a:solidFill>
            <a:ln>
              <a:solidFill>
                <a:srgbClr val="2E398A"/>
              </a:solidFill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2015-07-01</c:v>
                </c:pt>
                <c:pt idx="1">
                  <c:v>2015-06-24</c:v>
                </c:pt>
                <c:pt idx="2">
                  <c:v>2015-06-17</c:v>
                </c:pt>
                <c:pt idx="3">
                  <c:v>2015-06-10</c:v>
                </c:pt>
                <c:pt idx="4">
                  <c:v>2015-06-03</c:v>
                </c:pt>
                <c:pt idx="5">
                  <c:v>2015-05-27</c:v>
                </c:pt>
                <c:pt idx="6">
                  <c:v>2015-05-20</c:v>
                </c:pt>
                <c:pt idx="7">
                  <c:v>2015-05-13</c:v>
                </c:pt>
                <c:pt idx="8">
                  <c:v>2015-05-06</c:v>
                </c:pt>
              </c:strCache>
            </c:strRef>
          </c:cat>
          <c:val>
            <c:numRef>
              <c:f>'Historic Change'!$C$10:$C$18</c:f>
              <c:numCache>
                <c:formatCode>0.0</c:formatCode>
                <c:ptCount val="9"/>
                <c:pt idx="0">
                  <c:v>-2.9210476155082876</c:v>
                </c:pt>
                <c:pt idx="1">
                  <c:v>2.4092884957021443</c:v>
                </c:pt>
                <c:pt idx="2">
                  <c:v>2.4456070852163059</c:v>
                </c:pt>
                <c:pt idx="3">
                  <c:v>-2.1840425541437725</c:v>
                </c:pt>
                <c:pt idx="4">
                  <c:v>-5.3468289754485809</c:v>
                </c:pt>
                <c:pt idx="5">
                  <c:v>3.4011064223236076</c:v>
                </c:pt>
                <c:pt idx="6">
                  <c:v>2.1433680318719617</c:v>
                </c:pt>
                <c:pt idx="7">
                  <c:v>-0.91423908149113053</c:v>
                </c:pt>
                <c:pt idx="8">
                  <c:v>-4.3117266426378364</c:v>
                </c:pt>
              </c:numCache>
            </c:numRef>
          </c:val>
        </c:ser>
        <c:ser>
          <c:idx val="0"/>
          <c:order val="1"/>
          <c:tx>
            <c:strRef>
              <c:f>'Historic Change'!$D$9</c:f>
              <c:strCache>
                <c:ptCount val="1"/>
                <c:pt idx="0">
                  <c:v>FHLMC Survey Rate Chg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'Historic Change'!$B$10:$B$18</c:f>
              <c:strCache>
                <c:ptCount val="9"/>
                <c:pt idx="0">
                  <c:v>2015-07-01</c:v>
                </c:pt>
                <c:pt idx="1">
                  <c:v>2015-06-24</c:v>
                </c:pt>
                <c:pt idx="2">
                  <c:v>2015-06-17</c:v>
                </c:pt>
                <c:pt idx="3">
                  <c:v>2015-06-10</c:v>
                </c:pt>
                <c:pt idx="4">
                  <c:v>2015-06-03</c:v>
                </c:pt>
                <c:pt idx="5">
                  <c:v>2015-05-27</c:v>
                </c:pt>
                <c:pt idx="6">
                  <c:v>2015-05-20</c:v>
                </c:pt>
                <c:pt idx="7">
                  <c:v>2015-05-13</c:v>
                </c:pt>
                <c:pt idx="8">
                  <c:v>2015-05-06</c:v>
                </c:pt>
              </c:strCache>
            </c:strRef>
          </c:cat>
          <c:val>
            <c:numRef>
              <c:f>'Historic Change'!$D$10:$D$18</c:f>
              <c:numCache>
                <c:formatCode>0.0</c:formatCode>
                <c:ptCount val="9"/>
                <c:pt idx="0">
                  <c:v>3.5000000000000586</c:v>
                </c:pt>
                <c:pt idx="1">
                  <c:v>1.9999999999999574</c:v>
                </c:pt>
                <c:pt idx="2">
                  <c:v>-1.5000000000000124</c:v>
                </c:pt>
                <c:pt idx="3">
                  <c:v>16.999999999999993</c:v>
                </c:pt>
                <c:pt idx="4">
                  <c:v>0</c:v>
                </c:pt>
                <c:pt idx="5">
                  <c:v>0.50000000000003375</c:v>
                </c:pt>
                <c:pt idx="6">
                  <c:v>1.499999999999968</c:v>
                </c:pt>
                <c:pt idx="7">
                  <c:v>5.0000000000000266</c:v>
                </c:pt>
                <c:pt idx="8">
                  <c:v>11.999999999999966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438144"/>
        <c:axId val="319247488"/>
      </c:barChart>
      <c:catAx>
        <c:axId val="312438144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319247488"/>
        <c:crosses val="autoZero"/>
        <c:auto val="1"/>
        <c:lblAlgn val="ctr"/>
        <c:lblOffset val="100"/>
        <c:noMultiLvlLbl val="0"/>
      </c:catAx>
      <c:valAx>
        <c:axId val="319247488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Changes (bps)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31243814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[3.Servicing Spread and Survey Rate Master 2015-07-08.xlsm]Dynamic Pivot!PivotTable2</c:name>
    <c:fmtId val="2"/>
  </c:pivotSource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FHLMC Survey Rate  -</a:t>
            </a:r>
            <a:r>
              <a:rPr lang="en-US" sz="1200" baseline="0"/>
              <a:t> </a:t>
            </a:r>
            <a:r>
              <a:rPr lang="en-US" sz="1200"/>
              <a:t>Long Term Trend</a:t>
            </a:r>
          </a:p>
        </c:rich>
      </c:tx>
      <c:layout/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ln w="19050">
            <a:solidFill>
              <a:srgbClr val="2E398A"/>
            </a:solidFill>
          </a:ln>
        </c:spPr>
        <c:marker>
          <c:symbol val="none"/>
        </c:marker>
      </c:pivotFmt>
      <c:pivotFmt>
        <c:idx val="17"/>
        <c:spPr>
          <a:ln w="19050">
            <a:solidFill>
              <a:srgbClr val="AD275C"/>
            </a:solidFill>
            <a:prstDash val="solid"/>
          </a:ln>
        </c:spPr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spPr>
          <a:ln>
            <a:prstDash val="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1"/>
          <c:order val="1"/>
          <c:tx>
            <c:strRef>
              <c:f>'Dynamic Pivot'!$C$3</c:f>
              <c:strCache>
                <c:ptCount val="1"/>
                <c:pt idx="0">
                  <c:v>Implied Servicing Spread 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'Dynamic Pivot'!$A$4:$A$173</c:f>
              <c:strCache>
                <c:ptCount val="169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  <c:pt idx="168">
                  <c:v>2015-07-01</c:v>
                </c:pt>
              </c:strCache>
            </c:strRef>
          </c:cat>
          <c:val>
            <c:numRef>
              <c:f>'Dynamic Pivot'!$C$4:$C$173</c:f>
              <c:numCache>
                <c:formatCode>General</c:formatCode>
                <c:ptCount val="169"/>
                <c:pt idx="0">
                  <c:v>0.85740605792428326</c:v>
                </c:pt>
                <c:pt idx="1">
                  <c:v>0.90892898726938398</c:v>
                </c:pt>
                <c:pt idx="2">
                  <c:v>0.90800277596573187</c:v>
                </c:pt>
                <c:pt idx="3">
                  <c:v>0.91262067011153603</c:v>
                </c:pt>
                <c:pt idx="4">
                  <c:v>0.90097138481057204</c:v>
                </c:pt>
                <c:pt idx="5">
                  <c:v>0.93226042608146331</c:v>
                </c:pt>
                <c:pt idx="6">
                  <c:v>1.0123684617614601</c:v>
                </c:pt>
                <c:pt idx="7">
                  <c:v>0.9549130523202578</c:v>
                </c:pt>
                <c:pt idx="8">
                  <c:v>0.95912365236317143</c:v>
                </c:pt>
                <c:pt idx="9">
                  <c:v>0.96597913618116982</c:v>
                </c:pt>
                <c:pt idx="10">
                  <c:v>0.96884999094910818</c:v>
                </c:pt>
                <c:pt idx="11">
                  <c:v>0.97184038648178994</c:v>
                </c:pt>
                <c:pt idx="12">
                  <c:v>0.99417922391653057</c:v>
                </c:pt>
                <c:pt idx="13">
                  <c:v>1.0216256281574356</c:v>
                </c:pt>
                <c:pt idx="14">
                  <c:v>1.0408564220641514</c:v>
                </c:pt>
                <c:pt idx="15">
                  <c:v>1.113828001384062</c:v>
                </c:pt>
                <c:pt idx="16">
                  <c:v>1.1203370163762019</c:v>
                </c:pt>
                <c:pt idx="17">
                  <c:v>1.0715425606276678</c:v>
                </c:pt>
                <c:pt idx="18">
                  <c:v>1.0263037120360501</c:v>
                </c:pt>
                <c:pt idx="19">
                  <c:v>0.97182588093212185</c:v>
                </c:pt>
                <c:pt idx="20">
                  <c:v>1.0417252559202934</c:v>
                </c:pt>
                <c:pt idx="21">
                  <c:v>1.0794750119876446</c:v>
                </c:pt>
                <c:pt idx="22">
                  <c:v>1.0438632001782735</c:v>
                </c:pt>
                <c:pt idx="23">
                  <c:v>1.14290341735098</c:v>
                </c:pt>
                <c:pt idx="24">
                  <c:v>1.2473596910048554</c:v>
                </c:pt>
                <c:pt idx="25">
                  <c:v>1.2712583065251897</c:v>
                </c:pt>
                <c:pt idx="26">
                  <c:v>1.2313259281931122</c:v>
                </c:pt>
                <c:pt idx="27">
                  <c:v>1.221532633132588</c:v>
                </c:pt>
                <c:pt idx="28">
                  <c:v>1.1294682073968798</c:v>
                </c:pt>
                <c:pt idx="29">
                  <c:v>1.1145028618487873</c:v>
                </c:pt>
                <c:pt idx="30">
                  <c:v>1.1417668460790016</c:v>
                </c:pt>
                <c:pt idx="31">
                  <c:v>1.1833770087833524</c:v>
                </c:pt>
                <c:pt idx="32">
                  <c:v>1.1498863382763274</c:v>
                </c:pt>
                <c:pt idx="33">
                  <c:v>1.1627033991714875</c:v>
                </c:pt>
                <c:pt idx="34">
                  <c:v>1.1892056578850116</c:v>
                </c:pt>
                <c:pt idx="35">
                  <c:v>1.1057047425687876</c:v>
                </c:pt>
                <c:pt idx="36">
                  <c:v>1.0942885560516555</c:v>
                </c:pt>
                <c:pt idx="37">
                  <c:v>1.1063680189480301</c:v>
                </c:pt>
                <c:pt idx="38">
                  <c:v>1.1069595168310897</c:v>
                </c:pt>
                <c:pt idx="39">
                  <c:v>1.0145948608518434</c:v>
                </c:pt>
                <c:pt idx="40">
                  <c:v>1.0141710064866696</c:v>
                </c:pt>
                <c:pt idx="41">
                  <c:v>0.99132234894860982</c:v>
                </c:pt>
                <c:pt idx="42">
                  <c:v>0.94516652064090945</c:v>
                </c:pt>
                <c:pt idx="43">
                  <c:v>0.90384962704580385</c:v>
                </c:pt>
                <c:pt idx="44">
                  <c:v>0.88988438351751764</c:v>
                </c:pt>
                <c:pt idx="45">
                  <c:v>0.8836686136567824</c:v>
                </c:pt>
                <c:pt idx="46">
                  <c:v>0.87581677834386751</c:v>
                </c:pt>
                <c:pt idx="47">
                  <c:v>0.88622952847936753</c:v>
                </c:pt>
                <c:pt idx="48">
                  <c:v>0.86557968848864597</c:v>
                </c:pt>
                <c:pt idx="49">
                  <c:v>0.8393464554548542</c:v>
                </c:pt>
                <c:pt idx="50">
                  <c:v>0.87842756337797567</c:v>
                </c:pt>
                <c:pt idx="51">
                  <c:v>0.89390476749033487</c:v>
                </c:pt>
                <c:pt idx="52">
                  <c:v>0.89712483729844417</c:v>
                </c:pt>
                <c:pt idx="53">
                  <c:v>0.87366480645118783</c:v>
                </c:pt>
                <c:pt idx="54">
                  <c:v>0.91084602973204198</c:v>
                </c:pt>
                <c:pt idx="55">
                  <c:v>0.90495480779242188</c:v>
                </c:pt>
                <c:pt idx="56">
                  <c:v>0.89859093907637577</c:v>
                </c:pt>
                <c:pt idx="57">
                  <c:v>0.82917950097367354</c:v>
                </c:pt>
                <c:pt idx="58">
                  <c:v>0.83189190189967199</c:v>
                </c:pt>
                <c:pt idx="59">
                  <c:v>0.88486679864157303</c:v>
                </c:pt>
                <c:pt idx="60">
                  <c:v>0.87785175594484377</c:v>
                </c:pt>
                <c:pt idx="61">
                  <c:v>0.91416362066455337</c:v>
                </c:pt>
                <c:pt idx="62">
                  <c:v>0.88065906412418204</c:v>
                </c:pt>
                <c:pt idx="63">
                  <c:v>0.98456375260017603</c:v>
                </c:pt>
                <c:pt idx="64">
                  <c:v>0.90503194214895721</c:v>
                </c:pt>
                <c:pt idx="65">
                  <c:v>0.88718035738519019</c:v>
                </c:pt>
                <c:pt idx="66">
                  <c:v>0.87836810718017366</c:v>
                </c:pt>
                <c:pt idx="67">
                  <c:v>0.8928195291848855</c:v>
                </c:pt>
                <c:pt idx="68">
                  <c:v>0.8989221091593893</c:v>
                </c:pt>
                <c:pt idx="69">
                  <c:v>0.88362698207436008</c:v>
                </c:pt>
                <c:pt idx="70">
                  <c:v>0.90499821940306191</c:v>
                </c:pt>
                <c:pt idx="71">
                  <c:v>0.89138719541262024</c:v>
                </c:pt>
                <c:pt idx="72">
                  <c:v>0.84777413248060141</c:v>
                </c:pt>
                <c:pt idx="73">
                  <c:v>0.91072084174458956</c:v>
                </c:pt>
                <c:pt idx="74">
                  <c:v>0.8145678412256081</c:v>
                </c:pt>
                <c:pt idx="75">
                  <c:v>0.84250774755549518</c:v>
                </c:pt>
                <c:pt idx="76">
                  <c:v>0.86603183508412407</c:v>
                </c:pt>
                <c:pt idx="77">
                  <c:v>0.83763999185427762</c:v>
                </c:pt>
                <c:pt idx="78">
                  <c:v>0.84001905618454797</c:v>
                </c:pt>
                <c:pt idx="79">
                  <c:v>0.84753171821839191</c:v>
                </c:pt>
                <c:pt idx="80">
                  <c:v>0.85360660524252374</c:v>
                </c:pt>
                <c:pt idx="81">
                  <c:v>0.86417278846292955</c:v>
                </c:pt>
                <c:pt idx="82">
                  <c:v>0.85197165380436024</c:v>
                </c:pt>
                <c:pt idx="83">
                  <c:v>0.89491633082500721</c:v>
                </c:pt>
                <c:pt idx="84">
                  <c:v>0.81071558225969742</c:v>
                </c:pt>
                <c:pt idx="85">
                  <c:v>0.83723150768357257</c:v>
                </c:pt>
                <c:pt idx="86">
                  <c:v>0.85550847627348992</c:v>
                </c:pt>
                <c:pt idx="87">
                  <c:v>0.83043179444173365</c:v>
                </c:pt>
                <c:pt idx="88">
                  <c:v>0.8660511497503891</c:v>
                </c:pt>
                <c:pt idx="89">
                  <c:v>0.83937775459051833</c:v>
                </c:pt>
                <c:pt idx="90">
                  <c:v>0.88295887871594037</c:v>
                </c:pt>
                <c:pt idx="91">
                  <c:v>0.85129572055250113</c:v>
                </c:pt>
                <c:pt idx="92">
                  <c:v>0.84471417203169974</c:v>
                </c:pt>
                <c:pt idx="93">
                  <c:v>0.86348562078973634</c:v>
                </c:pt>
                <c:pt idx="94">
                  <c:v>0.84322503676377236</c:v>
                </c:pt>
                <c:pt idx="95">
                  <c:v>0.82452595912363202</c:v>
                </c:pt>
                <c:pt idx="96">
                  <c:v>0.82605526303721</c:v>
                </c:pt>
                <c:pt idx="97">
                  <c:v>0.84411844457305207</c:v>
                </c:pt>
                <c:pt idx="98">
                  <c:v>0.88844338887899754</c:v>
                </c:pt>
                <c:pt idx="99">
                  <c:v>0.84227253204870145</c:v>
                </c:pt>
                <c:pt idx="100">
                  <c:v>0.83318476282103004</c:v>
                </c:pt>
                <c:pt idx="101">
                  <c:v>0.82079480253288439</c:v>
                </c:pt>
                <c:pt idx="102">
                  <c:v>0.84709182986651399</c:v>
                </c:pt>
                <c:pt idx="103">
                  <c:v>0.88258708976065581</c:v>
                </c:pt>
                <c:pt idx="104">
                  <c:v>0.85360778295215578</c:v>
                </c:pt>
                <c:pt idx="105">
                  <c:v>0.86274866991849919</c:v>
                </c:pt>
                <c:pt idx="106">
                  <c:v>0.82585339815649306</c:v>
                </c:pt>
                <c:pt idx="107">
                  <c:v>0.86267006166820348</c:v>
                </c:pt>
                <c:pt idx="108">
                  <c:v>0.83878032658738588</c:v>
                </c:pt>
                <c:pt idx="109">
                  <c:v>0.84724827691488036</c:v>
                </c:pt>
                <c:pt idx="110">
                  <c:v>0.83946977676809009</c:v>
                </c:pt>
                <c:pt idx="111">
                  <c:v>0.84409128823692559</c:v>
                </c:pt>
                <c:pt idx="112">
                  <c:v>0.81759330053535173</c:v>
                </c:pt>
                <c:pt idx="113">
                  <c:v>0.83559014848221214</c:v>
                </c:pt>
                <c:pt idx="114">
                  <c:v>0.81375933723712812</c:v>
                </c:pt>
                <c:pt idx="115">
                  <c:v>0.78812707418207362</c:v>
                </c:pt>
                <c:pt idx="116">
                  <c:v>0.80064650220220157</c:v>
                </c:pt>
                <c:pt idx="117">
                  <c:v>0.82509417663536055</c:v>
                </c:pt>
                <c:pt idx="118">
                  <c:v>0.81383103061336382</c:v>
                </c:pt>
                <c:pt idx="119">
                  <c:v>0.84940851846354981</c:v>
                </c:pt>
                <c:pt idx="120">
                  <c:v>0.80388311452594197</c:v>
                </c:pt>
                <c:pt idx="121">
                  <c:v>0.8339038922414912</c:v>
                </c:pt>
                <c:pt idx="122">
                  <c:v>0.84212003389910217</c:v>
                </c:pt>
                <c:pt idx="123">
                  <c:v>0.8307534730727153</c:v>
                </c:pt>
                <c:pt idx="124">
                  <c:v>0.84010646840897341</c:v>
                </c:pt>
                <c:pt idx="125">
                  <c:v>0.87067892107677958</c:v>
                </c:pt>
                <c:pt idx="126">
                  <c:v>0.80679490705007595</c:v>
                </c:pt>
                <c:pt idx="127">
                  <c:v>0.82615699913622809</c:v>
                </c:pt>
                <c:pt idx="128">
                  <c:v>0.82472958838509403</c:v>
                </c:pt>
                <c:pt idx="129">
                  <c:v>0.85375816585871789</c:v>
                </c:pt>
                <c:pt idx="130">
                  <c:v>0.90219902143229191</c:v>
                </c:pt>
                <c:pt idx="131">
                  <c:v>0.91180688712756508</c:v>
                </c:pt>
                <c:pt idx="132">
                  <c:v>0.89511154996298181</c:v>
                </c:pt>
                <c:pt idx="133">
                  <c:v>0.88359443264210391</c:v>
                </c:pt>
                <c:pt idx="134">
                  <c:v>0.86817520738981724</c:v>
                </c:pt>
                <c:pt idx="135">
                  <c:v>0.85345182538145181</c:v>
                </c:pt>
                <c:pt idx="136">
                  <c:v>0.86645888695955975</c:v>
                </c:pt>
                <c:pt idx="137">
                  <c:v>0.8951040141949953</c:v>
                </c:pt>
                <c:pt idx="138">
                  <c:v>0.87366934715331013</c:v>
                </c:pt>
                <c:pt idx="139">
                  <c:v>0.9043131383849321</c:v>
                </c:pt>
                <c:pt idx="140">
                  <c:v>0.87648274738158749</c:v>
                </c:pt>
                <c:pt idx="141">
                  <c:v>0.86246175683130177</c:v>
                </c:pt>
                <c:pt idx="142">
                  <c:v>0.9019264612875304</c:v>
                </c:pt>
                <c:pt idx="143">
                  <c:v>0.94926924716328553</c:v>
                </c:pt>
                <c:pt idx="144">
                  <c:v>0.96240997316998156</c:v>
                </c:pt>
                <c:pt idx="145">
                  <c:v>1.0133311898249322</c:v>
                </c:pt>
                <c:pt idx="146">
                  <c:v>0.98490012917051439</c:v>
                </c:pt>
                <c:pt idx="147">
                  <c:v>1.0111831522740093</c:v>
                </c:pt>
                <c:pt idx="148">
                  <c:v>0.90928562594270579</c:v>
                </c:pt>
                <c:pt idx="149">
                  <c:v>0.875728818326452</c:v>
                </c:pt>
                <c:pt idx="150">
                  <c:v>0.90845864458322145</c:v>
                </c:pt>
                <c:pt idx="151">
                  <c:v>0.85983776942586232</c:v>
                </c:pt>
                <c:pt idx="152">
                  <c:v>0.89554165009332376</c:v>
                </c:pt>
                <c:pt idx="153">
                  <c:v>0.88836167527510357</c:v>
                </c:pt>
                <c:pt idx="154">
                  <c:v>0.92742898162233178</c:v>
                </c:pt>
                <c:pt idx="155">
                  <c:v>0.92071906526186842</c:v>
                </c:pt>
                <c:pt idx="156">
                  <c:v>0.93496156723867019</c:v>
                </c:pt>
                <c:pt idx="157">
                  <c:v>0.96741087135837933</c:v>
                </c:pt>
                <c:pt idx="158">
                  <c:v>0.94210798536828388</c:v>
                </c:pt>
                <c:pt idx="159">
                  <c:v>0.90490640481897167</c:v>
                </c:pt>
                <c:pt idx="160">
                  <c:v>0.8617891383925933</c:v>
                </c:pt>
                <c:pt idx="161">
                  <c:v>0.852646747577682</c:v>
                </c:pt>
                <c:pt idx="162">
                  <c:v>0.87408042789640161</c:v>
                </c:pt>
                <c:pt idx="163">
                  <c:v>0.90809149211963769</c:v>
                </c:pt>
                <c:pt idx="164">
                  <c:v>0.85462320236515188</c:v>
                </c:pt>
                <c:pt idx="165">
                  <c:v>0.83278277682371415</c:v>
                </c:pt>
                <c:pt idx="166">
                  <c:v>0.85723884767587721</c:v>
                </c:pt>
                <c:pt idx="167">
                  <c:v>0.88133173263289866</c:v>
                </c:pt>
                <c:pt idx="168">
                  <c:v>0.85212125647781578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725120"/>
        <c:axId val="314726656"/>
      </c:lineChart>
      <c:lineChart>
        <c:grouping val="standard"/>
        <c:varyColors val="0"/>
        <c:ser>
          <c:idx val="0"/>
          <c:order val="0"/>
          <c:tx>
            <c:strRef>
              <c:f>'Dynamic Pivot'!$B$3</c:f>
              <c:strCache>
                <c:ptCount val="1"/>
                <c:pt idx="0">
                  <c:v>FHLMC Survey Rate</c:v>
                </c:pt>
              </c:strCache>
            </c:strRef>
          </c:tx>
          <c:spPr>
            <a:ln w="19050">
              <a:solidFill>
                <a:srgbClr val="AD275C"/>
              </a:solidFill>
              <a:prstDash val="solid"/>
            </a:ln>
          </c:spPr>
          <c:marker>
            <c:symbol val="none"/>
          </c:marker>
          <c:cat>
            <c:strRef>
              <c:f>'Dynamic Pivot'!$A$4:$A$173</c:f>
              <c:strCache>
                <c:ptCount val="169"/>
                <c:pt idx="0">
                  <c:v>2012-04-11</c:v>
                </c:pt>
                <c:pt idx="1">
                  <c:v>2012-04-18</c:v>
                </c:pt>
                <c:pt idx="2">
                  <c:v>2012-04-25</c:v>
                </c:pt>
                <c:pt idx="3">
                  <c:v>2012-05-02</c:v>
                </c:pt>
                <c:pt idx="4">
                  <c:v>2012-05-09</c:v>
                </c:pt>
                <c:pt idx="5">
                  <c:v>2012-05-16</c:v>
                </c:pt>
                <c:pt idx="6">
                  <c:v>2012-05-23</c:v>
                </c:pt>
                <c:pt idx="7">
                  <c:v>2012-05-30</c:v>
                </c:pt>
                <c:pt idx="8">
                  <c:v>2012-06-06</c:v>
                </c:pt>
                <c:pt idx="9">
                  <c:v>2012-06-13</c:v>
                </c:pt>
                <c:pt idx="10">
                  <c:v>2012-06-20</c:v>
                </c:pt>
                <c:pt idx="11">
                  <c:v>2012-06-27</c:v>
                </c:pt>
                <c:pt idx="12">
                  <c:v>2012-07-03</c:v>
                </c:pt>
                <c:pt idx="13">
                  <c:v>2012-07-11</c:v>
                </c:pt>
                <c:pt idx="14">
                  <c:v>2012-07-18</c:v>
                </c:pt>
                <c:pt idx="15">
                  <c:v>2012-07-25</c:v>
                </c:pt>
                <c:pt idx="16">
                  <c:v>2012-08-01</c:v>
                </c:pt>
                <c:pt idx="17">
                  <c:v>2012-08-08</c:v>
                </c:pt>
                <c:pt idx="18">
                  <c:v>2012-08-15</c:v>
                </c:pt>
                <c:pt idx="19">
                  <c:v>2012-08-22</c:v>
                </c:pt>
                <c:pt idx="20">
                  <c:v>2012-08-29</c:v>
                </c:pt>
                <c:pt idx="21">
                  <c:v>2012-09-05</c:v>
                </c:pt>
                <c:pt idx="22">
                  <c:v>2012-09-12</c:v>
                </c:pt>
                <c:pt idx="23">
                  <c:v>2012-09-19</c:v>
                </c:pt>
                <c:pt idx="24">
                  <c:v>2012-09-26</c:v>
                </c:pt>
                <c:pt idx="25">
                  <c:v>2012-10-03</c:v>
                </c:pt>
                <c:pt idx="26">
                  <c:v>2012-10-10</c:v>
                </c:pt>
                <c:pt idx="27">
                  <c:v>2012-10-17</c:v>
                </c:pt>
                <c:pt idx="28">
                  <c:v>2012-10-24</c:v>
                </c:pt>
                <c:pt idx="29">
                  <c:v>2012-10-31</c:v>
                </c:pt>
                <c:pt idx="30">
                  <c:v>2012-11-07</c:v>
                </c:pt>
                <c:pt idx="31">
                  <c:v>2012-11-14</c:v>
                </c:pt>
                <c:pt idx="32">
                  <c:v>2012-11-20</c:v>
                </c:pt>
                <c:pt idx="33">
                  <c:v>2012-11-28</c:v>
                </c:pt>
                <c:pt idx="34">
                  <c:v>2012-12-05</c:v>
                </c:pt>
                <c:pt idx="35">
                  <c:v>2012-12-12</c:v>
                </c:pt>
                <c:pt idx="36">
                  <c:v>2012-12-19</c:v>
                </c:pt>
                <c:pt idx="37">
                  <c:v>2012-12-26</c:v>
                </c:pt>
                <c:pt idx="38">
                  <c:v>2013-01-02</c:v>
                </c:pt>
                <c:pt idx="39">
                  <c:v>2013-01-09</c:v>
                </c:pt>
                <c:pt idx="40">
                  <c:v>2013-01-16</c:v>
                </c:pt>
                <c:pt idx="41">
                  <c:v>2013-01-23</c:v>
                </c:pt>
                <c:pt idx="42">
                  <c:v>2013-01-30</c:v>
                </c:pt>
                <c:pt idx="43">
                  <c:v>2013-02-06</c:v>
                </c:pt>
                <c:pt idx="44">
                  <c:v>2013-02-13</c:v>
                </c:pt>
                <c:pt idx="45">
                  <c:v>2013-02-20</c:v>
                </c:pt>
                <c:pt idx="46">
                  <c:v>2013-02-27</c:v>
                </c:pt>
                <c:pt idx="47">
                  <c:v>2013-03-06</c:v>
                </c:pt>
                <c:pt idx="48">
                  <c:v>2013-03-13</c:v>
                </c:pt>
                <c:pt idx="49">
                  <c:v>2013-03-20</c:v>
                </c:pt>
                <c:pt idx="50">
                  <c:v>2013-03-27</c:v>
                </c:pt>
                <c:pt idx="51">
                  <c:v>2013-04-03</c:v>
                </c:pt>
                <c:pt idx="52">
                  <c:v>2013-04-10</c:v>
                </c:pt>
                <c:pt idx="53">
                  <c:v>2013-04-17</c:v>
                </c:pt>
                <c:pt idx="54">
                  <c:v>2013-04-24</c:v>
                </c:pt>
                <c:pt idx="55">
                  <c:v>2013-05-01</c:v>
                </c:pt>
                <c:pt idx="56">
                  <c:v>2013-05-08</c:v>
                </c:pt>
                <c:pt idx="57">
                  <c:v>2013-05-15</c:v>
                </c:pt>
                <c:pt idx="58">
                  <c:v>2013-05-22</c:v>
                </c:pt>
                <c:pt idx="59">
                  <c:v>2013-05-29</c:v>
                </c:pt>
                <c:pt idx="60">
                  <c:v>2013-06-05</c:v>
                </c:pt>
                <c:pt idx="61">
                  <c:v>2013-06-12</c:v>
                </c:pt>
                <c:pt idx="62">
                  <c:v>2013-06-19</c:v>
                </c:pt>
                <c:pt idx="63">
                  <c:v>2013-06-26</c:v>
                </c:pt>
                <c:pt idx="64">
                  <c:v>2013-07-02</c:v>
                </c:pt>
                <c:pt idx="65">
                  <c:v>2013-07-10</c:v>
                </c:pt>
                <c:pt idx="66">
                  <c:v>2013-07-17</c:v>
                </c:pt>
                <c:pt idx="67">
                  <c:v>2013-07-24</c:v>
                </c:pt>
                <c:pt idx="68">
                  <c:v>2013-07-31</c:v>
                </c:pt>
                <c:pt idx="69">
                  <c:v>2013-08-07</c:v>
                </c:pt>
                <c:pt idx="70">
                  <c:v>2013-08-14</c:v>
                </c:pt>
                <c:pt idx="71">
                  <c:v>2013-08-21</c:v>
                </c:pt>
                <c:pt idx="72">
                  <c:v>2013-08-28</c:v>
                </c:pt>
                <c:pt idx="73">
                  <c:v>2013-09-04</c:v>
                </c:pt>
                <c:pt idx="74">
                  <c:v>2013-09-11</c:v>
                </c:pt>
                <c:pt idx="75">
                  <c:v>2013-09-18</c:v>
                </c:pt>
                <c:pt idx="76">
                  <c:v>2013-09-25</c:v>
                </c:pt>
                <c:pt idx="77">
                  <c:v>2013-10-02</c:v>
                </c:pt>
                <c:pt idx="78">
                  <c:v>2013-10-09</c:v>
                </c:pt>
                <c:pt idx="79">
                  <c:v>2013-10-16</c:v>
                </c:pt>
                <c:pt idx="80">
                  <c:v>2013-10-23</c:v>
                </c:pt>
                <c:pt idx="81">
                  <c:v>2013-10-30</c:v>
                </c:pt>
                <c:pt idx="82">
                  <c:v>2013-11-06</c:v>
                </c:pt>
                <c:pt idx="83">
                  <c:v>2013-11-13</c:v>
                </c:pt>
                <c:pt idx="84">
                  <c:v>2013-11-20</c:v>
                </c:pt>
                <c:pt idx="85">
                  <c:v>2013-11-26</c:v>
                </c:pt>
                <c:pt idx="86">
                  <c:v>2013-12-04</c:v>
                </c:pt>
                <c:pt idx="87">
                  <c:v>2013-12-11</c:v>
                </c:pt>
                <c:pt idx="88">
                  <c:v>2013-12-18</c:v>
                </c:pt>
                <c:pt idx="89">
                  <c:v>2013-12-24</c:v>
                </c:pt>
                <c:pt idx="90">
                  <c:v>2013-12-31</c:v>
                </c:pt>
                <c:pt idx="91">
                  <c:v>2014-01-08</c:v>
                </c:pt>
                <c:pt idx="92">
                  <c:v>2014-01-15</c:v>
                </c:pt>
                <c:pt idx="93">
                  <c:v>2014-01-22</c:v>
                </c:pt>
                <c:pt idx="94">
                  <c:v>2014-01-29</c:v>
                </c:pt>
                <c:pt idx="95">
                  <c:v>2014-02-05</c:v>
                </c:pt>
                <c:pt idx="96">
                  <c:v>2014-02-12</c:v>
                </c:pt>
                <c:pt idx="97">
                  <c:v>2014-02-19</c:v>
                </c:pt>
                <c:pt idx="98">
                  <c:v>2014-02-26</c:v>
                </c:pt>
                <c:pt idx="99">
                  <c:v>2014-03-05</c:v>
                </c:pt>
                <c:pt idx="100">
                  <c:v>2014-03-12</c:v>
                </c:pt>
                <c:pt idx="101">
                  <c:v>2014-03-19</c:v>
                </c:pt>
                <c:pt idx="102">
                  <c:v>2014-03-26</c:v>
                </c:pt>
                <c:pt idx="103">
                  <c:v>2014-04-02</c:v>
                </c:pt>
                <c:pt idx="104">
                  <c:v>2014-04-09</c:v>
                </c:pt>
                <c:pt idx="105">
                  <c:v>2014-04-16</c:v>
                </c:pt>
                <c:pt idx="106">
                  <c:v>2014-04-23</c:v>
                </c:pt>
                <c:pt idx="107">
                  <c:v>2014-04-30</c:v>
                </c:pt>
                <c:pt idx="108">
                  <c:v>2014-05-07</c:v>
                </c:pt>
                <c:pt idx="109">
                  <c:v>2014-05-14</c:v>
                </c:pt>
                <c:pt idx="110">
                  <c:v>2014-05-21</c:v>
                </c:pt>
                <c:pt idx="111">
                  <c:v>2014-05-28</c:v>
                </c:pt>
                <c:pt idx="112">
                  <c:v>2014-06-04</c:v>
                </c:pt>
                <c:pt idx="113">
                  <c:v>2014-06-11</c:v>
                </c:pt>
                <c:pt idx="114">
                  <c:v>2014-06-18</c:v>
                </c:pt>
                <c:pt idx="115">
                  <c:v>2014-06-25</c:v>
                </c:pt>
                <c:pt idx="116">
                  <c:v>2014-07-02</c:v>
                </c:pt>
                <c:pt idx="117">
                  <c:v>2014-07-09</c:v>
                </c:pt>
                <c:pt idx="118">
                  <c:v>2014-07-16</c:v>
                </c:pt>
                <c:pt idx="119">
                  <c:v>2014-07-23</c:v>
                </c:pt>
                <c:pt idx="120">
                  <c:v>2014-07-30</c:v>
                </c:pt>
                <c:pt idx="121">
                  <c:v>2014-08-06</c:v>
                </c:pt>
                <c:pt idx="122">
                  <c:v>2014-08-13</c:v>
                </c:pt>
                <c:pt idx="123">
                  <c:v>2014-08-20</c:v>
                </c:pt>
                <c:pt idx="124">
                  <c:v>2014-08-27</c:v>
                </c:pt>
                <c:pt idx="125">
                  <c:v>2014-09-03</c:v>
                </c:pt>
                <c:pt idx="126">
                  <c:v>2014-09-10</c:v>
                </c:pt>
                <c:pt idx="127">
                  <c:v>2014-09-17</c:v>
                </c:pt>
                <c:pt idx="128">
                  <c:v>2014-09-24</c:v>
                </c:pt>
                <c:pt idx="129">
                  <c:v>2014-10-01</c:v>
                </c:pt>
                <c:pt idx="130">
                  <c:v>2014-10-08</c:v>
                </c:pt>
                <c:pt idx="131">
                  <c:v>2014-10-15</c:v>
                </c:pt>
                <c:pt idx="132">
                  <c:v>2014-10-22</c:v>
                </c:pt>
                <c:pt idx="133">
                  <c:v>2014-10-29</c:v>
                </c:pt>
                <c:pt idx="134">
                  <c:v>2014-11-05</c:v>
                </c:pt>
                <c:pt idx="135">
                  <c:v>2014-11-12</c:v>
                </c:pt>
                <c:pt idx="136">
                  <c:v>2014-11-19</c:v>
                </c:pt>
                <c:pt idx="137">
                  <c:v>2014-11-25</c:v>
                </c:pt>
                <c:pt idx="138">
                  <c:v>2014-12-03</c:v>
                </c:pt>
                <c:pt idx="139">
                  <c:v>2014-12-10</c:v>
                </c:pt>
                <c:pt idx="140">
                  <c:v>2014-12-17</c:v>
                </c:pt>
                <c:pt idx="141">
                  <c:v>2014-12-24</c:v>
                </c:pt>
                <c:pt idx="142">
                  <c:v>2014-12-30</c:v>
                </c:pt>
                <c:pt idx="143">
                  <c:v>2015-01-07</c:v>
                </c:pt>
                <c:pt idx="144">
                  <c:v>2015-01-14</c:v>
                </c:pt>
                <c:pt idx="145">
                  <c:v>2015-01-21</c:v>
                </c:pt>
                <c:pt idx="146">
                  <c:v>2015-01-28</c:v>
                </c:pt>
                <c:pt idx="147">
                  <c:v>2015-02-04</c:v>
                </c:pt>
                <c:pt idx="148">
                  <c:v>2015-02-11</c:v>
                </c:pt>
                <c:pt idx="149">
                  <c:v>2015-02-18</c:v>
                </c:pt>
                <c:pt idx="150">
                  <c:v>2015-02-25</c:v>
                </c:pt>
                <c:pt idx="151">
                  <c:v>2015-03-04</c:v>
                </c:pt>
                <c:pt idx="152">
                  <c:v>2015-03-11</c:v>
                </c:pt>
                <c:pt idx="153">
                  <c:v>2015-03-18</c:v>
                </c:pt>
                <c:pt idx="154">
                  <c:v>2015-03-25</c:v>
                </c:pt>
                <c:pt idx="155">
                  <c:v>2015-04-01</c:v>
                </c:pt>
                <c:pt idx="156">
                  <c:v>2015-04-08</c:v>
                </c:pt>
                <c:pt idx="157">
                  <c:v>2015-04-15</c:v>
                </c:pt>
                <c:pt idx="158">
                  <c:v>2015-04-22</c:v>
                </c:pt>
                <c:pt idx="159">
                  <c:v>2015-04-29</c:v>
                </c:pt>
                <c:pt idx="160">
                  <c:v>2015-05-06</c:v>
                </c:pt>
                <c:pt idx="161">
                  <c:v>2015-05-13</c:v>
                </c:pt>
                <c:pt idx="162">
                  <c:v>2015-05-20</c:v>
                </c:pt>
                <c:pt idx="163">
                  <c:v>2015-05-27</c:v>
                </c:pt>
                <c:pt idx="164">
                  <c:v>2015-06-03</c:v>
                </c:pt>
                <c:pt idx="165">
                  <c:v>2015-06-10</c:v>
                </c:pt>
                <c:pt idx="166">
                  <c:v>2015-06-17</c:v>
                </c:pt>
                <c:pt idx="167">
                  <c:v>2015-06-24</c:v>
                </c:pt>
                <c:pt idx="168">
                  <c:v>2015-07-01</c:v>
                </c:pt>
              </c:strCache>
            </c:strRef>
          </c:cat>
          <c:val>
            <c:numRef>
              <c:f>'Dynamic Pivot'!$B$4:$B$173</c:f>
              <c:numCache>
                <c:formatCode>General</c:formatCode>
                <c:ptCount val="169"/>
                <c:pt idx="0">
                  <c:v>3.8049999999999997</c:v>
                </c:pt>
                <c:pt idx="1">
                  <c:v>3.85</c:v>
                </c:pt>
                <c:pt idx="2">
                  <c:v>3.8049999999999997</c:v>
                </c:pt>
                <c:pt idx="3">
                  <c:v>3.79</c:v>
                </c:pt>
                <c:pt idx="4">
                  <c:v>3.7549999999999999</c:v>
                </c:pt>
                <c:pt idx="5">
                  <c:v>3.7149999999999999</c:v>
                </c:pt>
                <c:pt idx="6">
                  <c:v>3.73</c:v>
                </c:pt>
                <c:pt idx="7">
                  <c:v>3.7</c:v>
                </c:pt>
                <c:pt idx="8">
                  <c:v>3.5949999999999998</c:v>
                </c:pt>
                <c:pt idx="9">
                  <c:v>3.6349999999999998</c:v>
                </c:pt>
                <c:pt idx="10">
                  <c:v>3.585</c:v>
                </c:pt>
                <c:pt idx="11">
                  <c:v>3.585</c:v>
                </c:pt>
                <c:pt idx="12">
                  <c:v>3.5700000000000003</c:v>
                </c:pt>
                <c:pt idx="13">
                  <c:v>3.4849999999999999</c:v>
                </c:pt>
                <c:pt idx="14">
                  <c:v>3.4549999999999996</c:v>
                </c:pt>
                <c:pt idx="15">
                  <c:v>3.415</c:v>
                </c:pt>
                <c:pt idx="16">
                  <c:v>3.4749999999999996</c:v>
                </c:pt>
                <c:pt idx="17">
                  <c:v>3.4899999999999998</c:v>
                </c:pt>
                <c:pt idx="18">
                  <c:v>3.52</c:v>
                </c:pt>
                <c:pt idx="19">
                  <c:v>3.585</c:v>
                </c:pt>
                <c:pt idx="20">
                  <c:v>3.4899999999999998</c:v>
                </c:pt>
                <c:pt idx="21">
                  <c:v>3.4749999999999996</c:v>
                </c:pt>
                <c:pt idx="22">
                  <c:v>3.4499999999999997</c:v>
                </c:pt>
                <c:pt idx="23">
                  <c:v>3.39</c:v>
                </c:pt>
                <c:pt idx="24">
                  <c:v>3.3</c:v>
                </c:pt>
                <c:pt idx="25">
                  <c:v>3.26</c:v>
                </c:pt>
                <c:pt idx="26">
                  <c:v>3.3149999999999999</c:v>
                </c:pt>
                <c:pt idx="27">
                  <c:v>3.2949999999999999</c:v>
                </c:pt>
                <c:pt idx="28">
                  <c:v>3.335</c:v>
                </c:pt>
                <c:pt idx="29">
                  <c:v>3.3149999999999999</c:v>
                </c:pt>
                <c:pt idx="30">
                  <c:v>3.3249999999999997</c:v>
                </c:pt>
                <c:pt idx="31">
                  <c:v>3.2649999999999997</c:v>
                </c:pt>
                <c:pt idx="32">
                  <c:v>3.2349999999999999</c:v>
                </c:pt>
                <c:pt idx="33">
                  <c:v>3.27</c:v>
                </c:pt>
                <c:pt idx="34">
                  <c:v>3.2649999999999997</c:v>
                </c:pt>
                <c:pt idx="35">
                  <c:v>3.2449999999999997</c:v>
                </c:pt>
                <c:pt idx="36">
                  <c:v>3.2949999999999999</c:v>
                </c:pt>
                <c:pt idx="37">
                  <c:v>3.2749999999999999</c:v>
                </c:pt>
                <c:pt idx="38">
                  <c:v>3.2649999999999997</c:v>
                </c:pt>
                <c:pt idx="39">
                  <c:v>3.3249999999999997</c:v>
                </c:pt>
                <c:pt idx="40">
                  <c:v>3.3049999999999997</c:v>
                </c:pt>
                <c:pt idx="41">
                  <c:v>3.3449999999999998</c:v>
                </c:pt>
                <c:pt idx="42">
                  <c:v>3.4549999999999996</c:v>
                </c:pt>
                <c:pt idx="43">
                  <c:v>3.48</c:v>
                </c:pt>
                <c:pt idx="44">
                  <c:v>3.48</c:v>
                </c:pt>
                <c:pt idx="45">
                  <c:v>3.5100000000000002</c:v>
                </c:pt>
                <c:pt idx="46">
                  <c:v>3.46</c:v>
                </c:pt>
                <c:pt idx="47">
                  <c:v>3.4449999999999998</c:v>
                </c:pt>
                <c:pt idx="48">
                  <c:v>3.58</c:v>
                </c:pt>
                <c:pt idx="49">
                  <c:v>3.49</c:v>
                </c:pt>
                <c:pt idx="50">
                  <c:v>3.52</c:v>
                </c:pt>
                <c:pt idx="51">
                  <c:v>3.49</c:v>
                </c:pt>
                <c:pt idx="52">
                  <c:v>3.3800000000000003</c:v>
                </c:pt>
                <c:pt idx="53">
                  <c:v>3.335</c:v>
                </c:pt>
                <c:pt idx="54">
                  <c:v>3.35</c:v>
                </c:pt>
                <c:pt idx="55">
                  <c:v>3.2749999999999999</c:v>
                </c:pt>
                <c:pt idx="56">
                  <c:v>3.3449999999999998</c:v>
                </c:pt>
                <c:pt idx="57">
                  <c:v>3.4349999999999996</c:v>
                </c:pt>
                <c:pt idx="58">
                  <c:v>3.5149999999999997</c:v>
                </c:pt>
                <c:pt idx="59">
                  <c:v>3.7600000000000002</c:v>
                </c:pt>
                <c:pt idx="60">
                  <c:v>3.835</c:v>
                </c:pt>
                <c:pt idx="61">
                  <c:v>3.9049999999999998</c:v>
                </c:pt>
                <c:pt idx="62">
                  <c:v>3.8800000000000003</c:v>
                </c:pt>
                <c:pt idx="63">
                  <c:v>4.41</c:v>
                </c:pt>
                <c:pt idx="64">
                  <c:v>4.2149999999999999</c:v>
                </c:pt>
                <c:pt idx="65">
                  <c:v>4.46</c:v>
                </c:pt>
                <c:pt idx="66">
                  <c:v>4.2949999999999999</c:v>
                </c:pt>
                <c:pt idx="67">
                  <c:v>4.26</c:v>
                </c:pt>
                <c:pt idx="68">
                  <c:v>4.3149999999999995</c:v>
                </c:pt>
                <c:pt idx="69">
                  <c:v>4.3250000000000002</c:v>
                </c:pt>
                <c:pt idx="70">
                  <c:v>4.3250000000000002</c:v>
                </c:pt>
                <c:pt idx="71">
                  <c:v>4.53</c:v>
                </c:pt>
                <c:pt idx="72">
                  <c:v>4.4349999999999996</c:v>
                </c:pt>
                <c:pt idx="73">
                  <c:v>4.4950000000000001</c:v>
                </c:pt>
                <c:pt idx="74">
                  <c:v>4.5200000000000005</c:v>
                </c:pt>
                <c:pt idx="75">
                  <c:v>4.4249999999999998</c:v>
                </c:pt>
                <c:pt idx="76">
                  <c:v>4.2450000000000001</c:v>
                </c:pt>
                <c:pt idx="77">
                  <c:v>4.1449999999999996</c:v>
                </c:pt>
                <c:pt idx="78">
                  <c:v>4.1550000000000002</c:v>
                </c:pt>
                <c:pt idx="79">
                  <c:v>4.2050000000000001</c:v>
                </c:pt>
                <c:pt idx="80">
                  <c:v>4.08</c:v>
                </c:pt>
                <c:pt idx="81">
                  <c:v>4.0249999999999995</c:v>
                </c:pt>
                <c:pt idx="82">
                  <c:v>4.1100000000000003</c:v>
                </c:pt>
                <c:pt idx="83">
                  <c:v>4.2749999999999995</c:v>
                </c:pt>
                <c:pt idx="84">
                  <c:v>4.1449999999999996</c:v>
                </c:pt>
                <c:pt idx="85">
                  <c:v>4.2149999999999999</c:v>
                </c:pt>
                <c:pt idx="86">
                  <c:v>4.335</c:v>
                </c:pt>
                <c:pt idx="87">
                  <c:v>4.3449999999999998</c:v>
                </c:pt>
                <c:pt idx="88">
                  <c:v>4.3949999999999996</c:v>
                </c:pt>
                <c:pt idx="89">
                  <c:v>4.4050000000000002</c:v>
                </c:pt>
                <c:pt idx="90">
                  <c:v>4.4800000000000004</c:v>
                </c:pt>
                <c:pt idx="91">
                  <c:v>4.4349999999999996</c:v>
                </c:pt>
                <c:pt idx="92">
                  <c:v>4.335</c:v>
                </c:pt>
                <c:pt idx="93">
                  <c:v>4.3149999999999995</c:v>
                </c:pt>
                <c:pt idx="94">
                  <c:v>4.2450000000000001</c:v>
                </c:pt>
                <c:pt idx="95">
                  <c:v>4.1550000000000002</c:v>
                </c:pt>
                <c:pt idx="96">
                  <c:v>4.2050000000000001</c:v>
                </c:pt>
                <c:pt idx="97">
                  <c:v>4.2549999999999999</c:v>
                </c:pt>
                <c:pt idx="98">
                  <c:v>4.2949999999999999</c:v>
                </c:pt>
                <c:pt idx="99">
                  <c:v>4.2050000000000001</c:v>
                </c:pt>
                <c:pt idx="100">
                  <c:v>4.2700000000000005</c:v>
                </c:pt>
                <c:pt idx="101">
                  <c:v>4.2200000000000006</c:v>
                </c:pt>
                <c:pt idx="102">
                  <c:v>4.3000000000000007</c:v>
                </c:pt>
                <c:pt idx="103">
                  <c:v>4.335</c:v>
                </c:pt>
                <c:pt idx="104">
                  <c:v>4.2649999999999997</c:v>
                </c:pt>
                <c:pt idx="105">
                  <c:v>4.1949999999999994</c:v>
                </c:pt>
                <c:pt idx="106">
                  <c:v>4.2300000000000004</c:v>
                </c:pt>
                <c:pt idx="107">
                  <c:v>4.2149999999999999</c:v>
                </c:pt>
                <c:pt idx="108">
                  <c:v>4.1100000000000003</c:v>
                </c:pt>
                <c:pt idx="109">
                  <c:v>4.1000000000000005</c:v>
                </c:pt>
                <c:pt idx="110">
                  <c:v>4.04</c:v>
                </c:pt>
                <c:pt idx="111">
                  <c:v>4.0200000000000005</c:v>
                </c:pt>
                <c:pt idx="112">
                  <c:v>4.0149999999999997</c:v>
                </c:pt>
                <c:pt idx="113">
                  <c:v>4.1000000000000005</c:v>
                </c:pt>
                <c:pt idx="114">
                  <c:v>4.07</c:v>
                </c:pt>
                <c:pt idx="115">
                  <c:v>4.0149999999999997</c:v>
                </c:pt>
                <c:pt idx="116">
                  <c:v>3.9950000000000001</c:v>
                </c:pt>
                <c:pt idx="117">
                  <c:v>4.0750000000000002</c:v>
                </c:pt>
                <c:pt idx="118">
                  <c:v>4.03</c:v>
                </c:pt>
                <c:pt idx="119">
                  <c:v>4.03</c:v>
                </c:pt>
                <c:pt idx="120">
                  <c:v>4.0200000000000005</c:v>
                </c:pt>
                <c:pt idx="121">
                  <c:v>4.0649999999999995</c:v>
                </c:pt>
                <c:pt idx="122">
                  <c:v>4.0200000000000005</c:v>
                </c:pt>
                <c:pt idx="123">
                  <c:v>3.9749999999999996</c:v>
                </c:pt>
                <c:pt idx="124">
                  <c:v>3.9749999999999996</c:v>
                </c:pt>
                <c:pt idx="125">
                  <c:v>3.9749999999999996</c:v>
                </c:pt>
                <c:pt idx="126">
                  <c:v>3.9950000000000001</c:v>
                </c:pt>
                <c:pt idx="127">
                  <c:v>4.1050000000000004</c:v>
                </c:pt>
                <c:pt idx="128">
                  <c:v>4.0750000000000002</c:v>
                </c:pt>
                <c:pt idx="129">
                  <c:v>4.04</c:v>
                </c:pt>
                <c:pt idx="130">
                  <c:v>3.9950000000000001</c:v>
                </c:pt>
                <c:pt idx="131">
                  <c:v>3.8450000000000002</c:v>
                </c:pt>
                <c:pt idx="132">
                  <c:v>3.7949999999999999</c:v>
                </c:pt>
                <c:pt idx="133">
                  <c:v>3.855</c:v>
                </c:pt>
                <c:pt idx="134">
                  <c:v>3.8949999999999996</c:v>
                </c:pt>
                <c:pt idx="135">
                  <c:v>3.8849999999999998</c:v>
                </c:pt>
                <c:pt idx="136">
                  <c:v>3.8650000000000002</c:v>
                </c:pt>
                <c:pt idx="137">
                  <c:v>3.8450000000000002</c:v>
                </c:pt>
                <c:pt idx="138">
                  <c:v>3.7650000000000001</c:v>
                </c:pt>
                <c:pt idx="139">
                  <c:v>3.8050000000000002</c:v>
                </c:pt>
                <c:pt idx="140">
                  <c:v>3.6999999999999997</c:v>
                </c:pt>
                <c:pt idx="141">
                  <c:v>3.77</c:v>
                </c:pt>
                <c:pt idx="142">
                  <c:v>3.77</c:v>
                </c:pt>
                <c:pt idx="143">
                  <c:v>3.63</c:v>
                </c:pt>
                <c:pt idx="144">
                  <c:v>3.56</c:v>
                </c:pt>
                <c:pt idx="145">
                  <c:v>3.5549999999999997</c:v>
                </c:pt>
                <c:pt idx="146">
                  <c:v>3.56</c:v>
                </c:pt>
                <c:pt idx="147">
                  <c:v>3.5149999999999997</c:v>
                </c:pt>
                <c:pt idx="148">
                  <c:v>3.59</c:v>
                </c:pt>
                <c:pt idx="149">
                  <c:v>3.6599999999999997</c:v>
                </c:pt>
                <c:pt idx="150">
                  <c:v>3.6999999999999997</c:v>
                </c:pt>
                <c:pt idx="151">
                  <c:v>3.65</c:v>
                </c:pt>
                <c:pt idx="152">
                  <c:v>3.76</c:v>
                </c:pt>
                <c:pt idx="153">
                  <c:v>3.6799999999999997</c:v>
                </c:pt>
                <c:pt idx="154">
                  <c:v>3.59</c:v>
                </c:pt>
                <c:pt idx="155">
                  <c:v>3.6</c:v>
                </c:pt>
                <c:pt idx="156">
                  <c:v>3.56</c:v>
                </c:pt>
                <c:pt idx="157">
                  <c:v>3.5949999999999998</c:v>
                </c:pt>
                <c:pt idx="158">
                  <c:v>3.55</c:v>
                </c:pt>
                <c:pt idx="159">
                  <c:v>3.58</c:v>
                </c:pt>
                <c:pt idx="160">
                  <c:v>3.6999999999999997</c:v>
                </c:pt>
                <c:pt idx="161">
                  <c:v>3.75</c:v>
                </c:pt>
                <c:pt idx="162">
                  <c:v>3.7649999999999997</c:v>
                </c:pt>
                <c:pt idx="163">
                  <c:v>3.77</c:v>
                </c:pt>
                <c:pt idx="164">
                  <c:v>3.77</c:v>
                </c:pt>
                <c:pt idx="165">
                  <c:v>3.94</c:v>
                </c:pt>
                <c:pt idx="166">
                  <c:v>3.9249999999999998</c:v>
                </c:pt>
                <c:pt idx="167">
                  <c:v>3.9449999999999994</c:v>
                </c:pt>
                <c:pt idx="168">
                  <c:v>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738944"/>
        <c:axId val="314737024"/>
      </c:lineChart>
      <c:catAx>
        <c:axId val="314725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1472665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314726656"/>
        <c:scaling>
          <c:orientation val="minMax"/>
          <c:min val="0.70000000000000007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 Spread (%)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14725120"/>
        <c:crossesAt val="1"/>
        <c:crossBetween val="between"/>
      </c:valAx>
      <c:valAx>
        <c:axId val="314737024"/>
        <c:scaling>
          <c:orientation val="minMax"/>
          <c:min val="3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FHLMC Survey Rate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14738944"/>
        <c:crosses val="max"/>
        <c:crossBetween val="between"/>
      </c:valAx>
      <c:catAx>
        <c:axId val="31473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473702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ervicingSpreadandSurveyRat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814917</xdr:colOff>
      <xdr:row>19</xdr:row>
      <xdr:rowOff>74083</xdr:rowOff>
    </xdr:from>
    <xdr:to>
      <xdr:col>16</xdr:col>
      <xdr:colOff>95250</xdr:colOff>
      <xdr:row>48</xdr:row>
      <xdr:rowOff>84666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269874</xdr:colOff>
      <xdr:row>19</xdr:row>
      <xdr:rowOff>95873</xdr:rowOff>
    </xdr:from>
    <xdr:to>
      <xdr:col>10</xdr:col>
      <xdr:colOff>920748</xdr:colOff>
      <xdr:row>48</xdr:row>
      <xdr:rowOff>140697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148166</xdr:colOff>
      <xdr:row>47</xdr:row>
      <xdr:rowOff>173567</xdr:rowOff>
    </xdr:from>
    <xdr:to>
      <xdr:col>10</xdr:col>
      <xdr:colOff>571500</xdr:colOff>
      <xdr:row>49</xdr:row>
      <xdr:rowOff>14817</xdr:rowOff>
    </xdr:to>
    <xdr:sp macro="" textlink="">
      <xdr:nvSpPr>
        <xdr:cNvPr id="2" name="TextBox 1"/>
        <xdr:cNvSpPr txBox="1"/>
      </xdr:nvSpPr>
      <xdr:spPr>
        <a:xfrm>
          <a:off x="94297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  <xdr:twoCellAnchor>
    <xdr:from>
      <xdr:col>14</xdr:col>
      <xdr:colOff>258232</xdr:colOff>
      <xdr:row>47</xdr:row>
      <xdr:rowOff>173567</xdr:rowOff>
    </xdr:from>
    <xdr:to>
      <xdr:col>16</xdr:col>
      <xdr:colOff>67733</xdr:colOff>
      <xdr:row>49</xdr:row>
      <xdr:rowOff>14817</xdr:rowOff>
    </xdr:to>
    <xdr:sp macro="" textlink="">
      <xdr:nvSpPr>
        <xdr:cNvPr id="7" name="TextBox 6"/>
        <xdr:cNvSpPr txBox="1"/>
      </xdr:nvSpPr>
      <xdr:spPr>
        <a:xfrm>
          <a:off x="14217649" y="9127067"/>
          <a:ext cx="1439334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Freddie Mac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194.429030439816" createdVersion="4" refreshedVersion="4" minRefreshableVersion="3" recordCount="812">
  <cacheSource type="worksheet">
    <worksheetSource name="CurrentMtgRatesDataTable8"/>
  </cacheSource>
  <cacheFields count="13">
    <cacheField name="AsOfDate" numFmtId="14">
      <sharedItems count="807">
        <s v="2012-04-04"/>
        <s v="2012-04-05"/>
        <s v="2012-04-06"/>
        <s v="2012-04-09"/>
        <s v="2012-04-10"/>
        <s v="2012-04-11"/>
        <s v="2012-04-12"/>
        <s v="2012-04-13"/>
        <s v="2012-04-16"/>
        <s v="2012-04-17"/>
        <s v="2012-04-18"/>
        <s v="2012-04-19"/>
        <s v="2012-04-20"/>
        <s v="2012-04-23"/>
        <s v="2012-04-24"/>
        <s v="2012-04-25"/>
        <s v="2012-04-26"/>
        <s v="2012-04-27"/>
        <s v="2012-04-30"/>
        <s v="2012-05-01"/>
        <s v="2012-05-02"/>
        <s v="2012-05-03"/>
        <s v="2012-05-04"/>
        <s v="2012-05-07"/>
        <s v="2012-05-08"/>
        <s v="2012-05-09"/>
        <s v="2012-05-10"/>
        <s v="2012-05-11"/>
        <s v="2012-05-14"/>
        <s v="2012-05-15"/>
        <s v="2012-05-16"/>
        <s v="2012-05-17"/>
        <s v="2012-05-18"/>
        <s v="2012-05-21"/>
        <s v="2012-05-22"/>
        <s v="2012-05-23"/>
        <s v="2012-05-24"/>
        <s v="2012-05-25"/>
        <s v="2012-05-29"/>
        <s v="2012-05-30"/>
        <s v="2012-05-31"/>
        <s v="2012-06-01"/>
        <s v="2012-06-04"/>
        <s v="2012-06-05"/>
        <s v="2012-06-06"/>
        <s v="2012-06-07"/>
        <s v="2012-06-08"/>
        <s v="2012-06-11"/>
        <s v="2012-06-12"/>
        <s v="2012-06-13"/>
        <s v="2012-06-14"/>
        <s v="2012-06-15"/>
        <s v="2012-06-18"/>
        <s v="2012-06-19"/>
        <s v="2012-06-20"/>
        <s v="2012-06-21"/>
        <s v="2012-06-22"/>
        <s v="2012-06-25"/>
        <s v="2012-06-26"/>
        <s v="2012-06-27"/>
        <s v="2012-06-28"/>
        <s v="2012-06-29"/>
        <s v="2012-07-02"/>
        <s v="2012-07-03"/>
        <s v="2012-07-05"/>
        <s v="2012-07-06"/>
        <s v="2012-07-09"/>
        <s v="2012-07-10"/>
        <s v="2012-07-11"/>
        <s v="2012-07-12"/>
        <s v="2012-07-13"/>
        <s v="2012-07-16"/>
        <s v="2012-07-17"/>
        <s v="2012-07-18"/>
        <s v="2012-07-19"/>
        <s v="2012-07-20"/>
        <s v="2012-07-23"/>
        <s v="2012-07-24"/>
        <s v="2012-07-25"/>
        <s v="2012-07-26"/>
        <s v="2012-07-27"/>
        <s v="2012-07-30"/>
        <s v="2012-07-31"/>
        <s v="2012-08-01"/>
        <s v="2012-08-02"/>
        <s v="2012-08-03"/>
        <s v="2012-08-06"/>
        <s v="2012-08-07"/>
        <s v="2012-08-08"/>
        <s v="2012-08-09"/>
        <s v="2012-08-10"/>
        <s v="2012-08-13"/>
        <s v="2012-08-14"/>
        <s v="2012-08-15"/>
        <s v="2012-08-16"/>
        <s v="2012-08-17"/>
        <s v="2012-08-20"/>
        <s v="2012-08-21"/>
        <s v="2012-08-22"/>
        <s v="2012-08-23"/>
        <s v="2012-08-24"/>
        <s v="2012-08-27"/>
        <s v="2012-08-28"/>
        <s v="2012-08-29"/>
        <s v="2012-08-30"/>
        <s v="2012-08-31"/>
        <s v="2012-09-04"/>
        <s v="2012-09-05"/>
        <s v="2012-09-06"/>
        <s v="2012-09-07"/>
        <s v="2012-09-10"/>
        <s v="2012-09-11"/>
        <s v="2012-09-12"/>
        <s v="2012-09-13"/>
        <s v="2012-09-14"/>
        <s v="2012-09-17"/>
        <s v="2012-09-18"/>
        <s v="2012-09-19"/>
        <s v="2012-09-20"/>
        <s v="2012-09-21"/>
        <s v="2012-09-24"/>
        <s v="2012-09-25"/>
        <s v="2012-09-26"/>
        <s v="2012-09-27"/>
        <s v="2012-09-28"/>
        <s v="2012-10-01"/>
        <s v="2012-10-02"/>
        <s v="2012-10-03"/>
        <s v="2012-10-04"/>
        <s v="2012-10-05"/>
        <s v="2012-10-09"/>
        <s v="2012-10-10"/>
        <s v="2012-10-11"/>
        <s v="2012-10-12"/>
        <s v="2012-10-15"/>
        <s v="2012-10-16"/>
        <s v="2012-10-17"/>
        <s v="2012-10-18"/>
        <s v="2012-10-19"/>
        <s v="2012-10-22"/>
        <s v="2012-10-23"/>
        <s v="2012-10-24"/>
        <s v="2012-10-25"/>
        <s v="2012-10-26"/>
        <s v="2012-10-29"/>
        <s v="2012-10-31"/>
        <s v="2012-11-01"/>
        <s v="2012-11-02"/>
        <s v="2012-11-05"/>
        <s v="2012-11-06"/>
        <s v="2012-11-07"/>
        <s v="2012-11-08"/>
        <s v="2012-11-09"/>
        <s v="2012-11-13"/>
        <s v="2012-11-14"/>
        <s v="2012-11-15"/>
        <s v="2012-11-16"/>
        <s v="2012-11-19"/>
        <s v="2012-11-20"/>
        <s v="2012-11-23"/>
        <s v="2012-11-26"/>
        <s v="2012-11-27"/>
        <s v="2012-11-28"/>
        <s v="2012-11-29"/>
        <s v="2012-11-30"/>
        <s v="2012-12-03"/>
        <s v="2012-12-04"/>
        <s v="2012-12-05"/>
        <s v="2012-12-06"/>
        <s v="2012-12-07"/>
        <s v="2012-12-10"/>
        <s v="2012-12-11"/>
        <s v="2012-12-12"/>
        <s v="2012-12-13"/>
        <s v="2012-12-14"/>
        <s v="2012-12-17"/>
        <s v="2012-12-18"/>
        <s v="2012-12-19"/>
        <s v="2012-12-20"/>
        <s v="2012-12-21"/>
        <s v="2012-12-24"/>
        <s v="2012-12-26"/>
        <s v="2012-12-27"/>
        <s v="2012-12-28"/>
        <s v="2012-12-31"/>
        <s v="2013-01-02"/>
        <s v="2013-01-03"/>
        <s v="2013-01-04"/>
        <s v="2013-01-07"/>
        <s v="2013-01-08"/>
        <s v="2013-01-09"/>
        <s v="2013-01-10"/>
        <s v="2013-01-11"/>
        <s v="2013-01-14"/>
        <s v="2013-01-15"/>
        <s v="2013-01-16"/>
        <s v="2013-01-17"/>
        <s v="2013-01-18"/>
        <s v="2013-01-22"/>
        <s v="2013-01-23"/>
        <s v="2013-01-24"/>
        <s v="2013-01-25"/>
        <s v="2013-01-28"/>
        <s v="2013-01-29"/>
        <s v="2013-01-30"/>
        <s v="2013-01-31"/>
        <s v="2013-02-01"/>
        <s v="2013-02-04"/>
        <s v="2013-02-05"/>
        <s v="2013-02-06"/>
        <s v="2013-02-07"/>
        <s v="2013-02-08"/>
        <s v="2013-02-11"/>
        <s v="2013-02-12"/>
        <s v="2013-02-13"/>
        <s v="2013-02-14"/>
        <s v="2013-02-15"/>
        <s v="2013-02-19"/>
        <s v="2013-02-20"/>
        <s v="2013-02-21"/>
        <s v="2013-02-22"/>
        <s v="2013-02-25"/>
        <s v="2013-02-26"/>
        <s v="2013-02-27"/>
        <s v="2013-02-28"/>
        <s v="2013-03-01"/>
        <s v="2013-03-04"/>
        <s v="2013-03-05"/>
        <s v="2013-03-06"/>
        <s v="2013-03-07"/>
        <s v="2013-03-08"/>
        <s v="2013-03-11"/>
        <s v="2013-03-12"/>
        <s v="2013-03-13"/>
        <s v="2013-03-14"/>
        <s v="2013-03-15"/>
        <s v="2013-03-18"/>
        <s v="2013-03-19"/>
        <s v="2013-03-20"/>
        <s v="2013-03-21"/>
        <s v="2013-03-22"/>
        <s v="2013-03-25"/>
        <s v="2013-03-26"/>
        <s v="2013-03-27"/>
        <s v="2013-03-28"/>
        <s v="2013-04-01"/>
        <s v="2013-04-02"/>
        <s v="2013-04-03"/>
        <s v="2013-04-04"/>
        <s v="2013-04-05"/>
        <s v="2013-04-08"/>
        <s v="2013-04-09"/>
        <s v="2013-04-10"/>
        <s v="2013-04-11"/>
        <s v="2013-04-12"/>
        <s v="2013-04-15"/>
        <s v="2013-04-16"/>
        <s v="2013-04-17"/>
        <s v="2013-04-18"/>
        <s v="2013-04-19"/>
        <s v="2013-04-22"/>
        <s v="2013-04-23"/>
        <s v="2013-04-24"/>
        <s v="2013-04-25"/>
        <s v="2013-04-26"/>
        <s v="2013-04-29"/>
        <s v="2013-04-30"/>
        <s v="2013-05-01"/>
        <s v="2013-05-02"/>
        <s v="2013-05-03"/>
        <s v="2013-05-06"/>
        <s v="2013-05-07"/>
        <s v="2013-05-08"/>
        <s v="2013-05-09"/>
        <s v="2013-05-10"/>
        <s v="2013-05-13"/>
        <s v="2013-05-14"/>
        <s v="2013-05-15"/>
        <s v="2013-05-16"/>
        <s v="2013-05-17"/>
        <s v="2013-05-20"/>
        <s v="2013-05-21"/>
        <s v="2013-05-22"/>
        <s v="2013-05-23"/>
        <s v="2013-05-24"/>
        <s v="2013-05-28"/>
        <s v="2013-05-29"/>
        <s v="2013-05-30"/>
        <s v="2013-05-31"/>
        <s v="2013-06-03"/>
        <s v="2013-06-04"/>
        <s v="2013-06-05"/>
        <s v="2013-06-06"/>
        <s v="2013-06-07"/>
        <s v="2013-06-10"/>
        <s v="2013-06-11"/>
        <s v="2013-06-12"/>
        <s v="2013-06-13"/>
        <s v="2013-06-14"/>
        <s v="2013-06-17"/>
        <s v="2013-06-18"/>
        <s v="2013-06-19"/>
        <s v="2013-06-20"/>
        <s v="2013-06-21"/>
        <s v="2013-06-24"/>
        <s v="2013-06-25"/>
        <s v="2013-06-26"/>
        <s v="2013-06-27"/>
        <s v="2013-06-28"/>
        <s v="2013-07-01"/>
        <s v="2013-07-02"/>
        <s v="2013-07-05"/>
        <s v="2013-07-08"/>
        <s v="2013-07-09"/>
        <s v="2013-07-10"/>
        <s v="2013-07-11"/>
        <s v="2013-07-12"/>
        <s v="2013-07-15"/>
        <s v="2013-07-16"/>
        <s v="2013-07-17"/>
        <s v="2013-07-18"/>
        <s v="2013-07-19"/>
        <s v="2013-07-22"/>
        <s v="2013-07-23"/>
        <s v="2013-07-24"/>
        <s v="2013-07-25"/>
        <s v="2013-07-26"/>
        <s v="2013-07-29"/>
        <s v="2013-07-30"/>
        <s v="2013-07-31"/>
        <s v="2013-08-01"/>
        <s v="2013-08-02"/>
        <s v="2013-08-05"/>
        <s v="2013-08-06"/>
        <s v="2013-08-07"/>
        <s v="2013-08-08"/>
        <s v="2013-08-09"/>
        <s v="2013-08-12"/>
        <s v="2013-08-13"/>
        <s v="2013-08-14"/>
        <s v="2013-08-15"/>
        <s v="2013-08-16"/>
        <s v="2013-08-19"/>
        <s v="2013-08-20"/>
        <s v="2013-08-21"/>
        <s v="2013-08-22"/>
        <s v="2013-08-23"/>
        <s v="2013-08-26"/>
        <s v="2013-08-27"/>
        <s v="2013-08-28"/>
        <s v="2013-08-29"/>
        <s v="2013-08-30"/>
        <s v="2013-09-03"/>
        <s v="2013-09-04"/>
        <s v="2013-09-05"/>
        <s v="2013-09-06"/>
        <s v="2013-09-09"/>
        <s v="2013-09-10"/>
        <s v="2013-09-11"/>
        <s v="2013-09-12"/>
        <s v="2013-09-13"/>
        <s v="2013-09-16"/>
        <s v="2013-09-17"/>
        <s v="2013-09-18"/>
        <s v="2013-09-19"/>
        <s v="2013-09-20"/>
        <s v="2013-09-23"/>
        <s v="2013-09-24"/>
        <s v="2013-09-25"/>
        <s v="2013-09-26"/>
        <s v="2013-09-27"/>
        <s v="2013-09-30"/>
        <s v="2013-10-01"/>
        <s v="2013-10-02"/>
        <s v="2013-10-03"/>
        <s v="2013-10-04"/>
        <s v="2013-10-07"/>
        <s v="2013-10-08"/>
        <s v="2013-10-09"/>
        <s v="2013-10-10"/>
        <s v="2013-10-11"/>
        <s v="2013-10-15"/>
        <s v="2013-10-16"/>
        <s v="2013-10-17"/>
        <s v="2013-10-18"/>
        <s v="2013-10-21"/>
        <s v="2013-10-22"/>
        <s v="2013-10-23"/>
        <s v="2013-10-24"/>
        <s v="2013-10-25"/>
        <s v="2013-10-28"/>
        <s v="2013-10-29"/>
        <s v="2013-10-30"/>
        <s v="2013-10-31"/>
        <s v="2013-11-01"/>
        <s v="2013-11-04"/>
        <s v="2013-11-05"/>
        <s v="2013-11-06"/>
        <s v="2013-11-07"/>
        <s v="2013-11-08"/>
        <s v="2013-11-12"/>
        <s v="2013-11-13"/>
        <s v="2013-11-14"/>
        <s v="2013-11-15"/>
        <s v="2013-11-18"/>
        <s v="2013-11-19"/>
        <s v="2013-11-20"/>
        <s v="2013-11-21"/>
        <s v="2013-11-22"/>
        <s v="2013-11-25"/>
        <s v="2013-11-26"/>
        <s v="2013-11-29"/>
        <s v="2013-12-02"/>
        <s v="2013-12-03"/>
        <s v="2013-12-04"/>
        <s v="2013-12-05"/>
        <s v="2013-12-06"/>
        <s v="2013-12-09"/>
        <s v="2013-12-10"/>
        <s v="2013-12-11"/>
        <s v="2013-12-12"/>
        <s v="2013-12-13"/>
        <s v="2013-12-16"/>
        <s v="2013-12-17"/>
        <s v="2013-12-18"/>
        <s v="2013-12-19"/>
        <s v="2013-12-20"/>
        <s v="2013-12-23"/>
        <s v="2013-12-24"/>
        <s v="2013-12-26"/>
        <s v="2013-12-27"/>
        <s v="2013-12-30"/>
        <s v="2013-12-31"/>
        <s v="2014-01-02"/>
        <s v="2014-01-03"/>
        <s v="2014-01-06"/>
        <s v="2014-01-07"/>
        <s v="2014-01-08"/>
        <s v="2014-01-09"/>
        <s v="2014-01-10"/>
        <s v="2014-01-13"/>
        <s v="2014-01-14"/>
        <s v="2014-01-15"/>
        <s v="2014-01-16"/>
        <s v="2014-01-17"/>
        <s v="2014-01-21"/>
        <s v="2014-01-22"/>
        <s v="2014-01-23"/>
        <s v="2014-01-24"/>
        <s v="2014-01-27"/>
        <s v="2014-01-28"/>
        <s v="2014-01-29"/>
        <s v="2014-01-30"/>
        <s v="2014-01-31"/>
        <s v="2014-02-03"/>
        <s v="2014-02-04"/>
        <s v="2014-02-05"/>
        <s v="2014-02-06"/>
        <s v="2014-02-07"/>
        <s v="2014-02-10"/>
        <s v="2014-02-11"/>
        <s v="2014-02-12"/>
        <s v="2014-02-13"/>
        <s v="2014-02-14"/>
        <s v="2014-02-18"/>
        <s v="2014-02-19"/>
        <s v="2014-02-20"/>
        <s v="2014-02-21"/>
        <s v="2014-02-24"/>
        <s v="2014-02-25"/>
        <s v="2014-02-26"/>
        <s v="2014-02-27"/>
        <s v="2014-02-28"/>
        <s v="2014-03-03"/>
        <s v="2014-03-04"/>
        <s v="2014-03-05"/>
        <s v="2014-03-06"/>
        <s v="2014-03-07"/>
        <s v="2014-03-10"/>
        <s v="2014-03-11"/>
        <s v="2014-03-12"/>
        <s v="2014-03-13"/>
        <s v="2014-03-14"/>
        <s v="2014-03-17"/>
        <s v="2014-03-18"/>
        <s v="2014-03-19"/>
        <s v="2014-03-20"/>
        <s v="2014-03-21"/>
        <s v="2014-03-24"/>
        <s v="2014-03-25"/>
        <s v="2014-03-26"/>
        <s v="2014-03-27"/>
        <s v="2014-03-28"/>
        <s v="2014-03-31"/>
        <s v="2014-04-01"/>
        <s v="2014-04-02"/>
        <s v="2014-04-03"/>
        <s v="2014-04-04"/>
        <s v="2014-04-07"/>
        <s v="2014-04-08"/>
        <s v="2014-04-09"/>
        <s v="2014-04-10"/>
        <s v="2014-04-11"/>
        <s v="2014-04-14"/>
        <s v="2014-04-15"/>
        <s v="2014-04-16"/>
        <s v="2014-04-17"/>
        <s v="2014-04-21"/>
        <s v="2014-04-22"/>
        <s v="2014-04-23"/>
        <s v="2014-04-24"/>
        <s v="2014-04-25"/>
        <s v="2014-04-28"/>
        <s v="2014-04-29"/>
        <s v="2014-04-30"/>
        <s v="2014-05-01"/>
        <s v="2014-05-02"/>
        <s v="2014-05-05"/>
        <s v="2014-05-06"/>
        <s v="2014-05-07"/>
        <s v="2014-05-08"/>
        <s v="2014-05-09"/>
        <s v="2014-05-12"/>
        <s v="2014-05-13"/>
        <s v="2014-05-14"/>
        <s v="2014-05-15"/>
        <s v="2014-05-16"/>
        <s v="2014-05-19"/>
        <s v="2014-05-20"/>
        <s v="2014-05-21"/>
        <s v="2014-05-22"/>
        <s v="2014-05-23"/>
        <s v="2014-05-27"/>
        <s v="2014-05-28"/>
        <s v="2014-05-29"/>
        <s v="2014-05-30"/>
        <s v="2014-06-02"/>
        <s v="2014-06-03"/>
        <s v="2014-06-04"/>
        <s v="2014-06-05"/>
        <s v="2014-06-06"/>
        <s v="2014-06-09"/>
        <s v="2014-06-10"/>
        <s v="2014-06-11"/>
        <s v="2014-06-12"/>
        <s v="2014-06-13"/>
        <s v="2014-06-16"/>
        <s v="2014-06-17"/>
        <s v="2014-06-18"/>
        <s v="2014-06-19"/>
        <s v="2014-06-20"/>
        <s v="2014-06-23"/>
        <s v="2014-06-24"/>
        <s v="2014-06-25"/>
        <s v="2014-06-26"/>
        <s v="2014-06-27"/>
        <s v="2014-06-30"/>
        <s v="2014-07-01"/>
        <s v="2014-07-02"/>
        <s v="2014-07-03"/>
        <s v="2014-07-07"/>
        <s v="2014-07-08"/>
        <s v="2014-07-09"/>
        <s v="2014-07-10"/>
        <s v="2014-07-11"/>
        <s v="2014-07-14"/>
        <s v="2014-07-15"/>
        <s v="2014-07-16"/>
        <s v="2014-07-17"/>
        <s v="2014-07-18"/>
        <s v="2014-07-21"/>
        <s v="2014-07-22"/>
        <s v="2014-07-23"/>
        <s v="2014-07-24"/>
        <s v="2014-07-25"/>
        <s v="2014-07-28"/>
        <s v="2014-07-29"/>
        <s v="2014-07-30"/>
        <s v="2014-07-31"/>
        <s v="2014-08-01"/>
        <s v="2014-08-04"/>
        <s v="2014-08-05"/>
        <s v="2014-08-06"/>
        <s v="2014-08-07"/>
        <s v="2014-08-08"/>
        <s v="2014-08-11"/>
        <s v="2014-08-12"/>
        <s v="2014-08-13"/>
        <s v="2014-08-14"/>
        <s v="2014-08-15"/>
        <s v="2014-08-18"/>
        <s v="2014-08-19"/>
        <s v="2014-08-20"/>
        <s v="2014-08-21"/>
        <s v="2014-08-22"/>
        <s v="2014-08-25"/>
        <s v="2014-08-26"/>
        <s v="2014-08-27"/>
        <s v="2014-08-28"/>
        <s v="2014-08-29"/>
        <s v="2014-09-02"/>
        <s v="2014-09-03"/>
        <s v="2014-09-04"/>
        <s v="2014-09-05"/>
        <s v="2014-09-08"/>
        <s v="2014-09-09"/>
        <s v="2014-09-10"/>
        <s v="2014-09-11"/>
        <s v="2014-09-12"/>
        <s v="2014-09-15"/>
        <s v="2014-09-16"/>
        <s v="2014-09-17"/>
        <s v="2014-09-18"/>
        <s v="2014-09-19"/>
        <s v="2014-09-22"/>
        <s v="2014-09-23"/>
        <s v="2014-09-24"/>
        <s v="2014-09-25"/>
        <s v="2014-09-26"/>
        <s v="2014-09-29"/>
        <s v="2014-09-30"/>
        <s v="2014-10-01"/>
        <s v="2014-10-02"/>
        <s v="2014-10-03"/>
        <s v="2014-10-06"/>
        <s v="2014-10-07"/>
        <s v="2014-10-08"/>
        <s v="2014-10-09"/>
        <s v="2014-10-10"/>
        <s v="2014-10-14"/>
        <s v="2014-10-15"/>
        <s v="2014-10-16"/>
        <s v="2014-10-17"/>
        <s v="2014-10-20"/>
        <s v="2014-10-21"/>
        <s v="2014-10-22"/>
        <s v="2014-10-23"/>
        <s v="2014-10-24"/>
        <s v="2014-10-27"/>
        <s v="2014-10-28"/>
        <s v="2014-10-29"/>
        <s v="2014-10-30"/>
        <s v="2014-10-31"/>
        <s v="2014-11-03"/>
        <s v="2014-11-04"/>
        <s v="2014-11-05"/>
        <s v="2014-11-06"/>
        <s v="2014-11-07"/>
        <s v="2014-11-10"/>
        <s v="2014-11-12"/>
        <s v="2014-11-13"/>
        <s v="2014-11-14"/>
        <s v="2014-11-17"/>
        <s v="2014-11-18"/>
        <s v="2014-11-19"/>
        <s v="2014-11-20"/>
        <s v="2014-11-21"/>
        <s v="2014-11-24"/>
        <s v="2014-11-25"/>
        <s v="2014-11-28"/>
        <s v="2014-12-01"/>
        <s v="2014-12-02"/>
        <s v="2014-12-03"/>
        <s v="2014-12-04"/>
        <s v="2014-12-05"/>
        <s v="2014-12-08"/>
        <s v="2014-12-09"/>
        <s v="2014-12-10"/>
        <s v="2014-12-11"/>
        <s v="2014-12-12"/>
        <s v="2014-12-15"/>
        <s v="2014-12-16"/>
        <s v="2014-12-17"/>
        <s v="2014-12-18"/>
        <s v="2014-12-19"/>
        <s v="2014-12-22"/>
        <s v="2014-12-23"/>
        <s v="2014-12-24"/>
        <s v="2014-12-26"/>
        <s v="2014-12-29"/>
        <s v="2014-12-30"/>
        <s v="2015-01-02"/>
        <s v="2015-01-05"/>
        <s v="2015-01-06"/>
        <s v="2015-01-07"/>
        <s v="2015-01-08"/>
        <s v="2015-01-09"/>
        <s v="2015-01-12"/>
        <s v="2015-01-13"/>
        <s v="2015-01-14"/>
        <s v="2015-01-15"/>
        <s v="2015-01-16"/>
        <s v="2015-01-20"/>
        <s v="2015-01-21"/>
        <s v="2015-01-22"/>
        <s v="2015-01-23"/>
        <s v="2015-01-26"/>
        <s v="2015-01-27"/>
        <s v="2015-01-28"/>
        <s v="2015-01-29"/>
        <s v="2015-01-30"/>
        <s v="2015-02-02"/>
        <s v="2015-02-03"/>
        <s v="2015-02-04"/>
        <s v="2015-02-05"/>
        <s v="2015-02-06"/>
        <s v="2015-02-09"/>
        <s v="2015-02-10"/>
        <s v="2015-02-11"/>
        <s v="2015-02-12"/>
        <s v="2015-02-13"/>
        <s v="2015-02-17"/>
        <s v="2015-02-18"/>
        <s v="2015-02-19"/>
        <s v="2015-02-20"/>
        <s v="2015-02-23"/>
        <s v="2015-02-24"/>
        <s v="2015-02-25"/>
        <s v="2015-02-26"/>
        <s v="2015-02-27"/>
        <s v="2015-03-02"/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</sharedItems>
    </cacheField>
    <cacheField name="SeriesNumValue" numFmtId="0">
      <sharedItems containsSemiMixedTypes="0" containsString="0" containsNumber="1" minValue="1.89926870046304" maxValue="3.7866951063074699"/>
    </cacheField>
    <cacheField name="Rate" numFmtId="0">
      <sharedItems containsSemiMixedTypes="0" containsString="0" containsNumber="1" minValue="3.2349999999999999" maxValue="4.53"/>
    </cacheField>
    <cacheField name="Weekday" numFmtId="0">
      <sharedItems containsSemiMixedTypes="0" containsString="0" containsNumber="1" containsInteger="1" minValue="1" maxValue="7"/>
    </cacheField>
    <cacheField name="Weight" numFmtId="0">
      <sharedItems containsSemiMixedTypes="0" containsString="0" containsNumber="1" minValue="0.2" maxValue="0.2"/>
    </cacheField>
    <cacheField name="Counter" numFmtId="0">
      <sharedItems containsSemiMixedTypes="0" containsString="0" containsNumber="1" containsInteger="1" minValue="1" maxValue="5"/>
    </cacheField>
    <cacheField name="Accumulated Weighted CC" numFmtId="0">
      <sharedItems containsSemiMixedTypes="0" containsString="0" containsNumber="1" minValue="0.40376301284174598" maxValue="3.7054321587743924"/>
    </cacheField>
    <cacheField name="AccumulatedWeight" numFmtId="0">
      <sharedItems containsSemiMixedTypes="0" containsString="0" containsNumber="1" minValue="0.2" maxValue="1"/>
    </cacheField>
    <cacheField name="WA CC" numFmtId="0">
      <sharedItems containsSemiMixedTypes="0" containsString="0" containsNumber="1" minValue="0" maxValue="3.7054321587743924"/>
    </cacheField>
    <cacheField name="Servicing Spread" numFmtId="0">
      <sharedItems containsSemiMixedTypes="0" containsString="0" containsNumber="1" minValue="0" maxValue="1.3929454452803529" count="467">
        <n v="0"/>
        <n v="0.85740605792428326"/>
        <n v="0.90892898726938398"/>
        <n v="0.90800277596573187"/>
        <n v="0.91262067011153603"/>
        <n v="0.90097138481057204"/>
        <n v="0.93226042608146331"/>
        <n v="1.0123684617614601"/>
        <n v="0.9549130523202578"/>
        <n v="0.95912365236317143"/>
        <n v="0.96597913618116982"/>
        <n v="0.96884999094910818"/>
        <n v="0.97184038648178994"/>
        <n v="0.99417922391653057"/>
        <n v="1.0216256281574356"/>
        <n v="1.0408564220641514"/>
        <n v="1.113828001384062"/>
        <n v="1.1203370163762019"/>
        <n v="1.0715425606276678"/>
        <n v="1.0263037120360501"/>
        <n v="0.97182588093212185"/>
        <n v="1.0417252559202934"/>
        <n v="1.0794750119876446"/>
        <n v="1.0438632001782735"/>
        <n v="1.14290341735098"/>
        <n v="1.2473596910048554"/>
        <n v="1.2712583065251897"/>
        <n v="1.2313259281931122"/>
        <n v="1.221532633132588"/>
        <n v="1.1294682073968798"/>
        <n v="1.1145028618487873"/>
        <n v="1.1417668460790016"/>
        <n v="1.1833770087833524"/>
        <n v="1.1498863382763274"/>
        <n v="1.1627033991714875"/>
        <n v="1.1892056578850116"/>
        <n v="1.1057047425687876"/>
        <n v="1.0942885560516555"/>
        <n v="1.1063680189480301"/>
        <n v="1.1069595168310897"/>
        <n v="1.0145948608518434"/>
        <n v="1.0141710064866696"/>
        <n v="0.99132234894860982"/>
        <n v="0.94516652064090945"/>
        <n v="0.90384962704580385"/>
        <n v="0.88988438351751764"/>
        <n v="0.8836686136567824"/>
        <n v="0.87581677834386751"/>
        <n v="0.88622952847936753"/>
        <n v="0.86557968848864597"/>
        <n v="0.8393464554548542"/>
        <n v="0.87842756337797567"/>
        <n v="0.89390476749033487"/>
        <n v="0.89712483729844417"/>
        <n v="0.87366480645118783"/>
        <n v="0.91084602973204198"/>
        <n v="0.90495480779242188"/>
        <n v="0.89859093907637577"/>
        <n v="0.82917950097367354"/>
        <n v="0.83189190189967199"/>
        <n v="0.88486679864157303"/>
        <n v="0.87785175594484377"/>
        <n v="0.91416362066455337"/>
        <n v="0.88065906412418204"/>
        <n v="0.98456375260017603"/>
        <n v="0.90503194214895721"/>
        <n v="0.88718035738519019"/>
        <n v="0.87836810718017366"/>
        <n v="0.8928195291848855"/>
        <n v="0.8989221091593893"/>
        <n v="0.88362698207436008"/>
        <n v="0.90499821940306191"/>
        <n v="0.89138719541262024"/>
        <n v="0.84777413248060141"/>
        <n v="0.91072084174458956"/>
        <n v="0.8145678412256081"/>
        <n v="0.84250774755549518"/>
        <n v="0.86603183508412407"/>
        <n v="0.83763999185427762"/>
        <n v="0.84001905618454797"/>
        <n v="0.84753171821839191"/>
        <n v="0.85360660524252374"/>
        <n v="0.86417278846292955"/>
        <n v="0.85197165380436024"/>
        <n v="0.89491633082500721"/>
        <n v="0.81071558225969742"/>
        <n v="0.83723150768357257"/>
        <n v="0.85550847627348992"/>
        <n v="0.83043179444173365"/>
        <n v="0.8660511497503891"/>
        <n v="0.83937775459051833"/>
        <n v="0.88295887871594037"/>
        <n v="0.85129572055250113"/>
        <n v="0.84471417203169974"/>
        <n v="0.86348562078973634"/>
        <n v="0.84322503676377236"/>
        <n v="0.82452595912363202"/>
        <n v="0.82605526303721"/>
        <n v="0.84411844457305207"/>
        <n v="0.88844338887899754"/>
        <n v="0.84227253204870145"/>
        <n v="0.83318476282103004"/>
        <n v="0.82079480253288439"/>
        <n v="0.84709182986651399"/>
        <n v="0.88258708976065581"/>
        <n v="0.85360778295215578"/>
        <n v="0.86274866991849919"/>
        <n v="0.82585339815649306"/>
        <n v="0.86267006166820348"/>
        <n v="0.83878032658738588"/>
        <n v="0.84724827691488036"/>
        <n v="0.83946977676809009"/>
        <n v="0.84409128823692559"/>
        <n v="0.81759330053535173"/>
        <n v="0.83559014848221214"/>
        <n v="0.81375933723712812"/>
        <n v="0.78812707418207362"/>
        <n v="0.80064650220220157"/>
        <n v="0.82509417663536055"/>
        <n v="0.81383103061336382"/>
        <n v="0.84940851846354981"/>
        <n v="0.80388311452594197"/>
        <n v="0.8339038922414912"/>
        <n v="0.84212003389910217"/>
        <n v="0.8307534730727153"/>
        <n v="0.84010646840897341"/>
        <n v="0.87067892107677958"/>
        <n v="0.80679490705007595"/>
        <n v="0.82615699913622809"/>
        <n v="0.82472958838509403"/>
        <n v="0.85375816585871789"/>
        <n v="0.90219902143229191"/>
        <n v="0.91180688712756508"/>
        <n v="0.89511154996298181"/>
        <n v="0.88359443264210391"/>
        <n v="0.86817520738981724"/>
        <n v="0.85345182538145181"/>
        <n v="0.86645888695955975"/>
        <n v="0.8951040141949953"/>
        <n v="0.87366934715331013"/>
        <n v="0.9043131383849321"/>
        <n v="0.87648274738158749"/>
        <n v="0.86246175683130177"/>
        <n v="0.9019264612875304"/>
        <n v="0.94926924716328553"/>
        <n v="0.96240997316998156"/>
        <n v="1.0133311898249322"/>
        <n v="0.98490012917051439"/>
        <n v="1.0111831522740093"/>
        <n v="0.90928562594270579"/>
        <n v="0.875728818326452"/>
        <n v="0.90845864458322145"/>
        <n v="0.85983776942586232"/>
        <n v="0.89554165009332376"/>
        <n v="0.88836167527510357"/>
        <n v="0.92742898162233178"/>
        <n v="0.92071906526186842"/>
        <n v="0.93496156723867019"/>
        <n v="0.96741087135837933"/>
        <n v="0.94210798536828388"/>
        <n v="0.90490640481897167"/>
        <n v="0.8617891383925933"/>
        <n v="0.852646747577682"/>
        <n v="0.87408042789640161"/>
        <n v="0.90809149211963769"/>
        <n v="0.85462320236515188"/>
        <n v="0.83278277682371415"/>
        <n v="0.85723884767587721"/>
        <n v="0.88133173263289866"/>
        <n v="0.85212125647781578"/>
        <n v="0.87337240041768016" u="1"/>
        <n v="0.92817941958936467" u="1"/>
        <n v="0.95662839951630829" u="1"/>
        <n v="0.85054532737476096" u="1"/>
        <n v="0.95269277535561114" u="1"/>
        <n v="0.84496570981330121" u="1"/>
        <n v="0.85159430104857181" u="1"/>
        <n v="0.87204357351466122" u="1"/>
        <n v="0.87453614961190818" u="1"/>
        <n v="1.048039463272691" u="1"/>
        <n v="1.0879096087662448" u="1"/>
        <n v="0.84939981170259893" u="1"/>
        <n v="0.99513310223877705" u="1"/>
        <n v="0.87709472849479431" u="1"/>
        <n v="0.92656364351832954" u="1"/>
        <n v="0.98417488107553819" u="1"/>
        <n v="0.98924871391023173" u="1"/>
        <n v="1.00752054140438" u="1"/>
        <n v="1.1491065551284376" u="1"/>
        <n v="0.96972221425765426" u="1"/>
        <n v="1.2222718084289133" u="1"/>
        <n v="0.88819791438961104" u="1"/>
        <n v="0.89884770689987681" u="1"/>
        <n v="0.95130783423578213" u="1"/>
        <n v="1.060385988752059" u="1"/>
        <n v="0.84846261176787641" u="1"/>
        <n v="0.88621822515740023" u="1"/>
        <n v="0.89199687576874664" u="1"/>
        <n v="0.90424871391023132" u="1"/>
        <n v="1.0629096087662449" u="1"/>
        <n v="0.79709590096553518" u="1"/>
        <n v="0.82613175276288509" u="1"/>
        <n v="0.83609161802060461" u="1"/>
        <n v="0.88517734324685726" u="1"/>
        <n v="1.0580638565411893" u="1"/>
        <n v="1.2197772249610499" u="1"/>
        <n v="0.828540301073728" u="1"/>
        <n v="0.9933151473463524" u="1"/>
        <n v="0.85708674240584726" u="1"/>
        <n v="1.3187273939760233" u="1"/>
        <n v="0.87199240938212075" u="1"/>
        <n v="0.89156621709796768" u="1"/>
        <n v="0.87391074222826726" u="1"/>
        <n v="0.8843084101618115" u="1"/>
        <n v="0.91153222611873019" u="1"/>
        <n v="0.80425053294038928" u="1"/>
        <n v="0.82146864264026398" u="1"/>
        <n v="0.8383253295327413" u="1"/>
        <n v="0.88208674240584761" u="1"/>
        <n v="0.96243582494773117" u="1"/>
        <n v="0.97545891426578635" u="1"/>
        <n v="1.0446485664619347" u="1"/>
        <n v="0.85420816456937798" u="1"/>
        <n v="0.86100841442168008" u="1"/>
        <n v="0.86263296820016588" u="1"/>
        <n v="0.86339635362020628" u="1"/>
        <n v="0.87104546569251395" u="1"/>
        <n v="1.0018718728112019" u="1"/>
        <n v="1.0247243033419302" u="1"/>
        <n v="0.73156364351832925" u="1"/>
        <n v="0.82024370816722803" u="1"/>
        <n v="0.94076567318124082" u="1"/>
        <n v="0.95247264823306788" u="1"/>
        <n v="0.84319953471809228" u="1"/>
        <n v="0.8687225349243457" u="1"/>
        <n v="0.87613175276288491" u="1"/>
        <n v="0.91332532953274148" u="1"/>
        <n v="0.7322608252530074" u="1"/>
        <n v="0.79690653662462552" u="1"/>
        <n v="0.80153867888092911" u="1"/>
        <n v="0.82504232727109361" u="1"/>
        <n v="0.92073824001573445" u="1"/>
        <n v="0.95372253492434655" u="1"/>
        <n v="1.0620775825687625" u="1"/>
        <n v="0.80348085139584491" u="1"/>
        <n v="0.83239007897501294" u="1"/>
        <n v="0.85555288591819245" u="1"/>
        <n v="0.88269883750301359" u="1"/>
        <n v="1.1670646788669568" u="1"/>
        <n v="0.73095594462015923" u="1"/>
        <n v="0.88903874035051267" u="1"/>
        <n v="0.94709590096553509" u="1"/>
        <n v="1.1385020535244519" u="1"/>
        <n v="0.77457627325518441" u="1"/>
        <n v="0.83402963398078267" u="1"/>
        <n v="1.1796259700845342" u="1"/>
        <n v="0.75711325782131267" u="1"/>
        <n v="0.84785547751193358" u="1"/>
        <n v="0.85510915377916819" u="1"/>
        <n v="0.90017734324685694" u="1"/>
        <n v="0.95015958818738522" u="1"/>
        <n v="0.83159430104857135" u="1"/>
        <n v="0.84211325782131352" u="1"/>
        <n v="0.84319791438961023" u="1"/>
        <n v="0.93674341954263962" u="1"/>
        <n v="1.0515882944758954" u="1"/>
        <n v="1.1040485374039766" u="1"/>
        <n v="1.1464868589884536" u="1"/>
        <n v="0.81564090701534209" u="1"/>
        <n v="1.0117877241418274" u="1"/>
        <n v="0.79109161802060379" u="1"/>
        <n v="0.85370647532187682" u="1"/>
        <n v="0.88331445821272903" u="1"/>
        <n v="0.77493835112905174" u="1"/>
        <n v="0.88870647532187785" u="1"/>
        <n v="0.91391074222826685" u="1"/>
        <n v="0.9968718728112016" u="1"/>
        <n v="0.77740314282754408" u="1"/>
        <n v="0.8154009846746697" u="1"/>
        <n v="0.81983842135806428" u="1"/>
        <n v="0.97743582494773085" u="1"/>
        <n v="0.70195190712172417" u="1"/>
        <n v="0.79945853555969526" u="1"/>
        <n v="0.89015958818738516" u="1"/>
        <n v="0.89769883750301371" u="1"/>
        <n v="0.90410655512843752" u="1"/>
        <n v="0.9051311500262762" u="1"/>
        <n v="0.78930841016181086" u="1"/>
        <n v="0.8490501882747985" u="1"/>
        <n v="0.86551943012602406" u="1"/>
        <n v="1.055156914455766" u="1"/>
        <n v="1.1366876453389132" u="1"/>
        <n v="0.8289406667862993" u="1"/>
        <n v="0.88402963398078249" u="1"/>
        <n v="1.030638194905205" u="1"/>
        <n v="1.0977637189239626" u="1"/>
        <n v="0.77981382875341954" u="1"/>
        <n v="0.89817941958936443" u="1"/>
        <n v="0.90943099428522922" u="1"/>
        <n v="0.94831514734635203" u="1"/>
        <n v="0.99592813275900838" u="1"/>
        <n v="0.95100841442167994" u="1"/>
        <n v="1.1203859887520591" u="1"/>
        <n v="1.2174062696812817" u="1"/>
        <n v="0.8438477068998762" u="1"/>
        <n v="0.85228324368865049" u="1"/>
        <n v="0.86366597111885834" u="1"/>
        <n v="0.87196867274657208" u="1"/>
        <n v="0.87672610483451985" u="1"/>
        <n v="0.98917488107553853" u="1"/>
        <n v="0.8296684186105816" u="1"/>
        <n v="0.84522075319668755" u="1"/>
        <n v="0.84630783423578171" u="1"/>
        <n v="0.88506466485603896" u="1"/>
        <n v="0.967472648233068" u="1"/>
        <n v="1.1180638565411893" u="1"/>
        <n v="0.80104546569251456" u="1"/>
        <n v="0.84398988187368928" u="1"/>
        <n v="0.84896104120136506" u="1"/>
        <n v="0.87013115002627606" u="1"/>
        <n v="0.87189361547726429" u="1"/>
        <n v="0.90229013194576391" u="1"/>
        <n v="0.9740103750660376" u="1"/>
        <n v="1.2787273939760233" u="1"/>
        <n v="0.93043236344380009" u="1"/>
        <n v="0.9879244684877948" u="1"/>
        <n v="1.1166876453389132" u="1"/>
        <n v="1.1685020535244517" u="1"/>
        <n v="1.1932223326744751" u="1"/>
        <n v="0.86405251952469664" u="1"/>
        <n v="0.89229013194576323" u="1"/>
        <n v="0.91551943012602388" u="1"/>
        <n v="0.83905018827479871" u="1"/>
        <n v="0.85266054151873982" u="1"/>
        <n v="0.90151202857869928" u="1"/>
        <n v="0.73394066678629866" u="1"/>
        <n v="0.82695190712172417" u="1"/>
        <n v="0.87445853555969544" u="1"/>
        <n v="0.97076567318124063" u="1"/>
        <n v="1.0606381949052053" u="1"/>
        <n v="0.88785547751193361" u="1"/>
        <n v="0.89297201937942949" u="1"/>
        <n v="0.7833724004176803" u="1"/>
        <n v="0.84127809996204972" u="1"/>
        <n v="0.85055446921160094" u="1"/>
        <n v="0.85621822515740043" u="1"/>
        <n v="0.89339635362020653" u="1"/>
        <n v="1.001210874572064" u="1"/>
        <n v="1.0491652938300842" u="1"/>
        <n v="1.3379454452803528" u="1"/>
        <n v="0.82043236344380022" u="1"/>
        <n v="0.85073824001573461" u="1"/>
        <n v="0.85514214899144481" u="1"/>
        <n v="0.95943099428522949" u="1"/>
        <n v="1.1770646788669565" u="1"/>
        <n v="1.035928132759008" u="1"/>
        <n v="1.0482054692563358" u="1"/>
        <n v="1.1082293959245404" u="1"/>
        <n v="0.7851091537791679" u="1"/>
        <n v="0.83896104120136528" u="1"/>
        <n v="1.0490103750660378" u="1"/>
        <n v="1.1732223326744751" u="1"/>
        <n v="0.81233140891239097" u="1"/>
        <n v="0.97911402458095065" u="1"/>
        <n v="1.035156914455766" u="1"/>
        <n v="1.1582293959245407" u="1"/>
        <n v="0.78153867888092954" u="1"/>
        <n v="0.91939981170259877" u="1"/>
        <n v="0.85274860750753056" u="1"/>
        <n v="0.9077011776463304" u="1"/>
        <n v="0.80953614961190778" u="1"/>
        <n v="0.84497926069231077" u="1"/>
        <n v="0.84854030107372758" u="1"/>
        <n v="0.9174031428275442" u="1"/>
        <n v="0.91911402458095015" u="1"/>
        <n v="1.0335149483412844" u="1"/>
        <n v="1.3914708518438577" u="1"/>
        <n v="0.70331445821272931" u="1"/>
        <n v="0.74920816456937844" u="1"/>
        <n v="0.80689317981029962" u="1"/>
        <n v="0.8919244681028089" u="1"/>
        <n v="1.0630394632726912" u="1"/>
        <n v="1.1622718084289136" u="1"/>
        <n v="1.1974062696812817" u="1"/>
        <n v="0.89742656202196569" u="1"/>
        <n v="0.91662839951630826" u="1"/>
        <n v="0.94263296820016595" u="1"/>
        <n v="0.78497926069231028" u="1"/>
        <n v="0.80472221425765511" u="1"/>
        <n v="0.81054532737476093" u="1"/>
        <n v="0.82242656202196596" u="1"/>
        <n v="0.88270117764633094" u="1"/>
        <n v="0.88297201937942882" u="1"/>
        <n v="0.854965709813301" u="1"/>
        <n v="1.1327637189239628" u="1"/>
        <n v="0.8441652938300841" u="1"/>
        <n v="0.91189361547726433" u="1"/>
        <n v="0.92646864264026441" u="1"/>
        <n v="1.1051331022387769" u="1"/>
        <n v="0.81766054151873968" u="1"/>
        <n v="0.84366597111885788" u="1"/>
        <n v="0.84848085139584395" u="1"/>
        <n v="0.86147085184385785" u="1"/>
        <n v="0.89329524721630271" u="1"/>
        <n v="0.84245980048246238" u="1"/>
        <n v="0.98658829447589547" u="1"/>
        <n v="0.78192446810280902" u="1"/>
        <n v="0.86095594462015912" u="1"/>
        <n v="0.98820546925633623" u="1"/>
        <n v="1.3929454452803529" u="1"/>
        <n v="0.80724385845113966" u="1"/>
        <n v="0.90620328120319638" u="1"/>
        <n v="0.75319953471809242" u="1"/>
        <n v="0.78329524721630239" u="1"/>
        <n v="0.787260825253008" u="1"/>
        <n v="0.85457627325518448" u="1"/>
        <n v="0.85672610483451983" u="1"/>
        <n v="0.88174341954263991" u="1"/>
        <n v="0.91475230136906349" u="1"/>
        <n v="1.134648566461935" u="1"/>
        <n v="0.81707758256876195" u="1"/>
        <n v="0.89292446848779461" u="1"/>
        <n v="0.9312108745720642" u="1"/>
        <n v="1.1140485374039768" u="1"/>
        <n v="0.79898988187368936" u="1"/>
        <n v="0.84055446921160115" u="1"/>
        <n v="0.8565120285786989" u="1"/>
        <n v="0.86064090701534113" u="1"/>
        <n v="0.87425053294038957" u="1"/>
        <n v="0.88127809996204975" u="1"/>
        <n v="0.8348297528615487" u="1"/>
        <n v="0.90269277535561132" u="1"/>
        <n v="0.91233140891239151" u="1"/>
        <n v="0.91966841861058146" u="1"/>
        <n v="0.94481382875341957" u="1"/>
        <n v="0.78482975286154888" u="1"/>
        <n v="0.89024370816722831" u="1"/>
        <n v="0.89653222611873007" u="1"/>
        <n v="0.93752054140438013" u="1"/>
        <n v="0.96846261176787651" u="1"/>
        <n v="1.2147772249610496" u="1"/>
        <n v="0.81004232727109304" u="1"/>
        <n v="0.82522075319668797" u="1"/>
        <n v="0.85493835112905181" u="1"/>
        <n v="0.89184398001379117" u="1"/>
        <n v="1.0070435735146614" u="1"/>
        <n v="1.1614868589884537" u="1"/>
        <n v="0.89055288591819171" u="1"/>
        <n v="0.77709472849479466" u="1"/>
        <n v="0.80506466485603889" u="1"/>
        <n v="0.85724385845113948" u="1"/>
        <n v="0.87975230136906335" u="1"/>
        <n v="0.9562032812031962" u="1"/>
        <n v="1.0447243033419302" u="1"/>
        <n v="1.2196259700845342" u="1"/>
        <n v="0.83245980048246171" u="1"/>
        <n v="0.85728324368865128" u="1"/>
        <n v="0.87739007897501331" u="1"/>
        <n v="0.90196867274657189" u="1"/>
        <n v="0.91684398001379153" u="1"/>
        <n v="0.93403874035051304" u="1"/>
        <n v="0.78540098467466946" u="1"/>
        <n v="0.78983842135806404" u="1"/>
        <n v="0.81014214899144488" u="1"/>
        <n v="0.82199240938212048" u="1"/>
        <n v="1.0517877241418274" u="1"/>
        <n v="1.0635149483412847" u="1"/>
      </sharedItems>
    </cacheField>
    <cacheField name="Servicing Spread Non-Zero" numFmtId="0">
      <sharedItems containsMixedTypes="1" containsNumber="1" minValue="0.78812707418207362" maxValue="1.2712583065251897"/>
    </cacheField>
    <cacheField name="Servicing Spread 1m chg" numFmtId="0">
      <sharedItems containsMixedTypes="1" containsNumber="1" minValue="-0.10189752633130356" maxValue="0.10445627365387544"/>
    </cacheField>
    <cacheField name="Survey Rate 1m chg" numFmtId="0">
      <sharedItems containsMixedTypes="1" containsNumber="1" minValue="-0.19500000000000028" maxValue="0.52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2">
  <r>
    <x v="0"/>
    <n v="3.10879854950432"/>
    <n v="3.9049999999999998"/>
    <n v="7"/>
    <n v="0.2"/>
    <n v="1"/>
    <n v="0.62175970990086404"/>
    <n v="0.2"/>
    <n v="0"/>
    <x v="0"/>
    <s v="Servicing Spread Non-Zero"/>
    <e v="#VALUE!"/>
    <e v="#VALUE!"/>
  </r>
  <r>
    <x v="1"/>
    <n v="3.0539631363774702"/>
    <n v="3.8049999999999997"/>
    <n v="1"/>
    <n v="0.2"/>
    <n v="1"/>
    <n v="0.6107926272754941"/>
    <n v="0.2"/>
    <n v="0"/>
    <x v="0"/>
    <s v="Servicing Spread Non-Zero"/>
    <e v="#VALUE!"/>
    <e v="#VALUE!"/>
  </r>
  <r>
    <x v="2"/>
    <n v="2.93072207475555"/>
    <n v="3.8049999999999997"/>
    <n v="2"/>
    <n v="0.2"/>
    <n v="2"/>
    <n v="1.1969370422266041"/>
    <n v="0.4"/>
    <n v="0"/>
    <x v="0"/>
    <s v="Servicing Spread Non-Zero"/>
    <e v="#VALUE!"/>
    <e v="#VALUE!"/>
  </r>
  <r>
    <x v="3"/>
    <n v="2.9115161148392898"/>
    <n v="3.8049999999999997"/>
    <n v="5"/>
    <n v="0.2"/>
    <n v="3"/>
    <n v="1.7792402651944621"/>
    <n v="0.60000000000000009"/>
    <n v="0"/>
    <x v="0"/>
    <s v="Servicing Spread Non-Zero"/>
    <e v="#VALUE!"/>
    <e v="#VALUE!"/>
  </r>
  <r>
    <x v="4"/>
    <n v="2.9109852395687899"/>
    <n v="3.8049999999999997"/>
    <n v="6"/>
    <n v="0.2"/>
    <n v="4"/>
    <n v="2.3614373131082202"/>
    <n v="0.8"/>
    <n v="0"/>
    <x v="0"/>
    <s v="Servicing Spread Non-Zero"/>
    <e v="#VALUE!"/>
    <e v="#VALUE!"/>
  </r>
  <r>
    <x v="5"/>
    <n v="2.9307831448374801"/>
    <n v="3.8049999999999997"/>
    <n v="7"/>
    <n v="0.2"/>
    <n v="5"/>
    <n v="2.9475939420757165"/>
    <n v="1"/>
    <n v="2.9475939420757165"/>
    <x v="1"/>
    <n v="0.85740605792428326"/>
    <e v="#VALUE!"/>
    <e v="#VALUE!"/>
  </r>
  <r>
    <x v="6"/>
    <n v="2.9674500244903301"/>
    <n v="3.85"/>
    <n v="1"/>
    <n v="0.2"/>
    <n v="1"/>
    <n v="0.59349000489806603"/>
    <n v="0.2"/>
    <n v="0"/>
    <x v="0"/>
    <n v="0.85740605792428326"/>
    <n v="0"/>
    <n v="4.5000000000000373E-2"/>
  </r>
  <r>
    <x v="7"/>
    <n v="2.93226575052006"/>
    <n v="3.85"/>
    <n v="2"/>
    <n v="0.2"/>
    <n v="2"/>
    <n v="1.179943155002078"/>
    <n v="0.4"/>
    <n v="0"/>
    <x v="0"/>
    <n v="0.85740605792428326"/>
    <n v="0"/>
    <n v="4.5000000000000373E-2"/>
  </r>
  <r>
    <x v="8"/>
    <n v="2.91808321555345"/>
    <n v="3.85"/>
    <n v="5"/>
    <n v="0.2"/>
    <n v="3"/>
    <n v="1.7635597981127682"/>
    <n v="0.60000000000000009"/>
    <n v="0"/>
    <x v="0"/>
    <n v="0.85740605792428326"/>
    <n v="0"/>
    <n v="4.5000000000000373E-2"/>
  </r>
  <r>
    <x v="9"/>
    <n v="2.9570995386029302"/>
    <n v="3.85"/>
    <n v="6"/>
    <n v="0.2"/>
    <n v="4"/>
    <n v="2.3549797058333541"/>
    <n v="0.8"/>
    <n v="0"/>
    <x v="0"/>
    <n v="0.85740605792428326"/>
    <n v="0"/>
    <n v="4.5000000000000373E-2"/>
  </r>
  <r>
    <x v="10"/>
    <n v="2.9304565344863098"/>
    <n v="3.85"/>
    <n v="7"/>
    <n v="0.2"/>
    <n v="5"/>
    <n v="2.9410710127306161"/>
    <n v="1"/>
    <n v="2.9410710127306161"/>
    <x v="2"/>
    <n v="0.90892898726938398"/>
    <n v="5.1522929345100721E-2"/>
    <n v="4.5000000000000373E-2"/>
  </r>
  <r>
    <x v="11"/>
    <n v="2.8874390264499499"/>
    <n v="3.8049999999999997"/>
    <n v="1"/>
    <n v="0.2"/>
    <n v="1"/>
    <n v="0.57748780528999"/>
    <n v="0.2"/>
    <n v="0"/>
    <x v="0"/>
    <n v="0.90892898726938398"/>
    <n v="0"/>
    <n v="-4.5000000000000373E-2"/>
  </r>
  <r>
    <x v="12"/>
    <n v="2.90335136163185"/>
    <n v="3.8049999999999997"/>
    <n v="2"/>
    <n v="0.2"/>
    <n v="2"/>
    <n v="1.15815807761636"/>
    <n v="0.4"/>
    <n v="0"/>
    <x v="0"/>
    <n v="0.90892898726938398"/>
    <n v="0"/>
    <n v="-4.5000000000000373E-2"/>
  </r>
  <r>
    <x v="13"/>
    <n v="2.8708141508909"/>
    <n v="3.8049999999999997"/>
    <n v="5"/>
    <n v="0.2"/>
    <n v="3"/>
    <n v="1.7323209077945401"/>
    <n v="0.60000000000000009"/>
    <n v="0"/>
    <x v="0"/>
    <n v="0.90892898726938398"/>
    <n v="0"/>
    <n v="-4.5000000000000373E-2"/>
  </r>
  <r>
    <x v="14"/>
    <n v="2.9009701197976399"/>
    <n v="3.8049999999999997"/>
    <n v="6"/>
    <n v="0.2"/>
    <n v="4"/>
    <n v="2.3125149317540679"/>
    <n v="0.8"/>
    <n v="0"/>
    <x v="0"/>
    <n v="0.90892898726938398"/>
    <n v="0"/>
    <n v="-4.5000000000000373E-2"/>
  </r>
  <r>
    <x v="15"/>
    <n v="2.9224114614009999"/>
    <n v="3.8049999999999997"/>
    <n v="7"/>
    <n v="0.2"/>
    <n v="5"/>
    <n v="2.8969972240342678"/>
    <n v="1"/>
    <n v="2.8969972240342678"/>
    <x v="3"/>
    <n v="0.90800277596573187"/>
    <n v="-9.2621130365211357E-4"/>
    <n v="-4.5000000000000373E-2"/>
  </r>
  <r>
    <x v="16"/>
    <n v="2.8924009736045302"/>
    <n v="3.79"/>
    <n v="1"/>
    <n v="0.2"/>
    <n v="1"/>
    <n v="0.57848019472090606"/>
    <n v="0.2"/>
    <n v="0"/>
    <x v="0"/>
    <n v="0.90800277596573187"/>
    <n v="0"/>
    <n v="-1.499999999999968E-2"/>
  </r>
  <r>
    <x v="17"/>
    <n v="2.8716721168117001"/>
    <n v="3.79"/>
    <n v="2"/>
    <n v="0.2"/>
    <n v="2"/>
    <n v="1.1528146180832461"/>
    <n v="0.4"/>
    <n v="0"/>
    <x v="0"/>
    <n v="0.90800277596573187"/>
    <n v="0"/>
    <n v="-1.499999999999968E-2"/>
  </r>
  <r>
    <x v="18"/>
    <n v="2.8585941716778001"/>
    <n v="3.79"/>
    <n v="5"/>
    <n v="0.2"/>
    <n v="3"/>
    <n v="1.7245334524188061"/>
    <n v="0.60000000000000009"/>
    <n v="0"/>
    <x v="0"/>
    <n v="0.90800277596573187"/>
    <n v="0"/>
    <n v="-1.499999999999968E-2"/>
  </r>
  <r>
    <x v="19"/>
    <n v="2.8908484323394701"/>
    <n v="3.79"/>
    <n v="6"/>
    <n v="0.2"/>
    <n v="4"/>
    <n v="2.3027031388867001"/>
    <n v="0.8"/>
    <n v="0"/>
    <x v="0"/>
    <n v="0.90800277596573187"/>
    <n v="0"/>
    <n v="-1.499999999999968E-2"/>
  </r>
  <r>
    <x v="20"/>
    <n v="2.8733809550088201"/>
    <n v="3.79"/>
    <n v="7"/>
    <n v="0.2"/>
    <n v="5"/>
    <n v="2.877379329888464"/>
    <n v="1"/>
    <n v="2.877379329888464"/>
    <x v="4"/>
    <n v="0.91262067011153603"/>
    <n v="4.6178941458041578E-3"/>
    <n v="-1.499999999999968E-2"/>
  </r>
  <r>
    <x v="21"/>
    <n v="2.88233463781564"/>
    <n v="3.7549999999999999"/>
    <n v="1"/>
    <n v="0.2"/>
    <n v="1"/>
    <n v="0.57646692756312801"/>
    <n v="0.2"/>
    <n v="0"/>
    <x v="0"/>
    <n v="0.91262067011153603"/>
    <n v="0"/>
    <n v="-3.5000000000000142E-2"/>
  </r>
  <r>
    <x v="22"/>
    <n v="2.8508681241779898"/>
    <n v="3.7549999999999999"/>
    <n v="2"/>
    <n v="0.2"/>
    <n v="2"/>
    <n v="1.146640552398726"/>
    <n v="0.4"/>
    <n v="0"/>
    <x v="0"/>
    <n v="0.91262067011153603"/>
    <n v="0"/>
    <n v="-3.5000000000000142E-2"/>
  </r>
  <r>
    <x v="23"/>
    <n v="2.85847369417964"/>
    <n v="3.7549999999999999"/>
    <n v="5"/>
    <n v="0.2"/>
    <n v="3"/>
    <n v="1.7183352912346539"/>
    <n v="0.60000000000000009"/>
    <n v="0"/>
    <x v="0"/>
    <n v="0.91262067011153603"/>
    <n v="0"/>
    <n v="-3.5000000000000142E-2"/>
  </r>
  <r>
    <x v="24"/>
    <n v="2.8457023219339699"/>
    <n v="3.7549999999999999"/>
    <n v="6"/>
    <n v="0.2"/>
    <n v="4"/>
    <n v="2.2874757556214478"/>
    <n v="0.8"/>
    <n v="0"/>
    <x v="0"/>
    <n v="0.91262067011153603"/>
    <n v="0"/>
    <n v="-3.5000000000000142E-2"/>
  </r>
  <r>
    <x v="25"/>
    <n v="2.8327642978398999"/>
    <n v="3.7549999999999999"/>
    <n v="7"/>
    <n v="0.2"/>
    <n v="5"/>
    <n v="2.8540286151894279"/>
    <n v="1"/>
    <n v="2.8540286151894279"/>
    <x v="5"/>
    <n v="0.90097138481057204"/>
    <n v="-1.1649285300963985E-2"/>
    <n v="-3.5000000000000142E-2"/>
  </r>
  <r>
    <x v="26"/>
    <n v="2.8246078637178802"/>
    <n v="3.7149999999999999"/>
    <n v="1"/>
    <n v="0.2"/>
    <n v="1"/>
    <n v="0.56492157274357602"/>
    <n v="0.2"/>
    <n v="0"/>
    <x v="0"/>
    <n v="0.90097138481057204"/>
    <n v="0"/>
    <n v="-4.0000000000000036E-2"/>
  </r>
  <r>
    <x v="27"/>
    <n v="2.8052772077153998"/>
    <n v="3.7149999999999999"/>
    <n v="2"/>
    <n v="0.2"/>
    <n v="2"/>
    <n v="1.1259770142866561"/>
    <n v="0.4"/>
    <n v="0"/>
    <x v="0"/>
    <n v="0.90097138481057204"/>
    <n v="0"/>
    <n v="-4.0000000000000036E-2"/>
  </r>
  <r>
    <x v="28"/>
    <n v="2.7739749118365999"/>
    <n v="3.7149999999999999"/>
    <n v="5"/>
    <n v="0.2"/>
    <n v="3"/>
    <n v="1.6807719966539763"/>
    <n v="0.60000000000000009"/>
    <n v="0"/>
    <x v="0"/>
    <n v="0.90097138481057204"/>
    <n v="0"/>
    <n v="-4.0000000000000036E-2"/>
  </r>
  <r>
    <x v="29"/>
    <n v="2.7697091879875599"/>
    <n v="3.7149999999999999"/>
    <n v="6"/>
    <n v="0.2"/>
    <n v="4"/>
    <n v="2.2347138342514885"/>
    <n v="0.8"/>
    <n v="0"/>
    <x v="0"/>
    <n v="0.90097138481057204"/>
    <n v="0"/>
    <n v="-4.0000000000000036E-2"/>
  </r>
  <r>
    <x v="30"/>
    <n v="2.7401286983352402"/>
    <n v="3.7149999999999999"/>
    <n v="7"/>
    <n v="0.2"/>
    <n v="5"/>
    <n v="2.7827395739185365"/>
    <n v="1"/>
    <n v="2.7827395739185365"/>
    <x v="6"/>
    <n v="0.93226042608146331"/>
    <n v="3.1289041270891271E-2"/>
    <n v="-4.0000000000000036E-2"/>
  </r>
  <r>
    <x v="31"/>
    <n v="2.6718406862121098"/>
    <n v="3.73"/>
    <n v="1"/>
    <n v="0.2"/>
    <n v="1"/>
    <n v="0.53436813724242194"/>
    <n v="0.2"/>
    <n v="0"/>
    <x v="0"/>
    <n v="0.93226042608146331"/>
    <n v="0"/>
    <n v="1.5000000000000124E-2"/>
  </r>
  <r>
    <x v="32"/>
    <n v="2.67797206633489"/>
    <n v="3.73"/>
    <n v="2"/>
    <n v="0.2"/>
    <n v="2"/>
    <n v="1.0699625505093999"/>
    <n v="0.4"/>
    <n v="0"/>
    <x v="0"/>
    <n v="0.93226042608146331"/>
    <n v="0"/>
    <n v="1.5000000000000124E-2"/>
  </r>
  <r>
    <x v="33"/>
    <n v="2.73357010628694"/>
    <n v="3.73"/>
    <n v="5"/>
    <n v="0.2"/>
    <n v="3"/>
    <n v="1.6166765717667879"/>
    <n v="0.60000000000000009"/>
    <n v="0"/>
    <x v="0"/>
    <n v="0.93226042608146331"/>
    <n v="0"/>
    <n v="1.5000000000000124E-2"/>
  </r>
  <r>
    <x v="34"/>
    <n v="2.76969358536605"/>
    <n v="3.73"/>
    <n v="6"/>
    <n v="0.2"/>
    <n v="4"/>
    <n v="2.1706152888399979"/>
    <n v="0.8"/>
    <n v="0"/>
    <x v="0"/>
    <n v="0.93226042608146331"/>
    <n v="0"/>
    <n v="1.5000000000000124E-2"/>
  </r>
  <r>
    <x v="35"/>
    <n v="2.7350812469927099"/>
    <n v="3.73"/>
    <n v="7"/>
    <n v="0.2"/>
    <n v="5"/>
    <n v="2.7176315382385399"/>
    <n v="1"/>
    <n v="2.7176315382385399"/>
    <x v="7"/>
    <n v="1.0123684617614601"/>
    <n v="8.0108035679996803E-2"/>
    <n v="1.5000000000000124E-2"/>
  </r>
  <r>
    <x v="36"/>
    <n v="2.7605421873144298"/>
    <n v="3.7"/>
    <n v="1"/>
    <n v="0.2"/>
    <n v="1"/>
    <n v="0.55210843746288596"/>
    <n v="0.2"/>
    <n v="0"/>
    <x v="0"/>
    <n v="1.0123684617614601"/>
    <n v="0"/>
    <n v="-2.9999999999999805E-2"/>
  </r>
  <r>
    <x v="37"/>
    <n v="2.7634534959262198"/>
    <n v="3.7"/>
    <n v="2"/>
    <n v="0.2"/>
    <n v="2"/>
    <n v="1.10479913664813"/>
    <n v="0.4"/>
    <n v="0"/>
    <x v="0"/>
    <n v="1.0123684617614601"/>
    <n v="0"/>
    <n v="-2.9999999999999805E-2"/>
  </r>
  <r>
    <x v="38"/>
    <n v="2.77148784579206"/>
    <n v="3.7"/>
    <n v="6"/>
    <n v="0.2"/>
    <n v="3"/>
    <n v="1.659096705806542"/>
    <n v="0.60000000000000009"/>
    <n v="0"/>
    <x v="0"/>
    <n v="1.0123684617614601"/>
    <n v="0"/>
    <n v="-2.9999999999999805E-2"/>
  </r>
  <r>
    <x v="39"/>
    <n v="2.6848642616862599"/>
    <n v="3.7"/>
    <n v="7"/>
    <n v="0.2"/>
    <n v="4"/>
    <n v="2.1960695581437939"/>
    <n v="0.8"/>
    <n v="2.7450869476797424"/>
    <x v="8"/>
    <n v="0.9549130523202578"/>
    <n v="-5.745540944120231E-2"/>
    <n v="-2.9999999999999805E-2"/>
  </r>
  <r>
    <x v="40"/>
    <n v="2.6463905286345102"/>
    <n v="3.5949999999999998"/>
    <n v="1"/>
    <n v="0.2"/>
    <n v="1"/>
    <n v="0.52927810572690204"/>
    <n v="0.2"/>
    <n v="0"/>
    <x v="0"/>
    <n v="0.9549130523202578"/>
    <n v="0"/>
    <n v="-0.10500000000000043"/>
  </r>
  <r>
    <x v="41"/>
    <n v="2.5315862032348999"/>
    <n v="3.5949999999999998"/>
    <n v="2"/>
    <n v="0.2"/>
    <n v="2"/>
    <n v="1.0355953463738821"/>
    <n v="0.4"/>
    <n v="0"/>
    <x v="0"/>
    <n v="0.9549130523202578"/>
    <n v="0"/>
    <n v="-0.10500000000000043"/>
  </r>
  <r>
    <x v="42"/>
    <n v="2.62225605452167"/>
    <n v="3.5949999999999998"/>
    <n v="5"/>
    <n v="0.2"/>
    <n v="3"/>
    <n v="1.5600465572782161"/>
    <n v="0.60000000000000009"/>
    <n v="0"/>
    <x v="0"/>
    <n v="0.9549130523202578"/>
    <n v="0"/>
    <n v="-0.10500000000000043"/>
  </r>
  <r>
    <x v="43"/>
    <n v="2.67215902179854"/>
    <n v="3.5949999999999998"/>
    <n v="6"/>
    <n v="0.2"/>
    <n v="4"/>
    <n v="2.0944783616379241"/>
    <n v="0.8"/>
    <n v="0"/>
    <x v="0"/>
    <n v="0.9549130523202578"/>
    <n v="0"/>
    <n v="-0.10500000000000043"/>
  </r>
  <r>
    <x v="44"/>
    <n v="2.7069899299945201"/>
    <n v="3.5949999999999998"/>
    <n v="7"/>
    <n v="0.2"/>
    <n v="5"/>
    <n v="2.6358763476368283"/>
    <n v="1"/>
    <n v="2.6358763476368283"/>
    <x v="9"/>
    <n v="0.95912365236317143"/>
    <n v="4.2106000429136259E-3"/>
    <n v="-0.10500000000000043"/>
  </r>
  <r>
    <x v="45"/>
    <n v="2.6775785563630401"/>
    <n v="3.6349999999999998"/>
    <n v="1"/>
    <n v="0.2"/>
    <n v="1"/>
    <n v="0.535515711272608"/>
    <n v="0.2"/>
    <n v="0"/>
    <x v="0"/>
    <n v="0.95912365236317143"/>
    <n v="0"/>
    <n v="4.0000000000000036E-2"/>
  </r>
  <r>
    <x v="46"/>
    <n v="2.6791053539735099"/>
    <n v="3.6349999999999998"/>
    <n v="2"/>
    <n v="0.2"/>
    <n v="2"/>
    <n v="1.0713367820673101"/>
    <n v="0.4"/>
    <n v="0"/>
    <x v="0"/>
    <n v="0.95912365236317143"/>
    <n v="0"/>
    <n v="4.0000000000000036E-2"/>
  </r>
  <r>
    <x v="47"/>
    <n v="2.6398968961248501"/>
    <n v="3.6349999999999998"/>
    <n v="5"/>
    <n v="0.2"/>
    <n v="3"/>
    <n v="1.5993161612922802"/>
    <n v="0.60000000000000009"/>
    <n v="0"/>
    <x v="0"/>
    <n v="0.95912365236317143"/>
    <n v="0"/>
    <n v="4.0000000000000036E-2"/>
  </r>
  <r>
    <x v="48"/>
    <n v="2.6959588926221301"/>
    <n v="3.6349999999999998"/>
    <n v="6"/>
    <n v="0.2"/>
    <n v="4"/>
    <n v="2.1385079398167059"/>
    <n v="0.8"/>
    <n v="0"/>
    <x v="0"/>
    <n v="0.95912365236317143"/>
    <n v="0"/>
    <n v="4.0000000000000036E-2"/>
  </r>
  <r>
    <x v="49"/>
    <n v="2.6525646200106201"/>
    <n v="3.6349999999999998"/>
    <n v="7"/>
    <n v="0.2"/>
    <n v="5"/>
    <n v="2.66902086381883"/>
    <n v="1"/>
    <n v="2.66902086381883"/>
    <x v="10"/>
    <n v="0.96597913618116982"/>
    <n v="6.8554838179983868E-3"/>
    <n v="4.0000000000000036E-2"/>
  </r>
  <r>
    <x v="50"/>
    <n v="2.63093877997242"/>
    <n v="3.585"/>
    <n v="1"/>
    <n v="0.2"/>
    <n v="1"/>
    <n v="0.52618775599448397"/>
    <n v="0.2"/>
    <n v="0"/>
    <x v="0"/>
    <n v="0.96597913618116982"/>
    <n v="0"/>
    <n v="-4.9999999999999822E-2"/>
  </r>
  <r>
    <x v="51"/>
    <n v="2.6135481549442598"/>
    <n v="3.585"/>
    <n v="2"/>
    <n v="0.2"/>
    <n v="2"/>
    <n v="1.048897386983336"/>
    <n v="0.4"/>
    <n v="0"/>
    <x v="0"/>
    <n v="0.96597913618116982"/>
    <n v="0"/>
    <n v="-4.9999999999999822E-2"/>
  </r>
  <r>
    <x v="52"/>
    <n v="2.5951502868946998"/>
    <n v="3.585"/>
    <n v="5"/>
    <n v="0.2"/>
    <n v="3"/>
    <n v="1.5679274443622759"/>
    <n v="0.60000000000000009"/>
    <n v="0"/>
    <x v="0"/>
    <n v="0.96597913618116982"/>
    <n v="0"/>
    <n v="-4.9999999999999822E-2"/>
  </r>
  <r>
    <x v="53"/>
    <n v="2.5989008122860202"/>
    <n v="3.585"/>
    <n v="6"/>
    <n v="0.2"/>
    <n v="4"/>
    <n v="2.08770760681948"/>
    <n v="0.8"/>
    <n v="0"/>
    <x v="0"/>
    <n v="0.96597913618116982"/>
    <n v="0"/>
    <n v="-4.9999999999999822E-2"/>
  </r>
  <r>
    <x v="54"/>
    <n v="2.6422120111570599"/>
    <n v="3.585"/>
    <n v="7"/>
    <n v="0.2"/>
    <n v="5"/>
    <n v="2.6161500090508918"/>
    <n v="1"/>
    <n v="2.6161500090508918"/>
    <x v="11"/>
    <n v="0.96884999094910818"/>
    <n v="2.8708547679383578E-3"/>
    <n v="-4.9999999999999822E-2"/>
  </r>
  <r>
    <x v="55"/>
    <n v="2.61404533663225"/>
    <n v="3.585"/>
    <n v="1"/>
    <n v="0.2"/>
    <n v="1"/>
    <n v="0.52280906732645005"/>
    <n v="0.2"/>
    <n v="0"/>
    <x v="0"/>
    <n v="0.96884999094910818"/>
    <n v="0"/>
    <n v="0"/>
  </r>
  <r>
    <x v="56"/>
    <n v="2.6681925280418901"/>
    <n v="3.585"/>
    <n v="2"/>
    <n v="0.2"/>
    <n v="2"/>
    <n v="1.0564475729348279"/>
    <n v="0.4"/>
    <n v="0"/>
    <x v="0"/>
    <n v="0.96884999094910818"/>
    <n v="0"/>
    <n v="0"/>
  </r>
  <r>
    <x v="57"/>
    <n v="2.57850061271707"/>
    <n v="3.585"/>
    <n v="5"/>
    <n v="0.2"/>
    <n v="3"/>
    <n v="1.5721476954782418"/>
    <n v="0.60000000000000009"/>
    <n v="0"/>
    <x v="0"/>
    <n v="0.96884999094910818"/>
    <n v="0"/>
    <n v="0"/>
  </r>
  <r>
    <x v="58"/>
    <n v="2.6163872152587899"/>
    <n v="3.585"/>
    <n v="6"/>
    <n v="0.2"/>
    <n v="4"/>
    <n v="2.09542513853"/>
    <n v="0.8"/>
    <n v="0"/>
    <x v="0"/>
    <n v="0.96884999094910818"/>
    <n v="0"/>
    <n v="0"/>
  </r>
  <r>
    <x v="59"/>
    <n v="2.5886723749410501"/>
    <n v="3.585"/>
    <n v="7"/>
    <n v="0.2"/>
    <n v="5"/>
    <n v="2.61315961351821"/>
    <n v="1"/>
    <n v="2.61315961351821"/>
    <x v="12"/>
    <n v="0.97184038648178994"/>
    <n v="2.9903955326817666E-3"/>
    <n v="0"/>
  </r>
  <r>
    <x v="60"/>
    <n v="2.5509636037861898"/>
    <n v="3.5700000000000003"/>
    <n v="1"/>
    <n v="0.2"/>
    <n v="1"/>
    <n v="0.51019272075723798"/>
    <n v="0.2"/>
    <n v="0"/>
    <x v="0"/>
    <n v="0.97184038648178994"/>
    <n v="0"/>
    <n v="-1.499999999999968E-2"/>
  </r>
  <r>
    <x v="61"/>
    <n v="2.6237188553228199"/>
    <n v="3.5700000000000003"/>
    <n v="2"/>
    <n v="0.2"/>
    <n v="2"/>
    <n v="1.034936491821802"/>
    <n v="0.4"/>
    <n v="0"/>
    <x v="0"/>
    <n v="0.97184038648178994"/>
    <n v="0"/>
    <n v="-1.499999999999968E-2"/>
  </r>
  <r>
    <x v="62"/>
    <n v="2.54531844167705"/>
    <n v="3.5700000000000003"/>
    <n v="5"/>
    <n v="0.2"/>
    <n v="3"/>
    <n v="1.5440001801572121"/>
    <n v="0.60000000000000009"/>
    <n v="0"/>
    <x v="0"/>
    <n v="0.97184038648178994"/>
    <n v="0"/>
    <n v="-1.499999999999968E-2"/>
  </r>
  <r>
    <x v="63"/>
    <n v="2.58328220354782"/>
    <n v="3.5700000000000003"/>
    <n v="6"/>
    <n v="0.2"/>
    <n v="4"/>
    <n v="2.060656620866776"/>
    <n v="0.8"/>
    <n v="2.5758207760834697"/>
    <x v="13"/>
    <n v="0.99417922391653057"/>
    <n v="2.2338837434740633E-2"/>
    <n v="-1.499999999999968E-2"/>
  </r>
  <r>
    <x v="64"/>
    <n v="2.5563795134905498"/>
    <n v="3.4849999999999999"/>
    <n v="1"/>
    <n v="0.2"/>
    <n v="1"/>
    <n v="0.51127590269810996"/>
    <n v="0.2"/>
    <n v="0"/>
    <x v="0"/>
    <n v="0.99417922391653057"/>
    <n v="0"/>
    <n v="-8.5000000000000409E-2"/>
  </r>
  <r>
    <x v="65"/>
    <n v="2.4766480457309101"/>
    <n v="3.4849999999999999"/>
    <n v="2"/>
    <n v="0.2"/>
    <n v="2"/>
    <n v="1.006605511844292"/>
    <n v="0.4"/>
    <n v="0"/>
    <x v="0"/>
    <n v="0.99417922391653057"/>
    <n v="0"/>
    <n v="-8.5000000000000409E-2"/>
  </r>
  <r>
    <x v="66"/>
    <n v="2.4491972100580299"/>
    <n v="3.4849999999999999"/>
    <n v="5"/>
    <n v="0.2"/>
    <n v="3"/>
    <n v="1.4964449538558982"/>
    <n v="0.60000000000000009"/>
    <n v="0"/>
    <x v="0"/>
    <n v="0.99417922391653057"/>
    <n v="0"/>
    <n v="-8.5000000000000409E-2"/>
  </r>
  <r>
    <x v="67"/>
    <n v="2.42302981927218"/>
    <n v="3.4849999999999999"/>
    <n v="6"/>
    <n v="0.2"/>
    <n v="4"/>
    <n v="1.9810509177103341"/>
    <n v="0.8"/>
    <n v="0"/>
    <x v="0"/>
    <n v="0.99417922391653057"/>
    <n v="0"/>
    <n v="-8.5000000000000409E-2"/>
  </r>
  <r>
    <x v="68"/>
    <n v="2.4116172706611501"/>
    <n v="3.4849999999999999"/>
    <n v="7"/>
    <n v="0.2"/>
    <n v="5"/>
    <n v="2.4633743718425642"/>
    <n v="1"/>
    <n v="2.4633743718425642"/>
    <x v="14"/>
    <n v="1.0216256281574356"/>
    <n v="2.7446404240905053E-2"/>
    <n v="-8.5000000000000409E-2"/>
  </r>
  <r>
    <x v="69"/>
    <n v="2.4034266466938199"/>
    <n v="3.4549999999999996"/>
    <n v="1"/>
    <n v="0.2"/>
    <n v="1"/>
    <n v="0.48068532933876401"/>
    <n v="0.2"/>
    <n v="0"/>
    <x v="0"/>
    <n v="1.0216256281574356"/>
    <n v="0"/>
    <n v="-3.0000000000000249E-2"/>
  </r>
  <r>
    <x v="70"/>
    <n v="2.45850252986091"/>
    <n v="3.4549999999999996"/>
    <n v="2"/>
    <n v="0.2"/>
    <n v="2"/>
    <n v="0.97238583531094602"/>
    <n v="0.4"/>
    <n v="0"/>
    <x v="0"/>
    <n v="1.0216256281574356"/>
    <n v="0"/>
    <n v="-3.0000000000000249E-2"/>
  </r>
  <r>
    <x v="71"/>
    <n v="2.3968423718228902"/>
    <n v="3.4549999999999996"/>
    <n v="5"/>
    <n v="0.2"/>
    <n v="3"/>
    <n v="1.4517543096755241"/>
    <n v="0.60000000000000009"/>
    <n v="0"/>
    <x v="0"/>
    <n v="1.0216256281574356"/>
    <n v="0"/>
    <n v="-3.0000000000000249E-2"/>
  </r>
  <r>
    <x v="72"/>
    <n v="2.4360959184987601"/>
    <n v="3.4549999999999996"/>
    <n v="6"/>
    <n v="0.2"/>
    <n v="4"/>
    <n v="1.938973493375276"/>
    <n v="0.8"/>
    <n v="0"/>
    <x v="0"/>
    <n v="1.0216256281574356"/>
    <n v="0"/>
    <n v="-3.0000000000000249E-2"/>
  </r>
  <r>
    <x v="73"/>
    <n v="2.3758504228028601"/>
    <n v="3.4549999999999996"/>
    <n v="7"/>
    <n v="0.2"/>
    <n v="5"/>
    <n v="2.4141435779358482"/>
    <n v="1"/>
    <n v="2.4141435779358482"/>
    <x v="15"/>
    <n v="1.0408564220641514"/>
    <n v="1.9230793906715782E-2"/>
    <n v="-3.0000000000000249E-2"/>
  </r>
  <r>
    <x v="74"/>
    <n v="2.3931217438343899"/>
    <n v="3.415"/>
    <n v="1"/>
    <n v="0.2"/>
    <n v="1"/>
    <n v="0.47862434876687798"/>
    <n v="0.2"/>
    <n v="0"/>
    <x v="0"/>
    <n v="1.0408564220641514"/>
    <n v="0"/>
    <n v="-3.9999999999999591E-2"/>
  </r>
  <r>
    <x v="75"/>
    <n v="2.32496037866738"/>
    <n v="3.415"/>
    <n v="2"/>
    <n v="0.2"/>
    <n v="2"/>
    <n v="0.94361642450035399"/>
    <n v="0.4"/>
    <n v="0"/>
    <x v="0"/>
    <n v="1.0408564220641514"/>
    <n v="0"/>
    <n v="-3.9999999999999591E-2"/>
  </r>
  <r>
    <x v="76"/>
    <n v="2.27723185682542"/>
    <n v="3.415"/>
    <n v="5"/>
    <n v="0.2"/>
    <n v="3"/>
    <n v="1.399062795865438"/>
    <n v="0.60000000000000009"/>
    <n v="0"/>
    <x v="0"/>
    <n v="1.0408564220641514"/>
    <n v="0"/>
    <n v="-3.9999999999999591E-2"/>
  </r>
  <r>
    <x v="77"/>
    <n v="2.2471779895370898"/>
    <n v="3.415"/>
    <n v="6"/>
    <n v="0.2"/>
    <n v="4"/>
    <n v="1.8484983937728561"/>
    <n v="0.8"/>
    <n v="0"/>
    <x v="0"/>
    <n v="1.0408564220641514"/>
    <n v="0"/>
    <n v="-3.9999999999999591E-2"/>
  </r>
  <r>
    <x v="78"/>
    <n v="2.2633680242154099"/>
    <n v="3.415"/>
    <n v="7"/>
    <n v="0.2"/>
    <n v="5"/>
    <n v="2.301171998615938"/>
    <n v="1"/>
    <n v="2.301171998615938"/>
    <x v="16"/>
    <n v="1.113828001384062"/>
    <n v="7.2971579319910607E-2"/>
    <n v="-3.9999999999999591E-2"/>
  </r>
  <r>
    <x v="79"/>
    <n v="2.2877898548229898"/>
    <n v="3.4749999999999996"/>
    <n v="1"/>
    <n v="0.2"/>
    <n v="1"/>
    <n v="0.45755797096459799"/>
    <n v="0.2"/>
    <n v="0"/>
    <x v="0"/>
    <n v="1.113828001384062"/>
    <n v="0"/>
    <n v="5.9999999999999609E-2"/>
  </r>
  <r>
    <x v="80"/>
    <n v="2.4685368274640398"/>
    <n v="3.4749999999999996"/>
    <n v="2"/>
    <n v="0.2"/>
    <n v="2"/>
    <n v="0.95126533645740596"/>
    <n v="0.4"/>
    <n v="0"/>
    <x v="0"/>
    <n v="1.113828001384062"/>
    <n v="0"/>
    <n v="5.9999999999999609E-2"/>
  </r>
  <r>
    <x v="81"/>
    <n v="2.3365107534465399"/>
    <n v="3.4749999999999996"/>
    <n v="5"/>
    <n v="0.2"/>
    <n v="3"/>
    <n v="1.418567487146714"/>
    <n v="0.60000000000000009"/>
    <n v="0"/>
    <x v="0"/>
    <n v="1.113828001384062"/>
    <n v="0"/>
    <n v="5.9999999999999609E-2"/>
  </r>
  <r>
    <x v="82"/>
    <n v="2.3145960727619199"/>
    <n v="3.4749999999999996"/>
    <n v="6"/>
    <n v="0.2"/>
    <n v="4"/>
    <n v="1.8814867016990979"/>
    <n v="0.8"/>
    <n v="0"/>
    <x v="0"/>
    <n v="1.113828001384062"/>
    <n v="0"/>
    <n v="5.9999999999999609E-2"/>
  </r>
  <r>
    <x v="83"/>
    <n v="2.3658814096234999"/>
    <n v="3.4749999999999996"/>
    <n v="7"/>
    <n v="0.2"/>
    <n v="5"/>
    <n v="2.3546629836237978"/>
    <n v="1"/>
    <n v="2.3546629836237978"/>
    <x v="17"/>
    <n v="1.1203370163762019"/>
    <n v="6.5090149921398499E-3"/>
    <n v="5.9999999999999609E-2"/>
  </r>
  <r>
    <x v="84"/>
    <n v="2.33657189118883"/>
    <n v="3.4899999999999998"/>
    <n v="1"/>
    <n v="0.2"/>
    <n v="1"/>
    <n v="0.467314378237766"/>
    <n v="0.2"/>
    <n v="0"/>
    <x v="0"/>
    <n v="1.1203370163762019"/>
    <n v="0"/>
    <n v="1.5000000000000124E-2"/>
  </r>
  <r>
    <x v="85"/>
    <n v="2.42675409444622"/>
    <n v="3.4899999999999998"/>
    <n v="2"/>
    <n v="0.2"/>
    <n v="2"/>
    <n v="0.95266519712701003"/>
    <n v="0.4"/>
    <n v="0"/>
    <x v="0"/>
    <n v="1.1203370163762019"/>
    <n v="0"/>
    <n v="1.5000000000000124E-2"/>
  </r>
  <r>
    <x v="86"/>
    <n v="2.4102554462908099"/>
    <n v="3.4899999999999998"/>
    <n v="5"/>
    <n v="0.2"/>
    <n v="3"/>
    <n v="1.4347162863851719"/>
    <n v="0.60000000000000009"/>
    <n v="0"/>
    <x v="0"/>
    <n v="1.1203370163762019"/>
    <n v="0"/>
    <n v="1.5000000000000124E-2"/>
  </r>
  <r>
    <x v="87"/>
    <n v="2.4648279812140101"/>
    <n v="3.4899999999999998"/>
    <n v="6"/>
    <n v="0.2"/>
    <n v="4"/>
    <n v="1.927681882627974"/>
    <n v="0.8"/>
    <n v="0"/>
    <x v="0"/>
    <n v="1.1203370163762019"/>
    <n v="0"/>
    <n v="1.5000000000000124E-2"/>
  </r>
  <r>
    <x v="88"/>
    <n v="2.45387778372179"/>
    <n v="3.4899999999999998"/>
    <n v="7"/>
    <n v="0.2"/>
    <n v="5"/>
    <n v="2.4184574393723319"/>
    <n v="1"/>
    <n v="2.4184574393723319"/>
    <x v="18"/>
    <n v="1.0715425606276678"/>
    <n v="-4.8794455748534027E-2"/>
    <n v="1.5000000000000124E-2"/>
  </r>
  <r>
    <x v="89"/>
    <n v="2.45717074132124"/>
    <n v="3.52"/>
    <n v="1"/>
    <n v="0.2"/>
    <n v="1"/>
    <n v="0.49143414826424803"/>
    <n v="0.2"/>
    <n v="0"/>
    <x v="0"/>
    <n v="1.0715425606276678"/>
    <n v="0"/>
    <n v="3.0000000000000249E-2"/>
  </r>
  <r>
    <x v="90"/>
    <n v="2.43734688080974"/>
    <n v="3.52"/>
    <n v="2"/>
    <n v="0.2"/>
    <n v="2"/>
    <n v="0.9789035244261961"/>
    <n v="0.4"/>
    <n v="0"/>
    <x v="0"/>
    <n v="1.0715425606276678"/>
    <n v="0"/>
    <n v="3.0000000000000249E-2"/>
  </r>
  <r>
    <x v="91"/>
    <n v="2.4326197879338101"/>
    <n v="3.52"/>
    <n v="5"/>
    <n v="0.2"/>
    <n v="3"/>
    <n v="1.465427482012958"/>
    <n v="0.60000000000000009"/>
    <n v="0"/>
    <x v="0"/>
    <n v="1.0715425606276678"/>
    <n v="0"/>
    <n v="3.0000000000000249E-2"/>
  </r>
  <r>
    <x v="92"/>
    <n v="2.5032104637526098"/>
    <n v="3.52"/>
    <n v="6"/>
    <n v="0.2"/>
    <n v="4"/>
    <n v="1.96606957476348"/>
    <n v="0.8"/>
    <n v="0"/>
    <x v="0"/>
    <n v="1.0715425606276678"/>
    <n v="0"/>
    <n v="3.0000000000000249E-2"/>
  </r>
  <r>
    <x v="93"/>
    <n v="2.6381335660023502"/>
    <n v="3.52"/>
    <n v="7"/>
    <n v="0.2"/>
    <n v="5"/>
    <n v="2.4936962879639499"/>
    <n v="1"/>
    <n v="2.4936962879639499"/>
    <x v="19"/>
    <n v="1.0263037120360501"/>
    <n v="-4.5238848591617753E-2"/>
    <n v="3.0000000000000249E-2"/>
  </r>
  <r>
    <x v="94"/>
    <n v="2.67019432510418"/>
    <n v="3.585"/>
    <n v="1"/>
    <n v="0.2"/>
    <n v="1"/>
    <n v="0.53403886502083597"/>
    <n v="0.2"/>
    <n v="0"/>
    <x v="0"/>
    <n v="1.0263037120360501"/>
    <n v="0"/>
    <n v="6.4999999999999947E-2"/>
  </r>
  <r>
    <x v="95"/>
    <n v="2.6390371038052001"/>
    <n v="3.585"/>
    <n v="2"/>
    <n v="0.2"/>
    <n v="2"/>
    <n v="1.061846285781876"/>
    <n v="0.4"/>
    <n v="0"/>
    <x v="0"/>
    <n v="1.0263037120360501"/>
    <n v="0"/>
    <n v="6.4999999999999947E-2"/>
  </r>
  <r>
    <x v="96"/>
    <n v="2.6186769861639401"/>
    <n v="3.585"/>
    <n v="5"/>
    <n v="0.2"/>
    <n v="3"/>
    <n v="1.5855816830146641"/>
    <n v="0.60000000000000009"/>
    <n v="0"/>
    <x v="0"/>
    <n v="1.0263037120360501"/>
    <n v="0"/>
    <n v="6.4999999999999947E-2"/>
  </r>
  <r>
    <x v="97"/>
    <n v="2.6258914158610902"/>
    <n v="3.585"/>
    <n v="6"/>
    <n v="0.2"/>
    <n v="4"/>
    <n v="2.1107599661868823"/>
    <n v="0.8"/>
    <n v="0"/>
    <x v="0"/>
    <n v="1.0263037120360501"/>
    <n v="0"/>
    <n v="6.4999999999999947E-2"/>
  </r>
  <r>
    <x v="98"/>
    <n v="2.5120707644049798"/>
    <n v="3.585"/>
    <n v="7"/>
    <n v="0.2"/>
    <n v="5"/>
    <n v="2.6131741190678781"/>
    <n v="1"/>
    <n v="2.6131741190678781"/>
    <x v="20"/>
    <n v="0.97182588093212185"/>
    <n v="-5.4477831103928231E-2"/>
    <n v="6.4999999999999947E-2"/>
  </r>
  <r>
    <x v="99"/>
    <n v="2.4447051610431401"/>
    <n v="3.4899999999999998"/>
    <n v="1"/>
    <n v="0.2"/>
    <n v="1"/>
    <n v="0.48894103220862806"/>
    <n v="0.2"/>
    <n v="0"/>
    <x v="0"/>
    <n v="0.97182588093212185"/>
    <n v="0"/>
    <n v="-9.5000000000000195E-2"/>
  </r>
  <r>
    <x v="100"/>
    <n v="2.4760934642707801"/>
    <n v="3.4899999999999998"/>
    <n v="2"/>
    <n v="0.2"/>
    <n v="2"/>
    <n v="0.98415972506278404"/>
    <n v="0.4"/>
    <n v="0"/>
    <x v="0"/>
    <n v="0.97182588093212185"/>
    <n v="0"/>
    <n v="-9.5000000000000195E-2"/>
  </r>
  <r>
    <x v="101"/>
    <n v="2.4407526300903402"/>
    <n v="3.4899999999999998"/>
    <n v="5"/>
    <n v="0.2"/>
    <n v="3"/>
    <n v="1.4723102510808521"/>
    <n v="0.60000000000000009"/>
    <n v="0"/>
    <x v="0"/>
    <n v="0.97182588093212185"/>
    <n v="0"/>
    <n v="-9.5000000000000195E-2"/>
  </r>
  <r>
    <x v="102"/>
    <n v="2.4110384199427202"/>
    <n v="3.4899999999999998"/>
    <n v="6"/>
    <n v="0.2"/>
    <n v="4"/>
    <n v="1.9545179350693962"/>
    <n v="0.8"/>
    <n v="0"/>
    <x v="0"/>
    <n v="0.97182588093212185"/>
    <n v="0"/>
    <n v="-9.5000000000000195E-2"/>
  </r>
  <r>
    <x v="103"/>
    <n v="2.4687840450515499"/>
    <n v="3.4899999999999998"/>
    <n v="7"/>
    <n v="0.2"/>
    <n v="5"/>
    <n v="2.4482747440797064"/>
    <n v="1"/>
    <n v="2.4482747440797064"/>
    <x v="21"/>
    <n v="1.0417252559202934"/>
    <n v="6.9899374988171559E-2"/>
    <n v="-9.5000000000000195E-2"/>
  </r>
  <r>
    <x v="104"/>
    <n v="2.4337082726962702"/>
    <n v="3.4749999999999996"/>
    <n v="1"/>
    <n v="0.2"/>
    <n v="1"/>
    <n v="0.48674165453925405"/>
    <n v="0.2"/>
    <n v="0"/>
    <x v="0"/>
    <n v="1.0417252559202934"/>
    <n v="0"/>
    <n v="-1.5000000000000124E-2"/>
  </r>
  <r>
    <x v="105"/>
    <n v="2.3689486742097801"/>
    <n v="3.4749999999999996"/>
    <n v="2"/>
    <n v="0.2"/>
    <n v="2"/>
    <n v="0.96053138938121008"/>
    <n v="0.4"/>
    <n v="0"/>
    <x v="0"/>
    <n v="1.0417252559202934"/>
    <n v="0"/>
    <n v="-1.5000000000000124E-2"/>
  </r>
  <r>
    <x v="106"/>
    <n v="2.3841669341916099"/>
    <n v="3.4749999999999996"/>
    <n v="6"/>
    <n v="0.2"/>
    <n v="3"/>
    <n v="1.4373647762195321"/>
    <n v="0.60000000000000009"/>
    <n v="0"/>
    <x v="0"/>
    <n v="1.0417252559202934"/>
    <n v="0"/>
    <n v="-1.5000000000000124E-2"/>
  </r>
  <r>
    <x v="107"/>
    <n v="2.39527607095176"/>
    <n v="3.4749999999999996"/>
    <n v="7"/>
    <n v="0.2"/>
    <n v="4"/>
    <n v="1.9164199904098842"/>
    <n v="0.8"/>
    <n v="2.395524988012355"/>
    <x v="22"/>
    <n v="1.0794750119876446"/>
    <n v="3.7749756067351203E-2"/>
    <n v="-1.5000000000000124E-2"/>
  </r>
  <r>
    <x v="108"/>
    <n v="2.4560721347491201"/>
    <n v="3.4499999999999997"/>
    <n v="1"/>
    <n v="0.2"/>
    <n v="1"/>
    <n v="0.49121442694982403"/>
    <n v="0.2"/>
    <n v="0"/>
    <x v="0"/>
    <n v="1.0794750119876446"/>
    <n v="0"/>
    <n v="-2.4999999999999911E-2"/>
  </r>
  <r>
    <x v="109"/>
    <n v="2.3738371878590399"/>
    <n v="3.4499999999999997"/>
    <n v="2"/>
    <n v="0.2"/>
    <n v="2"/>
    <n v="0.96598186452163204"/>
    <n v="0.4"/>
    <n v="0"/>
    <x v="0"/>
    <n v="1.0794750119876446"/>
    <n v="0"/>
    <n v="-2.4999999999999911E-2"/>
  </r>
  <r>
    <x v="110"/>
    <n v="2.3778465565534201"/>
    <n v="3.4499999999999997"/>
    <n v="5"/>
    <n v="0.2"/>
    <n v="3"/>
    <n v="1.4415511758323161"/>
    <n v="0.60000000000000009"/>
    <n v="0"/>
    <x v="0"/>
    <n v="1.0794750119876446"/>
    <n v="0"/>
    <n v="-2.4999999999999911E-2"/>
  </r>
  <r>
    <x v="111"/>
    <n v="2.3937114953982901"/>
    <n v="3.4499999999999997"/>
    <n v="6"/>
    <n v="0.2"/>
    <n v="4"/>
    <n v="1.9202934749119742"/>
    <n v="0.8"/>
    <n v="0"/>
    <x v="0"/>
    <n v="1.0794750119876446"/>
    <n v="0"/>
    <n v="-2.4999999999999911E-2"/>
  </r>
  <r>
    <x v="112"/>
    <n v="2.4292166245487601"/>
    <n v="3.4499999999999997"/>
    <n v="7"/>
    <n v="0.2"/>
    <n v="5"/>
    <n v="2.4061367998217262"/>
    <n v="1"/>
    <n v="2.4061367998217262"/>
    <x v="23"/>
    <n v="1.0438632001782735"/>
    <n v="-3.5611811809371119E-2"/>
    <n v="-2.4999999999999911E-2"/>
  </r>
  <r>
    <x v="113"/>
    <n v="2.2060134697218898"/>
    <n v="3.39"/>
    <n v="1"/>
    <n v="0.2"/>
    <n v="1"/>
    <n v="0.441202693944378"/>
    <n v="0.2"/>
    <n v="0"/>
    <x v="0"/>
    <n v="1.0438632001782735"/>
    <n v="0"/>
    <n v="-5.9999999999999609E-2"/>
  </r>
  <r>
    <x v="114"/>
    <n v="2.2680491660278101"/>
    <n v="3.39"/>
    <n v="2"/>
    <n v="0.2"/>
    <n v="2"/>
    <n v="0.89481252714994008"/>
    <n v="0.4"/>
    <n v="0"/>
    <x v="0"/>
    <n v="1.0438632001782735"/>
    <n v="0"/>
    <n v="-5.9999999999999609E-2"/>
  </r>
  <r>
    <x v="115"/>
    <n v="2.2811650726171102"/>
    <n v="3.39"/>
    <n v="5"/>
    <n v="0.2"/>
    <n v="3"/>
    <n v="1.3510455416733622"/>
    <n v="0.60000000000000009"/>
    <n v="0"/>
    <x v="0"/>
    <n v="1.0438632001782735"/>
    <n v="0"/>
    <n v="-5.9999999999999609E-2"/>
  </r>
  <r>
    <x v="116"/>
    <n v="2.2693986193058602"/>
    <n v="3.39"/>
    <n v="6"/>
    <n v="0.2"/>
    <n v="4"/>
    <n v="1.8049252655345343"/>
    <n v="0.8"/>
    <n v="0"/>
    <x v="0"/>
    <n v="1.0438632001782735"/>
    <n v="0"/>
    <n v="-5.9999999999999609E-2"/>
  </r>
  <r>
    <x v="117"/>
    <n v="2.2108565855724298"/>
    <n v="3.39"/>
    <n v="7"/>
    <n v="0.2"/>
    <n v="5"/>
    <n v="2.2470965826490201"/>
    <n v="1"/>
    <n v="2.2470965826490201"/>
    <x v="24"/>
    <n v="1.14290341735098"/>
    <n v="9.9040217172706502E-2"/>
    <n v="-5.9999999999999609E-2"/>
  </r>
  <r>
    <x v="118"/>
    <n v="2.1699341948075102"/>
    <n v="3.3"/>
    <n v="1"/>
    <n v="0.2"/>
    <n v="1"/>
    <n v="0.43398683896150203"/>
    <n v="0.2"/>
    <n v="0"/>
    <x v="0"/>
    <n v="1.14290341735098"/>
    <n v="0"/>
    <n v="-9.0000000000000302E-2"/>
  </r>
  <r>
    <x v="119"/>
    <n v="2.0967004826224001"/>
    <n v="3.3"/>
    <n v="2"/>
    <n v="0.2"/>
    <n v="2"/>
    <n v="0.85332693548598204"/>
    <n v="0.4"/>
    <n v="0"/>
    <x v="0"/>
    <n v="1.14290341735098"/>
    <n v="0"/>
    <n v="-9.0000000000000302E-2"/>
  </r>
  <r>
    <x v="120"/>
    <n v="2.0433470771670201"/>
    <n v="3.3"/>
    <n v="5"/>
    <n v="0.2"/>
    <n v="3"/>
    <n v="1.2619963509193861"/>
    <n v="0.60000000000000009"/>
    <n v="0"/>
    <x v="0"/>
    <n v="1.14290341735098"/>
    <n v="0"/>
    <n v="-9.0000000000000302E-2"/>
  </r>
  <r>
    <x v="121"/>
    <n v="1.9795562323798399"/>
    <n v="3.3"/>
    <n v="6"/>
    <n v="0.2"/>
    <n v="4"/>
    <n v="1.6579075973953541"/>
    <n v="0.8"/>
    <n v="0"/>
    <x v="0"/>
    <n v="1.14290341735098"/>
    <n v="0"/>
    <n v="-9.0000000000000302E-2"/>
  </r>
  <r>
    <x v="122"/>
    <n v="1.9736635579989501"/>
    <n v="3.3"/>
    <n v="7"/>
    <n v="0.2"/>
    <n v="5"/>
    <n v="2.0526403089951444"/>
    <n v="1"/>
    <n v="2.0526403089951444"/>
    <x v="25"/>
    <n v="1.2473596910048554"/>
    <n v="0.10445627365387544"/>
    <n v="-9.0000000000000302E-2"/>
  </r>
  <r>
    <x v="123"/>
    <n v="2.0509749333657501"/>
    <n v="3.26"/>
    <n v="1"/>
    <n v="0.2"/>
    <n v="1"/>
    <n v="0.41019498667315002"/>
    <n v="0.2"/>
    <n v="0"/>
    <x v="0"/>
    <n v="1.2473596910048554"/>
    <n v="0"/>
    <n v="-4.0000000000000036E-2"/>
  </r>
  <r>
    <x v="124"/>
    <n v="2.0399140401394802"/>
    <n v="3.26"/>
    <n v="2"/>
    <n v="0.2"/>
    <n v="2"/>
    <n v="0.81817779470104601"/>
    <n v="0.4"/>
    <n v="0"/>
    <x v="0"/>
    <n v="1.2473596910048554"/>
    <n v="0"/>
    <n v="-4.0000000000000036E-2"/>
  </r>
  <r>
    <x v="125"/>
    <n v="1.9791061697796299"/>
    <n v="3.26"/>
    <n v="5"/>
    <n v="0.2"/>
    <n v="3"/>
    <n v="1.213999028656972"/>
    <n v="0.60000000000000009"/>
    <n v="0"/>
    <x v="0"/>
    <n v="1.2473596910048554"/>
    <n v="0"/>
    <n v="-4.0000000000000036E-2"/>
  </r>
  <r>
    <x v="126"/>
    <n v="1.89926870046304"/>
    <n v="3.26"/>
    <n v="6"/>
    <n v="0.2"/>
    <n v="4"/>
    <n v="1.59385276874958"/>
    <n v="0.8"/>
    <n v="0"/>
    <x v="0"/>
    <n v="1.2473596910048554"/>
    <n v="0"/>
    <n v="-4.0000000000000036E-2"/>
  </r>
  <r>
    <x v="127"/>
    <n v="1.9744446236261499"/>
    <n v="3.26"/>
    <n v="7"/>
    <n v="0.2"/>
    <n v="5"/>
    <n v="1.9887416934748101"/>
    <n v="1"/>
    <n v="1.9887416934748101"/>
    <x v="26"/>
    <n v="1.2712583065251897"/>
    <n v="2.3898615520334232E-2"/>
    <n v="-4.0000000000000036E-2"/>
  </r>
  <r>
    <x v="128"/>
    <n v="2.0658821659188802"/>
    <n v="3.3149999999999999"/>
    <n v="1"/>
    <n v="0.2"/>
    <n v="1"/>
    <n v="0.41317643318377606"/>
    <n v="0.2"/>
    <n v="0"/>
    <x v="0"/>
    <n v="1.2712583065251897"/>
    <n v="0"/>
    <n v="5.500000000000016E-2"/>
  </r>
  <r>
    <x v="129"/>
    <n v="2.0999165140206202"/>
    <n v="3.3149999999999999"/>
    <n v="2"/>
    <n v="0.2"/>
    <n v="2"/>
    <n v="0.83315973598790016"/>
    <n v="0.4"/>
    <n v="0"/>
    <x v="0"/>
    <n v="1.2712583065251897"/>
    <n v="0"/>
    <n v="5.500000000000016E-2"/>
  </r>
  <r>
    <x v="130"/>
    <n v="2.1121992044017102"/>
    <n v="3.3149999999999999"/>
    <n v="6"/>
    <n v="0.2"/>
    <n v="3"/>
    <n v="1.2555995768682422"/>
    <n v="0.60000000000000009"/>
    <n v="0"/>
    <x v="0"/>
    <n v="1.2712583065251897"/>
    <n v="0"/>
    <n v="5.500000000000016E-2"/>
  </r>
  <r>
    <x v="131"/>
    <n v="2.0566984028863402"/>
    <n v="3.3149999999999999"/>
    <n v="7"/>
    <n v="0.2"/>
    <n v="4"/>
    <n v="1.6669392574455102"/>
    <n v="0.8"/>
    <n v="2.0836740718068878"/>
    <x v="27"/>
    <n v="1.2313259281931122"/>
    <n v="-3.9932378332077523E-2"/>
    <n v="5.500000000000016E-2"/>
  </r>
  <r>
    <x v="132"/>
    <n v="2.0188150642087299"/>
    <n v="3.2949999999999999"/>
    <n v="1"/>
    <n v="0.2"/>
    <n v="1"/>
    <n v="0.40376301284174598"/>
    <n v="0.2"/>
    <n v="0"/>
    <x v="0"/>
    <n v="1.2313259281931122"/>
    <n v="0"/>
    <n v="-2.0000000000000018E-2"/>
  </r>
  <r>
    <x v="133"/>
    <n v="2.0148705784973"/>
    <n v="3.2949999999999999"/>
    <n v="2"/>
    <n v="0.2"/>
    <n v="2"/>
    <n v="0.80673712854120594"/>
    <n v="0.4"/>
    <n v="0"/>
    <x v="0"/>
    <n v="1.2313259281931122"/>
    <n v="0"/>
    <n v="-2.0000000000000018E-2"/>
  </r>
  <r>
    <x v="134"/>
    <n v="2.0433983497425001"/>
    <n v="3.2949999999999999"/>
    <n v="5"/>
    <n v="0.2"/>
    <n v="3"/>
    <n v="1.215416798489706"/>
    <n v="0.60000000000000009"/>
    <n v="0"/>
    <x v="0"/>
    <n v="1.2313259281931122"/>
    <n v="0"/>
    <n v="-2.0000000000000018E-2"/>
  </r>
  <r>
    <x v="135"/>
    <n v="2.0903131154582399"/>
    <n v="3.2949999999999999"/>
    <n v="6"/>
    <n v="0.2"/>
    <n v="4"/>
    <n v="1.633479421581354"/>
    <n v="0.8"/>
    <n v="0"/>
    <x v="0"/>
    <n v="1.2313259281931122"/>
    <n v="0"/>
    <n v="-2.0000000000000018E-2"/>
  </r>
  <r>
    <x v="136"/>
    <n v="2.1999397264302898"/>
    <n v="3.2949999999999999"/>
    <n v="7"/>
    <n v="0.2"/>
    <n v="5"/>
    <n v="2.073467366867412"/>
    <n v="1"/>
    <n v="2.073467366867412"/>
    <x v="28"/>
    <n v="1.221532633132588"/>
    <n v="-9.7932950605241764E-3"/>
    <n v="-2.0000000000000018E-2"/>
  </r>
  <r>
    <x v="137"/>
    <n v="2.23804060063864"/>
    <n v="3.335"/>
    <n v="1"/>
    <n v="0.2"/>
    <n v="1"/>
    <n v="0.44760812012772799"/>
    <n v="0.2"/>
    <n v="0"/>
    <x v="0"/>
    <n v="1.221532633132588"/>
    <n v="0"/>
    <n v="4.0000000000000036E-2"/>
  </r>
  <r>
    <x v="138"/>
    <n v="2.17149064090427"/>
    <n v="3.335"/>
    <n v="2"/>
    <n v="0.2"/>
    <n v="2"/>
    <n v="0.881906248308582"/>
    <n v="0.4"/>
    <n v="0"/>
    <x v="0"/>
    <n v="1.221532633132588"/>
    <n v="0"/>
    <n v="4.0000000000000036E-2"/>
  </r>
  <r>
    <x v="139"/>
    <n v="2.2048003727510999"/>
    <n v="3.335"/>
    <n v="5"/>
    <n v="0.2"/>
    <n v="3"/>
    <n v="1.322866322858802"/>
    <n v="0.60000000000000009"/>
    <n v="0"/>
    <x v="0"/>
    <n v="1.221532633132588"/>
    <n v="0"/>
    <n v="4.0000000000000036E-2"/>
  </r>
  <r>
    <x v="140"/>
    <n v="2.1883122196514102"/>
    <n v="3.335"/>
    <n v="6"/>
    <n v="0.2"/>
    <n v="4"/>
    <n v="1.7605287667890841"/>
    <n v="0.8"/>
    <n v="0"/>
    <x v="0"/>
    <n v="1.221532633132588"/>
    <n v="0"/>
    <n v="4.0000000000000036E-2"/>
  </r>
  <r>
    <x v="141"/>
    <n v="2.2250151290701798"/>
    <n v="3.335"/>
    <n v="7"/>
    <n v="0.2"/>
    <n v="5"/>
    <n v="2.2055317926031202"/>
    <n v="1"/>
    <n v="2.2055317926031202"/>
    <x v="29"/>
    <n v="1.1294682073968798"/>
    <n v="-9.2064425735708166E-2"/>
    <n v="4.0000000000000036E-2"/>
  </r>
  <r>
    <x v="142"/>
    <n v="2.2775343256732099"/>
    <n v="3.3149999999999999"/>
    <n v="1"/>
    <n v="0.2"/>
    <n v="1"/>
    <n v="0.455506865134642"/>
    <n v="0.2"/>
    <n v="0"/>
    <x v="0"/>
    <n v="1.1294682073968798"/>
    <n v="0"/>
    <n v="-2.0000000000000018E-2"/>
  </r>
  <r>
    <x v="143"/>
    <n v="2.2062412812927401"/>
    <n v="3.3149999999999999"/>
    <n v="2"/>
    <n v="0.2"/>
    <n v="2"/>
    <n v="0.89675512139319002"/>
    <n v="0.4"/>
    <n v="0"/>
    <x v="0"/>
    <n v="1.1294682073968798"/>
    <n v="0"/>
    <n v="-2.0000000000000018E-2"/>
  </r>
  <r>
    <x v="144"/>
    <n v="2.1758632003490601"/>
    <n v="3.3149999999999999"/>
    <n v="5"/>
    <n v="0.2"/>
    <n v="3"/>
    <n v="1.3319277614630021"/>
    <n v="0.60000000000000009"/>
    <n v="0"/>
    <x v="0"/>
    <n v="1.1294682073968798"/>
    <n v="0"/>
    <n v="-2.0000000000000018E-2"/>
  </r>
  <r>
    <x v="145"/>
    <n v="2.1423497452898399"/>
    <n v="3.3149999999999999"/>
    <n v="7"/>
    <n v="0.2"/>
    <n v="4"/>
    <n v="1.76039771052097"/>
    <n v="0.8"/>
    <n v="2.2004971381512126"/>
    <x v="30"/>
    <n v="1.1145028618487873"/>
    <n v="-1.4965345548092479E-2"/>
    <n v="-2.0000000000000018E-2"/>
  </r>
  <r>
    <x v="146"/>
    <n v="2.2324289694544102"/>
    <n v="3.3249999999999997"/>
    <n v="1"/>
    <n v="0.2"/>
    <n v="1"/>
    <n v="0.44648579389088205"/>
    <n v="0.2"/>
    <n v="0"/>
    <x v="0"/>
    <n v="1.1145028618487873"/>
    <n v="0"/>
    <n v="9.9999999999997868E-3"/>
  </r>
  <r>
    <x v="147"/>
    <n v="2.1949310629738199"/>
    <n v="3.3249999999999997"/>
    <n v="2"/>
    <n v="0.2"/>
    <n v="2"/>
    <n v="0.88547200648564606"/>
    <n v="0.4"/>
    <n v="0"/>
    <x v="0"/>
    <n v="1.1145028618487873"/>
    <n v="0"/>
    <n v="9.9999999999997868E-3"/>
  </r>
  <r>
    <x v="148"/>
    <n v="2.1479421519661601"/>
    <n v="3.3249999999999997"/>
    <n v="5"/>
    <n v="0.2"/>
    <n v="3"/>
    <n v="1.3150604368788781"/>
    <n v="0.60000000000000009"/>
    <n v="0"/>
    <x v="0"/>
    <n v="1.1145028618487873"/>
    <n v="0"/>
    <n v="9.9999999999997868E-3"/>
  </r>
  <r>
    <x v="149"/>
    <n v="2.2488911274377399"/>
    <n v="3.3249999999999997"/>
    <n v="6"/>
    <n v="0.2"/>
    <n v="4"/>
    <n v="1.7648386623664261"/>
    <n v="0.8"/>
    <n v="0"/>
    <x v="0"/>
    <n v="1.1145028618487873"/>
    <n v="0"/>
    <n v="9.9999999999997868E-3"/>
  </r>
  <r>
    <x v="150"/>
    <n v="2.0919724577728598"/>
    <n v="3.3249999999999997"/>
    <n v="7"/>
    <n v="0.2"/>
    <n v="5"/>
    <n v="2.1832331539209981"/>
    <n v="1"/>
    <n v="2.1832331539209981"/>
    <x v="31"/>
    <n v="1.1417668460790016"/>
    <n v="2.7263984230214255E-2"/>
    <n v="9.9999999999997868E-3"/>
  </r>
  <r>
    <x v="151"/>
    <n v="2.04956432037537"/>
    <n v="3.2649999999999997"/>
    <n v="1"/>
    <n v="0.2"/>
    <n v="1"/>
    <n v="0.40991286407507399"/>
    <n v="0.2"/>
    <n v="0"/>
    <x v="0"/>
    <n v="1.1417668460790016"/>
    <n v="0"/>
    <n v="-6.0000000000000053E-2"/>
  </r>
  <r>
    <x v="152"/>
    <n v="2.0595956654124499"/>
    <n v="3.2649999999999997"/>
    <n v="2"/>
    <n v="0.2"/>
    <n v="2"/>
    <n v="0.82183199715756405"/>
    <n v="0.4"/>
    <n v="0"/>
    <x v="0"/>
    <n v="1.1417668460790016"/>
    <n v="0"/>
    <n v="-6.0000000000000053E-2"/>
  </r>
  <r>
    <x v="153"/>
    <n v="2.0829778986268401"/>
    <n v="3.2649999999999997"/>
    <n v="6"/>
    <n v="0.2"/>
    <n v="3"/>
    <n v="1.238427576882932"/>
    <n v="0.60000000000000009"/>
    <n v="0"/>
    <x v="0"/>
    <n v="1.1417668460790016"/>
    <n v="0"/>
    <n v="-6.0000000000000053E-2"/>
  </r>
  <r>
    <x v="154"/>
    <n v="2.1343540804519301"/>
    <n v="3.2649999999999997"/>
    <n v="7"/>
    <n v="0.2"/>
    <n v="4"/>
    <n v="1.6652983929733181"/>
    <n v="0.8"/>
    <n v="2.0816229912166473"/>
    <x v="32"/>
    <n v="1.1833770087833524"/>
    <n v="4.1610162704350806E-2"/>
    <n v="-6.0000000000000053E-2"/>
  </r>
  <r>
    <x v="154"/>
    <n v="2.1343540804519301"/>
    <n v="3.2349999999999999"/>
    <n v="7"/>
    <n v="0.2"/>
    <n v="1"/>
    <n v="0.42687081609038602"/>
    <n v="0.2"/>
    <n v="0"/>
    <x v="0"/>
    <n v="1.1833770087833524"/>
    <n v="0"/>
    <n v="-2.9999999999999805E-2"/>
  </r>
  <r>
    <x v="155"/>
    <n v="2.0923386430292501"/>
    <n v="3.2349999999999999"/>
    <n v="1"/>
    <n v="0.2"/>
    <n v="1"/>
    <n v="0.41846772860585002"/>
    <n v="0.2"/>
    <n v="0"/>
    <x v="0"/>
    <n v="1.1833770087833524"/>
    <n v="0"/>
    <n v="-2.9999999999999805E-2"/>
  </r>
  <r>
    <x v="156"/>
    <n v="2.0361071292777302"/>
    <n v="3.2349999999999999"/>
    <n v="2"/>
    <n v="0.2"/>
    <n v="2"/>
    <n v="0.82568915446139601"/>
    <n v="0.4"/>
    <n v="0"/>
    <x v="0"/>
    <n v="1.1833770087833524"/>
    <n v="0"/>
    <n v="-2.9999999999999805E-2"/>
  </r>
  <r>
    <x v="157"/>
    <n v="2.0699676944682599"/>
    <n v="3.2349999999999999"/>
    <n v="5"/>
    <n v="0.2"/>
    <n v="3"/>
    <n v="1.239682693355048"/>
    <n v="0.60000000000000009"/>
    <n v="0"/>
    <x v="0"/>
    <n v="1.1833770087833524"/>
    <n v="0"/>
    <n v="-2.9999999999999805E-2"/>
  </r>
  <r>
    <x v="158"/>
    <n v="2.1420411801194499"/>
    <n v="3.2349999999999999"/>
    <n v="6"/>
    <n v="0.2"/>
    <n v="4"/>
    <n v="1.6680909293789381"/>
    <n v="0.8"/>
    <n v="2.0851136617236725"/>
    <x v="33"/>
    <n v="1.1498863382763274"/>
    <n v="-3.3490670507025033E-2"/>
    <n v="-2.9999999999999805E-2"/>
  </r>
  <r>
    <x v="159"/>
    <n v="2.2012643194611901"/>
    <n v="3.27"/>
    <n v="2"/>
    <n v="0.2"/>
    <n v="1"/>
    <n v="0.44025286389223806"/>
    <n v="0.2"/>
    <n v="0"/>
    <x v="0"/>
    <n v="1.1498863382763274"/>
    <n v="0"/>
    <n v="3.5000000000000142E-2"/>
  </r>
  <r>
    <x v="160"/>
    <n v="2.1328988734204701"/>
    <n v="3.27"/>
    <n v="5"/>
    <n v="0.2"/>
    <n v="2"/>
    <n v="0.86683263857633208"/>
    <n v="0.4"/>
    <n v="0"/>
    <x v="0"/>
    <n v="1.1498863382763274"/>
    <n v="0"/>
    <n v="3.5000000000000142E-2"/>
  </r>
  <r>
    <x v="161"/>
    <n v="2.0440489527996202"/>
    <n v="3.27"/>
    <n v="6"/>
    <n v="0.2"/>
    <n v="3"/>
    <n v="1.2756424291362563"/>
    <n v="0.60000000000000009"/>
    <n v="0"/>
    <x v="0"/>
    <n v="1.1498863382763274"/>
    <n v="0"/>
    <n v="3.5000000000000142E-2"/>
  </r>
  <r>
    <x v="162"/>
    <n v="2.0509742576327699"/>
    <n v="3.27"/>
    <n v="7"/>
    <n v="0.2"/>
    <n v="4"/>
    <n v="1.6858372806628101"/>
    <n v="0.8"/>
    <n v="2.1072966008285126"/>
    <x v="34"/>
    <n v="1.1627033991714875"/>
    <n v="1.2817060895160104E-2"/>
    <n v="3.5000000000000142E-2"/>
  </r>
  <r>
    <x v="163"/>
    <n v="2.0724438614292899"/>
    <n v="3.2649999999999997"/>
    <n v="1"/>
    <n v="0.2"/>
    <n v="1"/>
    <n v="0.41448877228585801"/>
    <n v="0.2"/>
    <n v="0"/>
    <x v="0"/>
    <n v="1.1627033991714875"/>
    <n v="0"/>
    <n v="-5.0000000000003375E-3"/>
  </r>
  <r>
    <x v="164"/>
    <n v="2.0725335490580301"/>
    <n v="3.2649999999999997"/>
    <n v="2"/>
    <n v="0.2"/>
    <n v="2"/>
    <n v="0.8289954820974641"/>
    <n v="0.4"/>
    <n v="0"/>
    <x v="0"/>
    <n v="1.1627033991714875"/>
    <n v="0"/>
    <n v="-5.0000000000003375E-3"/>
  </r>
  <r>
    <x v="165"/>
    <n v="2.0862225711456399"/>
    <n v="3.2649999999999997"/>
    <n v="5"/>
    <n v="0.2"/>
    <n v="3"/>
    <n v="1.246239996326592"/>
    <n v="0.60000000000000009"/>
    <n v="0"/>
    <x v="0"/>
    <n v="1.1627033991714875"/>
    <n v="0"/>
    <n v="-5.0000000000003375E-3"/>
  </r>
  <r>
    <x v="166"/>
    <n v="2.0678302367394399"/>
    <n v="3.2649999999999997"/>
    <n v="6"/>
    <n v="0.2"/>
    <n v="4"/>
    <n v="1.6598060436744799"/>
    <n v="0.8"/>
    <n v="0"/>
    <x v="0"/>
    <n v="1.1627033991714875"/>
    <n v="0"/>
    <n v="-5.0000000000003375E-3"/>
  </r>
  <r>
    <x v="167"/>
    <n v="2.0799414922025399"/>
    <n v="3.2649999999999997"/>
    <n v="7"/>
    <n v="0.2"/>
    <n v="5"/>
    <n v="2.075794342114988"/>
    <n v="1"/>
    <n v="2.075794342114988"/>
    <x v="35"/>
    <n v="1.1892056578850116"/>
    <n v="2.6502258713524185E-2"/>
    <n v="-5.0000000000003375E-3"/>
  </r>
  <r>
    <x v="168"/>
    <n v="2.1082736282319798"/>
    <n v="3.2449999999999997"/>
    <n v="1"/>
    <n v="0.2"/>
    <n v="1"/>
    <n v="0.421654725646396"/>
    <n v="0.2"/>
    <n v="0"/>
    <x v="0"/>
    <n v="1.1892056578850116"/>
    <n v="0"/>
    <n v="-2.0000000000000018E-2"/>
  </r>
  <r>
    <x v="169"/>
    <n v="2.1663327490122799"/>
    <n v="3.2449999999999997"/>
    <n v="2"/>
    <n v="0.2"/>
    <n v="2"/>
    <n v="0.85492127544885199"/>
    <n v="0.4"/>
    <n v="0"/>
    <x v="0"/>
    <n v="1.1892056578850116"/>
    <n v="0"/>
    <n v="-2.0000000000000018E-2"/>
  </r>
  <r>
    <x v="170"/>
    <n v="2.1263199579473602"/>
    <n v="3.2449999999999997"/>
    <n v="5"/>
    <n v="0.2"/>
    <n v="3"/>
    <n v="1.280185267038324"/>
    <n v="0.60000000000000009"/>
    <n v="0"/>
    <x v="0"/>
    <n v="1.1892056578850116"/>
    <n v="0"/>
    <n v="-2.0000000000000018E-2"/>
  </r>
  <r>
    <x v="171"/>
    <n v="2.1257047070821802"/>
    <n v="3.2449999999999997"/>
    <n v="6"/>
    <n v="0.2"/>
    <n v="4"/>
    <n v="1.70532620845476"/>
    <n v="0.8"/>
    <n v="0"/>
    <x v="0"/>
    <n v="1.1892056578850116"/>
    <n v="0"/>
    <n v="-2.0000000000000018E-2"/>
  </r>
  <r>
    <x v="172"/>
    <n v="2.1698452448822598"/>
    <n v="3.2449999999999997"/>
    <n v="7"/>
    <n v="0.2"/>
    <n v="5"/>
    <n v="2.1392952574312121"/>
    <n v="1"/>
    <n v="2.1392952574312121"/>
    <x v="36"/>
    <n v="1.1057047425687876"/>
    <n v="-8.3500915316224056E-2"/>
    <n v="-2.0000000000000018E-2"/>
  </r>
  <r>
    <x v="173"/>
    <n v="2.17954329599754"/>
    <n v="3.2949999999999999"/>
    <n v="1"/>
    <n v="0.2"/>
    <n v="1"/>
    <n v="0.43590865919950805"/>
    <n v="0.2"/>
    <n v="0"/>
    <x v="0"/>
    <n v="1.1057047425687876"/>
    <n v="0"/>
    <n v="5.0000000000000266E-2"/>
  </r>
  <r>
    <x v="174"/>
    <n v="2.1747058079367898"/>
    <n v="3.2949999999999999"/>
    <n v="2"/>
    <n v="0.2"/>
    <n v="2"/>
    <n v="0.87084982078686601"/>
    <n v="0.4"/>
    <n v="0"/>
    <x v="0"/>
    <n v="1.1057047425687876"/>
    <n v="0"/>
    <n v="5.0000000000000266E-2"/>
  </r>
  <r>
    <x v="175"/>
    <n v="2.1860869431888501"/>
    <n v="3.2949999999999999"/>
    <n v="5"/>
    <n v="0.2"/>
    <n v="3"/>
    <n v="1.3080672094246362"/>
    <n v="0.60000000000000009"/>
    <n v="0"/>
    <x v="0"/>
    <n v="1.1057047425687876"/>
    <n v="0"/>
    <n v="5.0000000000000266E-2"/>
  </r>
  <r>
    <x v="176"/>
    <n v="2.2549632116225702"/>
    <n v="3.2949999999999999"/>
    <n v="6"/>
    <n v="0.2"/>
    <n v="4"/>
    <n v="1.7590598517491502"/>
    <n v="0.8"/>
    <n v="0"/>
    <x v="0"/>
    <n v="1.1057047425687876"/>
    <n v="0"/>
    <n v="5.0000000000000266E-2"/>
  </r>
  <r>
    <x v="177"/>
    <n v="2.20825796099597"/>
    <n v="3.2949999999999999"/>
    <n v="7"/>
    <n v="0.2"/>
    <n v="5"/>
    <n v="2.2007114439483444"/>
    <n v="1"/>
    <n v="2.2007114439483444"/>
    <x v="37"/>
    <n v="1.0942885560516555"/>
    <n v="-1.1416186517132054E-2"/>
    <n v="5.0000000000000266E-2"/>
  </r>
  <r>
    <x v="178"/>
    <n v="2.18927927513684"/>
    <n v="3.2749999999999999"/>
    <n v="1"/>
    <n v="0.2"/>
    <n v="1"/>
    <n v="0.43785585502736801"/>
    <n v="0.2"/>
    <n v="0"/>
    <x v="0"/>
    <n v="1.0942885560516555"/>
    <n v="0"/>
    <n v="-2.0000000000000018E-2"/>
  </r>
  <r>
    <x v="179"/>
    <n v="2.14957407921754"/>
    <n v="3.2749999999999999"/>
    <n v="2"/>
    <n v="0.2"/>
    <n v="2"/>
    <n v="0.867770670870876"/>
    <n v="0.4"/>
    <n v="0"/>
    <x v="0"/>
    <n v="1.0942885560516555"/>
    <n v="0"/>
    <n v="-2.0000000000000018E-2"/>
  </r>
  <r>
    <x v="180"/>
    <n v="2.1781660184228402"/>
    <n v="3.2749999999999999"/>
    <n v="5"/>
    <n v="0.2"/>
    <n v="3"/>
    <n v="1.3034038745554439"/>
    <n v="0.60000000000000009"/>
    <n v="0"/>
    <x v="0"/>
    <n v="1.0942885560516555"/>
    <n v="0"/>
    <n v="-2.0000000000000018E-2"/>
  </r>
  <r>
    <x v="181"/>
    <n v="2.1575085514306598"/>
    <n v="3.2749999999999999"/>
    <n v="7"/>
    <n v="0.2"/>
    <n v="4"/>
    <n v="1.734905584841576"/>
    <n v="0.8"/>
    <n v="2.1686319810519699"/>
    <x v="38"/>
    <n v="1.1063680189480301"/>
    <n v="1.2079462896374515E-2"/>
    <n v="-2.0000000000000018E-2"/>
  </r>
  <r>
    <x v="182"/>
    <n v="2.12227766952706"/>
    <n v="3.2649999999999997"/>
    <n v="1"/>
    <n v="0.2"/>
    <n v="1"/>
    <n v="0.42445553390541202"/>
    <n v="0.2"/>
    <n v="0"/>
    <x v="0"/>
    <n v="1.1063680189480301"/>
    <n v="0"/>
    <n v="-1.0000000000000231E-2"/>
  </r>
  <r>
    <x v="183"/>
    <n v="2.1401763219910399"/>
    <n v="3.2649999999999997"/>
    <n v="2"/>
    <n v="0.2"/>
    <n v="2"/>
    <n v="0.85249079830362007"/>
    <n v="0.4"/>
    <n v="0"/>
    <x v="0"/>
    <n v="1.1063680189480301"/>
    <n v="0"/>
    <n v="-1.0000000000000231E-2"/>
  </r>
  <r>
    <x v="184"/>
    <n v="2.1517307112587098"/>
    <n v="3.2649999999999997"/>
    <n v="5"/>
    <n v="0.2"/>
    <n v="3"/>
    <n v="1.2828369405553621"/>
    <n v="0.60000000000000009"/>
    <n v="0"/>
    <x v="0"/>
    <n v="1.1063680189480301"/>
    <n v="0"/>
    <n v="-1.0000000000000231E-2"/>
  </r>
  <r>
    <x v="185"/>
    <n v="2.2179772298988301"/>
    <n v="3.2649999999999997"/>
    <n v="7"/>
    <n v="0.2"/>
    <n v="4"/>
    <n v="1.7264323865351281"/>
    <n v="0.8"/>
    <n v="2.15804048316891"/>
    <x v="39"/>
    <n v="1.1069595168310897"/>
    <n v="5.9149788305967732E-4"/>
    <n v="-1.0000000000000231E-2"/>
  </r>
  <r>
    <x v="186"/>
    <n v="2.33893527316877"/>
    <n v="3.3249999999999997"/>
    <n v="1"/>
    <n v="0.2"/>
    <n v="1"/>
    <n v="0.46778705463375403"/>
    <n v="0.2"/>
    <n v="0"/>
    <x v="0"/>
    <n v="1.1069595168310897"/>
    <n v="0"/>
    <n v="6.0000000000000053E-2"/>
  </r>
  <r>
    <x v="187"/>
    <n v="2.3583903097049501"/>
    <n v="3.3249999999999997"/>
    <n v="2"/>
    <n v="0.2"/>
    <n v="2"/>
    <n v="0.93946511657474407"/>
    <n v="0.4"/>
    <n v="0"/>
    <x v="0"/>
    <n v="1.1069595168310897"/>
    <n v="0"/>
    <n v="6.0000000000000053E-2"/>
  </r>
  <r>
    <x v="188"/>
    <n v="2.3132421541265802"/>
    <n v="3.3249999999999997"/>
    <n v="5"/>
    <n v="0.2"/>
    <n v="3"/>
    <n v="1.4021135474000601"/>
    <n v="0.60000000000000009"/>
    <n v="0"/>
    <x v="0"/>
    <n v="1.1069595168310897"/>
    <n v="0"/>
    <n v="6.0000000000000053E-2"/>
  </r>
  <r>
    <x v="189"/>
    <n v="2.2872202205924901"/>
    <n v="3.3249999999999997"/>
    <n v="6"/>
    <n v="0.2"/>
    <n v="4"/>
    <n v="1.8595575915185583"/>
    <n v="0.8"/>
    <n v="0"/>
    <x v="0"/>
    <n v="1.1069595168310897"/>
    <n v="0"/>
    <n v="6.0000000000000053E-2"/>
  </r>
  <r>
    <x v="190"/>
    <n v="2.2542377381479901"/>
    <n v="3.3249999999999997"/>
    <n v="7"/>
    <n v="0.2"/>
    <n v="5"/>
    <n v="2.3104051391481564"/>
    <n v="1"/>
    <n v="2.3104051391481564"/>
    <x v="40"/>
    <n v="1.0145948608518434"/>
    <n v="-9.2364655979246368E-2"/>
    <n v="6.0000000000000053E-2"/>
  </r>
  <r>
    <x v="191"/>
    <n v="2.3058062237430601"/>
    <n v="3.3049999999999997"/>
    <n v="1"/>
    <n v="0.2"/>
    <n v="1"/>
    <n v="0.46116124474861203"/>
    <n v="0.2"/>
    <n v="0"/>
    <x v="0"/>
    <n v="1.0145948608518434"/>
    <n v="0"/>
    <n v="-2.0000000000000018E-2"/>
  </r>
  <r>
    <x v="192"/>
    <n v="2.2816853967186499"/>
    <n v="3.3049999999999997"/>
    <n v="2"/>
    <n v="0.2"/>
    <n v="2"/>
    <n v="0.917498324092342"/>
    <n v="0.4"/>
    <n v="0"/>
    <x v="0"/>
    <n v="1.0145948608518434"/>
    <n v="0"/>
    <n v="-2.0000000000000018E-2"/>
  </r>
  <r>
    <x v="193"/>
    <n v="2.2784009909774001"/>
    <n v="3.3049999999999997"/>
    <n v="5"/>
    <n v="0.2"/>
    <n v="3"/>
    <n v="1.3731785222878221"/>
    <n v="0.60000000000000009"/>
    <n v="0"/>
    <x v="0"/>
    <n v="1.0145948608518434"/>
    <n v="0"/>
    <n v="-2.0000000000000018E-2"/>
  </r>
  <r>
    <x v="194"/>
    <n v="2.2938425272831502"/>
    <n v="3.3049999999999997"/>
    <n v="6"/>
    <n v="0.2"/>
    <n v="4"/>
    <n v="1.8319470277444521"/>
    <n v="0.8"/>
    <n v="0"/>
    <x v="0"/>
    <n v="1.0145948608518434"/>
    <n v="0"/>
    <n v="-2.0000000000000018E-2"/>
  </r>
  <r>
    <x v="195"/>
    <n v="2.2944098288443899"/>
    <n v="3.3049999999999997"/>
    <n v="7"/>
    <n v="0.2"/>
    <n v="5"/>
    <n v="2.2908289935133301"/>
    <n v="1"/>
    <n v="2.2908289935133301"/>
    <x v="41"/>
    <n v="1.0141710064866696"/>
    <n v="-4.2385436517378139E-4"/>
    <n v="-2.0000000000000018E-2"/>
  </r>
  <r>
    <x v="196"/>
    <n v="2.3689111618910199"/>
    <n v="3.3449999999999998"/>
    <n v="1"/>
    <n v="0.2"/>
    <n v="1"/>
    <n v="0.47378223237820399"/>
    <n v="0.2"/>
    <n v="0"/>
    <x v="0"/>
    <n v="1.0141710064866696"/>
    <n v="0"/>
    <n v="4.0000000000000036E-2"/>
  </r>
  <r>
    <x v="197"/>
    <n v="2.3502791672529901"/>
    <n v="3.3449999999999998"/>
    <n v="2"/>
    <n v="0.2"/>
    <n v="2"/>
    <n v="0.94383806582880203"/>
    <n v="0.4"/>
    <n v="0"/>
    <x v="0"/>
    <n v="1.0141710064866696"/>
    <n v="0"/>
    <n v="4.0000000000000036E-2"/>
  </r>
  <r>
    <x v="198"/>
    <n v="2.35220774246172"/>
    <n v="3.3449999999999998"/>
    <n v="6"/>
    <n v="0.2"/>
    <n v="3"/>
    <n v="1.414279614321146"/>
    <n v="0.60000000000000009"/>
    <n v="0"/>
    <x v="0"/>
    <n v="1.0141710064866696"/>
    <n v="0"/>
    <n v="4.0000000000000036E-2"/>
  </r>
  <r>
    <x v="199"/>
    <n v="2.3433125325998301"/>
    <n v="3.3449999999999998"/>
    <n v="7"/>
    <n v="0.2"/>
    <n v="4"/>
    <n v="1.8829421208411121"/>
    <n v="0.8"/>
    <n v="2.3536776510513899"/>
    <x v="42"/>
    <n v="0.99132234894860982"/>
    <n v="-2.2848657538059758E-2"/>
    <n v="4.0000000000000036E-2"/>
  </r>
  <r>
    <x v="200"/>
    <n v="2.3674188938348699"/>
    <n v="3.4549999999999996"/>
    <n v="1"/>
    <n v="0.2"/>
    <n v="1"/>
    <n v="0.47348377876697401"/>
    <n v="0.2"/>
    <n v="0"/>
    <x v="0"/>
    <n v="0.99132234894860982"/>
    <n v="0"/>
    <n v="0.10999999999999988"/>
  </r>
  <r>
    <x v="201"/>
    <n v="2.50531849536197"/>
    <n v="3.4549999999999996"/>
    <n v="2"/>
    <n v="0.2"/>
    <n v="2"/>
    <n v="0.97454747783936801"/>
    <n v="0.4"/>
    <n v="0"/>
    <x v="0"/>
    <n v="0.99132234894860982"/>
    <n v="0"/>
    <n v="0.10999999999999988"/>
  </r>
  <r>
    <x v="202"/>
    <n v="2.5393282304868099"/>
    <n v="3.4549999999999996"/>
    <n v="5"/>
    <n v="0.2"/>
    <n v="3"/>
    <n v="1.48241312393673"/>
    <n v="0.60000000000000009"/>
    <n v="0"/>
    <x v="0"/>
    <n v="0.99132234894860982"/>
    <n v="0"/>
    <n v="0.10999999999999988"/>
  </r>
  <r>
    <x v="203"/>
    <n v="2.5598092537420398"/>
    <n v="3.4549999999999996"/>
    <n v="6"/>
    <n v="0.2"/>
    <n v="4"/>
    <n v="1.994374974685138"/>
    <n v="0.8"/>
    <n v="0"/>
    <x v="0"/>
    <n v="0.99132234894860982"/>
    <n v="0"/>
    <n v="0.10999999999999988"/>
  </r>
  <r>
    <x v="204"/>
    <n v="2.5772925233697599"/>
    <n v="3.4549999999999996"/>
    <n v="7"/>
    <n v="0.2"/>
    <n v="5"/>
    <n v="2.5098334793590902"/>
    <n v="1"/>
    <n v="2.5098334793590902"/>
    <x v="43"/>
    <n v="0.94516652064090945"/>
    <n v="-4.6155828307700375E-2"/>
    <n v="0.10999999999999988"/>
  </r>
  <r>
    <x v="205"/>
    <n v="2.57376759097352"/>
    <n v="3.48"/>
    <n v="1"/>
    <n v="0.2"/>
    <n v="1"/>
    <n v="0.51475351819470405"/>
    <n v="0.2"/>
    <n v="0"/>
    <x v="0"/>
    <n v="0.94516652064090945"/>
    <n v="0"/>
    <n v="2.5000000000000355E-2"/>
  </r>
  <r>
    <x v="206"/>
    <n v="2.5914055356862402"/>
    <n v="3.48"/>
    <n v="2"/>
    <n v="0.2"/>
    <n v="2"/>
    <n v="1.0330346253319522"/>
    <n v="0.4"/>
    <n v="0"/>
    <x v="0"/>
    <n v="0.94516652064090945"/>
    <n v="0"/>
    <n v="2.5000000000000355E-2"/>
  </r>
  <r>
    <x v="207"/>
    <n v="2.5556270132589098"/>
    <n v="3.48"/>
    <n v="5"/>
    <n v="0.2"/>
    <n v="3"/>
    <n v="1.5441600279837342"/>
    <n v="0.60000000000000009"/>
    <n v="0"/>
    <x v="0"/>
    <n v="0.94516652064090945"/>
    <n v="0"/>
    <n v="2.5000000000000355E-2"/>
  </r>
  <r>
    <x v="208"/>
    <n v="2.6005196496782901"/>
    <n v="3.48"/>
    <n v="6"/>
    <n v="0.2"/>
    <n v="4"/>
    <n v="2.0642639579193922"/>
    <n v="0.8"/>
    <n v="0"/>
    <x v="0"/>
    <n v="0.94516652064090945"/>
    <n v="0"/>
    <n v="2.5000000000000355E-2"/>
  </r>
  <r>
    <x v="209"/>
    <n v="2.55943207517402"/>
    <n v="3.48"/>
    <n v="7"/>
    <n v="0.2"/>
    <n v="5"/>
    <n v="2.5761503729541961"/>
    <n v="1"/>
    <n v="2.5761503729541961"/>
    <x v="44"/>
    <n v="0.90384962704580385"/>
    <n v="-4.1316893595105597E-2"/>
    <n v="2.5000000000000355E-2"/>
  </r>
  <r>
    <x v="210"/>
    <n v="2.5513624904448799"/>
    <n v="3.48"/>
    <n v="1"/>
    <n v="0.2"/>
    <n v="1"/>
    <n v="0.51027249808897601"/>
    <n v="0.2"/>
    <n v="0"/>
    <x v="0"/>
    <n v="0.90384962704580385"/>
    <n v="0"/>
    <n v="0"/>
  </r>
  <r>
    <x v="211"/>
    <n v="2.5731755488249699"/>
    <n v="3.48"/>
    <n v="2"/>
    <n v="0.2"/>
    <n v="2"/>
    <n v="1.0249076078539701"/>
    <n v="0.4"/>
    <n v="0"/>
    <x v="0"/>
    <n v="0.90384962704580385"/>
    <n v="0"/>
    <n v="0"/>
  </r>
  <r>
    <x v="212"/>
    <n v="2.56530846465939"/>
    <n v="3.48"/>
    <n v="5"/>
    <n v="0.2"/>
    <n v="3"/>
    <n v="1.5379693007858481"/>
    <n v="0.60000000000000009"/>
    <n v="0"/>
    <x v="0"/>
    <n v="0.90384962704580385"/>
    <n v="0"/>
    <n v="0"/>
  </r>
  <r>
    <x v="213"/>
    <n v="2.6070118411689598"/>
    <n v="3.48"/>
    <n v="6"/>
    <n v="0.2"/>
    <n v="4"/>
    <n v="2.0593716690196402"/>
    <n v="0.8"/>
    <n v="0"/>
    <x v="0"/>
    <n v="0.90384962704580385"/>
    <n v="0"/>
    <n v="0"/>
  </r>
  <r>
    <x v="214"/>
    <n v="2.6537197373142098"/>
    <n v="3.48"/>
    <n v="7"/>
    <n v="0.2"/>
    <n v="5"/>
    <n v="2.5901156164824823"/>
    <n v="1"/>
    <n v="2.5901156164824823"/>
    <x v="45"/>
    <n v="0.88988438351751764"/>
    <n v="-1.3965243528286209E-2"/>
    <n v="0"/>
  </r>
  <r>
    <x v="215"/>
    <n v="2.6085491789438602"/>
    <n v="3.5100000000000002"/>
    <n v="1"/>
    <n v="0.2"/>
    <n v="1"/>
    <n v="0.52170983578877206"/>
    <n v="0.2"/>
    <n v="0"/>
    <x v="0"/>
    <n v="0.88988438351751764"/>
    <n v="0"/>
    <n v="3.0000000000000249E-2"/>
  </r>
  <r>
    <x v="216"/>
    <n v="2.6207856725732901"/>
    <n v="3.5100000000000002"/>
    <n v="2"/>
    <n v="0.2"/>
    <n v="2"/>
    <n v="1.0458669703034302"/>
    <n v="0.4"/>
    <n v="0"/>
    <x v="0"/>
    <n v="0.88988438351751764"/>
    <n v="0"/>
    <n v="3.0000000000000249E-2"/>
  </r>
  <r>
    <x v="217"/>
    <n v="2.6380211947179002"/>
    <n v="3.5100000000000002"/>
    <n v="6"/>
    <n v="0.2"/>
    <n v="3"/>
    <n v="1.5734712092470104"/>
    <n v="0.60000000000000009"/>
    <n v="0"/>
    <x v="0"/>
    <n v="0.88988438351751764"/>
    <n v="0"/>
    <n v="3.0000000000000249E-2"/>
  </r>
  <r>
    <x v="218"/>
    <n v="2.63796949913782"/>
    <n v="3.5100000000000002"/>
    <n v="7"/>
    <n v="0.2"/>
    <n v="4"/>
    <n v="2.1010651090745744"/>
    <n v="0.8"/>
    <n v="2.6263313863432178"/>
    <x v="46"/>
    <n v="0.8836686136567824"/>
    <n v="-6.215769860735243E-3"/>
    <n v="3.0000000000000249E-2"/>
  </r>
  <r>
    <x v="219"/>
    <n v="2.6257405351132901"/>
    <n v="3.46"/>
    <n v="1"/>
    <n v="0.2"/>
    <n v="1"/>
    <n v="0.52514810702265802"/>
    <n v="0.2"/>
    <n v="0"/>
    <x v="0"/>
    <n v="0.8836686136567824"/>
    <n v="0"/>
    <n v="-5.0000000000000266E-2"/>
  </r>
  <r>
    <x v="220"/>
    <n v="2.6251399034844098"/>
    <n v="3.46"/>
    <n v="2"/>
    <n v="0.2"/>
    <n v="2"/>
    <n v="1.0501760877195401"/>
    <n v="0.4"/>
    <n v="0"/>
    <x v="0"/>
    <n v="0.8836686136567824"/>
    <n v="0"/>
    <n v="-5.0000000000000266E-2"/>
  </r>
  <r>
    <x v="221"/>
    <n v="2.5578588429933502"/>
    <n v="3.46"/>
    <n v="5"/>
    <n v="0.2"/>
    <n v="3"/>
    <n v="1.5617478563182101"/>
    <n v="0.60000000000000009"/>
    <n v="0"/>
    <x v="0"/>
    <n v="0.8836686136567824"/>
    <n v="0"/>
    <n v="-5.0000000000000266E-2"/>
  </r>
  <r>
    <x v="222"/>
    <n v="2.5389569445759999"/>
    <n v="3.46"/>
    <n v="6"/>
    <n v="0.2"/>
    <n v="4"/>
    <n v="2.0695392452334103"/>
    <n v="0.8"/>
    <n v="0"/>
    <x v="0"/>
    <n v="0.8836686136567824"/>
    <n v="0"/>
    <n v="-5.0000000000000266E-2"/>
  </r>
  <r>
    <x v="223"/>
    <n v="2.5732198821136101"/>
    <n v="3.46"/>
    <n v="7"/>
    <n v="0.2"/>
    <n v="5"/>
    <n v="2.5841832216561325"/>
    <n v="1"/>
    <n v="2.5841832216561325"/>
    <x v="47"/>
    <n v="0.87581677834386751"/>
    <n v="-7.8518353129148899E-3"/>
    <n v="-5.0000000000000266E-2"/>
  </r>
  <r>
    <x v="224"/>
    <n v="2.5448374323223399"/>
    <n v="3.4449999999999998"/>
    <n v="1"/>
    <n v="0.2"/>
    <n v="1"/>
    <n v="0.50896748646446799"/>
    <n v="0.2"/>
    <n v="0"/>
    <x v="0"/>
    <n v="0.87581677834386751"/>
    <n v="0"/>
    <n v="-1.5000000000000124E-2"/>
  </r>
  <r>
    <x v="225"/>
    <n v="2.5299300395983999"/>
    <n v="3.4449999999999998"/>
    <n v="2"/>
    <n v="0.2"/>
    <n v="2"/>
    <n v="1.0149534943841481"/>
    <n v="0.4"/>
    <n v="0"/>
    <x v="0"/>
    <n v="0.87581677834386751"/>
    <n v="0"/>
    <n v="-1.5000000000000124E-2"/>
  </r>
  <r>
    <x v="226"/>
    <n v="2.5457760046441602"/>
    <n v="3.4449999999999998"/>
    <n v="5"/>
    <n v="0.2"/>
    <n v="3"/>
    <n v="1.5241086953129801"/>
    <n v="0.60000000000000009"/>
    <n v="0"/>
    <x v="0"/>
    <n v="0.87581677834386751"/>
    <n v="0"/>
    <n v="-1.5000000000000124E-2"/>
  </r>
  <r>
    <x v="227"/>
    <n v="2.56075645776348"/>
    <n v="3.4449999999999998"/>
    <n v="6"/>
    <n v="0.2"/>
    <n v="4"/>
    <n v="2.0362599868656761"/>
    <n v="0.8"/>
    <n v="0"/>
    <x v="0"/>
    <n v="0.87581677834386751"/>
    <n v="0"/>
    <n v="-1.5000000000000124E-2"/>
  </r>
  <r>
    <x v="228"/>
    <n v="2.6125524232747801"/>
    <n v="3.4449999999999998"/>
    <n v="7"/>
    <n v="0.2"/>
    <n v="5"/>
    <n v="2.5587704715206323"/>
    <n v="1"/>
    <n v="2.5587704715206323"/>
    <x v="48"/>
    <n v="0.88622952847936753"/>
    <n v="1.0412750135500026E-2"/>
    <n v="-1.5000000000000124E-2"/>
  </r>
  <r>
    <x v="229"/>
    <n v="2.6733074908689098"/>
    <n v="3.58"/>
    <n v="1"/>
    <n v="0.2"/>
    <n v="1"/>
    <n v="0.53466149817378195"/>
    <n v="0.2"/>
    <n v="0"/>
    <x v="0"/>
    <n v="0.88622952847936753"/>
    <n v="0"/>
    <n v="0.13500000000000023"/>
  </r>
  <r>
    <x v="230"/>
    <n v="2.7519155244705402"/>
    <n v="3.58"/>
    <n v="2"/>
    <n v="0.2"/>
    <n v="2"/>
    <n v="1.08504460306789"/>
    <n v="0.4"/>
    <n v="0"/>
    <x v="0"/>
    <n v="0.88622952847936753"/>
    <n v="0"/>
    <n v="0.13500000000000023"/>
  </r>
  <r>
    <x v="231"/>
    <n v="2.7399845789483299"/>
    <n v="3.58"/>
    <n v="5"/>
    <n v="0.2"/>
    <n v="3"/>
    <n v="1.633041518857556"/>
    <n v="0.60000000000000009"/>
    <n v="0"/>
    <x v="0"/>
    <n v="0.88622952847936753"/>
    <n v="0"/>
    <n v="0.13500000000000023"/>
  </r>
  <r>
    <x v="232"/>
    <n v="2.7064552884836801"/>
    <n v="3.58"/>
    <n v="6"/>
    <n v="0.2"/>
    <n v="4"/>
    <n v="2.174332576554292"/>
    <n v="0.8"/>
    <n v="0"/>
    <x v="0"/>
    <n v="0.88622952847936753"/>
    <n v="0"/>
    <n v="0.13500000000000023"/>
  </r>
  <r>
    <x v="233"/>
    <n v="2.70043867478531"/>
    <n v="3.58"/>
    <n v="7"/>
    <n v="0.2"/>
    <n v="5"/>
    <n v="2.7144203115113541"/>
    <n v="1"/>
    <n v="2.7144203115113541"/>
    <x v="49"/>
    <n v="0.86557968848864597"/>
    <n v="-2.0649839990721564E-2"/>
    <n v="0.13500000000000023"/>
  </r>
  <r>
    <x v="234"/>
    <n v="2.7054585787984"/>
    <n v="3.49"/>
    <n v="1"/>
    <n v="0.2"/>
    <n v="1"/>
    <n v="0.54109171575968007"/>
    <n v="0.2"/>
    <n v="0"/>
    <x v="0"/>
    <n v="0.86557968848864597"/>
    <n v="0"/>
    <n v="-8.9999999999999858E-2"/>
  </r>
  <r>
    <x v="235"/>
    <n v="2.6643363272696798"/>
    <n v="3.49"/>
    <n v="2"/>
    <n v="0.2"/>
    <n v="2"/>
    <n v="1.0739589812136161"/>
    <n v="0.4"/>
    <n v="0"/>
    <x v="0"/>
    <n v="0.86557968848864597"/>
    <n v="0"/>
    <n v="-8.9999999999999858E-2"/>
  </r>
  <r>
    <x v="236"/>
    <n v="2.6296268135310301"/>
    <n v="3.49"/>
    <n v="5"/>
    <n v="0.2"/>
    <n v="3"/>
    <n v="1.5998843439198223"/>
    <n v="0.60000000000000009"/>
    <n v="0"/>
    <x v="0"/>
    <n v="0.86557968848864597"/>
    <n v="0"/>
    <n v="-8.9999999999999858E-2"/>
  </r>
  <r>
    <x v="237"/>
    <n v="2.6068633017671599"/>
    <n v="3.49"/>
    <n v="6"/>
    <n v="0.2"/>
    <n v="4"/>
    <n v="2.1212570042732541"/>
    <n v="0.8"/>
    <n v="0"/>
    <x v="0"/>
    <n v="0.86557968848864597"/>
    <n v="0"/>
    <n v="-8.9999999999999858E-2"/>
  </r>
  <r>
    <x v="238"/>
    <n v="2.6469827013594598"/>
    <n v="3.49"/>
    <n v="7"/>
    <n v="0.2"/>
    <n v="5"/>
    <n v="2.650653544545146"/>
    <n v="1"/>
    <n v="2.650653544545146"/>
    <x v="50"/>
    <n v="0.8393464554548542"/>
    <n v="-2.623323303379177E-2"/>
    <n v="-8.9999999999999858E-2"/>
  </r>
  <r>
    <x v="239"/>
    <n v="2.6762749111600002"/>
    <n v="3.52"/>
    <n v="1"/>
    <n v="0.2"/>
    <n v="1"/>
    <n v="0.53525498223200008"/>
    <n v="0.2"/>
    <n v="0"/>
    <x v="0"/>
    <n v="0.8393464554548542"/>
    <n v="0"/>
    <n v="2.9999999999999805E-2"/>
  </r>
  <r>
    <x v="240"/>
    <n v="2.6414844586182298"/>
    <n v="3.52"/>
    <n v="2"/>
    <n v="0.2"/>
    <n v="2"/>
    <n v="1.063551873955646"/>
    <n v="0.4"/>
    <n v="0"/>
    <x v="0"/>
    <n v="0.8393464554548542"/>
    <n v="0"/>
    <n v="2.9999999999999805E-2"/>
  </r>
  <r>
    <x v="241"/>
    <n v="2.6394759315969498"/>
    <n v="3.52"/>
    <n v="5"/>
    <n v="0.2"/>
    <n v="3"/>
    <n v="1.5914470602750361"/>
    <n v="0.60000000000000009"/>
    <n v="0"/>
    <x v="0"/>
    <n v="0.8393464554548542"/>
    <n v="0"/>
    <n v="2.9999999999999805E-2"/>
  </r>
  <r>
    <x v="242"/>
    <n v="2.6425583507311501"/>
    <n v="3.52"/>
    <n v="6"/>
    <n v="0.2"/>
    <n v="4"/>
    <n v="2.1199587304212661"/>
    <n v="0.8"/>
    <n v="0"/>
    <x v="0"/>
    <n v="0.8393464554548542"/>
    <n v="0"/>
    <n v="2.9999999999999805E-2"/>
  </r>
  <r>
    <x v="243"/>
    <n v="2.6080685310037901"/>
    <n v="3.52"/>
    <n v="7"/>
    <n v="0.2"/>
    <n v="5"/>
    <n v="2.6415724366220243"/>
    <n v="1"/>
    <n v="2.6415724366220243"/>
    <x v="51"/>
    <n v="0.87842756337797567"/>
    <n v="3.9081107923121472E-2"/>
    <n v="2.9999999999999805E-2"/>
  </r>
  <r>
    <x v="244"/>
    <n v="2.6143335780898398"/>
    <n v="3.49"/>
    <n v="1"/>
    <n v="0.2"/>
    <n v="1"/>
    <n v="0.52286671561796794"/>
    <n v="0.2"/>
    <n v="0"/>
    <x v="0"/>
    <n v="0.87842756337797567"/>
    <n v="0"/>
    <n v="-2.9999999999999805E-2"/>
  </r>
  <r>
    <x v="245"/>
    <n v="2.5951295555522802"/>
    <n v="3.49"/>
    <n v="5"/>
    <n v="0.2"/>
    <n v="2"/>
    <n v="1.0418926267284241"/>
    <n v="0.4"/>
    <n v="0"/>
    <x v="0"/>
    <n v="0.87842756337797567"/>
    <n v="0"/>
    <n v="-2.9999999999999805E-2"/>
  </r>
  <r>
    <x v="246"/>
    <n v="2.6101991222676499"/>
    <n v="3.49"/>
    <n v="6"/>
    <n v="0.2"/>
    <n v="3"/>
    <n v="1.5639324511819541"/>
    <n v="0.60000000000000009"/>
    <n v="0"/>
    <x v="0"/>
    <n v="0.87842756337797567"/>
    <n v="0"/>
    <n v="-2.9999999999999805E-2"/>
  </r>
  <r>
    <x v="247"/>
    <n v="2.5647186741288901"/>
    <n v="3.49"/>
    <n v="7"/>
    <n v="0.2"/>
    <n v="4"/>
    <n v="2.0768761860077323"/>
    <n v="0.8"/>
    <n v="2.5960952325096653"/>
    <x v="52"/>
    <n v="0.89390476749033487"/>
    <n v="1.54772041123592E-2"/>
    <n v="-2.9999999999999805E-2"/>
  </r>
  <r>
    <x v="248"/>
    <n v="2.4858730996264899"/>
    <n v="3.3800000000000003"/>
    <n v="1"/>
    <n v="0.2"/>
    <n v="1"/>
    <n v="0.49717461992529799"/>
    <n v="0.2"/>
    <n v="0"/>
    <x v="0"/>
    <n v="0.89390476749033487"/>
    <n v="0"/>
    <n v="-0.10999999999999988"/>
  </r>
  <r>
    <x v="249"/>
    <n v="2.4173832768427301"/>
    <n v="3.3800000000000003"/>
    <n v="2"/>
    <n v="0.2"/>
    <n v="2"/>
    <n v="0.9806512752938441"/>
    <n v="0.4"/>
    <n v="0"/>
    <x v="0"/>
    <n v="0.89390476749033487"/>
    <n v="0"/>
    <n v="-0.10999999999999988"/>
  </r>
  <r>
    <x v="250"/>
    <n v="2.4769497822755899"/>
    <n v="3.3800000000000003"/>
    <n v="5"/>
    <n v="0.2"/>
    <n v="3"/>
    <n v="1.4760412317489622"/>
    <n v="0.60000000000000009"/>
    <n v="0"/>
    <x v="0"/>
    <n v="0.89390476749033487"/>
    <n v="0"/>
    <n v="-0.10999999999999988"/>
  </r>
  <r>
    <x v="251"/>
    <n v="2.4893778182677"/>
    <n v="3.3800000000000003"/>
    <n v="6"/>
    <n v="0.2"/>
    <n v="4"/>
    <n v="1.9739167954025021"/>
    <n v="0.8"/>
    <n v="0"/>
    <x v="0"/>
    <n v="0.89390476749033487"/>
    <n v="0"/>
    <n v="-0.10999999999999988"/>
  </r>
  <r>
    <x v="252"/>
    <n v="2.54479183649527"/>
    <n v="3.3800000000000003"/>
    <n v="7"/>
    <n v="0.2"/>
    <n v="5"/>
    <n v="2.4828751627015562"/>
    <n v="1"/>
    <n v="2.4828751627015562"/>
    <x v="53"/>
    <n v="0.89712483729844417"/>
    <n v="3.2200698081092938E-3"/>
    <n v="-0.10999999999999988"/>
  </r>
  <r>
    <x v="253"/>
    <n v="2.5180760618821498"/>
    <n v="3.335"/>
    <n v="1"/>
    <n v="0.2"/>
    <n v="1"/>
    <n v="0.50361521237643003"/>
    <n v="0.2"/>
    <n v="0"/>
    <x v="0"/>
    <n v="0.89712483729844417"/>
    <n v="0"/>
    <n v="-4.5000000000000373E-2"/>
  </r>
  <r>
    <x v="254"/>
    <n v="2.4532379481842601"/>
    <n v="3.335"/>
    <n v="2"/>
    <n v="0.2"/>
    <n v="2"/>
    <n v="0.9942628020132821"/>
    <n v="0.4"/>
    <n v="0"/>
    <x v="0"/>
    <n v="0.89712483729844417"/>
    <n v="0"/>
    <n v="-4.5000000000000373E-2"/>
  </r>
  <r>
    <x v="255"/>
    <n v="2.4306597894947899"/>
    <n v="3.335"/>
    <n v="5"/>
    <n v="0.2"/>
    <n v="3"/>
    <n v="1.4803947599122402"/>
    <n v="0.60000000000000009"/>
    <n v="0"/>
    <x v="0"/>
    <n v="0.89712483729844417"/>
    <n v="0"/>
    <n v="-4.5000000000000373E-2"/>
  </r>
  <r>
    <x v="256"/>
    <n v="2.45465029105896"/>
    <n v="3.335"/>
    <n v="6"/>
    <n v="0.2"/>
    <n v="4"/>
    <n v="1.9713248181240322"/>
    <n v="0.8"/>
    <n v="0"/>
    <x v="0"/>
    <n v="0.89712483729844417"/>
    <n v="0"/>
    <n v="-4.5000000000000373E-2"/>
  </r>
  <r>
    <x v="257"/>
    <n v="2.4500518771238999"/>
    <n v="3.335"/>
    <n v="7"/>
    <n v="0.2"/>
    <n v="5"/>
    <n v="2.4613351935488121"/>
    <n v="1"/>
    <n v="2.4613351935488121"/>
    <x v="54"/>
    <n v="0.87366480645118783"/>
    <n v="-2.3460030847256341E-2"/>
    <n v="-4.5000000000000373E-2"/>
  </r>
  <r>
    <x v="258"/>
    <n v="2.43192110209089"/>
    <n v="3.35"/>
    <n v="1"/>
    <n v="0.2"/>
    <n v="1"/>
    <n v="0.48638422041817803"/>
    <n v="0.2"/>
    <n v="0"/>
    <x v="0"/>
    <n v="0.87366480645118783"/>
    <n v="0"/>
    <n v="1.5000000000000124E-2"/>
  </r>
  <r>
    <x v="259"/>
    <n v="2.4478292625910401"/>
    <n v="3.35"/>
    <n v="2"/>
    <n v="0.2"/>
    <n v="2"/>
    <n v="0.97595007293638614"/>
    <n v="0.4"/>
    <n v="0"/>
    <x v="0"/>
    <n v="0.87366480645118783"/>
    <n v="0"/>
    <n v="1.5000000000000124E-2"/>
  </r>
  <r>
    <x v="260"/>
    <n v="2.4460987781161698"/>
    <n v="3.35"/>
    <n v="5"/>
    <n v="0.2"/>
    <n v="3"/>
    <n v="1.4651698285596202"/>
    <n v="0.60000000000000009"/>
    <n v="0"/>
    <x v="0"/>
    <n v="0.87366480645118783"/>
    <n v="0"/>
    <n v="1.5000000000000124E-2"/>
  </r>
  <r>
    <x v="261"/>
    <n v="2.4375323431689502"/>
    <n v="3.35"/>
    <n v="6"/>
    <n v="0.2"/>
    <n v="4"/>
    <n v="1.9526762971934102"/>
    <n v="0.8"/>
    <n v="0"/>
    <x v="0"/>
    <n v="0.87366480645118783"/>
    <n v="0"/>
    <n v="1.5000000000000124E-2"/>
  </r>
  <r>
    <x v="262"/>
    <n v="2.4323883653727401"/>
    <n v="3.35"/>
    <n v="7"/>
    <n v="0.2"/>
    <n v="5"/>
    <n v="2.4391539702679581"/>
    <n v="1"/>
    <n v="2.4391539702679581"/>
    <x v="55"/>
    <n v="0.91084602973204198"/>
    <n v="3.7181223280854159E-2"/>
    <n v="1.5000000000000124E-2"/>
  </r>
  <r>
    <x v="263"/>
    <n v="2.4323453281375"/>
    <n v="3.2749999999999999"/>
    <n v="1"/>
    <n v="0.2"/>
    <n v="1"/>
    <n v="0.48646906562750003"/>
    <n v="0.2"/>
    <n v="0"/>
    <x v="0"/>
    <n v="0.91084602973204198"/>
    <n v="0"/>
    <n v="-7.5000000000000178E-2"/>
  </r>
  <r>
    <x v="264"/>
    <n v="2.3795080679074299"/>
    <n v="3.2749999999999999"/>
    <n v="2"/>
    <n v="0.2"/>
    <n v="2"/>
    <n v="0.962370679208986"/>
    <n v="0.4"/>
    <n v="0"/>
    <x v="0"/>
    <n v="0.91084602973204198"/>
    <n v="0"/>
    <n v="-7.5000000000000178E-2"/>
  </r>
  <r>
    <x v="265"/>
    <n v="2.37447920783596"/>
    <n v="3.2749999999999999"/>
    <n v="5"/>
    <n v="0.2"/>
    <n v="3"/>
    <n v="1.4372665207761779"/>
    <n v="0.60000000000000009"/>
    <n v="0"/>
    <x v="0"/>
    <n v="0.91084602973204198"/>
    <n v="0"/>
    <n v="-7.5000000000000178E-2"/>
  </r>
  <r>
    <x v="266"/>
    <n v="2.3535373905486399"/>
    <n v="3.2749999999999999"/>
    <n v="6"/>
    <n v="0.2"/>
    <n v="4"/>
    <n v="1.9079739988859059"/>
    <n v="0.8"/>
    <n v="0"/>
    <x v="0"/>
    <n v="0.91084602973204198"/>
    <n v="0"/>
    <n v="-7.5000000000000178E-2"/>
  </r>
  <r>
    <x v="267"/>
    <n v="2.31035596660836"/>
    <n v="3.2749999999999999"/>
    <n v="7"/>
    <n v="0.2"/>
    <n v="5"/>
    <n v="2.370045192207578"/>
    <n v="1"/>
    <n v="2.370045192207578"/>
    <x v="56"/>
    <n v="0.90495480779242188"/>
    <n v="-5.891221939620106E-3"/>
    <n v="-7.5000000000000178E-2"/>
  </r>
  <r>
    <x v="268"/>
    <n v="2.3421036791460899"/>
    <n v="3.3449999999999998"/>
    <n v="1"/>
    <n v="0.2"/>
    <n v="1"/>
    <n v="0.468420735829218"/>
    <n v="0.2"/>
    <n v="0"/>
    <x v="0"/>
    <n v="0.90495480779242188"/>
    <n v="0"/>
    <n v="6.999999999999984E-2"/>
  </r>
  <r>
    <x v="269"/>
    <n v="2.4561501214153099"/>
    <n v="3.3449999999999998"/>
    <n v="2"/>
    <n v="0.2"/>
    <n v="2"/>
    <n v="0.95965076011228001"/>
    <n v="0.4"/>
    <n v="0"/>
    <x v="0"/>
    <n v="0.90495480779242188"/>
    <n v="0"/>
    <n v="6.999999999999984E-2"/>
  </r>
  <r>
    <x v="270"/>
    <n v="2.4724031733010898"/>
    <n v="3.3449999999999998"/>
    <n v="5"/>
    <n v="0.2"/>
    <n v="3"/>
    <n v="1.4541313947724981"/>
    <n v="0.60000000000000009"/>
    <n v="0"/>
    <x v="0"/>
    <n v="0.90495480779242188"/>
    <n v="0"/>
    <n v="6.999999999999984E-2"/>
  </r>
  <r>
    <x v="271"/>
    <n v="2.48894298716524"/>
    <n v="3.3449999999999998"/>
    <n v="6"/>
    <n v="0.2"/>
    <n v="4"/>
    <n v="1.9519199922055461"/>
    <n v="0.8"/>
    <n v="0"/>
    <x v="0"/>
    <n v="0.90495480779242188"/>
    <n v="0"/>
    <n v="6.999999999999984E-2"/>
  </r>
  <r>
    <x v="272"/>
    <n v="2.4724453435903899"/>
    <n v="3.3449999999999998"/>
    <n v="7"/>
    <n v="0.2"/>
    <n v="5"/>
    <n v="2.446409060923624"/>
    <n v="1"/>
    <n v="2.446409060923624"/>
    <x v="57"/>
    <n v="0.89859093907637577"/>
    <n v="-6.363868716046106E-3"/>
    <n v="6.999999999999984E-2"/>
  </r>
  <r>
    <x v="273"/>
    <n v="2.49665490312618"/>
    <n v="3.4349999999999996"/>
    <n v="1"/>
    <n v="0.2"/>
    <n v="1"/>
    <n v="0.49933098062523601"/>
    <n v="0.2"/>
    <n v="0"/>
    <x v="0"/>
    <n v="0.89859093907637577"/>
    <n v="0"/>
    <n v="8.9999999999999858E-2"/>
  </r>
  <r>
    <x v="274"/>
    <n v="2.5868571182044802"/>
    <n v="3.4349999999999996"/>
    <n v="2"/>
    <n v="0.2"/>
    <n v="2"/>
    <n v="1.0167024042661321"/>
    <n v="0.4"/>
    <n v="0"/>
    <x v="0"/>
    <n v="0.89859093907637577"/>
    <n v="0"/>
    <n v="8.9999999999999858E-2"/>
  </r>
  <r>
    <x v="275"/>
    <n v="2.6209995675214"/>
    <n v="3.4349999999999996"/>
    <n v="5"/>
    <n v="0.2"/>
    <n v="3"/>
    <n v="1.5409023177704122"/>
    <n v="0.60000000000000009"/>
    <n v="0"/>
    <x v="0"/>
    <n v="0.89859093907637577"/>
    <n v="0"/>
    <n v="8.9999999999999858E-2"/>
  </r>
  <r>
    <x v="276"/>
    <n v="2.6627244928863401"/>
    <n v="3.4349999999999996"/>
    <n v="6"/>
    <n v="0.2"/>
    <n v="4"/>
    <n v="2.07344721634768"/>
    <n v="0.8"/>
    <n v="0"/>
    <x v="0"/>
    <n v="0.89859093907637577"/>
    <n v="0"/>
    <n v="8.9999999999999858E-2"/>
  </r>
  <r>
    <x v="277"/>
    <n v="2.6618664133932302"/>
    <n v="3.4349999999999996"/>
    <n v="7"/>
    <n v="0.2"/>
    <n v="5"/>
    <n v="2.6058204990263261"/>
    <n v="1"/>
    <n v="2.6058204990263261"/>
    <x v="58"/>
    <n v="0.82917950097367354"/>
    <n v="-6.9411438102702228E-2"/>
    <n v="8.9999999999999858E-2"/>
  </r>
  <r>
    <x v="278"/>
    <n v="2.5638774739999999"/>
    <n v="3.5149999999999997"/>
    <n v="1"/>
    <n v="0.2"/>
    <n v="1"/>
    <n v="0.51277549479999995"/>
    <n v="0.2"/>
    <n v="0"/>
    <x v="0"/>
    <n v="0.82917950097367354"/>
    <n v="0"/>
    <n v="8.0000000000000071E-2"/>
  </r>
  <r>
    <x v="279"/>
    <n v="2.6858134280305799"/>
    <n v="3.5149999999999997"/>
    <n v="2"/>
    <n v="0.2"/>
    <n v="2"/>
    <n v="1.0499381804061159"/>
    <n v="0.4"/>
    <n v="0"/>
    <x v="0"/>
    <n v="0.82917950097367354"/>
    <n v="0"/>
    <n v="8.0000000000000071E-2"/>
  </r>
  <r>
    <x v="280"/>
    <n v="2.7128835423314301"/>
    <n v="3.5149999999999997"/>
    <n v="5"/>
    <n v="0.2"/>
    <n v="3"/>
    <n v="1.5925148888724019"/>
    <n v="0.60000000000000009"/>
    <n v="0"/>
    <x v="0"/>
    <n v="0.82917950097367354"/>
    <n v="0"/>
    <n v="8.0000000000000071E-2"/>
  </r>
  <r>
    <x v="281"/>
    <n v="2.6645260639550199"/>
    <n v="3.5149999999999997"/>
    <n v="6"/>
    <n v="0.2"/>
    <n v="4"/>
    <n v="2.1254201016634058"/>
    <n v="0.8"/>
    <n v="0"/>
    <x v="0"/>
    <n v="0.82917950097367354"/>
    <n v="0"/>
    <n v="8.0000000000000071E-2"/>
  </r>
  <r>
    <x v="282"/>
    <n v="2.78843998218461"/>
    <n v="3.5149999999999997"/>
    <n v="7"/>
    <n v="0.2"/>
    <n v="5"/>
    <n v="2.6831080981003277"/>
    <n v="1"/>
    <n v="2.6831080981003277"/>
    <x v="59"/>
    <n v="0.83189190189967199"/>
    <n v="2.7124009259984483E-3"/>
    <n v="8.0000000000000071E-2"/>
  </r>
  <r>
    <x v="283"/>
    <n v="2.8219074459123799"/>
    <n v="3.7600000000000002"/>
    <n v="1"/>
    <n v="0.2"/>
    <n v="1"/>
    <n v="0.56438148918247599"/>
    <n v="0.2"/>
    <n v="0"/>
    <x v="0"/>
    <n v="0.83189190189967199"/>
    <n v="0"/>
    <n v="0.24500000000000055"/>
  </r>
  <r>
    <x v="284"/>
    <n v="2.8149731764108399"/>
    <n v="3.7600000000000002"/>
    <n v="2"/>
    <n v="0.2"/>
    <n v="2"/>
    <n v="1.1273761244646439"/>
    <n v="0.4"/>
    <n v="0"/>
    <x v="0"/>
    <n v="0.83189190189967199"/>
    <n v="0"/>
    <n v="0.24500000000000055"/>
  </r>
  <r>
    <x v="285"/>
    <n v="2.9439593784478002"/>
    <n v="3.7600000000000002"/>
    <n v="6"/>
    <n v="0.2"/>
    <n v="3"/>
    <n v="1.7161680001542039"/>
    <n v="0.60000000000000009"/>
    <n v="0"/>
    <x v="0"/>
    <n v="0.83189190189967199"/>
    <n v="0"/>
    <n v="0.24500000000000055"/>
  </r>
  <r>
    <x v="286"/>
    <n v="2.9196928046626902"/>
    <n v="3.7600000000000002"/>
    <n v="7"/>
    <n v="0.2"/>
    <n v="4"/>
    <n v="2.3001065610867419"/>
    <n v="0.8"/>
    <n v="2.8751332013584272"/>
    <x v="60"/>
    <n v="0.88486679864157303"/>
    <n v="5.2974896741901034E-2"/>
    <n v="0.24500000000000055"/>
  </r>
  <r>
    <x v="287"/>
    <n v="2.9046454407398898"/>
    <n v="3.835"/>
    <n v="1"/>
    <n v="0.2"/>
    <n v="1"/>
    <n v="0.58092908814797795"/>
    <n v="0.2"/>
    <n v="0"/>
    <x v="0"/>
    <n v="0.88486679864157303"/>
    <n v="0"/>
    <n v="7.4999999999999734E-2"/>
  </r>
  <r>
    <x v="288"/>
    <n v="2.95731349620652"/>
    <n v="3.835"/>
    <n v="2"/>
    <n v="0.2"/>
    <n v="2"/>
    <n v="1.172391787389282"/>
    <n v="0.4"/>
    <n v="0"/>
    <x v="0"/>
    <n v="0.88486679864157303"/>
    <n v="0"/>
    <n v="7.4999999999999734E-2"/>
  </r>
  <r>
    <x v="289"/>
    <n v="2.9603245306419401"/>
    <n v="3.835"/>
    <n v="5"/>
    <n v="0.2"/>
    <n v="3"/>
    <n v="1.76445669351767"/>
    <n v="0.60000000000000009"/>
    <n v="0"/>
    <x v="0"/>
    <n v="0.88486679864157303"/>
    <n v="0"/>
    <n v="7.4999999999999734E-2"/>
  </r>
  <r>
    <x v="290"/>
    <n v="2.9897357672895799"/>
    <n v="3.835"/>
    <n v="6"/>
    <n v="0.2"/>
    <n v="4"/>
    <n v="2.3624038469755861"/>
    <n v="0.8"/>
    <n v="0"/>
    <x v="0"/>
    <n v="0.88486679864157303"/>
    <n v="0"/>
    <n v="7.4999999999999734E-2"/>
  </r>
  <r>
    <x v="291"/>
    <n v="2.9737219853978498"/>
    <n v="3.835"/>
    <n v="7"/>
    <n v="0.2"/>
    <n v="5"/>
    <n v="2.9571482440551562"/>
    <n v="1"/>
    <n v="2.9571482440551562"/>
    <x v="61"/>
    <n v="0.87785175594484377"/>
    <n v="-7.0150426967292567E-3"/>
    <n v="7.4999999999999734E-2"/>
  </r>
  <r>
    <x v="292"/>
    <n v="2.9363931746100702"/>
    <n v="3.9049999999999998"/>
    <n v="1"/>
    <n v="0.2"/>
    <n v="1"/>
    <n v="0.58727863492201404"/>
    <n v="0.2"/>
    <n v="0"/>
    <x v="0"/>
    <n v="0.87785175594484377"/>
    <n v="0"/>
    <n v="6.999999999999984E-2"/>
  </r>
  <r>
    <x v="293"/>
    <n v="2.9931159990094902"/>
    <n v="3.9049999999999998"/>
    <n v="2"/>
    <n v="0.2"/>
    <n v="2"/>
    <n v="1.1859018347239121"/>
    <n v="0.4"/>
    <n v="0"/>
    <x v="0"/>
    <n v="0.87785175594484377"/>
    <n v="0"/>
    <n v="6.999999999999984E-2"/>
  </r>
  <r>
    <x v="294"/>
    <n v="3.0187503286824402"/>
    <n v="3.9049999999999998"/>
    <n v="5"/>
    <n v="0.2"/>
    <n v="3"/>
    <n v="1.7896519004604001"/>
    <n v="0.60000000000000009"/>
    <n v="0"/>
    <x v="0"/>
    <n v="0.87785175594484377"/>
    <n v="0"/>
    <n v="6.999999999999984E-2"/>
  </r>
  <r>
    <x v="295"/>
    <n v="2.9886237940572"/>
    <n v="3.9049999999999998"/>
    <n v="6"/>
    <n v="0.2"/>
    <n v="4"/>
    <n v="2.3873766592718404"/>
    <n v="0.8"/>
    <n v="0"/>
    <x v="0"/>
    <n v="0.87785175594484377"/>
    <n v="0"/>
    <n v="6.999999999999984E-2"/>
  </r>
  <r>
    <x v="296"/>
    <n v="3.0172986003180302"/>
    <n v="3.9049999999999998"/>
    <n v="7"/>
    <n v="0.2"/>
    <n v="5"/>
    <n v="2.9908363793354464"/>
    <n v="1"/>
    <n v="2.9908363793354464"/>
    <x v="62"/>
    <n v="0.91416362066455337"/>
    <n v="3.6311864719709597E-2"/>
    <n v="6.999999999999984E-2"/>
  </r>
  <r>
    <x v="297"/>
    <n v="2.97051771574304"/>
    <n v="3.8800000000000003"/>
    <n v="1"/>
    <n v="0.2"/>
    <n v="1"/>
    <n v="0.59410354314860803"/>
    <n v="0.2"/>
    <n v="0"/>
    <x v="0"/>
    <n v="0.91416362066455337"/>
    <n v="0"/>
    <n v="-2.4999999999999467E-2"/>
  </r>
  <r>
    <x v="298"/>
    <n v="2.93282407442446"/>
    <n v="3.8800000000000003"/>
    <n v="2"/>
    <n v="0.2"/>
    <n v="2"/>
    <n v="1.1806683580335"/>
    <n v="0.4"/>
    <n v="0"/>
    <x v="0"/>
    <n v="0.91416362066455337"/>
    <n v="0"/>
    <n v="-2.4999999999999467E-2"/>
  </r>
  <r>
    <x v="299"/>
    <n v="2.9838518305616502"/>
    <n v="3.8800000000000003"/>
    <n v="5"/>
    <n v="0.2"/>
    <n v="3"/>
    <n v="1.77743872414583"/>
    <n v="0.60000000000000009"/>
    <n v="0"/>
    <x v="0"/>
    <n v="0.91416362066455337"/>
    <n v="0"/>
    <n v="-2.4999999999999467E-2"/>
  </r>
  <r>
    <x v="300"/>
    <n v="2.9821306488123902"/>
    <n v="3.8800000000000003"/>
    <n v="6"/>
    <n v="0.2"/>
    <n v="4"/>
    <n v="2.3738648539083083"/>
    <n v="0.8"/>
    <n v="0"/>
    <x v="0"/>
    <n v="0.91416362066455337"/>
    <n v="0"/>
    <n v="-2.4999999999999467E-2"/>
  </r>
  <r>
    <x v="301"/>
    <n v="3.1273804098375502"/>
    <n v="3.8800000000000003"/>
    <n v="7"/>
    <n v="0.2"/>
    <n v="5"/>
    <n v="2.9993409358758183"/>
    <n v="1"/>
    <n v="2.9993409358758183"/>
    <x v="63"/>
    <n v="0.88065906412418204"/>
    <n v="-3.3504556540371322E-2"/>
    <n v="-2.4999999999999467E-2"/>
  </r>
  <r>
    <x v="302"/>
    <n v="3.2731873242540099"/>
    <n v="4.41"/>
    <n v="1"/>
    <n v="0.2"/>
    <n v="1"/>
    <n v="0.65463746485080199"/>
    <n v="0.2"/>
    <n v="0"/>
    <x v="0"/>
    <n v="0.88065906412418204"/>
    <n v="0"/>
    <n v="0.5299999999999998"/>
  </r>
  <r>
    <x v="303"/>
    <n v="3.4290560333253501"/>
    <n v="4.41"/>
    <n v="2"/>
    <n v="0.2"/>
    <n v="2"/>
    <n v="1.3404486715158721"/>
    <n v="0.4"/>
    <n v="0"/>
    <x v="0"/>
    <n v="0.88065906412418204"/>
    <n v="0"/>
    <n v="0.5299999999999998"/>
  </r>
  <r>
    <x v="304"/>
    <n v="3.4842821250923999"/>
    <n v="4.41"/>
    <n v="5"/>
    <n v="0.2"/>
    <n v="3"/>
    <n v="2.037305096534352"/>
    <n v="0.60000000000000009"/>
    <n v="0"/>
    <x v="0"/>
    <n v="0.88065906412418204"/>
    <n v="0"/>
    <n v="0.5299999999999998"/>
  </r>
  <r>
    <x v="305"/>
    <n v="3.4979073592115801"/>
    <n v="4.41"/>
    <n v="6"/>
    <n v="0.2"/>
    <n v="4"/>
    <n v="2.7368865683766681"/>
    <n v="0.8"/>
    <n v="0"/>
    <x v="0"/>
    <n v="0.88065906412418204"/>
    <n v="0"/>
    <n v="0.5299999999999998"/>
  </r>
  <r>
    <x v="306"/>
    <n v="3.44274839511578"/>
    <n v="4.41"/>
    <n v="7"/>
    <n v="0.2"/>
    <n v="5"/>
    <n v="3.4254362473998241"/>
    <n v="1"/>
    <n v="3.4254362473998241"/>
    <x v="64"/>
    <n v="0.98456375260017603"/>
    <n v="0.10390468847599399"/>
    <n v="0.5299999999999998"/>
  </r>
  <r>
    <x v="306"/>
    <n v="3.44274839511578"/>
    <n v="4.2149999999999999"/>
    <n v="7"/>
    <n v="0.2"/>
    <n v="1"/>
    <n v="0.688549679023156"/>
    <n v="0.2"/>
    <n v="0"/>
    <x v="0"/>
    <n v="0.98456375260017603"/>
    <n v="0"/>
    <n v="-0.19500000000000028"/>
  </r>
  <r>
    <x v="307"/>
    <n v="3.3206581307608101"/>
    <n v="4.2149999999999999"/>
    <n v="1"/>
    <n v="0.2"/>
    <n v="1"/>
    <n v="0.66413162615216204"/>
    <n v="0.2"/>
    <n v="0"/>
    <x v="0"/>
    <n v="0.98456375260017603"/>
    <n v="0"/>
    <n v="-0.19500000000000028"/>
  </r>
  <r>
    <x v="308"/>
    <n v="3.3094496735702101"/>
    <n v="4.2149999999999999"/>
    <n v="2"/>
    <n v="0.2"/>
    <n v="2"/>
    <n v="1.326021560866204"/>
    <n v="0.4"/>
    <n v="0"/>
    <x v="0"/>
    <n v="0.98456375260017603"/>
    <n v="0"/>
    <n v="-0.19500000000000028"/>
  </r>
  <r>
    <x v="309"/>
    <n v="3.2979461773808199"/>
    <n v="4.2149999999999999"/>
    <n v="5"/>
    <n v="0.2"/>
    <n v="3"/>
    <n v="1.9856107963423679"/>
    <n v="0.60000000000000009"/>
    <n v="0"/>
    <x v="0"/>
    <n v="0.98456375260017603"/>
    <n v="0"/>
    <n v="-0.19500000000000028"/>
  </r>
  <r>
    <x v="310"/>
    <n v="3.3118182496923301"/>
    <n v="4.2149999999999999"/>
    <n v="6"/>
    <n v="0.2"/>
    <n v="4"/>
    <n v="2.6479744462808341"/>
    <n v="0.8"/>
    <n v="3.3099680578510426"/>
    <x v="65"/>
    <n v="0.90503194214895721"/>
    <n v="-7.9531810451218821E-2"/>
    <n v="-0.19500000000000028"/>
  </r>
  <r>
    <x v="311"/>
    <n v="3.6732513531495798"/>
    <n v="4.46"/>
    <n v="2"/>
    <n v="0.2"/>
    <n v="1"/>
    <n v="0.73465027062991606"/>
    <n v="0.2"/>
    <n v="0"/>
    <x v="0"/>
    <n v="0.90503194214895721"/>
    <n v="0"/>
    <n v="0.24500000000000011"/>
  </r>
  <r>
    <x v="312"/>
    <n v="3.5446391609564598"/>
    <n v="4.46"/>
    <n v="5"/>
    <n v="0.2"/>
    <n v="2"/>
    <n v="1.443578102821208"/>
    <n v="0.4"/>
    <n v="0"/>
    <x v="0"/>
    <n v="0.90503194214895721"/>
    <n v="0"/>
    <n v="0.24500000000000011"/>
  </r>
  <r>
    <x v="313"/>
    <n v="3.4880159980232399"/>
    <n v="4.46"/>
    <n v="6"/>
    <n v="0.2"/>
    <n v="3"/>
    <n v="2.1411813024258559"/>
    <n v="0.60000000000000009"/>
    <n v="0"/>
    <x v="0"/>
    <n v="0.90503194214895721"/>
    <n v="0"/>
    <n v="0.24500000000000011"/>
  </r>
  <r>
    <x v="314"/>
    <n v="3.58537205832996"/>
    <n v="4.46"/>
    <n v="7"/>
    <n v="0.2"/>
    <n v="4"/>
    <n v="2.8582557140918481"/>
    <n v="0.8"/>
    <n v="3.5728196426148098"/>
    <x v="66"/>
    <n v="0.88718035738519019"/>
    <n v="-1.7851584763767026E-2"/>
    <n v="0.24500000000000011"/>
  </r>
  <r>
    <x v="315"/>
    <n v="3.4679725505405199"/>
    <n v="4.2949999999999999"/>
    <n v="1"/>
    <n v="0.2"/>
    <n v="1"/>
    <n v="0.69359451010810402"/>
    <n v="0.2"/>
    <n v="0"/>
    <x v="0"/>
    <n v="0.88718035738519019"/>
    <n v="0"/>
    <n v="-0.16500000000000004"/>
  </r>
  <r>
    <x v="316"/>
    <n v="3.4748173662638"/>
    <n v="4.2949999999999999"/>
    <n v="2"/>
    <n v="0.2"/>
    <n v="2"/>
    <n v="1.3885579833608641"/>
    <n v="0.4"/>
    <n v="0"/>
    <x v="0"/>
    <n v="0.88718035738519019"/>
    <n v="0"/>
    <n v="-0.16500000000000004"/>
  </r>
  <r>
    <x v="317"/>
    <n v="3.40503285889704"/>
    <n v="4.2949999999999999"/>
    <n v="5"/>
    <n v="0.2"/>
    <n v="3"/>
    <n v="2.0695645551402722"/>
    <n v="0.60000000000000009"/>
    <n v="0"/>
    <x v="0"/>
    <n v="0.88718035738519019"/>
    <n v="0"/>
    <n v="-0.16500000000000004"/>
  </r>
  <r>
    <x v="318"/>
    <n v="3.3914708524147601"/>
    <n v="4.2949999999999999"/>
    <n v="6"/>
    <n v="0.2"/>
    <n v="4"/>
    <n v="2.7478587256232241"/>
    <n v="0.8"/>
    <n v="0"/>
    <x v="0"/>
    <n v="0.88718035738519019"/>
    <n v="0"/>
    <n v="-0.16500000000000004"/>
  </r>
  <r>
    <x v="319"/>
    <n v="3.34386583598301"/>
    <n v="4.2949999999999999"/>
    <n v="7"/>
    <n v="0.2"/>
    <n v="5"/>
    <n v="3.4166318928198263"/>
    <n v="1"/>
    <n v="3.4166318928198263"/>
    <x v="67"/>
    <n v="0.87836810718017366"/>
    <n v="-8.8122502050165252E-3"/>
    <n v="-0.16500000000000004"/>
  </r>
  <r>
    <x v="320"/>
    <n v="3.38884755763491"/>
    <n v="4.26"/>
    <n v="1"/>
    <n v="0.2"/>
    <n v="1"/>
    <n v="0.67776951152698206"/>
    <n v="0.2"/>
    <n v="0"/>
    <x v="0"/>
    <n v="0.87836810718017366"/>
    <n v="0"/>
    <n v="-3.5000000000000142E-2"/>
  </r>
  <r>
    <x v="321"/>
    <n v="3.3313912756576198"/>
    <n v="4.26"/>
    <n v="2"/>
    <n v="0.2"/>
    <n v="2"/>
    <n v="1.3440477666585062"/>
    <n v="0.4"/>
    <n v="0"/>
    <x v="0"/>
    <n v="0.87836810718017366"/>
    <n v="0"/>
    <n v="-3.5000000000000142E-2"/>
  </r>
  <r>
    <x v="322"/>
    <n v="3.3220828709767098"/>
    <n v="4.26"/>
    <n v="5"/>
    <n v="0.2"/>
    <n v="3"/>
    <n v="2.0084643408538483"/>
    <n v="0.60000000000000009"/>
    <n v="0"/>
    <x v="0"/>
    <n v="0.87836810718017366"/>
    <n v="0"/>
    <n v="-3.5000000000000142E-2"/>
  </r>
  <r>
    <x v="323"/>
    <n v="3.3639050543487601"/>
    <n v="4.26"/>
    <n v="6"/>
    <n v="0.2"/>
    <n v="4"/>
    <n v="2.6812453517236001"/>
    <n v="0.8"/>
    <n v="0"/>
    <x v="0"/>
    <n v="0.87836810718017366"/>
    <n v="0"/>
    <n v="-3.5000000000000142E-2"/>
  </r>
  <r>
    <x v="324"/>
    <n v="3.4296755954575699"/>
    <n v="4.26"/>
    <n v="7"/>
    <n v="0.2"/>
    <n v="5"/>
    <n v="3.3671804708151143"/>
    <n v="1"/>
    <n v="3.3671804708151143"/>
    <x v="68"/>
    <n v="0.8928195291848855"/>
    <n v="1.4451422004711834E-2"/>
    <n v="-3.5000000000000142E-2"/>
  </r>
  <r>
    <x v="325"/>
    <n v="3.4407863915877401"/>
    <n v="4.3149999999999995"/>
    <n v="1"/>
    <n v="0.2"/>
    <n v="1"/>
    <n v="0.68815727831754803"/>
    <n v="0.2"/>
    <n v="0"/>
    <x v="0"/>
    <n v="0.8928195291848855"/>
    <n v="0"/>
    <n v="5.4999999999999716E-2"/>
  </r>
  <r>
    <x v="326"/>
    <n v="3.3953206082541598"/>
    <n v="4.3149999999999995"/>
    <n v="2"/>
    <n v="0.2"/>
    <n v="2"/>
    <n v="1.36722139996838"/>
    <n v="0.4"/>
    <n v="0"/>
    <x v="0"/>
    <n v="0.8928195291848855"/>
    <n v="0"/>
    <n v="5.4999999999999716E-2"/>
  </r>
  <r>
    <x v="327"/>
    <n v="3.4061464314062202"/>
    <n v="4.3149999999999995"/>
    <n v="5"/>
    <n v="0.2"/>
    <n v="3"/>
    <n v="2.0484506862496241"/>
    <n v="0.60000000000000009"/>
    <n v="0"/>
    <x v="0"/>
    <n v="0.8928195291848855"/>
    <n v="0"/>
    <n v="5.4999999999999716E-2"/>
  </r>
  <r>
    <x v="328"/>
    <n v="3.4285967572115399"/>
    <n v="4.3149999999999995"/>
    <n v="6"/>
    <n v="0.2"/>
    <n v="4"/>
    <n v="2.734170037691932"/>
    <n v="0.8"/>
    <n v="0"/>
    <x v="0"/>
    <n v="0.8928195291848855"/>
    <n v="0"/>
    <n v="5.4999999999999716E-2"/>
  </r>
  <r>
    <x v="329"/>
    <n v="3.4095392657433901"/>
    <n v="4.3149999999999995"/>
    <n v="7"/>
    <n v="0.2"/>
    <n v="5"/>
    <n v="3.4160778908406102"/>
    <n v="1"/>
    <n v="3.4160778908406102"/>
    <x v="69"/>
    <n v="0.8989221091593893"/>
    <n v="6.1025799745038078E-3"/>
    <n v="5.4999999999999716E-2"/>
  </r>
  <r>
    <x v="330"/>
    <n v="3.5328707550914098"/>
    <n v="4.3250000000000002"/>
    <n v="1"/>
    <n v="0.2"/>
    <n v="1"/>
    <n v="0.70657415101828203"/>
    <n v="0.2"/>
    <n v="0"/>
    <x v="0"/>
    <n v="0.8989221091593893"/>
    <n v="0"/>
    <n v="1.0000000000000675E-2"/>
  </r>
  <r>
    <x v="331"/>
    <n v="3.4035662511479701"/>
    <n v="4.3250000000000002"/>
    <n v="2"/>
    <n v="0.2"/>
    <n v="2"/>
    <n v="1.387287401247876"/>
    <n v="0.4"/>
    <n v="0"/>
    <x v="0"/>
    <n v="0.8989221091593893"/>
    <n v="0"/>
    <n v="1.0000000000000675E-2"/>
  </r>
  <r>
    <x v="332"/>
    <n v="3.4178117990662802"/>
    <n v="4.3250000000000002"/>
    <n v="5"/>
    <n v="0.2"/>
    <n v="3"/>
    <n v="2.0708497610611323"/>
    <n v="0.60000000000000009"/>
    <n v="0"/>
    <x v="0"/>
    <n v="0.8989221091593893"/>
    <n v="0"/>
    <n v="1.0000000000000675E-2"/>
  </r>
  <r>
    <x v="333"/>
    <n v="3.44308693748463"/>
    <n v="4.3250000000000002"/>
    <n v="6"/>
    <n v="0.2"/>
    <n v="4"/>
    <n v="2.7594671485580582"/>
    <n v="0.8"/>
    <n v="0"/>
    <x v="0"/>
    <n v="0.8989221091593893"/>
    <n v="0"/>
    <n v="1.0000000000000675E-2"/>
  </r>
  <r>
    <x v="334"/>
    <n v="3.40952934683791"/>
    <n v="4.3250000000000002"/>
    <n v="7"/>
    <n v="0.2"/>
    <n v="5"/>
    <n v="3.4413730179256401"/>
    <n v="1"/>
    <n v="3.4413730179256401"/>
    <x v="70"/>
    <n v="0.88362698207436008"/>
    <n v="-1.5295127085029225E-2"/>
    <n v="1.0000000000000675E-2"/>
  </r>
  <r>
    <x v="335"/>
    <n v="3.3814879030485301"/>
    <n v="4.3250000000000002"/>
    <n v="1"/>
    <n v="0.2"/>
    <n v="1"/>
    <n v="0.67629758060970602"/>
    <n v="0.2"/>
    <n v="0"/>
    <x v="0"/>
    <n v="0.88362698207436008"/>
    <n v="0"/>
    <n v="0"/>
  </r>
  <r>
    <x v="336"/>
    <n v="3.3639509131930398"/>
    <n v="4.3250000000000002"/>
    <n v="2"/>
    <n v="0.2"/>
    <n v="2"/>
    <n v="1.349087763248314"/>
    <n v="0.4"/>
    <n v="0"/>
    <x v="0"/>
    <n v="0.88362698207436008"/>
    <n v="0"/>
    <n v="0"/>
  </r>
  <r>
    <x v="337"/>
    <n v="3.38388390000057"/>
    <n v="4.3250000000000002"/>
    <n v="5"/>
    <n v="0.2"/>
    <n v="3"/>
    <n v="2.0258645432484279"/>
    <n v="0.60000000000000009"/>
    <n v="0"/>
    <x v="0"/>
    <n v="0.88362698207436008"/>
    <n v="0"/>
    <n v="0"/>
  </r>
  <r>
    <x v="338"/>
    <n v="3.48659769885389"/>
    <n v="4.3250000000000002"/>
    <n v="6"/>
    <n v="0.2"/>
    <n v="4"/>
    <n v="2.723184083019206"/>
    <n v="0.8"/>
    <n v="0"/>
    <x v="0"/>
    <n v="0.88362698207436008"/>
    <n v="0"/>
    <n v="0"/>
  </r>
  <r>
    <x v="339"/>
    <n v="3.48408848788866"/>
    <n v="4.3250000000000002"/>
    <n v="7"/>
    <n v="0.2"/>
    <n v="5"/>
    <n v="3.4200017805969383"/>
    <n v="1"/>
    <n v="3.4200017805969383"/>
    <x v="71"/>
    <n v="0.90499821940306191"/>
    <n v="2.1371237328701831E-2"/>
    <n v="0"/>
  </r>
  <r>
    <x v="340"/>
    <n v="3.5424603238556802"/>
    <n v="4.53"/>
    <n v="1"/>
    <n v="0.2"/>
    <n v="1"/>
    <n v="0.70849206477113613"/>
    <n v="0.2"/>
    <n v="0"/>
    <x v="0"/>
    <n v="0.90499821940306191"/>
    <n v="0"/>
    <n v="0.20500000000000007"/>
  </r>
  <r>
    <x v="341"/>
    <n v="3.63422852757154"/>
    <n v="4.53"/>
    <n v="2"/>
    <n v="0.2"/>
    <n v="2"/>
    <n v="1.4353377702854442"/>
    <n v="0.4"/>
    <n v="0"/>
    <x v="0"/>
    <n v="0.90499821940306191"/>
    <n v="0"/>
    <n v="0.20500000000000007"/>
  </r>
  <r>
    <x v="342"/>
    <n v="3.71104784086622"/>
    <n v="4.53"/>
    <n v="5"/>
    <n v="0.2"/>
    <n v="3"/>
    <n v="2.1775473384586883"/>
    <n v="0.60000000000000009"/>
    <n v="0"/>
    <x v="0"/>
    <n v="0.90499821940306191"/>
    <n v="0"/>
    <n v="0.20500000000000007"/>
  </r>
  <r>
    <x v="343"/>
    <n v="3.63068303363114"/>
    <n v="4.53"/>
    <n v="6"/>
    <n v="0.2"/>
    <n v="4"/>
    <n v="2.9036839451849161"/>
    <n v="0.8"/>
    <n v="0"/>
    <x v="0"/>
    <n v="0.90499821940306191"/>
    <n v="0"/>
    <n v="0.20500000000000007"/>
  </r>
  <r>
    <x v="344"/>
    <n v="3.6746442970123199"/>
    <n v="4.53"/>
    <n v="7"/>
    <n v="0.2"/>
    <n v="5"/>
    <n v="3.63861280458738"/>
    <n v="1"/>
    <n v="3.63861280458738"/>
    <x v="72"/>
    <n v="0.89138719541262024"/>
    <n v="-1.3611023990441673E-2"/>
    <n v="0.20500000000000007"/>
  </r>
  <r>
    <x v="345"/>
    <n v="3.7101937917241501"/>
    <n v="4.4349999999999996"/>
    <n v="1"/>
    <n v="0.2"/>
    <n v="1"/>
    <n v="0.74203875834483002"/>
    <n v="0.2"/>
    <n v="0"/>
    <x v="0"/>
    <n v="0.89138719541262024"/>
    <n v="0"/>
    <n v="-9.5000000000000639E-2"/>
  </r>
  <r>
    <x v="346"/>
    <n v="3.6014591745782401"/>
    <n v="4.4349999999999996"/>
    <n v="2"/>
    <n v="0.2"/>
    <n v="2"/>
    <n v="1.4623305932604782"/>
    <n v="0.4"/>
    <n v="0"/>
    <x v="0"/>
    <n v="0.89138719541262024"/>
    <n v="0"/>
    <n v="-9.5000000000000639E-2"/>
  </r>
  <r>
    <x v="347"/>
    <n v="3.5649427405180001"/>
    <n v="4.4349999999999996"/>
    <n v="5"/>
    <n v="0.2"/>
    <n v="3"/>
    <n v="2.1753191413640782"/>
    <n v="0.60000000000000009"/>
    <n v="0"/>
    <x v="0"/>
    <n v="0.89138719541262024"/>
    <n v="0"/>
    <n v="-9.5000000000000639E-2"/>
  </r>
  <r>
    <x v="348"/>
    <n v="3.4950120682199999"/>
    <n v="4.4349999999999996"/>
    <n v="6"/>
    <n v="0.2"/>
    <n v="4"/>
    <n v="2.8743215550080783"/>
    <n v="0.8"/>
    <n v="0"/>
    <x v="0"/>
    <n v="0.89138719541262024"/>
    <n v="0"/>
    <n v="-9.5000000000000639E-2"/>
  </r>
  <r>
    <x v="349"/>
    <n v="3.5645215625566"/>
    <n v="4.4349999999999996"/>
    <n v="7"/>
    <n v="0.2"/>
    <n v="5"/>
    <n v="3.5872258675193982"/>
    <n v="1"/>
    <n v="3.5872258675193982"/>
    <x v="73"/>
    <n v="0.84777413248060141"/>
    <n v="-4.3613062932018831E-2"/>
    <n v="-9.5000000000000639E-2"/>
  </r>
  <r>
    <x v="350"/>
    <n v="3.5163998212649701"/>
    <n v="4.4950000000000001"/>
    <n v="1"/>
    <n v="0.2"/>
    <n v="1"/>
    <n v="0.70327996425299411"/>
    <n v="0.2"/>
    <n v="0"/>
    <x v="0"/>
    <n v="0.84777413248060141"/>
    <n v="0"/>
    <n v="6.0000000000000497E-2"/>
  </r>
  <r>
    <x v="351"/>
    <n v="3.5181082868119602"/>
    <n v="4.4950000000000001"/>
    <n v="2"/>
    <n v="0.2"/>
    <n v="2"/>
    <n v="1.4069016216153862"/>
    <n v="0.4"/>
    <n v="0"/>
    <x v="0"/>
    <n v="0.84777413248060141"/>
    <n v="0"/>
    <n v="6.0000000000000497E-2"/>
  </r>
  <r>
    <x v="352"/>
    <n v="3.6230343632850399"/>
    <n v="4.4950000000000001"/>
    <n v="6"/>
    <n v="0.2"/>
    <n v="3"/>
    <n v="2.1315084942723943"/>
    <n v="0.60000000000000009"/>
    <n v="0"/>
    <x v="0"/>
    <n v="0.84777413248060141"/>
    <n v="0"/>
    <n v="6.0000000000000497E-2"/>
  </r>
  <r>
    <x v="353"/>
    <n v="3.6795741616596702"/>
    <n v="4.4950000000000001"/>
    <n v="7"/>
    <n v="0.2"/>
    <n v="4"/>
    <n v="2.8674233266043285"/>
    <n v="0.8"/>
    <n v="3.5842791582554105"/>
    <x v="74"/>
    <n v="0.91072084174458956"/>
    <n v="6.2946709263988154E-2"/>
    <n v="6.0000000000000497E-2"/>
  </r>
  <r>
    <x v="354"/>
    <n v="3.7866951063074699"/>
    <n v="4.5200000000000005"/>
    <n v="1"/>
    <n v="0.2"/>
    <n v="1"/>
    <n v="0.75733902126149399"/>
    <n v="0.2"/>
    <n v="0"/>
    <x v="0"/>
    <n v="0.91072084174458956"/>
    <n v="0"/>
    <n v="2.5000000000000355E-2"/>
  </r>
  <r>
    <x v="355"/>
    <n v="3.7212376856688798"/>
    <n v="4.5200000000000005"/>
    <n v="2"/>
    <n v="0.2"/>
    <n v="2"/>
    <n v="1.5015865583952701"/>
    <n v="0.4"/>
    <n v="0"/>
    <x v="0"/>
    <n v="0.91072084174458956"/>
    <n v="0"/>
    <n v="2.5000000000000355E-2"/>
  </r>
  <r>
    <x v="356"/>
    <n v="3.6494917316156599"/>
    <n v="4.5200000000000005"/>
    <n v="5"/>
    <n v="0.2"/>
    <n v="3"/>
    <n v="2.231484904718402"/>
    <n v="0.60000000000000009"/>
    <n v="0"/>
    <x v="0"/>
    <n v="0.91072084174458956"/>
    <n v="0"/>
    <n v="2.5000000000000355E-2"/>
  </r>
  <r>
    <x v="357"/>
    <n v="3.70255706458429"/>
    <n v="4.5200000000000005"/>
    <n v="6"/>
    <n v="0.2"/>
    <n v="4"/>
    <n v="2.9719963176352602"/>
    <n v="0.8"/>
    <n v="0"/>
    <x v="0"/>
    <n v="0.91072084174458956"/>
    <n v="0"/>
    <n v="2.5000000000000355E-2"/>
  </r>
  <r>
    <x v="358"/>
    <n v="3.66717920569566"/>
    <n v="4.5200000000000005"/>
    <n v="7"/>
    <n v="0.2"/>
    <n v="5"/>
    <n v="3.7054321587743924"/>
    <n v="1"/>
    <n v="3.7054321587743924"/>
    <x v="75"/>
    <n v="0.8145678412256081"/>
    <n v="-9.6153000518981457E-2"/>
    <n v="2.5000000000000355E-2"/>
  </r>
  <r>
    <x v="359"/>
    <n v="3.6662950351399499"/>
    <n v="4.4249999999999998"/>
    <n v="1"/>
    <n v="0.2"/>
    <n v="1"/>
    <n v="0.73325900702799007"/>
    <n v="0.2"/>
    <n v="0"/>
    <x v="0"/>
    <n v="0.8145678412256081"/>
    <n v="0"/>
    <n v="-9.5000000000000639E-2"/>
  </r>
  <r>
    <x v="360"/>
    <n v="3.65073359446493"/>
    <n v="4.4249999999999998"/>
    <n v="2"/>
    <n v="0.2"/>
    <n v="2"/>
    <n v="1.4634057259209761"/>
    <n v="0.4"/>
    <n v="0"/>
    <x v="0"/>
    <n v="0.8145678412256081"/>
    <n v="0"/>
    <n v="-9.5000000000000639E-2"/>
  </r>
  <r>
    <x v="361"/>
    <n v="3.6050291044242799"/>
    <n v="4.4249999999999998"/>
    <n v="5"/>
    <n v="0.2"/>
    <n v="3"/>
    <n v="2.184411546805832"/>
    <n v="0.60000000000000009"/>
    <n v="0"/>
    <x v="0"/>
    <n v="0.8145678412256081"/>
    <n v="0"/>
    <n v="-9.5000000000000639E-2"/>
  </r>
  <r>
    <x v="362"/>
    <n v="3.5862960100393702"/>
    <n v="4.4249999999999998"/>
    <n v="6"/>
    <n v="0.2"/>
    <n v="4"/>
    <n v="2.9016707488137063"/>
    <n v="0.8"/>
    <n v="0"/>
    <x v="0"/>
    <n v="0.8145678412256081"/>
    <n v="0"/>
    <n v="-9.5000000000000639E-2"/>
  </r>
  <r>
    <x v="363"/>
    <n v="3.4041075181539902"/>
    <n v="4.4249999999999998"/>
    <n v="7"/>
    <n v="0.2"/>
    <n v="5"/>
    <n v="3.5824922524445046"/>
    <n v="1"/>
    <n v="3.5824922524445046"/>
    <x v="76"/>
    <n v="0.84250774755549518"/>
    <n v="2.7939906329887076E-2"/>
    <n v="-9.5000000000000639E-2"/>
  </r>
  <r>
    <x v="364"/>
    <n v="3.4234814698257399"/>
    <n v="4.2450000000000001"/>
    <n v="1"/>
    <n v="0.2"/>
    <n v="1"/>
    <n v="0.68469629396514797"/>
    <n v="0.2"/>
    <n v="0"/>
    <x v="0"/>
    <n v="0.84250774755549518"/>
    <n v="0"/>
    <n v="-0.17999999999999972"/>
  </r>
  <r>
    <x v="365"/>
    <n v="3.43160773905766"/>
    <n v="4.2450000000000001"/>
    <n v="2"/>
    <n v="0.2"/>
    <n v="2"/>
    <n v="1.3710178417766801"/>
    <n v="0.4"/>
    <n v="0"/>
    <x v="0"/>
    <n v="0.84250774755549518"/>
    <n v="0"/>
    <n v="-0.17999999999999972"/>
  </r>
  <r>
    <x v="366"/>
    <n v="3.4029034600998802"/>
    <n v="4.2450000000000001"/>
    <n v="5"/>
    <n v="0.2"/>
    <n v="3"/>
    <n v="2.051598533796656"/>
    <n v="0.60000000000000009"/>
    <n v="0"/>
    <x v="0"/>
    <n v="0.84250774755549518"/>
    <n v="0"/>
    <n v="-0.17999999999999972"/>
  </r>
  <r>
    <x v="367"/>
    <n v="3.34069195374131"/>
    <n v="4.2450000000000001"/>
    <n v="6"/>
    <n v="0.2"/>
    <n v="4"/>
    <n v="2.7197369245449181"/>
    <n v="0.8"/>
    <n v="0"/>
    <x v="0"/>
    <n v="0.84250774755549518"/>
    <n v="0"/>
    <n v="-0.17999999999999972"/>
  </r>
  <r>
    <x v="368"/>
    <n v="3.2961562018547901"/>
    <n v="4.2450000000000001"/>
    <n v="7"/>
    <n v="0.2"/>
    <n v="5"/>
    <n v="3.378968164915876"/>
    <n v="1"/>
    <n v="3.378968164915876"/>
    <x v="77"/>
    <n v="0.86603183508412407"/>
    <n v="2.352408752862889E-2"/>
    <n v="-0.17999999999999972"/>
  </r>
  <r>
    <x v="369"/>
    <n v="3.3233487722912298"/>
    <n v="4.1449999999999996"/>
    <n v="1"/>
    <n v="0.2"/>
    <n v="1"/>
    <n v="0.66466975445824605"/>
    <n v="0.2"/>
    <n v="0"/>
    <x v="0"/>
    <n v="0.86603183508412407"/>
    <n v="0"/>
    <n v="-0.10000000000000053"/>
  </r>
  <r>
    <x v="370"/>
    <n v="3.2948871217977098"/>
    <n v="4.1449999999999996"/>
    <n v="2"/>
    <n v="0.2"/>
    <n v="2"/>
    <n v="1.3236471788177879"/>
    <n v="0.4"/>
    <n v="0"/>
    <x v="0"/>
    <n v="0.86603183508412407"/>
    <n v="0"/>
    <n v="-0.10000000000000053"/>
  </r>
  <r>
    <x v="371"/>
    <n v="3.2952489842634298"/>
    <n v="4.1449999999999996"/>
    <n v="5"/>
    <n v="0.2"/>
    <n v="3"/>
    <n v="1.982696975670474"/>
    <n v="0.60000000000000009"/>
    <n v="0"/>
    <x v="0"/>
    <n v="0.86603183508412407"/>
    <n v="0"/>
    <n v="-0.10000000000000053"/>
  </r>
  <r>
    <x v="372"/>
    <n v="3.31544213268957"/>
    <n v="4.1449999999999996"/>
    <n v="6"/>
    <n v="0.2"/>
    <n v="4"/>
    <n v="2.645785402208388"/>
    <n v="0.8"/>
    <n v="0"/>
    <x v="0"/>
    <n v="0.86603183508412407"/>
    <n v="0"/>
    <n v="-0.10000000000000053"/>
  </r>
  <r>
    <x v="373"/>
    <n v="3.3078730296866699"/>
    <n v="4.1449999999999996"/>
    <n v="7"/>
    <n v="0.2"/>
    <n v="5"/>
    <n v="3.307360008145722"/>
    <n v="1"/>
    <n v="3.307360008145722"/>
    <x v="78"/>
    <n v="0.83763999185427762"/>
    <n v="-2.8391843229846447E-2"/>
    <n v="-0.10000000000000053"/>
  </r>
  <r>
    <x v="374"/>
    <n v="3.2850779326666601"/>
    <n v="4.1550000000000002"/>
    <n v="1"/>
    <n v="0.2"/>
    <n v="1"/>
    <n v="0.65701558653333203"/>
    <n v="0.2"/>
    <n v="0"/>
    <x v="0"/>
    <n v="0.83763999185427762"/>
    <n v="0"/>
    <n v="1.0000000000000675E-2"/>
  </r>
  <r>
    <x v="375"/>
    <n v="3.3143904621736602"/>
    <n v="4.1550000000000002"/>
    <n v="2"/>
    <n v="0.2"/>
    <n v="2"/>
    <n v="1.319893678968064"/>
    <n v="0.4"/>
    <n v="0"/>
    <x v="0"/>
    <n v="0.83763999185427762"/>
    <n v="0"/>
    <n v="1.0000000000000675E-2"/>
  </r>
  <r>
    <x v="376"/>
    <n v="3.3152163432269299"/>
    <n v="4.1550000000000002"/>
    <n v="5"/>
    <n v="0.2"/>
    <n v="3"/>
    <n v="1.98293694761345"/>
    <n v="0.60000000000000009"/>
    <n v="0"/>
    <x v="0"/>
    <n v="0.83763999185427762"/>
    <n v="0"/>
    <n v="1.0000000000000675E-2"/>
  </r>
  <r>
    <x v="377"/>
    <n v="3.32900541071837"/>
    <n v="4.1550000000000002"/>
    <n v="6"/>
    <n v="0.2"/>
    <n v="4"/>
    <n v="2.6487380297571241"/>
    <n v="0.8"/>
    <n v="0"/>
    <x v="0"/>
    <n v="0.83763999185427762"/>
    <n v="0"/>
    <n v="1.0000000000000675E-2"/>
  </r>
  <r>
    <x v="378"/>
    <n v="3.3312145702916398"/>
    <n v="4.1550000000000002"/>
    <n v="7"/>
    <n v="0.2"/>
    <n v="5"/>
    <n v="3.3149809438154523"/>
    <n v="1"/>
    <n v="3.3149809438154523"/>
    <x v="79"/>
    <n v="0.84001905618454797"/>
    <n v="2.3790643302703529E-3"/>
    <n v="1.0000000000000675E-2"/>
  </r>
  <r>
    <x v="379"/>
    <n v="3.3459270723169801"/>
    <n v="4.2050000000000001"/>
    <n v="1"/>
    <n v="0.2"/>
    <n v="1"/>
    <n v="0.66918541446339608"/>
    <n v="0.2"/>
    <n v="0"/>
    <x v="0"/>
    <n v="0.84001905618454797"/>
    <n v="0"/>
    <n v="4.9999999999999822E-2"/>
  </r>
  <r>
    <x v="380"/>
    <n v="3.3488826952464001"/>
    <n v="4.2050000000000001"/>
    <n v="2"/>
    <n v="0.2"/>
    <n v="2"/>
    <n v="1.3389619535126762"/>
    <n v="0.4"/>
    <n v="0"/>
    <x v="0"/>
    <n v="0.84001905618454797"/>
    <n v="0"/>
    <n v="4.9999999999999822E-2"/>
  </r>
  <r>
    <x v="381"/>
    <n v="3.3897329963191098"/>
    <n v="4.2050000000000001"/>
    <n v="6"/>
    <n v="0.2"/>
    <n v="3"/>
    <n v="2.0169085527764983"/>
    <n v="0.60000000000000009"/>
    <n v="0"/>
    <x v="0"/>
    <n v="0.84001905618454797"/>
    <n v="0"/>
    <n v="4.9999999999999822E-2"/>
  </r>
  <r>
    <x v="382"/>
    <n v="3.34533036324394"/>
    <n v="4.2050000000000001"/>
    <n v="7"/>
    <n v="0.2"/>
    <n v="4"/>
    <n v="2.6859746254252865"/>
    <n v="0.8"/>
    <n v="3.3574682817816082"/>
    <x v="80"/>
    <n v="0.84753171821839191"/>
    <n v="7.5126620338439309E-3"/>
    <n v="4.9999999999999822E-2"/>
  </r>
  <r>
    <x v="383"/>
    <n v="3.2546149111271299"/>
    <n v="4.08"/>
    <n v="1"/>
    <n v="0.2"/>
    <n v="1"/>
    <n v="0.65092298222542599"/>
    <n v="0.2"/>
    <n v="0"/>
    <x v="0"/>
    <n v="0.84753171821839191"/>
    <n v="0"/>
    <n v="-0.125"/>
  </r>
  <r>
    <x v="384"/>
    <n v="3.2585675716606302"/>
    <n v="4.08"/>
    <n v="2"/>
    <n v="0.2"/>
    <n v="2"/>
    <n v="1.3026364965575521"/>
    <n v="0.4"/>
    <n v="0"/>
    <x v="0"/>
    <n v="0.84753171821839191"/>
    <n v="0"/>
    <n v="-0.125"/>
  </r>
  <r>
    <x v="385"/>
    <n v="3.2809533512237801"/>
    <n v="4.08"/>
    <n v="5"/>
    <n v="0.2"/>
    <n v="3"/>
    <n v="1.9588271668023083"/>
    <n v="0.60000000000000009"/>
    <n v="0"/>
    <x v="0"/>
    <n v="0.84753171821839191"/>
    <n v="0"/>
    <n v="-0.125"/>
  </r>
  <r>
    <x v="386"/>
    <n v="3.18365964576661"/>
    <n v="4.08"/>
    <n v="6"/>
    <n v="0.2"/>
    <n v="4"/>
    <n v="2.5955590959556303"/>
    <n v="0.8"/>
    <n v="0"/>
    <x v="0"/>
    <n v="0.84753171821839191"/>
    <n v="0"/>
    <n v="-0.125"/>
  </r>
  <r>
    <x v="387"/>
    <n v="3.1541714940092298"/>
    <n v="4.08"/>
    <n v="7"/>
    <n v="0.2"/>
    <n v="5"/>
    <n v="3.2263933947574763"/>
    <n v="1"/>
    <n v="3.2263933947574763"/>
    <x v="81"/>
    <n v="0.85360660524252374"/>
    <n v="6.0748870241318365E-3"/>
    <n v="-0.125"/>
  </r>
  <r>
    <x v="388"/>
    <n v="3.1772287212477002"/>
    <n v="4.0249999999999995"/>
    <n v="1"/>
    <n v="0.2"/>
    <n v="1"/>
    <n v="0.63544574424954003"/>
    <n v="0.2"/>
    <n v="0"/>
    <x v="0"/>
    <n v="0.85360660524252374"/>
    <n v="0"/>
    <n v="-5.5000000000000604E-2"/>
  </r>
  <r>
    <x v="389"/>
    <n v="3.1521212861919801"/>
    <n v="4.0249999999999995"/>
    <n v="2"/>
    <n v="0.2"/>
    <n v="2"/>
    <n v="1.265870001487936"/>
    <n v="0.4"/>
    <n v="0"/>
    <x v="0"/>
    <n v="0.85360660524252374"/>
    <n v="0"/>
    <n v="-5.5000000000000604E-2"/>
  </r>
  <r>
    <x v="390"/>
    <n v="3.1593236616906499"/>
    <n v="4.0249999999999995"/>
    <n v="5"/>
    <n v="0.2"/>
    <n v="3"/>
    <n v="1.8977347338260659"/>
    <n v="0.60000000000000009"/>
    <n v="0"/>
    <x v="0"/>
    <n v="0.85360660524252374"/>
    <n v="0"/>
    <n v="-5.5000000000000604E-2"/>
  </r>
  <r>
    <x v="391"/>
    <n v="3.1543237441163701"/>
    <n v="4.0249999999999995"/>
    <n v="6"/>
    <n v="0.2"/>
    <n v="4"/>
    <n v="2.5285994826493399"/>
    <n v="0.8"/>
    <n v="0"/>
    <x v="0"/>
    <n v="0.85360660524252374"/>
    <n v="0"/>
    <n v="-5.5000000000000604E-2"/>
  </r>
  <r>
    <x v="392"/>
    <n v="3.1611386444386498"/>
    <n v="4.0249999999999995"/>
    <n v="7"/>
    <n v="0.2"/>
    <n v="5"/>
    <n v="3.1608272115370699"/>
    <n v="1"/>
    <n v="3.1608272115370699"/>
    <x v="82"/>
    <n v="0.86417278846292955"/>
    <n v="1.0566183220405811E-2"/>
    <n v="-5.5000000000000604E-2"/>
  </r>
  <r>
    <x v="393"/>
    <n v="3.1803565883984102"/>
    <n v="4.1100000000000003"/>
    <n v="1"/>
    <n v="0.2"/>
    <n v="1"/>
    <n v="0.63607131767968206"/>
    <n v="0.2"/>
    <n v="0"/>
    <x v="0"/>
    <n v="0.86417278846292955"/>
    <n v="0"/>
    <n v="8.5000000000000853E-2"/>
  </r>
  <r>
    <x v="394"/>
    <n v="3.25928309164834"/>
    <n v="4.1100000000000003"/>
    <n v="2"/>
    <n v="0.2"/>
    <n v="2"/>
    <n v="1.2879279360093501"/>
    <n v="0.4"/>
    <n v="0"/>
    <x v="0"/>
    <n v="0.86417278846292955"/>
    <n v="0"/>
    <n v="8.5000000000000853E-2"/>
  </r>
  <r>
    <x v="395"/>
    <n v="3.2387584524434998"/>
    <n v="4.1100000000000003"/>
    <n v="5"/>
    <n v="0.2"/>
    <n v="3"/>
    <n v="1.93567962649805"/>
    <n v="0.60000000000000009"/>
    <n v="0"/>
    <x v="0"/>
    <n v="0.86417278846292955"/>
    <n v="0"/>
    <n v="8.5000000000000853E-2"/>
  </r>
  <r>
    <x v="396"/>
    <n v="3.31200880777374"/>
    <n v="4.1100000000000003"/>
    <n v="6"/>
    <n v="0.2"/>
    <n v="4"/>
    <n v="2.598081388052798"/>
    <n v="0.8"/>
    <n v="0"/>
    <x v="0"/>
    <n v="0.86417278846292955"/>
    <n v="0"/>
    <n v="8.5000000000000853E-2"/>
  </r>
  <r>
    <x v="397"/>
    <n v="3.2997347907142101"/>
    <n v="4.1100000000000003"/>
    <n v="7"/>
    <n v="0.2"/>
    <n v="5"/>
    <n v="3.2580283461956401"/>
    <n v="1"/>
    <n v="3.2580283461956401"/>
    <x v="83"/>
    <n v="0.85197165380436024"/>
    <n v="-1.2201134658569313E-2"/>
    <n v="8.5000000000000853E-2"/>
  </r>
  <r>
    <x v="398"/>
    <n v="3.2915305734964"/>
    <n v="4.2749999999999995"/>
    <n v="1"/>
    <n v="0.2"/>
    <n v="1"/>
    <n v="0.65830611469928002"/>
    <n v="0.2"/>
    <n v="0"/>
    <x v="0"/>
    <n v="0.85197165380436024"/>
    <n v="0"/>
    <n v="0.16499999999999915"/>
  </r>
  <r>
    <x v="399"/>
    <n v="3.4185329478981301"/>
    <n v="4.2749999999999995"/>
    <n v="2"/>
    <n v="0.2"/>
    <n v="2"/>
    <n v="1.3420127042789061"/>
    <n v="0.4"/>
    <n v="0"/>
    <x v="0"/>
    <n v="0.85197165380436024"/>
    <n v="0"/>
    <n v="0.16499999999999915"/>
  </r>
  <r>
    <x v="400"/>
    <n v="3.42394236396553"/>
    <n v="4.2749999999999995"/>
    <n v="6"/>
    <n v="0.2"/>
    <n v="3"/>
    <n v="2.026801177072012"/>
    <n v="0.60000000000000009"/>
    <n v="0"/>
    <x v="0"/>
    <n v="0.85197165380436024"/>
    <n v="0"/>
    <n v="0.16499999999999915"/>
  </r>
  <r>
    <x v="401"/>
    <n v="3.3863287913399098"/>
    <n v="4.2749999999999995"/>
    <n v="7"/>
    <n v="0.2"/>
    <n v="4"/>
    <n v="2.704066935339994"/>
    <n v="0.8"/>
    <n v="3.3800836691749923"/>
    <x v="84"/>
    <n v="0.89491633082500721"/>
    <n v="4.2944677020646971E-2"/>
    <n v="0.16499999999999915"/>
  </r>
  <r>
    <x v="402"/>
    <n v="3.33440232330382"/>
    <n v="4.1449999999999996"/>
    <n v="1"/>
    <n v="0.2"/>
    <n v="1"/>
    <n v="0.66688046466076401"/>
    <n v="0.2"/>
    <n v="0"/>
    <x v="0"/>
    <n v="0.89491633082500721"/>
    <n v="0"/>
    <n v="-0.12999999999999989"/>
  </r>
  <r>
    <x v="403"/>
    <n v="3.3274975263328299"/>
    <n v="4.1449999999999996"/>
    <n v="2"/>
    <n v="0.2"/>
    <n v="2"/>
    <n v="1.33237996992733"/>
    <n v="0.4"/>
    <n v="0"/>
    <x v="0"/>
    <n v="0.89491633082500721"/>
    <n v="0"/>
    <n v="-0.12999999999999989"/>
  </r>
  <r>
    <x v="404"/>
    <n v="3.2892170945558501"/>
    <n v="4.1449999999999996"/>
    <n v="5"/>
    <n v="0.2"/>
    <n v="3"/>
    <n v="1.9902233888384999"/>
    <n v="0.60000000000000009"/>
    <n v="0"/>
    <x v="0"/>
    <n v="0.89491633082500721"/>
    <n v="0"/>
    <n v="-0.12999999999999989"/>
  </r>
  <r>
    <x v="405"/>
    <n v="3.3249162804545902"/>
    <n v="4.1449999999999996"/>
    <n v="6"/>
    <n v="0.2"/>
    <n v="4"/>
    <n v="2.655206644929418"/>
    <n v="0.8"/>
    <n v="0"/>
    <x v="0"/>
    <n v="0.89491633082500721"/>
    <n v="0"/>
    <n v="-0.12999999999999989"/>
  </r>
  <r>
    <x v="406"/>
    <n v="3.3953888640544201"/>
    <n v="4.1449999999999996"/>
    <n v="7"/>
    <n v="0.2"/>
    <n v="5"/>
    <n v="3.3342844177403022"/>
    <n v="1"/>
    <n v="3.3342844177403022"/>
    <x v="85"/>
    <n v="0.81071558225969742"/>
    <n v="-8.4200748565309791E-2"/>
    <n v="-0.12999999999999989"/>
  </r>
  <r>
    <x v="406"/>
    <n v="3.3953888640544201"/>
    <n v="4.2149999999999999"/>
    <n v="7"/>
    <n v="0.2"/>
    <n v="1"/>
    <n v="0.67907777281088411"/>
    <n v="0.2"/>
    <n v="0"/>
    <x v="0"/>
    <n v="0.81071558225969742"/>
    <n v="0"/>
    <n v="7.0000000000000284E-2"/>
  </r>
  <r>
    <x v="407"/>
    <n v="3.3902241574747198"/>
    <n v="4.2149999999999999"/>
    <n v="1"/>
    <n v="0.2"/>
    <n v="1"/>
    <n v="0.67804483149494399"/>
    <n v="0.2"/>
    <n v="0"/>
    <x v="0"/>
    <n v="0.81071558225969742"/>
    <n v="0"/>
    <n v="7.0000000000000284E-2"/>
  </r>
  <r>
    <x v="408"/>
    <n v="3.3765717476056198"/>
    <n v="4.2149999999999999"/>
    <n v="2"/>
    <n v="0.2"/>
    <n v="2"/>
    <n v="1.3533591810160681"/>
    <n v="0.4"/>
    <n v="0"/>
    <x v="0"/>
    <n v="0.81071558225969742"/>
    <n v="0"/>
    <n v="7.0000000000000284E-2"/>
  </r>
  <r>
    <x v="409"/>
    <n v="3.3786024673164099"/>
    <n v="4.2149999999999999"/>
    <n v="5"/>
    <n v="0.2"/>
    <n v="3"/>
    <n v="2.02907967447935"/>
    <n v="0.60000000000000009"/>
    <n v="0"/>
    <x v="0"/>
    <n v="0.81071558225969742"/>
    <n v="0"/>
    <n v="7.0000000000000284E-2"/>
  </r>
  <r>
    <x v="410"/>
    <n v="3.36567559686896"/>
    <n v="4.2149999999999999"/>
    <n v="6"/>
    <n v="0.2"/>
    <n v="4"/>
    <n v="2.702214793853142"/>
    <n v="0.8"/>
    <n v="3.3777684923164273"/>
    <x v="86"/>
    <n v="0.83723150768357257"/>
    <n v="2.6515925423875153E-2"/>
    <n v="7.0000000000000284E-2"/>
  </r>
  <r>
    <x v="411"/>
    <n v="3.4152065149267101"/>
    <n v="4.335"/>
    <n v="2"/>
    <n v="0.2"/>
    <n v="1"/>
    <n v="0.68304130298534205"/>
    <n v="0.2"/>
    <n v="0"/>
    <x v="0"/>
    <n v="0.83723150768357257"/>
    <n v="0"/>
    <n v="0.12000000000000011"/>
  </r>
  <r>
    <x v="412"/>
    <n v="3.48278493540972"/>
    <n v="4.335"/>
    <n v="5"/>
    <n v="0.2"/>
    <n v="2"/>
    <n v="1.3795982900672861"/>
    <n v="0.4"/>
    <n v="0"/>
    <x v="0"/>
    <n v="0.83723150768357257"/>
    <n v="0"/>
    <n v="0.12000000000000011"/>
  </r>
  <r>
    <x v="413"/>
    <n v="3.4820134464127701"/>
    <n v="4.335"/>
    <n v="6"/>
    <n v="0.2"/>
    <n v="3"/>
    <n v="2.07600097934984"/>
    <n v="0.60000000000000009"/>
    <n v="0"/>
    <x v="0"/>
    <n v="0.83723150768357257"/>
    <n v="0"/>
    <n v="0.12000000000000011"/>
  </r>
  <r>
    <x v="414"/>
    <n v="3.53796119815684"/>
    <n v="4.335"/>
    <n v="7"/>
    <n v="0.2"/>
    <n v="4"/>
    <n v="2.783593218981208"/>
    <n v="0.8"/>
    <n v="3.47949152372651"/>
    <x v="87"/>
    <n v="0.85550847627348992"/>
    <n v="1.8276968589917342E-2"/>
    <n v="0.12000000000000011"/>
  </r>
  <r>
    <x v="415"/>
    <n v="3.5521293611692002"/>
    <n v="4.3449999999999998"/>
    <n v="1"/>
    <n v="0.2"/>
    <n v="1"/>
    <n v="0.71042587223384013"/>
    <n v="0.2"/>
    <n v="0"/>
    <x v="0"/>
    <n v="0.85550847627348992"/>
    <n v="0"/>
    <n v="9.9999999999997868E-3"/>
  </r>
  <r>
    <x v="416"/>
    <n v="3.5357721713068302"/>
    <n v="4.3449999999999998"/>
    <n v="2"/>
    <n v="0.2"/>
    <n v="2"/>
    <n v="1.4175803064952062"/>
    <n v="0.4"/>
    <n v="0"/>
    <x v="0"/>
    <n v="0.85550847627348992"/>
    <n v="0"/>
    <n v="9.9999999999997868E-3"/>
  </r>
  <r>
    <x v="417"/>
    <n v="3.5044888951704301"/>
    <n v="4.3449999999999998"/>
    <n v="5"/>
    <n v="0.2"/>
    <n v="3"/>
    <n v="2.1184780855292922"/>
    <n v="0.60000000000000009"/>
    <n v="0"/>
    <x v="0"/>
    <n v="0.85550847627348992"/>
    <n v="0"/>
    <n v="9.9999999999997868E-3"/>
  </r>
  <r>
    <x v="418"/>
    <n v="3.46476327795386"/>
    <n v="4.3449999999999998"/>
    <n v="6"/>
    <n v="0.2"/>
    <n v="4"/>
    <n v="2.8114307411200641"/>
    <n v="0.8"/>
    <n v="0"/>
    <x v="0"/>
    <n v="0.85550847627348992"/>
    <n v="0"/>
    <n v="9.9999999999997868E-3"/>
  </r>
  <r>
    <x v="419"/>
    <n v="3.5156873221910101"/>
    <n v="4.3449999999999998"/>
    <n v="7"/>
    <n v="0.2"/>
    <n v="5"/>
    <n v="3.5145682055582661"/>
    <n v="1"/>
    <n v="3.5145682055582661"/>
    <x v="88"/>
    <n v="0.83043179444173365"/>
    <n v="-2.5076681831756265E-2"/>
    <n v="9.9999999999997868E-3"/>
  </r>
  <r>
    <x v="420"/>
    <n v="3.5427546786903199"/>
    <n v="4.3949999999999996"/>
    <n v="1"/>
    <n v="0.2"/>
    <n v="1"/>
    <n v="0.70855093573806405"/>
    <n v="0.2"/>
    <n v="0"/>
    <x v="0"/>
    <n v="0.83043179444173365"/>
    <n v="0"/>
    <n v="4.9999999999999822E-2"/>
  </r>
  <r>
    <x v="421"/>
    <n v="3.5290996894050202"/>
    <n v="4.3949999999999996"/>
    <n v="2"/>
    <n v="0.2"/>
    <n v="2"/>
    <n v="1.4143708736190681"/>
    <n v="0.4"/>
    <n v="0"/>
    <x v="0"/>
    <n v="0.83043179444173365"/>
    <n v="0"/>
    <n v="4.9999999999999822E-2"/>
  </r>
  <r>
    <x v="422"/>
    <n v="3.5307245323139602"/>
    <n v="4.3949999999999996"/>
    <n v="5"/>
    <n v="0.2"/>
    <n v="3"/>
    <n v="2.1205157800818601"/>
    <n v="0.60000000000000009"/>
    <n v="0"/>
    <x v="0"/>
    <n v="0.83043179444173365"/>
    <n v="0"/>
    <n v="4.9999999999999822E-2"/>
  </r>
  <r>
    <x v="423"/>
    <n v="3.4998898139893"/>
    <n v="4.3949999999999996"/>
    <n v="6"/>
    <n v="0.2"/>
    <n v="4"/>
    <n v="2.8204937428797203"/>
    <n v="0.8"/>
    <n v="0"/>
    <x v="0"/>
    <n v="0.83043179444173365"/>
    <n v="0"/>
    <n v="4.9999999999999822E-2"/>
  </r>
  <r>
    <x v="424"/>
    <n v="3.5422755368494498"/>
    <n v="4.3949999999999996"/>
    <n v="7"/>
    <n v="0.2"/>
    <n v="5"/>
    <n v="3.5289488502496105"/>
    <n v="1"/>
    <n v="3.5289488502496105"/>
    <x v="89"/>
    <n v="0.8660511497503891"/>
    <n v="3.5619355308655454E-2"/>
    <n v="4.9999999999999822E-2"/>
  </r>
  <r>
    <x v="425"/>
    <n v="3.5894558660793101"/>
    <n v="4.4050000000000002"/>
    <n v="1"/>
    <n v="0.2"/>
    <n v="1"/>
    <n v="0.71789117321586204"/>
    <n v="0.2"/>
    <n v="0"/>
    <x v="0"/>
    <n v="0.8660511497503891"/>
    <n v="0"/>
    <n v="1.0000000000000675E-2"/>
  </r>
  <r>
    <x v="426"/>
    <n v="3.5207189291483099"/>
    <n v="4.4050000000000002"/>
    <n v="2"/>
    <n v="0.2"/>
    <n v="2"/>
    <n v="1.4220349590455239"/>
    <n v="0.4"/>
    <n v="0"/>
    <x v="0"/>
    <n v="0.8660511497503891"/>
    <n v="0"/>
    <n v="1.0000000000000675E-2"/>
  </r>
  <r>
    <x v="427"/>
    <n v="3.5422520494722902"/>
    <n v="4.4050000000000002"/>
    <n v="5"/>
    <n v="0.2"/>
    <n v="3"/>
    <n v="2.1304853689399819"/>
    <n v="0.60000000000000009"/>
    <n v="0"/>
    <x v="0"/>
    <n v="0.8660511497503891"/>
    <n v="0"/>
    <n v="1.0000000000000675E-2"/>
  </r>
  <r>
    <x v="428"/>
    <n v="3.6100621369380201"/>
    <n v="4.4050000000000002"/>
    <n v="6"/>
    <n v="0.2"/>
    <n v="4"/>
    <n v="2.8524977963275857"/>
    <n v="0.8"/>
    <n v="3.5656222454094819"/>
    <x v="90"/>
    <n v="0.83937775459051833"/>
    <n v="-2.6673395159870772E-2"/>
    <n v="1.0000000000000675E-2"/>
  </r>
  <r>
    <x v="429"/>
    <n v="3.6110841836329799"/>
    <n v="4.4800000000000004"/>
    <n v="1"/>
    <n v="0.2"/>
    <n v="1"/>
    <n v="0.72221683672659598"/>
    <n v="0.2"/>
    <n v="0"/>
    <x v="0"/>
    <n v="0.83937775459051833"/>
    <n v="0"/>
    <n v="7.5000000000000178E-2"/>
  </r>
  <r>
    <x v="430"/>
    <n v="3.60938046615082"/>
    <n v="4.4800000000000004"/>
    <n v="2"/>
    <n v="0.2"/>
    <n v="2"/>
    <n v="1.44409292995676"/>
    <n v="0.4"/>
    <n v="0"/>
    <x v="0"/>
    <n v="0.83937775459051833"/>
    <n v="0"/>
    <n v="7.5000000000000178E-2"/>
  </r>
  <r>
    <x v="431"/>
    <n v="3.5746743392906399"/>
    <n v="4.4800000000000004"/>
    <n v="5"/>
    <n v="0.2"/>
    <n v="3"/>
    <n v="2.159027797814888"/>
    <n v="0.60000000000000009"/>
    <n v="0"/>
    <x v="0"/>
    <n v="0.83937775459051833"/>
    <n v="0"/>
    <n v="7.5000000000000178E-2"/>
  </r>
  <r>
    <x v="432"/>
    <n v="3.5930254960618"/>
    <n v="4.4800000000000004"/>
    <n v="6"/>
    <n v="0.2"/>
    <n v="4"/>
    <n v="2.8776328970272482"/>
    <n v="0.8"/>
    <n v="3.5970411212840601"/>
    <x v="91"/>
    <n v="0.88295887871594037"/>
    <n v="4.3581124125422033E-2"/>
    <n v="7.5000000000000178E-2"/>
  </r>
  <r>
    <x v="433"/>
    <n v="3.5996964231875999"/>
    <n v="4.4349999999999996"/>
    <n v="1"/>
    <n v="0.2"/>
    <n v="1"/>
    <n v="0.71993928463751999"/>
    <n v="0.2"/>
    <n v="0"/>
    <x v="0"/>
    <n v="0.88295887871594037"/>
    <n v="0"/>
    <n v="-4.5000000000000817E-2"/>
  </r>
  <r>
    <x v="434"/>
    <n v="3.6032550852643102"/>
    <n v="4.4349999999999996"/>
    <n v="2"/>
    <n v="0.2"/>
    <n v="2"/>
    <n v="1.440590301690382"/>
    <n v="0.4"/>
    <n v="0"/>
    <x v="0"/>
    <n v="0.88295887871594037"/>
    <n v="0"/>
    <n v="-4.5000000000000817E-2"/>
  </r>
  <r>
    <x v="435"/>
    <n v="3.5763485946615199"/>
    <n v="4.4349999999999996"/>
    <n v="5"/>
    <n v="0.2"/>
    <n v="3"/>
    <n v="2.1558600206226863"/>
    <n v="0.60000000000000009"/>
    <n v="0"/>
    <x v="0"/>
    <n v="0.88295887871594037"/>
    <n v="0"/>
    <n v="-4.5000000000000817E-2"/>
  </r>
  <r>
    <x v="436"/>
    <n v="3.5428500405358099"/>
    <n v="4.4349999999999996"/>
    <n v="6"/>
    <n v="0.2"/>
    <n v="4"/>
    <n v="2.8644300287298483"/>
    <n v="0.8"/>
    <n v="0"/>
    <x v="0"/>
    <n v="0.88295887871594037"/>
    <n v="0"/>
    <n v="-4.5000000000000817E-2"/>
  </r>
  <r>
    <x v="437"/>
    <n v="3.5963712535882499"/>
    <n v="4.4349999999999996"/>
    <n v="7"/>
    <n v="0.2"/>
    <n v="5"/>
    <n v="3.5837042794474985"/>
    <n v="1"/>
    <n v="3.5837042794474985"/>
    <x v="92"/>
    <n v="0.85129572055250113"/>
    <n v="-3.1663158163439231E-2"/>
    <n v="-4.5000000000000817E-2"/>
  </r>
  <r>
    <x v="438"/>
    <n v="3.5749416796778899"/>
    <n v="4.335"/>
    <n v="1"/>
    <n v="0.2"/>
    <n v="1"/>
    <n v="0.71498833593557798"/>
    <n v="0.2"/>
    <n v="0"/>
    <x v="0"/>
    <n v="0.85129572055250113"/>
    <n v="0"/>
    <n v="-9.9999999999999645E-2"/>
  </r>
  <r>
    <x v="439"/>
    <n v="3.4718387266108799"/>
    <n v="4.335"/>
    <n v="2"/>
    <n v="0.2"/>
    <n v="2"/>
    <n v="1.4093560812577541"/>
    <n v="0.4"/>
    <n v="0"/>
    <x v="0"/>
    <n v="0.85129572055250113"/>
    <n v="0"/>
    <n v="-9.9999999999999645E-2"/>
  </r>
  <r>
    <x v="440"/>
    <n v="3.4264575978101499"/>
    <n v="4.335"/>
    <n v="5"/>
    <n v="0.2"/>
    <n v="3"/>
    <n v="2.0946476008197843"/>
    <n v="0.60000000000000009"/>
    <n v="0"/>
    <x v="0"/>
    <n v="0.85129572055250113"/>
    <n v="0"/>
    <n v="-9.9999999999999645E-2"/>
  </r>
  <r>
    <x v="441"/>
    <n v="3.4834111891672799"/>
    <n v="4.335"/>
    <n v="6"/>
    <n v="0.2"/>
    <n v="4"/>
    <n v="2.7913298386532404"/>
    <n v="0.8"/>
    <n v="0"/>
    <x v="0"/>
    <n v="0.85129572055250113"/>
    <n v="0"/>
    <n v="-9.9999999999999645E-2"/>
  </r>
  <r>
    <x v="442"/>
    <n v="3.4947799465752998"/>
    <n v="4.335"/>
    <n v="7"/>
    <n v="0.2"/>
    <n v="5"/>
    <n v="3.4902858279683002"/>
    <n v="1"/>
    <n v="3.4902858279683002"/>
    <x v="93"/>
    <n v="0.84471417203169974"/>
    <n v="-6.5815485208013946E-3"/>
    <n v="-9.9999999999999645E-2"/>
  </r>
  <r>
    <x v="443"/>
    <n v="3.4570560243786002"/>
    <n v="4.3149999999999995"/>
    <n v="1"/>
    <n v="0.2"/>
    <n v="1"/>
    <n v="0.69141120487572005"/>
    <n v="0.2"/>
    <n v="0"/>
    <x v="0"/>
    <n v="0.84471417203169974"/>
    <n v="0"/>
    <n v="-2.0000000000000462E-2"/>
  </r>
  <r>
    <x v="444"/>
    <n v="3.4370844050238198"/>
    <n v="4.3149999999999995"/>
    <n v="2"/>
    <n v="0.2"/>
    <n v="2"/>
    <n v="1.378828085880484"/>
    <n v="0.4"/>
    <n v="0"/>
    <x v="0"/>
    <n v="0.84471417203169974"/>
    <n v="0"/>
    <n v="-2.0000000000000462E-2"/>
  </r>
  <r>
    <x v="445"/>
    <n v="3.4306167460721202"/>
    <n v="4.3149999999999995"/>
    <n v="6"/>
    <n v="0.2"/>
    <n v="3"/>
    <n v="2.0649514350949083"/>
    <n v="0.60000000000000009"/>
    <n v="0"/>
    <x v="0"/>
    <n v="0.84471417203169974"/>
    <n v="0"/>
    <n v="-2.0000000000000462E-2"/>
  </r>
  <r>
    <x v="446"/>
    <n v="3.4813003413665098"/>
    <n v="4.3149999999999995"/>
    <n v="7"/>
    <n v="0.2"/>
    <n v="4"/>
    <n v="2.7612115033682105"/>
    <n v="0.8"/>
    <n v="3.4515143792102632"/>
    <x v="94"/>
    <n v="0.86348562078973634"/>
    <n v="1.8771448758036602E-2"/>
    <n v="-2.0000000000000462E-2"/>
  </r>
  <r>
    <x v="447"/>
    <n v="3.42598487814407"/>
    <n v="4.2450000000000001"/>
    <n v="1"/>
    <n v="0.2"/>
    <n v="1"/>
    <n v="0.6851969756288141"/>
    <n v="0.2"/>
    <n v="0"/>
    <x v="0"/>
    <n v="0.86348562078973634"/>
    <n v="0"/>
    <n v="-6.9999999999999396E-2"/>
  </r>
  <r>
    <x v="448"/>
    <n v="3.3821795348389898"/>
    <n v="4.2450000000000001"/>
    <n v="2"/>
    <n v="0.2"/>
    <n v="2"/>
    <n v="1.361632882596612"/>
    <n v="0.4"/>
    <n v="0"/>
    <x v="0"/>
    <n v="0.86348562078973634"/>
    <n v="0"/>
    <n v="-6.9999999999999396E-2"/>
  </r>
  <r>
    <x v="449"/>
    <n v="3.4248929817112499"/>
    <n v="4.2450000000000001"/>
    <n v="5"/>
    <n v="0.2"/>
    <n v="3"/>
    <n v="2.0466114789388619"/>
    <n v="0.60000000000000009"/>
    <n v="0"/>
    <x v="0"/>
    <n v="0.86348562078973634"/>
    <n v="0"/>
    <n v="-6.9999999999999396E-2"/>
  </r>
  <r>
    <x v="450"/>
    <n v="3.4146699129436402"/>
    <n v="4.2450000000000001"/>
    <n v="6"/>
    <n v="0.2"/>
    <n v="4"/>
    <n v="2.7295454615275898"/>
    <n v="0.8"/>
    <n v="0"/>
    <x v="0"/>
    <n v="0.86348562078973634"/>
    <n v="0"/>
    <n v="-6.9999999999999396E-2"/>
  </r>
  <r>
    <x v="451"/>
    <n v="3.3611475085431901"/>
    <n v="4.2450000000000001"/>
    <n v="7"/>
    <n v="0.2"/>
    <n v="5"/>
    <n v="3.4017749632362277"/>
    <n v="1"/>
    <n v="3.4017749632362277"/>
    <x v="95"/>
    <n v="0.84322503676377236"/>
    <n v="-2.0260584025963979E-2"/>
    <n v="-6.9999999999999396E-2"/>
  </r>
  <r>
    <x v="452"/>
    <n v="3.3710250871978902"/>
    <n v="4.1550000000000002"/>
    <n v="1"/>
    <n v="0.2"/>
    <n v="1"/>
    <n v="0.67420501743957806"/>
    <n v="0.2"/>
    <n v="0"/>
    <x v="0"/>
    <n v="0.84322503676377236"/>
    <n v="0"/>
    <n v="-8.9999999999999858E-2"/>
  </r>
  <r>
    <x v="453"/>
    <n v="3.3406752567006799"/>
    <n v="4.1550000000000002"/>
    <n v="2"/>
    <n v="0.2"/>
    <n v="2"/>
    <n v="1.342340068779714"/>
    <n v="0.4"/>
    <n v="0"/>
    <x v="0"/>
    <n v="0.84322503676377236"/>
    <n v="0"/>
    <n v="-8.9999999999999858E-2"/>
  </r>
  <r>
    <x v="454"/>
    <n v="3.2710992042590501"/>
    <n v="4.1550000000000002"/>
    <n v="5"/>
    <n v="0.2"/>
    <n v="3"/>
    <n v="1.9965599096315241"/>
    <n v="0.60000000000000009"/>
    <n v="0"/>
    <x v="0"/>
    <n v="0.84322503676377236"/>
    <n v="0"/>
    <n v="-8.9999999999999858E-2"/>
  </r>
  <r>
    <x v="455"/>
    <n v="3.3111616483337998"/>
    <n v="4.1550000000000002"/>
    <n v="6"/>
    <n v="0.2"/>
    <n v="4"/>
    <n v="2.6587922392982843"/>
    <n v="0.8"/>
    <n v="0"/>
    <x v="0"/>
    <n v="0.84322503676377236"/>
    <n v="0"/>
    <n v="-8.9999999999999858E-2"/>
  </r>
  <r>
    <x v="456"/>
    <n v="3.3584090078904199"/>
    <n v="4.1550000000000002"/>
    <n v="7"/>
    <n v="0.2"/>
    <n v="5"/>
    <n v="3.3304740408763682"/>
    <n v="1"/>
    <n v="3.3304740408763682"/>
    <x v="96"/>
    <n v="0.82452595912363202"/>
    <n v="-1.8699077640140338E-2"/>
    <n v="-8.9999999999999858E-2"/>
  </r>
  <r>
    <x v="457"/>
    <n v="3.3799296471468399"/>
    <n v="4.2050000000000001"/>
    <n v="1"/>
    <n v="0.2"/>
    <n v="1"/>
    <n v="0.67598592942936797"/>
    <n v="0.2"/>
    <n v="0"/>
    <x v="0"/>
    <n v="0.82452595912363202"/>
    <n v="0"/>
    <n v="4.9999999999999822E-2"/>
  </r>
  <r>
    <x v="458"/>
    <n v="3.34300170180666"/>
    <n v="4.2050000000000001"/>
    <n v="2"/>
    <n v="0.2"/>
    <n v="2"/>
    <n v="1.3445862697907001"/>
    <n v="0.4"/>
    <n v="0"/>
    <x v="0"/>
    <n v="0.82452595912363202"/>
    <n v="0"/>
    <n v="4.9999999999999822E-2"/>
  </r>
  <r>
    <x v="459"/>
    <n v="3.34761054294983"/>
    <n v="4.2050000000000001"/>
    <n v="5"/>
    <n v="0.2"/>
    <n v="3"/>
    <n v="2.0141083783806661"/>
    <n v="0.60000000000000009"/>
    <n v="0"/>
    <x v="0"/>
    <n v="0.82452595912363202"/>
    <n v="0"/>
    <n v="4.9999999999999822E-2"/>
  </r>
  <r>
    <x v="460"/>
    <n v="3.3874003692749199"/>
    <n v="4.2050000000000001"/>
    <n v="6"/>
    <n v="0.2"/>
    <n v="4"/>
    <n v="2.6915884522356501"/>
    <n v="0.8"/>
    <n v="0"/>
    <x v="0"/>
    <n v="0.82452595912363202"/>
    <n v="0"/>
    <n v="4.9999999999999822E-2"/>
  </r>
  <r>
    <x v="461"/>
    <n v="3.4367814236357002"/>
    <n v="4.2050000000000001"/>
    <n v="7"/>
    <n v="0.2"/>
    <n v="5"/>
    <n v="3.3789447369627901"/>
    <n v="1"/>
    <n v="3.3789447369627901"/>
    <x v="97"/>
    <n v="0.82605526303721"/>
    <n v="1.5293039135779729E-3"/>
    <n v="4.9999999999999822E-2"/>
  </r>
  <r>
    <x v="462"/>
    <n v="3.3963820586764299"/>
    <n v="4.2549999999999999"/>
    <n v="1"/>
    <n v="0.2"/>
    <n v="1"/>
    <n v="0.67927641173528608"/>
    <n v="0.2"/>
    <n v="0"/>
    <x v="0"/>
    <n v="0.82605526303721"/>
    <n v="0"/>
    <n v="4.9999999999999822E-2"/>
  </r>
  <r>
    <x v="463"/>
    <n v="3.42404687499962"/>
    <n v="4.2549999999999999"/>
    <n v="2"/>
    <n v="0.2"/>
    <n v="2"/>
    <n v="1.3640857867352101"/>
    <n v="0.4"/>
    <n v="0"/>
    <x v="0"/>
    <n v="0.82605526303721"/>
    <n v="0"/>
    <n v="4.9999999999999822E-2"/>
  </r>
  <r>
    <x v="464"/>
    <n v="3.4022510541238402"/>
    <n v="4.2549999999999999"/>
    <n v="6"/>
    <n v="0.2"/>
    <n v="3"/>
    <n v="2.0445359975599784"/>
    <n v="0.60000000000000009"/>
    <n v="0"/>
    <x v="0"/>
    <n v="0.82605526303721"/>
    <n v="0"/>
    <n v="4.9999999999999822E-2"/>
  </r>
  <r>
    <x v="465"/>
    <n v="3.4208462339079002"/>
    <n v="4.2549999999999999"/>
    <n v="7"/>
    <n v="0.2"/>
    <n v="4"/>
    <n v="2.7287052443415583"/>
    <n v="0.8"/>
    <n v="3.4108815554269478"/>
    <x v="98"/>
    <n v="0.84411844457305207"/>
    <n v="1.8063181535842077E-2"/>
    <n v="4.9999999999999822E-2"/>
  </r>
  <r>
    <x v="466"/>
    <n v="3.4409874974018302"/>
    <n v="4.2949999999999999"/>
    <n v="1"/>
    <n v="0.2"/>
    <n v="1"/>
    <n v="0.68819749948036613"/>
    <n v="0.2"/>
    <n v="0"/>
    <x v="0"/>
    <n v="0.84411844457305207"/>
    <n v="0"/>
    <n v="4.0000000000000036E-2"/>
  </r>
  <r>
    <x v="467"/>
    <n v="3.4238152467223899"/>
    <n v="4.2949999999999999"/>
    <n v="2"/>
    <n v="0.2"/>
    <n v="2"/>
    <n v="1.3729605488248442"/>
    <n v="0.4"/>
    <n v="0"/>
    <x v="0"/>
    <n v="0.84411844457305207"/>
    <n v="0"/>
    <n v="4.0000000000000036E-2"/>
  </r>
  <r>
    <x v="468"/>
    <n v="3.4298763218774999"/>
    <n v="4.2949999999999999"/>
    <n v="5"/>
    <n v="0.2"/>
    <n v="3"/>
    <n v="2.0589358132003444"/>
    <n v="0.60000000000000009"/>
    <n v="0"/>
    <x v="0"/>
    <n v="0.84411844457305207"/>
    <n v="0"/>
    <n v="4.0000000000000036E-2"/>
  </r>
  <r>
    <x v="469"/>
    <n v="3.3762483730993802"/>
    <n v="4.2949999999999999"/>
    <n v="6"/>
    <n v="0.2"/>
    <n v="4"/>
    <n v="2.7341854878202203"/>
    <n v="0.8"/>
    <n v="0"/>
    <x v="0"/>
    <n v="0.84411844457305207"/>
    <n v="0"/>
    <n v="4.0000000000000036E-2"/>
  </r>
  <r>
    <x v="470"/>
    <n v="3.36185561650391"/>
    <n v="4.2949999999999999"/>
    <n v="7"/>
    <n v="0.2"/>
    <n v="5"/>
    <n v="3.4065566111210024"/>
    <n v="1"/>
    <n v="3.4065566111210024"/>
    <x v="99"/>
    <n v="0.88844338887899754"/>
    <n v="4.4324944305945468E-2"/>
    <n v="4.0000000000000036E-2"/>
  </r>
  <r>
    <x v="471"/>
    <n v="3.3370205659412702"/>
    <n v="4.2050000000000001"/>
    <n v="1"/>
    <n v="0.2"/>
    <n v="1"/>
    <n v="0.6674041131882541"/>
    <n v="0.2"/>
    <n v="0"/>
    <x v="0"/>
    <n v="0.88844338887899754"/>
    <n v="0"/>
    <n v="-8.9999999999999858E-2"/>
  </r>
  <r>
    <x v="472"/>
    <n v="3.3514861848067001"/>
    <n v="4.2050000000000001"/>
    <n v="2"/>
    <n v="0.2"/>
    <n v="2"/>
    <n v="1.3377013501495942"/>
    <n v="0.4"/>
    <n v="0"/>
    <x v="0"/>
    <n v="0.88844338887899754"/>
    <n v="0"/>
    <n v="-8.9999999999999858E-2"/>
  </r>
  <r>
    <x v="473"/>
    <n v="3.32529881785555"/>
    <n v="4.2050000000000001"/>
    <n v="5"/>
    <n v="0.2"/>
    <n v="3"/>
    <n v="2.0027611137207044"/>
    <n v="0.60000000000000009"/>
    <n v="0"/>
    <x v="0"/>
    <n v="0.88844338887899754"/>
    <n v="0"/>
    <n v="-8.9999999999999858E-2"/>
  </r>
  <r>
    <x v="474"/>
    <n v="3.3983132593490502"/>
    <n v="4.2050000000000001"/>
    <n v="6"/>
    <n v="0.2"/>
    <n v="4"/>
    <n v="2.6824237655905145"/>
    <n v="0.8"/>
    <n v="0"/>
    <x v="0"/>
    <n v="0.88844338887899754"/>
    <n v="0"/>
    <n v="-8.9999999999999858E-2"/>
  </r>
  <r>
    <x v="475"/>
    <n v="3.40151851180392"/>
    <n v="4.2050000000000001"/>
    <n v="7"/>
    <n v="0.2"/>
    <n v="5"/>
    <n v="3.3627274679512986"/>
    <n v="1"/>
    <n v="3.3627274679512986"/>
    <x v="100"/>
    <n v="0.84227253204870145"/>
    <n v="-4.6170856830296092E-2"/>
    <n v="-8.9999999999999858E-2"/>
  </r>
  <r>
    <x v="476"/>
    <n v="3.4237035729301399"/>
    <n v="4.2700000000000005"/>
    <n v="1"/>
    <n v="0.2"/>
    <n v="1"/>
    <n v="0.68474071458602803"/>
    <n v="0.2"/>
    <n v="0"/>
    <x v="0"/>
    <n v="0.84227253204870145"/>
    <n v="0"/>
    <n v="6.5000000000000391E-2"/>
  </r>
  <r>
    <x v="477"/>
    <n v="3.4613667705973898"/>
    <n v="4.2700000000000005"/>
    <n v="2"/>
    <n v="0.2"/>
    <n v="2"/>
    <n v="1.3770140687055061"/>
    <n v="0.4"/>
    <n v="0"/>
    <x v="0"/>
    <n v="0.84227253204870145"/>
    <n v="0"/>
    <n v="6.5000000000000391E-2"/>
  </r>
  <r>
    <x v="478"/>
    <n v="3.4465671397565498"/>
    <n v="4.2700000000000005"/>
    <n v="5"/>
    <n v="0.2"/>
    <n v="3"/>
    <n v="2.0663274966568164"/>
    <n v="0.60000000000000009"/>
    <n v="0"/>
    <x v="0"/>
    <n v="0.84227253204870145"/>
    <n v="0"/>
    <n v="6.5000000000000391E-2"/>
  </r>
  <r>
    <x v="479"/>
    <n v="3.4438493655509599"/>
    <n v="4.2700000000000005"/>
    <n v="6"/>
    <n v="0.2"/>
    <n v="4"/>
    <n v="2.7550973697670083"/>
    <n v="0.8"/>
    <n v="0"/>
    <x v="0"/>
    <n v="0.84227253204870145"/>
    <n v="0"/>
    <n v="6.5000000000000391E-2"/>
  </r>
  <r>
    <x v="480"/>
    <n v="3.4085893370598099"/>
    <n v="4.2700000000000005"/>
    <n v="7"/>
    <n v="0.2"/>
    <n v="5"/>
    <n v="3.4368152371789704"/>
    <n v="1"/>
    <n v="3.4368152371789704"/>
    <x v="101"/>
    <n v="0.83318476282103004"/>
    <n v="-9.087769227671405E-3"/>
    <n v="6.5000000000000391E-2"/>
  </r>
  <r>
    <x v="481"/>
    <n v="3.34843875975199"/>
    <n v="4.2200000000000006"/>
    <n v="1"/>
    <n v="0.2"/>
    <n v="1"/>
    <n v="0.66968775195039809"/>
    <n v="0.2"/>
    <n v="0"/>
    <x v="0"/>
    <n v="0.83318476282103004"/>
    <n v="0"/>
    <n v="-4.9999999999999822E-2"/>
  </r>
  <r>
    <x v="482"/>
    <n v="3.3634875299273701"/>
    <n v="4.2200000000000006"/>
    <n v="2"/>
    <n v="0.2"/>
    <n v="2"/>
    <n v="1.3423852579358722"/>
    <n v="0.4"/>
    <n v="0"/>
    <x v="0"/>
    <n v="0.83318476282103004"/>
    <n v="0"/>
    <n v="-4.9999999999999822E-2"/>
  </r>
  <r>
    <x v="483"/>
    <n v="3.4174617229589801"/>
    <n v="4.2200000000000006"/>
    <n v="5"/>
    <n v="0.2"/>
    <n v="3"/>
    <n v="2.0258776025276681"/>
    <n v="0.60000000000000009"/>
    <n v="0"/>
    <x v="0"/>
    <n v="0.83318476282103004"/>
    <n v="0"/>
    <n v="-4.9999999999999822E-2"/>
  </r>
  <r>
    <x v="484"/>
    <n v="3.3942283451593398"/>
    <n v="4.2200000000000006"/>
    <n v="6"/>
    <n v="0.2"/>
    <n v="4"/>
    <n v="2.7047232715595362"/>
    <n v="0.8"/>
    <n v="0"/>
    <x v="0"/>
    <n v="0.83318476282103004"/>
    <n v="0"/>
    <n v="-4.9999999999999822E-2"/>
  </r>
  <r>
    <x v="485"/>
    <n v="3.4724096295378999"/>
    <n v="4.2200000000000006"/>
    <n v="7"/>
    <n v="0.2"/>
    <n v="5"/>
    <n v="3.3992051974671162"/>
    <n v="1"/>
    <n v="3.3992051974671162"/>
    <x v="102"/>
    <n v="0.82079480253288439"/>
    <n v="-1.2389960288145652E-2"/>
    <n v="-4.9999999999999822E-2"/>
  </r>
  <r>
    <x v="486"/>
    <n v="3.4858096996422701"/>
    <n v="4.3000000000000007"/>
    <n v="1"/>
    <n v="0.2"/>
    <n v="1"/>
    <n v="0.6971619399284541"/>
    <n v="0.2"/>
    <n v="0"/>
    <x v="0"/>
    <n v="0.82079480253288439"/>
    <n v="0"/>
    <n v="8.0000000000000071E-2"/>
  </r>
  <r>
    <x v="487"/>
    <n v="3.4523536219729101"/>
    <n v="4.3000000000000007"/>
    <n v="2"/>
    <n v="0.2"/>
    <n v="2"/>
    <n v="1.3876326643230361"/>
    <n v="0.4"/>
    <n v="0"/>
    <x v="0"/>
    <n v="0.82079480253288439"/>
    <n v="0"/>
    <n v="8.0000000000000071E-2"/>
  </r>
  <r>
    <x v="488"/>
    <n v="3.45266754883475"/>
    <n v="4.3000000000000007"/>
    <n v="5"/>
    <n v="0.2"/>
    <n v="3"/>
    <n v="2.0781661740899864"/>
    <n v="0.60000000000000009"/>
    <n v="0"/>
    <x v="0"/>
    <n v="0.82079480253288439"/>
    <n v="0"/>
    <n v="8.0000000000000071E-2"/>
  </r>
  <r>
    <x v="489"/>
    <n v="3.4519694257459901"/>
    <n v="4.3000000000000007"/>
    <n v="6"/>
    <n v="0.2"/>
    <n v="4"/>
    <n v="2.7685600592391846"/>
    <n v="0.8"/>
    <n v="0"/>
    <x v="0"/>
    <n v="0.82079480253288439"/>
    <n v="0"/>
    <n v="8.0000000000000071E-2"/>
  </r>
  <r>
    <x v="490"/>
    <n v="3.4217405544715098"/>
    <n v="4.3000000000000007"/>
    <n v="7"/>
    <n v="0.2"/>
    <n v="5"/>
    <n v="3.4529081701334867"/>
    <n v="1"/>
    <n v="3.4529081701334867"/>
    <x v="103"/>
    <n v="0.84709182986651399"/>
    <n v="2.6297027333629597E-2"/>
    <n v="8.0000000000000071E-2"/>
  </r>
  <r>
    <x v="491"/>
    <n v="3.4052671978447102"/>
    <n v="4.335"/>
    <n v="1"/>
    <n v="0.2"/>
    <n v="1"/>
    <n v="0.68105343956894204"/>
    <n v="0.2"/>
    <n v="0"/>
    <x v="0"/>
    <n v="0.84709182986651399"/>
    <n v="0"/>
    <n v="3.4999999999999254E-2"/>
  </r>
  <r>
    <x v="492"/>
    <n v="3.4306094277170498"/>
    <n v="4.335"/>
    <n v="2"/>
    <n v="0.2"/>
    <n v="2"/>
    <n v="1.3671753251123522"/>
    <n v="0.4"/>
    <n v="0"/>
    <x v="0"/>
    <n v="0.84709182986651399"/>
    <n v="0"/>
    <n v="3.4999999999999254E-2"/>
  </r>
  <r>
    <x v="493"/>
    <n v="3.44685935064701"/>
    <n v="4.335"/>
    <n v="5"/>
    <n v="0.2"/>
    <n v="3"/>
    <n v="2.0565471952417544"/>
    <n v="0.60000000000000009"/>
    <n v="0"/>
    <x v="0"/>
    <n v="0.84709182986651399"/>
    <n v="0"/>
    <n v="3.4999999999999254E-2"/>
  </r>
  <r>
    <x v="494"/>
    <n v="3.4727016332033198"/>
    <n v="4.335"/>
    <n v="6"/>
    <n v="0.2"/>
    <n v="4"/>
    <n v="2.7510875218824182"/>
    <n v="0.8"/>
    <n v="0"/>
    <x v="0"/>
    <n v="0.84709182986651399"/>
    <n v="0"/>
    <n v="3.4999999999999254E-2"/>
  </r>
  <r>
    <x v="495"/>
    <n v="3.5066269417846301"/>
    <n v="4.335"/>
    <n v="7"/>
    <n v="0.2"/>
    <n v="5"/>
    <n v="3.4524129102393442"/>
    <n v="1"/>
    <n v="3.4524129102393442"/>
    <x v="104"/>
    <n v="0.88258708976065581"/>
    <n v="3.5495259894141817E-2"/>
    <n v="3.4999999999999254E-2"/>
  </r>
  <r>
    <x v="496"/>
    <n v="3.4840318134841599"/>
    <n v="4.2649999999999997"/>
    <n v="1"/>
    <n v="0.2"/>
    <n v="1"/>
    <n v="0.69680636269683205"/>
    <n v="0.2"/>
    <n v="0"/>
    <x v="0"/>
    <n v="0.88258708976065581"/>
    <n v="0"/>
    <n v="-7.0000000000000284E-2"/>
  </r>
  <r>
    <x v="497"/>
    <n v="3.4295560527023699"/>
    <n v="4.2649999999999997"/>
    <n v="2"/>
    <n v="0.2"/>
    <n v="2"/>
    <n v="1.382717573237306"/>
    <n v="0.4"/>
    <n v="0"/>
    <x v="0"/>
    <n v="0.88258708976065581"/>
    <n v="0"/>
    <n v="-7.0000000000000284E-2"/>
  </r>
  <r>
    <x v="498"/>
    <n v="3.39509627944707"/>
    <n v="4.2649999999999997"/>
    <n v="5"/>
    <n v="0.2"/>
    <n v="3"/>
    <n v="2.06173682912672"/>
    <n v="0.60000000000000009"/>
    <n v="0"/>
    <x v="0"/>
    <n v="0.88258708976065581"/>
    <n v="0"/>
    <n v="-7.0000000000000284E-2"/>
  </r>
  <r>
    <x v="499"/>
    <n v="3.3731827621311399"/>
    <n v="4.2649999999999997"/>
    <n v="6"/>
    <n v="0.2"/>
    <n v="4"/>
    <n v="2.7363733815529478"/>
    <n v="0.8"/>
    <n v="0"/>
    <x v="0"/>
    <n v="0.88258708976065581"/>
    <n v="0"/>
    <n v="-7.0000000000000284E-2"/>
  </r>
  <r>
    <x v="500"/>
    <n v="3.3750941774744798"/>
    <n v="4.2649999999999997"/>
    <n v="7"/>
    <n v="0.2"/>
    <n v="5"/>
    <n v="3.4113922170478439"/>
    <n v="1"/>
    <n v="3.4113922170478439"/>
    <x v="105"/>
    <n v="0.85360778295215578"/>
    <n v="-2.8979306808500027E-2"/>
    <n v="-7.0000000000000284E-2"/>
  </r>
  <r>
    <x v="501"/>
    <n v="3.3155243251593798"/>
    <n v="4.1949999999999994"/>
    <n v="1"/>
    <n v="0.2"/>
    <n v="1"/>
    <n v="0.66310486503187605"/>
    <n v="0.2"/>
    <n v="0"/>
    <x v="0"/>
    <n v="0.85360778295215578"/>
    <n v="0"/>
    <n v="-7.0000000000000284E-2"/>
  </r>
  <r>
    <x v="502"/>
    <n v="3.31617276522991"/>
    <n v="4.1949999999999994"/>
    <n v="2"/>
    <n v="0.2"/>
    <n v="2"/>
    <n v="1.326339418077858"/>
    <n v="0.4"/>
    <n v="0"/>
    <x v="0"/>
    <n v="0.85360778295215578"/>
    <n v="0"/>
    <n v="-7.0000000000000284E-2"/>
  </r>
  <r>
    <x v="503"/>
    <n v="3.3408272423510099"/>
    <n v="4.1949999999999994"/>
    <n v="5"/>
    <n v="0.2"/>
    <n v="3"/>
    <n v="1.99450486654806"/>
    <n v="0.60000000000000009"/>
    <n v="0"/>
    <x v="0"/>
    <n v="0.85360778295215578"/>
    <n v="0"/>
    <n v="-7.0000000000000284E-2"/>
  </r>
  <r>
    <x v="504"/>
    <n v="3.33793129587505"/>
    <n v="4.1949999999999994"/>
    <n v="6"/>
    <n v="0.2"/>
    <n v="4"/>
    <n v="2.6620911257230699"/>
    <n v="0.8"/>
    <n v="0"/>
    <x v="0"/>
    <n v="0.85360778295215578"/>
    <n v="0"/>
    <n v="-7.0000000000000284E-2"/>
  </r>
  <r>
    <x v="505"/>
    <n v="3.35080102179215"/>
    <n v="4.1949999999999994"/>
    <n v="7"/>
    <n v="0.2"/>
    <n v="5"/>
    <n v="3.3322513300815002"/>
    <n v="1"/>
    <n v="3.3322513300815002"/>
    <x v="106"/>
    <n v="0.86274866991849919"/>
    <n v="9.1408869663434089E-3"/>
    <n v="-7.0000000000000284E-2"/>
  </r>
  <r>
    <x v="506"/>
    <n v="3.40802093158428"/>
    <n v="4.2300000000000004"/>
    <n v="1"/>
    <n v="0.2"/>
    <n v="1"/>
    <n v="0.68160418631685604"/>
    <n v="0.2"/>
    <n v="0"/>
    <x v="0"/>
    <n v="0.86274866991849919"/>
    <n v="0"/>
    <n v="3.500000000000103E-2"/>
  </r>
  <r>
    <x v="507"/>
    <n v="3.4214944697037502"/>
    <n v="4.2300000000000004"/>
    <n v="5"/>
    <n v="0.2"/>
    <n v="2"/>
    <n v="1.3659030802576062"/>
    <n v="0.4"/>
    <n v="0"/>
    <x v="0"/>
    <n v="0.86274866991849919"/>
    <n v="0"/>
    <n v="3.500000000000103E-2"/>
  </r>
  <r>
    <x v="508"/>
    <n v="3.41581155049382"/>
    <n v="4.2300000000000004"/>
    <n v="6"/>
    <n v="0.2"/>
    <n v="3"/>
    <n v="2.04906539035637"/>
    <n v="0.60000000000000009"/>
    <n v="0"/>
    <x v="0"/>
    <n v="0.86274866991849919"/>
    <n v="0"/>
    <n v="3.500000000000103E-2"/>
  </r>
  <r>
    <x v="509"/>
    <n v="3.3712594555921802"/>
    <n v="4.2300000000000004"/>
    <n v="7"/>
    <n v="0.2"/>
    <n v="4"/>
    <n v="2.7233172814748059"/>
    <n v="0.8"/>
    <n v="3.4041466018435074"/>
    <x v="107"/>
    <n v="0.82585339815649306"/>
    <n v="-3.6895271762006132E-2"/>
    <n v="3.500000000000103E-2"/>
  </r>
  <r>
    <x v="510"/>
    <n v="3.3653149178353798"/>
    <n v="4.2149999999999999"/>
    <n v="1"/>
    <n v="0.2"/>
    <n v="1"/>
    <n v="0.67306298356707606"/>
    <n v="0.2"/>
    <n v="0"/>
    <x v="0"/>
    <n v="0.82585339815649306"/>
    <n v="0"/>
    <n v="-1.5000000000000568E-2"/>
  </r>
  <r>
    <x v="511"/>
    <n v="3.34407232938596"/>
    <n v="4.2149999999999999"/>
    <n v="2"/>
    <n v="0.2"/>
    <n v="2"/>
    <n v="1.3418774494442682"/>
    <n v="0.4"/>
    <n v="0"/>
    <x v="0"/>
    <n v="0.82585339815649306"/>
    <n v="0"/>
    <n v="-1.5000000000000568E-2"/>
  </r>
  <r>
    <x v="512"/>
    <n v="3.3514611406408399"/>
    <n v="4.2149999999999999"/>
    <n v="5"/>
    <n v="0.2"/>
    <n v="3"/>
    <n v="2.0121696775724365"/>
    <n v="0.60000000000000009"/>
    <n v="0"/>
    <x v="0"/>
    <n v="0.82585339815649306"/>
    <n v="0"/>
    <n v="-1.5000000000000568E-2"/>
  </r>
  <r>
    <x v="513"/>
    <n v="3.3733743387763999"/>
    <n v="4.2149999999999999"/>
    <n v="6"/>
    <n v="0.2"/>
    <n v="4"/>
    <n v="2.6868445453277165"/>
    <n v="0.8"/>
    <n v="0"/>
    <x v="0"/>
    <n v="0.82585339815649306"/>
    <n v="0"/>
    <n v="-1.5000000000000568E-2"/>
  </r>
  <r>
    <x v="514"/>
    <n v="3.3274269650204"/>
    <n v="4.2149999999999999"/>
    <n v="7"/>
    <n v="0.2"/>
    <n v="5"/>
    <n v="3.3523299383317964"/>
    <n v="1"/>
    <n v="3.3523299383317964"/>
    <x v="108"/>
    <n v="0.86267006166820348"/>
    <n v="3.6816663511710424E-2"/>
    <n v="-1.5000000000000568E-2"/>
  </r>
  <r>
    <x v="515"/>
    <n v="3.2875255326595201"/>
    <n v="4.1100000000000003"/>
    <n v="1"/>
    <n v="0.2"/>
    <n v="1"/>
    <n v="0.65750510653190408"/>
    <n v="0.2"/>
    <n v="0"/>
    <x v="0"/>
    <n v="0.86267006166820348"/>
    <n v="0"/>
    <n v="-0.10499999999999954"/>
  </r>
  <r>
    <x v="516"/>
    <n v="3.27582122809376"/>
    <n v="4.1100000000000003"/>
    <n v="2"/>
    <n v="0.2"/>
    <n v="2"/>
    <n v="1.3126693521506563"/>
    <n v="0.4"/>
    <n v="0"/>
    <x v="0"/>
    <n v="0.86267006166820348"/>
    <n v="0"/>
    <n v="-0.10499999999999954"/>
  </r>
  <r>
    <x v="517"/>
    <n v="3.28849941945206"/>
    <n v="4.1100000000000003"/>
    <n v="5"/>
    <n v="0.2"/>
    <n v="3"/>
    <n v="1.9703692360410683"/>
    <n v="0.60000000000000009"/>
    <n v="0"/>
    <x v="0"/>
    <n v="0.86267006166820348"/>
    <n v="0"/>
    <n v="-0.10499999999999954"/>
  </r>
  <r>
    <x v="518"/>
    <n v="3.2676928756403698"/>
    <n v="4.1100000000000003"/>
    <n v="6"/>
    <n v="0.2"/>
    <n v="4"/>
    <n v="2.6239078111691425"/>
    <n v="0.8"/>
    <n v="0"/>
    <x v="0"/>
    <n v="0.86267006166820348"/>
    <n v="0"/>
    <n v="-0.10499999999999954"/>
  </r>
  <r>
    <x v="519"/>
    <n v="3.2365593112173601"/>
    <n v="4.1100000000000003"/>
    <n v="7"/>
    <n v="0.2"/>
    <n v="5"/>
    <n v="3.2712196734126144"/>
    <n v="1"/>
    <n v="3.2712196734126144"/>
    <x v="109"/>
    <n v="0.83878032658738588"/>
    <n v="-2.3889735080817598E-2"/>
    <n v="-0.10499999999999954"/>
  </r>
  <r>
    <x v="520"/>
    <n v="3.2302009300383201"/>
    <n v="4.1000000000000005"/>
    <n v="1"/>
    <n v="0.2"/>
    <n v="1"/>
    <n v="0.64604018600766411"/>
    <n v="0.2"/>
    <n v="0"/>
    <x v="0"/>
    <n v="0.83878032658738588"/>
    <n v="0"/>
    <n v="-9.9999999999997868E-3"/>
  </r>
  <r>
    <x v="521"/>
    <n v="3.26793441628852"/>
    <n v="4.1000000000000005"/>
    <n v="2"/>
    <n v="0.2"/>
    <n v="2"/>
    <n v="1.2996270692653682"/>
    <n v="0.4"/>
    <n v="0"/>
    <x v="0"/>
    <n v="0.83878032658738588"/>
    <n v="0"/>
    <n v="-9.9999999999997868E-3"/>
  </r>
  <r>
    <x v="522"/>
    <n v="3.2957313796738501"/>
    <n v="4.1000000000000005"/>
    <n v="5"/>
    <n v="0.2"/>
    <n v="3"/>
    <n v="1.9587733452001381"/>
    <n v="0.60000000000000009"/>
    <n v="0"/>
    <x v="0"/>
    <n v="0.83878032658738588"/>
    <n v="0"/>
    <n v="-9.9999999999997868E-3"/>
  </r>
  <r>
    <x v="523"/>
    <n v="3.2728026621506001"/>
    <n v="4.1000000000000005"/>
    <n v="6"/>
    <n v="0.2"/>
    <n v="4"/>
    <n v="2.6133338776302582"/>
    <n v="0.8"/>
    <n v="0"/>
    <x v="0"/>
    <n v="0.83878032658738588"/>
    <n v="0"/>
    <n v="-9.9999999999997868E-3"/>
  </r>
  <r>
    <x v="524"/>
    <n v="3.1970892272743101"/>
    <n v="4.1000000000000005"/>
    <n v="7"/>
    <n v="0.2"/>
    <n v="5"/>
    <n v="3.2527517230851202"/>
    <n v="1"/>
    <n v="3.2527517230851202"/>
    <x v="110"/>
    <n v="0.84724827691488036"/>
    <n v="8.4679503274944778E-3"/>
    <n v="-9.9999999999997868E-3"/>
  </r>
  <r>
    <x v="525"/>
    <n v="3.1795097734540301"/>
    <n v="4.04"/>
    <n v="1"/>
    <n v="0.2"/>
    <n v="1"/>
    <n v="0.63590195469080601"/>
    <n v="0.2"/>
    <n v="0"/>
    <x v="0"/>
    <n v="0.84724827691488036"/>
    <n v="0"/>
    <n v="-6.0000000000000497E-2"/>
  </r>
  <r>
    <x v="526"/>
    <n v="3.2071722937792901"/>
    <n v="4.04"/>
    <n v="2"/>
    <n v="0.2"/>
    <n v="2"/>
    <n v="1.277336413446664"/>
    <n v="0.4"/>
    <n v="0"/>
    <x v="0"/>
    <n v="0.84724827691488036"/>
    <n v="0"/>
    <n v="-6.0000000000000497E-2"/>
  </r>
  <r>
    <x v="527"/>
    <n v="3.2249711814966302"/>
    <n v="4.04"/>
    <n v="5"/>
    <n v="0.2"/>
    <n v="3"/>
    <n v="1.92233064974599"/>
    <n v="0.60000000000000009"/>
    <n v="0"/>
    <x v="0"/>
    <n v="0.84724827691488036"/>
    <n v="0"/>
    <n v="-6.0000000000000497E-2"/>
  </r>
  <r>
    <x v="528"/>
    <n v="3.1906249352690699"/>
    <n v="4.04"/>
    <n v="6"/>
    <n v="0.2"/>
    <n v="4"/>
    <n v="2.5604556367998041"/>
    <n v="0.8"/>
    <n v="0"/>
    <x v="0"/>
    <n v="0.84724827691488036"/>
    <n v="0"/>
    <n v="-6.0000000000000497E-2"/>
  </r>
  <r>
    <x v="529"/>
    <n v="3.2003729321605299"/>
    <n v="4.04"/>
    <n v="7"/>
    <n v="0.2"/>
    <n v="5"/>
    <n v="3.2005302232319099"/>
    <n v="1"/>
    <n v="3.2005302232319099"/>
    <x v="111"/>
    <n v="0.83946977676809009"/>
    <n v="-7.7785001467902681E-3"/>
    <n v="-6.0000000000000497E-2"/>
  </r>
  <r>
    <x v="530"/>
    <n v="3.2144312113226099"/>
    <n v="4.0200000000000005"/>
    <n v="1"/>
    <n v="0.2"/>
    <n v="1"/>
    <n v="0.64288624226452207"/>
    <n v="0.2"/>
    <n v="0"/>
    <x v="0"/>
    <n v="0.83946977676809009"/>
    <n v="0"/>
    <n v="-1.9999999999999574E-2"/>
  </r>
  <r>
    <x v="531"/>
    <n v="3.2062850314999101"/>
    <n v="4.0200000000000005"/>
    <n v="2"/>
    <n v="0.2"/>
    <n v="2"/>
    <n v="1.2841432485645041"/>
    <n v="0.4"/>
    <n v="0"/>
    <x v="0"/>
    <n v="0.83946977676809009"/>
    <n v="0"/>
    <n v="-1.9999999999999574E-2"/>
  </r>
  <r>
    <x v="532"/>
    <n v="3.1863361498629699"/>
    <n v="4.0200000000000005"/>
    <n v="6"/>
    <n v="0.2"/>
    <n v="3"/>
    <n v="1.9214104785370982"/>
    <n v="0.60000000000000009"/>
    <n v="0"/>
    <x v="0"/>
    <n v="0.83946977676809009"/>
    <n v="0"/>
    <n v="-1.9999999999999574E-2"/>
  </r>
  <r>
    <x v="533"/>
    <n v="3.0965824543668101"/>
    <n v="4.0200000000000005"/>
    <n v="7"/>
    <n v="0.2"/>
    <n v="4"/>
    <n v="2.5407269694104602"/>
    <n v="0.8"/>
    <n v="3.1759087117630749"/>
    <x v="112"/>
    <n v="0.84409128823692559"/>
    <n v="4.621511468835493E-3"/>
    <n v="-1.9999999999999574E-2"/>
  </r>
  <r>
    <x v="534"/>
    <n v="3.12360003836893"/>
    <n v="4.0149999999999997"/>
    <n v="1"/>
    <n v="0.2"/>
    <n v="1"/>
    <n v="0.62472000767378599"/>
    <n v="0.2"/>
    <n v="0"/>
    <x v="0"/>
    <n v="0.84409128823692559"/>
    <n v="0"/>
    <n v="-5.0000000000007816E-3"/>
  </r>
  <r>
    <x v="535"/>
    <n v="3.1327170492887499"/>
    <n v="4.0149999999999997"/>
    <n v="2"/>
    <n v="0.2"/>
    <n v="2"/>
    <n v="1.251263417531536"/>
    <n v="0.4"/>
    <n v="0"/>
    <x v="0"/>
    <n v="0.84409128823692559"/>
    <n v="0"/>
    <n v="-5.0000000000007816E-3"/>
  </r>
  <r>
    <x v="536"/>
    <n v="3.2077358231055602"/>
    <n v="4.0149999999999997"/>
    <n v="5"/>
    <n v="0.2"/>
    <n v="3"/>
    <n v="1.8928105821526482"/>
    <n v="0.60000000000000009"/>
    <n v="0"/>
    <x v="0"/>
    <n v="0.84409128823692559"/>
    <n v="0"/>
    <n v="-5.0000000000007816E-3"/>
  </r>
  <r>
    <x v="537"/>
    <n v="3.2594551208520199"/>
    <n v="4.0149999999999997"/>
    <n v="6"/>
    <n v="0.2"/>
    <n v="4"/>
    <n v="2.5447016063230521"/>
    <n v="0.8"/>
    <n v="0"/>
    <x v="0"/>
    <n v="0.84409128823692559"/>
    <n v="0"/>
    <n v="-5.0000000000007816E-3"/>
  </r>
  <r>
    <x v="538"/>
    <n v="3.2635254657079802"/>
    <n v="4.0149999999999997"/>
    <n v="7"/>
    <n v="0.2"/>
    <n v="5"/>
    <n v="3.197406699464648"/>
    <n v="1"/>
    <n v="3.197406699464648"/>
    <x v="113"/>
    <n v="0.81759330053535173"/>
    <n v="-2.6497987701573855E-2"/>
    <n v="-5.0000000000007816E-3"/>
  </r>
  <r>
    <x v="539"/>
    <n v="3.2377628105001701"/>
    <n v="4.1000000000000005"/>
    <n v="1"/>
    <n v="0.2"/>
    <n v="1"/>
    <n v="0.64755256210003409"/>
    <n v="0.2"/>
    <n v="0"/>
    <x v="0"/>
    <n v="0.81759330053535173"/>
    <n v="0"/>
    <n v="8.5000000000000853E-2"/>
  </r>
  <r>
    <x v="540"/>
    <n v="3.24953377621733"/>
    <n v="4.1000000000000005"/>
    <n v="2"/>
    <n v="0.2"/>
    <n v="2"/>
    <n v="1.2974593173435003"/>
    <n v="0.4"/>
    <n v="0"/>
    <x v="0"/>
    <n v="0.81759330053535173"/>
    <n v="0"/>
    <n v="8.5000000000000853E-2"/>
  </r>
  <r>
    <x v="541"/>
    <n v="3.2647835350343399"/>
    <n v="4.1000000000000005"/>
    <n v="5"/>
    <n v="0.2"/>
    <n v="3"/>
    <n v="1.9504160243503683"/>
    <n v="0.60000000000000009"/>
    <n v="0"/>
    <x v="0"/>
    <n v="0.81759330053535173"/>
    <n v="0"/>
    <n v="8.5000000000000853E-2"/>
  </r>
  <r>
    <x v="542"/>
    <n v="3.2863723435874199"/>
    <n v="4.1000000000000005"/>
    <n v="6"/>
    <n v="0.2"/>
    <n v="4"/>
    <n v="2.6076904930678522"/>
    <n v="0.8"/>
    <n v="0"/>
    <x v="0"/>
    <n v="0.81759330053535173"/>
    <n v="0"/>
    <n v="8.5000000000000853E-2"/>
  </r>
  <r>
    <x v="543"/>
    <n v="3.2835967922496798"/>
    <n v="4.1000000000000005"/>
    <n v="7"/>
    <n v="0.2"/>
    <n v="5"/>
    <n v="3.2644098515177884"/>
    <n v="1"/>
    <n v="3.2644098515177884"/>
    <x v="114"/>
    <n v="0.83559014848221214"/>
    <n v="1.7996847946860406E-2"/>
    <n v="8.5000000000000853E-2"/>
  </r>
  <r>
    <x v="544"/>
    <n v="3.2368252535266899"/>
    <n v="4.07"/>
    <n v="1"/>
    <n v="0.2"/>
    <n v="1"/>
    <n v="0.64736505070533801"/>
    <n v="0.2"/>
    <n v="0"/>
    <x v="0"/>
    <n v="0.83559014848221214"/>
    <n v="0"/>
    <n v="-3.0000000000000249E-2"/>
  </r>
  <r>
    <x v="545"/>
    <n v="3.2532056158969298"/>
    <n v="4.07"/>
    <n v="2"/>
    <n v="0.2"/>
    <n v="2"/>
    <n v="1.2980061738847239"/>
    <n v="0.4"/>
    <n v="0"/>
    <x v="0"/>
    <n v="0.83559014848221214"/>
    <n v="0"/>
    <n v="-3.0000000000000249E-2"/>
  </r>
  <r>
    <x v="546"/>
    <n v="3.2401980086341502"/>
    <n v="4.07"/>
    <n v="5"/>
    <n v="0.2"/>
    <n v="3"/>
    <n v="1.9460457756115539"/>
    <n v="0.60000000000000009"/>
    <n v="0"/>
    <x v="0"/>
    <n v="0.83559014848221214"/>
    <n v="0"/>
    <n v="-3.0000000000000249E-2"/>
  </r>
  <r>
    <x v="547"/>
    <n v="3.2955237008358602"/>
    <n v="4.07"/>
    <n v="6"/>
    <n v="0.2"/>
    <n v="4"/>
    <n v="2.605150515778726"/>
    <n v="0.8"/>
    <n v="0"/>
    <x v="0"/>
    <n v="0.83559014848221214"/>
    <n v="0"/>
    <n v="-3.0000000000000249E-2"/>
  </r>
  <r>
    <x v="548"/>
    <n v="3.2554507349207298"/>
    <n v="4.07"/>
    <n v="7"/>
    <n v="0.2"/>
    <n v="5"/>
    <n v="3.2562406627628722"/>
    <n v="1"/>
    <n v="3.2562406627628722"/>
    <x v="115"/>
    <n v="0.81375933723712812"/>
    <n v="-2.1830811245084014E-2"/>
    <n v="-3.0000000000000249E-2"/>
  </r>
  <r>
    <x v="549"/>
    <n v="3.2406996477189098"/>
    <n v="4.0149999999999997"/>
    <n v="1"/>
    <n v="0.2"/>
    <n v="1"/>
    <n v="0.64813992954378197"/>
    <n v="0.2"/>
    <n v="0"/>
    <x v="0"/>
    <n v="0.81375933723712812"/>
    <n v="0"/>
    <n v="-5.5000000000000604E-2"/>
  </r>
  <r>
    <x v="550"/>
    <n v="3.2387092672418598"/>
    <n v="4.0149999999999997"/>
    <n v="2"/>
    <n v="0.2"/>
    <n v="2"/>
    <n v="1.2958817829921538"/>
    <n v="0.4"/>
    <n v="0"/>
    <x v="0"/>
    <n v="0.81375933723712812"/>
    <n v="0"/>
    <n v="-5.5000000000000604E-2"/>
  </r>
  <r>
    <x v="551"/>
    <n v="3.2420059350164898"/>
    <n v="4.0149999999999997"/>
    <n v="5"/>
    <n v="0.2"/>
    <n v="3"/>
    <n v="1.9442829699954518"/>
    <n v="0.60000000000000009"/>
    <n v="0"/>
    <x v="0"/>
    <n v="0.81375933723712812"/>
    <n v="0"/>
    <n v="-5.5000000000000604E-2"/>
  </r>
  <r>
    <x v="552"/>
    <n v="3.2180523990892298"/>
    <n v="4.0149999999999997"/>
    <n v="6"/>
    <n v="0.2"/>
    <n v="4"/>
    <n v="2.5878934498132979"/>
    <n v="0.8"/>
    <n v="0"/>
    <x v="0"/>
    <n v="0.81375933723712812"/>
    <n v="0"/>
    <n v="-5.5000000000000604E-2"/>
  </r>
  <r>
    <x v="553"/>
    <n v="3.1948973800231402"/>
    <n v="4.0149999999999997"/>
    <n v="7"/>
    <n v="0.2"/>
    <n v="5"/>
    <n v="3.2268729258179261"/>
    <n v="1"/>
    <n v="3.2268729258179261"/>
    <x v="116"/>
    <n v="0.78812707418207362"/>
    <n v="-2.5632263055054505E-2"/>
    <n v="-5.5000000000000604E-2"/>
  </r>
  <r>
    <x v="554"/>
    <n v="3.1705026484021301"/>
    <n v="3.9950000000000001"/>
    <n v="1"/>
    <n v="0.2"/>
    <n v="1"/>
    <n v="0.63410052968042607"/>
    <n v="0.2"/>
    <n v="0"/>
    <x v="0"/>
    <n v="0.78812707418207362"/>
    <n v="0"/>
    <n v="-1.9999999999999574E-2"/>
  </r>
  <r>
    <x v="555"/>
    <n v="3.1723768258530498"/>
    <n v="3.9950000000000001"/>
    <n v="2"/>
    <n v="0.2"/>
    <n v="2"/>
    <n v="1.2685758948510362"/>
    <n v="0.4"/>
    <n v="0"/>
    <x v="0"/>
    <n v="0.78812707418207362"/>
    <n v="0"/>
    <n v="-1.9999999999999574E-2"/>
  </r>
  <r>
    <x v="556"/>
    <n v="3.16005861973392"/>
    <n v="3.9950000000000001"/>
    <n v="5"/>
    <n v="0.2"/>
    <n v="3"/>
    <n v="1.9005876187978203"/>
    <n v="0.60000000000000009"/>
    <n v="0"/>
    <x v="0"/>
    <n v="0.78812707418207362"/>
    <n v="0"/>
    <n v="-1.9999999999999574E-2"/>
  </r>
  <r>
    <x v="557"/>
    <n v="3.2107808202984001"/>
    <n v="3.9950000000000001"/>
    <n v="6"/>
    <n v="0.2"/>
    <n v="4"/>
    <n v="2.5427437828575004"/>
    <n v="0.8"/>
    <n v="0"/>
    <x v="0"/>
    <n v="0.78812707418207362"/>
    <n v="0"/>
    <n v="-1.9999999999999574E-2"/>
  </r>
  <r>
    <x v="558"/>
    <n v="3.25804857470149"/>
    <n v="3.9950000000000001"/>
    <n v="7"/>
    <n v="0.2"/>
    <n v="5"/>
    <n v="3.1943534977977985"/>
    <n v="1"/>
    <n v="3.1943534977977985"/>
    <x v="117"/>
    <n v="0.80064650220220157"/>
    <n v="1.2519428020127954E-2"/>
    <n v="-1.9999999999999574E-2"/>
  </r>
  <r>
    <x v="559"/>
    <n v="3.2816971853818702"/>
    <n v="4.0750000000000002"/>
    <n v="1"/>
    <n v="0.2"/>
    <n v="1"/>
    <n v="0.6563394370763741"/>
    <n v="0.2"/>
    <n v="0"/>
    <x v="0"/>
    <n v="0.80064650220220157"/>
    <n v="0"/>
    <n v="8.0000000000000071E-2"/>
  </r>
  <r>
    <x v="560"/>
    <n v="3.2664759262762"/>
    <n v="4.0750000000000002"/>
    <n v="5"/>
    <n v="0.2"/>
    <n v="2"/>
    <n v="1.3096346223316142"/>
    <n v="0.4"/>
    <n v="0"/>
    <x v="0"/>
    <n v="0.80064650220220157"/>
    <n v="0"/>
    <n v="8.0000000000000071E-2"/>
  </r>
  <r>
    <x v="561"/>
    <n v="3.2329417252497299"/>
    <n v="4.0750000000000002"/>
    <n v="6"/>
    <n v="0.2"/>
    <n v="3"/>
    <n v="1.9562229673815601"/>
    <n v="0.60000000000000009"/>
    <n v="0"/>
    <x v="0"/>
    <n v="0.80064650220220157"/>
    <n v="0"/>
    <n v="8.0000000000000071E-2"/>
  </r>
  <r>
    <x v="562"/>
    <n v="3.2185084565507598"/>
    <n v="4.0750000000000002"/>
    <n v="7"/>
    <n v="0.2"/>
    <n v="4"/>
    <n v="2.599924658691712"/>
    <n v="0.8"/>
    <n v="3.2499058233646396"/>
    <x v="118"/>
    <n v="0.82509417663536055"/>
    <n v="2.4447674433158983E-2"/>
    <n v="8.0000000000000071E-2"/>
  </r>
  <r>
    <x v="563"/>
    <n v="3.20098644724558"/>
    <n v="4.03"/>
    <n v="1"/>
    <n v="0.2"/>
    <n v="1"/>
    <n v="0.64019728944911602"/>
    <n v="0.2"/>
    <n v="0"/>
    <x v="0"/>
    <n v="0.82509417663536055"/>
    <n v="0"/>
    <n v="-4.4999999999999929E-2"/>
  </r>
  <r>
    <x v="564"/>
    <n v="3.1874045932907902"/>
    <n v="4.03"/>
    <n v="2"/>
    <n v="0.2"/>
    <n v="2"/>
    <n v="1.2776782081072739"/>
    <n v="0.4"/>
    <n v="0"/>
    <x v="0"/>
    <n v="0.82509417663536055"/>
    <n v="0"/>
    <n v="-4.4999999999999929E-2"/>
  </r>
  <r>
    <x v="565"/>
    <n v="3.22381281335216"/>
    <n v="4.03"/>
    <n v="5"/>
    <n v="0.2"/>
    <n v="3"/>
    <n v="1.922440770777706"/>
    <n v="0.60000000000000009"/>
    <n v="0"/>
    <x v="0"/>
    <n v="0.82509417663536055"/>
    <n v="0"/>
    <n v="-4.4999999999999929E-2"/>
  </r>
  <r>
    <x v="566"/>
    <n v="3.2327612765480098"/>
    <n v="4.03"/>
    <n v="6"/>
    <n v="0.2"/>
    <n v="4"/>
    <n v="2.5689930260873082"/>
    <n v="0.8"/>
    <n v="0"/>
    <x v="0"/>
    <n v="0.82509417663536055"/>
    <n v="0"/>
    <n v="-4.4999999999999929E-2"/>
  </r>
  <r>
    <x v="567"/>
    <n v="3.23587971649664"/>
    <n v="4.03"/>
    <n v="7"/>
    <n v="0.2"/>
    <n v="5"/>
    <n v="3.2161689693866364"/>
    <n v="1"/>
    <n v="3.2161689693866364"/>
    <x v="119"/>
    <n v="0.81383103061336382"/>
    <n v="-1.1263146021996739E-2"/>
    <n v="-4.4999999999999929E-2"/>
  </r>
  <r>
    <x v="568"/>
    <n v="3.1839990162061"/>
    <n v="4.03"/>
    <n v="1"/>
    <n v="0.2"/>
    <n v="1"/>
    <n v="0.6367998032412201"/>
    <n v="0.2"/>
    <n v="0"/>
    <x v="0"/>
    <n v="0.81383103061336382"/>
    <n v="0"/>
    <n v="0"/>
  </r>
  <r>
    <x v="569"/>
    <n v="3.1834552504580702"/>
    <n v="4.03"/>
    <n v="2"/>
    <n v="0.2"/>
    <n v="2"/>
    <n v="1.2734908533328342"/>
    <n v="0.4"/>
    <n v="0"/>
    <x v="0"/>
    <n v="0.81383103061336382"/>
    <n v="0"/>
    <n v="0"/>
  </r>
  <r>
    <x v="570"/>
    <n v="3.1797287048205698"/>
    <n v="4.03"/>
    <n v="5"/>
    <n v="0.2"/>
    <n v="3"/>
    <n v="1.9094365942969482"/>
    <n v="0.60000000000000009"/>
    <n v="0"/>
    <x v="0"/>
    <n v="0.81383103061336382"/>
    <n v="0"/>
    <n v="0"/>
  </r>
  <r>
    <x v="571"/>
    <n v="3.1713427686584299"/>
    <n v="4.03"/>
    <n v="6"/>
    <n v="0.2"/>
    <n v="4"/>
    <n v="2.5437051480286343"/>
    <n v="0.8"/>
    <n v="0"/>
    <x v="0"/>
    <n v="0.81383103061336382"/>
    <n v="0"/>
    <n v="0"/>
  </r>
  <r>
    <x v="572"/>
    <n v="3.18443166753908"/>
    <n v="4.03"/>
    <n v="7"/>
    <n v="0.2"/>
    <n v="5"/>
    <n v="3.1805914815364504"/>
    <n v="1"/>
    <n v="3.1805914815364504"/>
    <x v="120"/>
    <n v="0.84940851846354981"/>
    <n v="3.5577487850185996E-2"/>
    <n v="0"/>
  </r>
  <r>
    <x v="573"/>
    <n v="3.2359256063250199"/>
    <n v="4.0200000000000005"/>
    <n v="1"/>
    <n v="0.2"/>
    <n v="1"/>
    <n v="0.64718512126500405"/>
    <n v="0.2"/>
    <n v="0"/>
    <x v="0"/>
    <n v="0.84940851846354981"/>
    <n v="0"/>
    <n v="-9.9999999999997868E-3"/>
  </r>
  <r>
    <x v="574"/>
    <n v="3.1915306555493599"/>
    <n v="4.0200000000000005"/>
    <n v="2"/>
    <n v="0.2"/>
    <n v="2"/>
    <n v="1.285491252374876"/>
    <n v="0.4"/>
    <n v="0"/>
    <x v="0"/>
    <n v="0.84940851846354981"/>
    <n v="0"/>
    <n v="-9.9999999999997868E-3"/>
  </r>
  <r>
    <x v="575"/>
    <n v="3.2049602013827001"/>
    <n v="4.0200000000000005"/>
    <n v="5"/>
    <n v="0.2"/>
    <n v="3"/>
    <n v="1.9264832926514162"/>
    <n v="0.60000000000000009"/>
    <n v="0"/>
    <x v="0"/>
    <n v="0.84940851846354981"/>
    <n v="0"/>
    <n v="-9.9999999999997868E-3"/>
  </r>
  <r>
    <x v="576"/>
    <n v="3.1823757597493798"/>
    <n v="4.0200000000000005"/>
    <n v="6"/>
    <n v="0.2"/>
    <n v="4"/>
    <n v="2.5629584446012923"/>
    <n v="0.8"/>
    <n v="0"/>
    <x v="0"/>
    <n v="0.84940851846354981"/>
    <n v="0"/>
    <n v="-9.9999999999997868E-3"/>
  </r>
  <r>
    <x v="577"/>
    <n v="3.2657922043638301"/>
    <n v="4.0200000000000005"/>
    <n v="7"/>
    <n v="0.2"/>
    <n v="5"/>
    <n v="3.2161168854740585"/>
    <n v="1"/>
    <n v="3.2161168854740585"/>
    <x v="121"/>
    <n v="0.80388311452594197"/>
    <n v="-4.5525403937607845E-2"/>
    <n v="-9.9999999999997868E-3"/>
  </r>
  <r>
    <x v="578"/>
    <n v="3.2761065930147799"/>
    <n v="4.0649999999999995"/>
    <n v="1"/>
    <n v="0.2"/>
    <n v="1"/>
    <n v="0.65522131860295607"/>
    <n v="0.2"/>
    <n v="0"/>
    <x v="0"/>
    <n v="0.80388311452594197"/>
    <n v="0"/>
    <n v="4.4999999999999041E-2"/>
  </r>
  <r>
    <x v="579"/>
    <n v="3.2284236378811801"/>
    <n v="4.0649999999999995"/>
    <n v="2"/>
    <n v="0.2"/>
    <n v="2"/>
    <n v="1.3009060461791921"/>
    <n v="0.4"/>
    <n v="0"/>
    <x v="0"/>
    <n v="0.80388311452594197"/>
    <n v="0"/>
    <n v="4.4999999999999041E-2"/>
  </r>
  <r>
    <x v="580"/>
    <n v="3.2178217897536898"/>
    <n v="4.0649999999999995"/>
    <n v="5"/>
    <n v="0.2"/>
    <n v="3"/>
    <n v="1.9444704041299301"/>
    <n v="0.60000000000000009"/>
    <n v="0"/>
    <x v="0"/>
    <n v="0.80388311452594197"/>
    <n v="0"/>
    <n v="4.4999999999999041E-2"/>
  </r>
  <r>
    <x v="581"/>
    <n v="3.21632428795722"/>
    <n v="4.0649999999999995"/>
    <n v="6"/>
    <n v="0.2"/>
    <n v="4"/>
    <n v="2.5877352617213742"/>
    <n v="0.8"/>
    <n v="0"/>
    <x v="0"/>
    <n v="0.80388311452594197"/>
    <n v="0"/>
    <n v="4.4999999999999041E-2"/>
  </r>
  <r>
    <x v="582"/>
    <n v="3.2168042301856699"/>
    <n v="4.0649999999999995"/>
    <n v="7"/>
    <n v="0.2"/>
    <n v="5"/>
    <n v="3.2310961077585083"/>
    <n v="1"/>
    <n v="3.2310961077585083"/>
    <x v="122"/>
    <n v="0.8339038922414912"/>
    <n v="3.0020777715549229E-2"/>
    <n v="4.4999999999999041E-2"/>
  </r>
  <r>
    <x v="583"/>
    <n v="3.1812952620623198"/>
    <n v="4.0200000000000005"/>
    <n v="1"/>
    <n v="0.2"/>
    <n v="1"/>
    <n v="0.63625905241246405"/>
    <n v="0.2"/>
    <n v="0"/>
    <x v="0"/>
    <n v="0.8339038922414912"/>
    <n v="0"/>
    <n v="-4.4999999999999041E-2"/>
  </r>
  <r>
    <x v="584"/>
    <n v="3.1721768972748698"/>
    <n v="4.0200000000000005"/>
    <n v="2"/>
    <n v="0.2"/>
    <n v="2"/>
    <n v="1.270694431867438"/>
    <n v="0.4"/>
    <n v="0"/>
    <x v="0"/>
    <n v="0.8339038922414912"/>
    <n v="0"/>
    <n v="-4.4999999999999041E-2"/>
  </r>
  <r>
    <x v="585"/>
    <n v="3.1826449451887"/>
    <n v="4.0200000000000005"/>
    <n v="5"/>
    <n v="0.2"/>
    <n v="3"/>
    <n v="1.9072234209051779"/>
    <n v="0.60000000000000009"/>
    <n v="0"/>
    <x v="0"/>
    <n v="0.8339038922414912"/>
    <n v="0"/>
    <n v="-4.4999999999999041E-2"/>
  </r>
  <r>
    <x v="586"/>
    <n v="3.1921232293895798"/>
    <n v="4.0200000000000005"/>
    <n v="6"/>
    <n v="0.2"/>
    <n v="4"/>
    <n v="2.5456480667830941"/>
    <n v="0.8"/>
    <n v="0"/>
    <x v="0"/>
    <n v="0.8339038922414912"/>
    <n v="0"/>
    <n v="-4.4999999999999041E-2"/>
  </r>
  <r>
    <x v="587"/>
    <n v="3.1611594965890202"/>
    <n v="4.0200000000000005"/>
    <n v="7"/>
    <n v="0.2"/>
    <n v="5"/>
    <n v="3.1778799661008983"/>
    <n v="1"/>
    <n v="3.1778799661008983"/>
    <x v="123"/>
    <n v="0.84212003389910217"/>
    <n v="8.2161416576109758E-3"/>
    <n v="-4.4999999999999041E-2"/>
  </r>
  <r>
    <x v="588"/>
    <n v="3.1399551635126901"/>
    <n v="3.9749999999999996"/>
    <n v="1"/>
    <n v="0.2"/>
    <n v="1"/>
    <n v="0.62799103270253809"/>
    <n v="0.2"/>
    <n v="0"/>
    <x v="0"/>
    <n v="0.84212003389910217"/>
    <n v="0"/>
    <n v="-4.5000000000000817E-2"/>
  </r>
  <r>
    <x v="589"/>
    <n v="3.0935764216510502"/>
    <n v="3.9749999999999996"/>
    <n v="2"/>
    <n v="0.2"/>
    <n v="2"/>
    <n v="1.2467063170327481"/>
    <n v="0.4"/>
    <n v="0"/>
    <x v="0"/>
    <n v="0.84212003389910217"/>
    <n v="0"/>
    <n v="-4.5000000000000817E-2"/>
  </r>
  <r>
    <x v="590"/>
    <n v="3.1399786597886301"/>
    <n v="3.9749999999999996"/>
    <n v="5"/>
    <n v="0.2"/>
    <n v="3"/>
    <n v="1.8747020489904742"/>
    <n v="0.60000000000000009"/>
    <n v="0"/>
    <x v="0"/>
    <n v="0.84212003389910217"/>
    <n v="0"/>
    <n v="-4.5000000000000817E-2"/>
  </r>
  <r>
    <x v="591"/>
    <n v="3.1648384217316798"/>
    <n v="3.9749999999999996"/>
    <n v="6"/>
    <n v="0.2"/>
    <n v="4"/>
    <n v="2.5076697333368103"/>
    <n v="0.8"/>
    <n v="0"/>
    <x v="0"/>
    <n v="0.84212003389910217"/>
    <n v="0"/>
    <n v="-4.5000000000000817E-2"/>
  </r>
  <r>
    <x v="592"/>
    <n v="3.1828839679523702"/>
    <n v="3.9749999999999996"/>
    <n v="7"/>
    <n v="0.2"/>
    <n v="5"/>
    <n v="3.1442465269272843"/>
    <n v="1"/>
    <n v="3.1442465269272843"/>
    <x v="124"/>
    <n v="0.8307534730727153"/>
    <n v="-1.1366560826386873E-2"/>
    <n v="-4.5000000000000817E-2"/>
  </r>
  <r>
    <x v="593"/>
    <n v="3.1567795766011701"/>
    <n v="3.9749999999999996"/>
    <n v="1"/>
    <n v="0.2"/>
    <n v="1"/>
    <n v="0.63135591532023405"/>
    <n v="0.2"/>
    <n v="0"/>
    <x v="0"/>
    <n v="0.8307534730727153"/>
    <n v="0"/>
    <n v="0"/>
  </r>
  <r>
    <x v="594"/>
    <n v="3.1508216358267802"/>
    <n v="3.9749999999999996"/>
    <n v="2"/>
    <n v="0.2"/>
    <n v="2"/>
    <n v="1.2615202424855902"/>
    <n v="0.4"/>
    <n v="0"/>
    <x v="0"/>
    <n v="0.8307534730727153"/>
    <n v="0"/>
    <n v="0"/>
  </r>
  <r>
    <x v="595"/>
    <n v="3.1385592562937199"/>
    <n v="3.9749999999999996"/>
    <n v="5"/>
    <n v="0.2"/>
    <n v="3"/>
    <n v="1.8892320937443343"/>
    <n v="0.60000000000000009"/>
    <n v="0"/>
    <x v="0"/>
    <n v="0.8307534730727153"/>
    <n v="0"/>
    <n v="0"/>
  </r>
  <r>
    <x v="596"/>
    <n v="3.12943696082093"/>
    <n v="3.9749999999999996"/>
    <n v="6"/>
    <n v="0.2"/>
    <n v="4"/>
    <n v="2.5151194859085204"/>
    <n v="0.8"/>
    <n v="0"/>
    <x v="0"/>
    <n v="0.8307534730727153"/>
    <n v="0"/>
    <n v="0"/>
  </r>
  <r>
    <x v="597"/>
    <n v="3.09887022841253"/>
    <n v="3.9749999999999996"/>
    <n v="7"/>
    <n v="0.2"/>
    <n v="5"/>
    <n v="3.1348935315910262"/>
    <n v="1"/>
    <n v="3.1348935315910262"/>
    <x v="125"/>
    <n v="0.84010646840897341"/>
    <n v="9.3529953362581075E-3"/>
    <n v="0"/>
  </r>
  <r>
    <x v="598"/>
    <n v="3.0781225342059799"/>
    <n v="3.9749999999999996"/>
    <n v="1"/>
    <n v="0.2"/>
    <n v="1"/>
    <n v="0.61562450684119607"/>
    <n v="0.2"/>
    <n v="0"/>
    <x v="0"/>
    <n v="0.84010646840897341"/>
    <n v="0"/>
    <n v="0"/>
  </r>
  <r>
    <x v="599"/>
    <n v="3.0803371977218901"/>
    <n v="3.9749999999999996"/>
    <n v="2"/>
    <n v="0.2"/>
    <n v="2"/>
    <n v="1.231691946385574"/>
    <n v="0.4"/>
    <n v="0"/>
    <x v="0"/>
    <n v="0.84010646840897341"/>
    <n v="0"/>
    <n v="0"/>
  </r>
  <r>
    <x v="600"/>
    <n v="3.1334692922129599"/>
    <n v="3.9749999999999996"/>
    <n v="6"/>
    <n v="0.2"/>
    <n v="3"/>
    <n v="1.8583858048281661"/>
    <n v="0.60000000000000009"/>
    <n v="0"/>
    <x v="0"/>
    <n v="0.84010646840897341"/>
    <n v="0"/>
    <n v="0"/>
  </r>
  <r>
    <x v="601"/>
    <n v="3.1253552915520499"/>
    <n v="3.9749999999999996"/>
    <n v="7"/>
    <n v="0.2"/>
    <n v="4"/>
    <n v="2.4834568631385761"/>
    <n v="0.8"/>
    <n v="3.1043210789232201"/>
    <x v="126"/>
    <n v="0.87067892107677958"/>
    <n v="3.0572452667806171E-2"/>
    <n v="0"/>
  </r>
  <r>
    <x v="602"/>
    <n v="3.1528316914569898"/>
    <n v="3.9950000000000001"/>
    <n v="1"/>
    <n v="0.2"/>
    <n v="1"/>
    <n v="0.63056633829139797"/>
    <n v="0.2"/>
    <n v="0"/>
    <x v="0"/>
    <n v="0.87067892107677958"/>
    <n v="0"/>
    <n v="2.0000000000000462E-2"/>
  </r>
  <r>
    <x v="603"/>
    <n v="3.1681849384338299"/>
    <n v="3.9950000000000001"/>
    <n v="2"/>
    <n v="0.2"/>
    <n v="2"/>
    <n v="1.264203325978164"/>
    <n v="0.4"/>
    <n v="0"/>
    <x v="0"/>
    <n v="0.87067892107677958"/>
    <n v="0"/>
    <n v="2.0000000000000462E-2"/>
  </r>
  <r>
    <x v="604"/>
    <n v="3.1760802516618698"/>
    <n v="3.9950000000000001"/>
    <n v="5"/>
    <n v="0.2"/>
    <n v="3"/>
    <n v="1.899419376310538"/>
    <n v="0.60000000000000009"/>
    <n v="0"/>
    <x v="0"/>
    <n v="0.87067892107677958"/>
    <n v="0"/>
    <n v="2.0000000000000462E-2"/>
  </r>
  <r>
    <x v="605"/>
    <n v="3.20426354311416"/>
    <n v="3.9950000000000001"/>
    <n v="6"/>
    <n v="0.2"/>
    <n v="4"/>
    <n v="2.54027208493337"/>
    <n v="0.8"/>
    <n v="0"/>
    <x v="0"/>
    <n v="0.87067892107677958"/>
    <n v="0"/>
    <n v="2.0000000000000462E-2"/>
  </r>
  <r>
    <x v="606"/>
    <n v="3.23966504008277"/>
    <n v="3.9950000000000001"/>
    <n v="7"/>
    <n v="0.2"/>
    <n v="5"/>
    <n v="3.1882050929499242"/>
    <n v="1"/>
    <n v="3.1882050929499242"/>
    <x v="127"/>
    <n v="0.80679490705007595"/>
    <n v="-6.3884014026703628E-2"/>
    <n v="2.0000000000000462E-2"/>
  </r>
  <r>
    <x v="607"/>
    <n v="3.2385398598967701"/>
    <n v="4.1050000000000004"/>
    <n v="1"/>
    <n v="0.2"/>
    <n v="1"/>
    <n v="0.64770797197935404"/>
    <n v="0.2"/>
    <n v="0"/>
    <x v="0"/>
    <n v="0.80679490705007595"/>
    <n v="0"/>
    <n v="0.11000000000000032"/>
  </r>
  <r>
    <x v="608"/>
    <n v="3.3013053863626398"/>
    <n v="4.1050000000000004"/>
    <n v="2"/>
    <n v="0.2"/>
    <n v="2"/>
    <n v="1.3079690492518821"/>
    <n v="0.4"/>
    <n v="0"/>
    <x v="0"/>
    <n v="0.80679490705007595"/>
    <n v="0"/>
    <n v="0.11000000000000032"/>
  </r>
  <r>
    <x v="609"/>
    <n v="3.2813411057709199"/>
    <n v="4.1050000000000004"/>
    <n v="5"/>
    <n v="0.2"/>
    <n v="3"/>
    <n v="1.9642372704060662"/>
    <n v="0.60000000000000009"/>
    <n v="0"/>
    <x v="0"/>
    <n v="0.80679490705007595"/>
    <n v="0"/>
    <n v="0.11000000000000032"/>
  </r>
  <r>
    <x v="610"/>
    <n v="3.28408302284724"/>
    <n v="4.1050000000000004"/>
    <n v="6"/>
    <n v="0.2"/>
    <n v="4"/>
    <n v="2.6210538749755141"/>
    <n v="0.8"/>
    <n v="0"/>
    <x v="0"/>
    <n v="0.80679490705007595"/>
    <n v="0"/>
    <n v="0.11000000000000032"/>
  </r>
  <r>
    <x v="611"/>
    <n v="3.2889456294412902"/>
    <n v="4.1050000000000004"/>
    <n v="7"/>
    <n v="0.2"/>
    <n v="5"/>
    <n v="3.2788430008637723"/>
    <n v="1"/>
    <n v="3.2788430008637723"/>
    <x v="128"/>
    <n v="0.82615699913622809"/>
    <n v="1.9362092086152138E-2"/>
    <n v="0.11000000000000032"/>
  </r>
  <r>
    <x v="612"/>
    <n v="3.3001731665241301"/>
    <n v="4.0750000000000002"/>
    <n v="1"/>
    <n v="0.2"/>
    <n v="1"/>
    <n v="0.66003463330482603"/>
    <n v="0.2"/>
    <n v="0"/>
    <x v="0"/>
    <n v="0.82615699913622809"/>
    <n v="0"/>
    <n v="-3.0000000000000249E-2"/>
  </r>
  <r>
    <x v="613"/>
    <n v="3.2564979130093699"/>
    <n v="4.0750000000000002"/>
    <n v="2"/>
    <n v="0.2"/>
    <n v="2"/>
    <n v="1.3113342159067001"/>
    <n v="0.4"/>
    <n v="0"/>
    <x v="0"/>
    <n v="0.82615699913622809"/>
    <n v="0"/>
    <n v="-3.0000000000000249E-2"/>
  </r>
  <r>
    <x v="614"/>
    <n v="3.2397623305872298"/>
    <n v="4.0750000000000002"/>
    <n v="5"/>
    <n v="0.2"/>
    <n v="3"/>
    <n v="1.9592866820241461"/>
    <n v="0.60000000000000009"/>
    <n v="0"/>
    <x v="0"/>
    <n v="0.82615699913622809"/>
    <n v="0"/>
    <n v="-3.0000000000000249E-2"/>
  </r>
  <r>
    <x v="615"/>
    <n v="3.2147148443632201"/>
    <n v="4.0750000000000002"/>
    <n v="6"/>
    <n v="0.2"/>
    <n v="4"/>
    <n v="2.6022296508967901"/>
    <n v="0.8"/>
    <n v="0"/>
    <x v="0"/>
    <n v="0.82615699913622809"/>
    <n v="0"/>
    <n v="-3.0000000000000249E-2"/>
  </r>
  <r>
    <x v="616"/>
    <n v="3.24020380359058"/>
    <n v="4.0750000000000002"/>
    <n v="7"/>
    <n v="0.2"/>
    <n v="5"/>
    <n v="3.2502704116149062"/>
    <n v="1"/>
    <n v="3.2502704116149062"/>
    <x v="129"/>
    <n v="0.82472958838509403"/>
    <n v="-1.4274107511340617E-3"/>
    <n v="-3.0000000000000249E-2"/>
  </r>
  <r>
    <x v="617"/>
    <n v="3.19667473354923"/>
    <n v="4.04"/>
    <n v="1"/>
    <n v="0.2"/>
    <n v="1"/>
    <n v="0.63933494670984603"/>
    <n v="0.2"/>
    <n v="0"/>
    <x v="0"/>
    <n v="0.82472958838509403"/>
    <n v="0"/>
    <n v="-3.5000000000000142E-2"/>
  </r>
  <r>
    <x v="618"/>
    <n v="3.21516848659176"/>
    <n v="4.04"/>
    <n v="2"/>
    <n v="0.2"/>
    <n v="2"/>
    <n v="1.2823686440281981"/>
    <n v="0.4"/>
    <n v="0"/>
    <x v="0"/>
    <n v="0.82472958838509403"/>
    <n v="0"/>
    <n v="-3.5000000000000142E-2"/>
  </r>
  <r>
    <x v="619"/>
    <n v="3.1926835363021802"/>
    <n v="4.04"/>
    <n v="5"/>
    <n v="0.2"/>
    <n v="3"/>
    <n v="1.920905351288634"/>
    <n v="0.60000000000000009"/>
    <n v="0"/>
    <x v="0"/>
    <n v="0.82472958838509403"/>
    <n v="0"/>
    <n v="-3.5000000000000142E-2"/>
  </r>
  <r>
    <x v="620"/>
    <n v="3.2078957125058598"/>
    <n v="4.04"/>
    <n v="6"/>
    <n v="0.2"/>
    <n v="4"/>
    <n v="2.5624844937898059"/>
    <n v="0.8"/>
    <n v="0"/>
    <x v="0"/>
    <n v="0.82472958838509403"/>
    <n v="0"/>
    <n v="-3.5000000000000142E-2"/>
  </r>
  <r>
    <x v="621"/>
    <n v="3.1187867017573798"/>
    <n v="4.04"/>
    <n v="7"/>
    <n v="0.2"/>
    <n v="5"/>
    <n v="3.1862418341412821"/>
    <n v="1"/>
    <n v="3.1862418341412821"/>
    <x v="130"/>
    <n v="0.85375816585871789"/>
    <n v="2.9028577473623862E-2"/>
    <n v="-3.5000000000000142E-2"/>
  </r>
  <r>
    <x v="622"/>
    <n v="3.13610168579967"/>
    <n v="3.9950000000000001"/>
    <n v="1"/>
    <n v="0.2"/>
    <n v="1"/>
    <n v="0.62722033715993408"/>
    <n v="0.2"/>
    <n v="0"/>
    <x v="0"/>
    <n v="0.85375816585871789"/>
    <n v="0"/>
    <n v="-4.4999999999999929E-2"/>
  </r>
  <r>
    <x v="623"/>
    <n v="3.14080245533752"/>
    <n v="3.9950000000000001"/>
    <n v="2"/>
    <n v="0.2"/>
    <n v="2"/>
    <n v="1.2553808282274381"/>
    <n v="0.4"/>
    <n v="0"/>
    <x v="0"/>
    <n v="0.85375816585871789"/>
    <n v="0"/>
    <n v="-4.4999999999999929E-2"/>
  </r>
  <r>
    <x v="624"/>
    <n v="3.12297819640008"/>
    <n v="3.9950000000000001"/>
    <n v="5"/>
    <n v="0.2"/>
    <n v="3"/>
    <n v="1.8799764675074542"/>
    <n v="0.60000000000000009"/>
    <n v="0"/>
    <x v="0"/>
    <n v="0.85375816585871789"/>
    <n v="0"/>
    <n v="-4.4999999999999929E-2"/>
  </r>
  <r>
    <x v="625"/>
    <n v="3.05716566753143"/>
    <n v="3.9950000000000001"/>
    <n v="6"/>
    <n v="0.2"/>
    <n v="4"/>
    <n v="2.4914096010137401"/>
    <n v="0.8"/>
    <n v="0"/>
    <x v="0"/>
    <n v="0.85375816585871789"/>
    <n v="0"/>
    <n v="-4.4999999999999929E-2"/>
  </r>
  <r>
    <x v="626"/>
    <n v="3.00695688776984"/>
    <n v="3.9950000000000001"/>
    <n v="7"/>
    <n v="0.2"/>
    <n v="5"/>
    <n v="3.0928009785677082"/>
    <n v="1"/>
    <n v="3.0928009785677082"/>
    <x v="131"/>
    <n v="0.90219902143229191"/>
    <n v="4.8440855573574026E-2"/>
    <n v="-4.4999999999999929E-2"/>
  </r>
  <r>
    <x v="627"/>
    <n v="3.0093512074845101"/>
    <n v="3.8450000000000002"/>
    <n v="1"/>
    <n v="0.2"/>
    <n v="1"/>
    <n v="0.60187024149690205"/>
    <n v="0.2"/>
    <n v="0"/>
    <x v="0"/>
    <n v="0.90219902143229191"/>
    <n v="0"/>
    <n v="-0.14999999999999991"/>
  </r>
  <r>
    <x v="628"/>
    <n v="3.0064713691768699"/>
    <n v="3.8450000000000002"/>
    <n v="2"/>
    <n v="0.2"/>
    <n v="2"/>
    <n v="1.2031645153322761"/>
    <n v="0.4"/>
    <n v="0"/>
    <x v="0"/>
    <n v="0.90219902143229191"/>
    <n v="0"/>
    <n v="-0.14999999999999991"/>
  </r>
  <r>
    <x v="629"/>
    <n v="2.9156735260487601"/>
    <n v="3.8450000000000002"/>
    <n v="6"/>
    <n v="0.2"/>
    <n v="3"/>
    <n v="1.7862992205420283"/>
    <n v="0.60000000000000009"/>
    <n v="0"/>
    <x v="0"/>
    <n v="0.90219902143229191"/>
    <n v="0"/>
    <n v="-0.14999999999999991"/>
  </r>
  <r>
    <x v="630"/>
    <n v="2.8012763487796"/>
    <n v="3.8450000000000002"/>
    <n v="7"/>
    <n v="0.2"/>
    <n v="4"/>
    <n v="2.3465544902979483"/>
    <n v="0.8"/>
    <n v="2.9331931128724351"/>
    <x v="132"/>
    <n v="0.91180688712756508"/>
    <n v="9.6078656952731656E-3"/>
    <n v="-0.14999999999999991"/>
  </r>
  <r>
    <x v="631"/>
    <n v="2.88997696662019"/>
    <n v="3.7949999999999999"/>
    <n v="1"/>
    <n v="0.2"/>
    <n v="1"/>
    <n v="0.57799539332403804"/>
    <n v="0.2"/>
    <n v="0"/>
    <x v="0"/>
    <n v="0.91180688712756508"/>
    <n v="0"/>
    <n v="-5.0000000000000266E-2"/>
  </r>
  <r>
    <x v="632"/>
    <n v="2.9089681552965998"/>
    <n v="3.7949999999999999"/>
    <n v="2"/>
    <n v="0.2"/>
    <n v="2"/>
    <n v="1.159789024383358"/>
    <n v="0.4"/>
    <n v="0"/>
    <x v="0"/>
    <n v="0.91180688712756508"/>
    <n v="0"/>
    <n v="-5.0000000000000266E-2"/>
  </r>
  <r>
    <x v="633"/>
    <n v="2.88228276625992"/>
    <n v="3.7949999999999999"/>
    <n v="5"/>
    <n v="0.2"/>
    <n v="3"/>
    <n v="1.736245577635342"/>
    <n v="0.60000000000000009"/>
    <n v="0"/>
    <x v="0"/>
    <n v="0.91180688712756508"/>
    <n v="0"/>
    <n v="-5.0000000000000266E-2"/>
  </r>
  <r>
    <x v="634"/>
    <n v="2.90260596221672"/>
    <n v="3.7949999999999999"/>
    <n v="6"/>
    <n v="0.2"/>
    <n v="4"/>
    <n v="2.316766770078686"/>
    <n v="0.8"/>
    <n v="0"/>
    <x v="0"/>
    <n v="0.91180688712756508"/>
    <n v="0"/>
    <n v="-5.0000000000000266E-2"/>
  </r>
  <r>
    <x v="635"/>
    <n v="2.91560839979166"/>
    <n v="3.7949999999999999"/>
    <n v="7"/>
    <n v="0.2"/>
    <n v="5"/>
    <n v="2.8998884500370181"/>
    <n v="1"/>
    <n v="2.8998884500370181"/>
    <x v="133"/>
    <n v="0.89511154996298181"/>
    <n v="-1.6695337164583268E-2"/>
    <n v="-5.0000000000000266E-2"/>
  </r>
  <r>
    <x v="636"/>
    <n v="2.9569729972046299"/>
    <n v="3.855"/>
    <n v="1"/>
    <n v="0.2"/>
    <n v="1"/>
    <n v="0.59139459944092598"/>
    <n v="0.2"/>
    <n v="0"/>
    <x v="0"/>
    <n v="0.89511154996298181"/>
    <n v="0"/>
    <n v="6.0000000000000053E-2"/>
  </r>
  <r>
    <x v="637"/>
    <n v="2.9670641789919698"/>
    <n v="3.855"/>
    <n v="2"/>
    <n v="0.2"/>
    <n v="2"/>
    <n v="1.1848074352393199"/>
    <n v="0.4"/>
    <n v="0"/>
    <x v="0"/>
    <n v="0.89511154996298181"/>
    <n v="0"/>
    <n v="6.0000000000000053E-2"/>
  </r>
  <r>
    <x v="638"/>
    <n v="2.95063055740501"/>
    <n v="3.855"/>
    <n v="5"/>
    <n v="0.2"/>
    <n v="3"/>
    <n v="1.7749335467203218"/>
    <n v="0.60000000000000009"/>
    <n v="0"/>
    <x v="0"/>
    <n v="0.89511154996298181"/>
    <n v="0"/>
    <n v="6.0000000000000053E-2"/>
  </r>
  <r>
    <x v="639"/>
    <n v="2.9732615646767"/>
    <n v="3.855"/>
    <n v="6"/>
    <n v="0.2"/>
    <n v="4"/>
    <n v="2.369585859655662"/>
    <n v="0.8"/>
    <n v="0"/>
    <x v="0"/>
    <n v="0.89511154996298181"/>
    <n v="0"/>
    <n v="6.0000000000000053E-2"/>
  </r>
  <r>
    <x v="640"/>
    <n v="3.0090985385111702"/>
    <n v="3.855"/>
    <n v="7"/>
    <n v="0.2"/>
    <n v="5"/>
    <n v="2.9714055673578961"/>
    <n v="1"/>
    <n v="2.9714055673578961"/>
    <x v="134"/>
    <n v="0.88359443264210391"/>
    <n v="-1.1517117320877901E-2"/>
    <n v="6.0000000000000053E-2"/>
  </r>
  <r>
    <x v="641"/>
    <n v="2.9884141965756501"/>
    <n v="3.8949999999999996"/>
    <n v="1"/>
    <n v="0.2"/>
    <n v="1"/>
    <n v="0.59768283931513"/>
    <n v="0.2"/>
    <n v="0"/>
    <x v="0"/>
    <n v="0.88359443264210391"/>
    <n v="0"/>
    <n v="3.9999999999999591E-2"/>
  </r>
  <r>
    <x v="642"/>
    <n v="3.0097405474457601"/>
    <n v="3.8949999999999996"/>
    <n v="2"/>
    <n v="0.2"/>
    <n v="2"/>
    <n v="1.1996309488042822"/>
    <n v="0.4"/>
    <n v="0"/>
    <x v="0"/>
    <n v="0.88359443264210391"/>
    <n v="0"/>
    <n v="3.9999999999999591E-2"/>
  </r>
  <r>
    <x v="643"/>
    <n v="3.04727792085342"/>
    <n v="3.8949999999999996"/>
    <n v="5"/>
    <n v="0.2"/>
    <n v="3"/>
    <n v="1.8090865329749661"/>
    <n v="0.60000000000000009"/>
    <n v="0"/>
    <x v="0"/>
    <n v="0.88359443264210391"/>
    <n v="0"/>
    <n v="3.9999999999999591E-2"/>
  </r>
  <r>
    <x v="644"/>
    <n v="3.0442418004482401"/>
    <n v="3.8949999999999996"/>
    <n v="6"/>
    <n v="0.2"/>
    <n v="4"/>
    <n v="2.4179348930646141"/>
    <n v="0.8"/>
    <n v="0"/>
    <x v="0"/>
    <n v="0.88359443264210391"/>
    <n v="0"/>
    <n v="3.9999999999999591E-2"/>
  </r>
  <r>
    <x v="645"/>
    <n v="3.04444949772784"/>
    <n v="3.8949999999999996"/>
    <n v="7"/>
    <n v="0.2"/>
    <n v="5"/>
    <n v="3.0268247926101823"/>
    <n v="1"/>
    <n v="3.0268247926101823"/>
    <x v="135"/>
    <n v="0.86817520738981724"/>
    <n v="-1.5419225252286672E-2"/>
    <n v="3.9999999999999591E-2"/>
  </r>
  <r>
    <x v="646"/>
    <n v="3.05201083744713"/>
    <n v="3.8849999999999998"/>
    <n v="1"/>
    <n v="0.2"/>
    <n v="1"/>
    <n v="0.610402167489426"/>
    <n v="0.2"/>
    <n v="0"/>
    <x v="0"/>
    <n v="0.86817520738981724"/>
    <n v="0"/>
    <n v="-9.9999999999997868E-3"/>
  </r>
  <r>
    <x v="647"/>
    <n v="3.00136099640791"/>
    <n v="3.8849999999999998"/>
    <n v="2"/>
    <n v="0.2"/>
    <n v="2"/>
    <n v="1.210674366771008"/>
    <n v="0.4"/>
    <n v="0"/>
    <x v="0"/>
    <n v="0.86817520738981724"/>
    <n v="0"/>
    <n v="-9.9999999999997868E-3"/>
  </r>
  <r>
    <x v="648"/>
    <n v="3.0363365323845302"/>
    <n v="3.8849999999999998"/>
    <n v="5"/>
    <n v="0.2"/>
    <n v="3"/>
    <n v="1.8179416732479141"/>
    <n v="0.60000000000000009"/>
    <n v="0"/>
    <x v="0"/>
    <n v="0.86817520738981724"/>
    <n v="0"/>
    <n v="-9.9999999999997868E-3"/>
  </r>
  <r>
    <x v="649"/>
    <n v="3.03648433223462"/>
    <n v="3.8849999999999998"/>
    <n v="7"/>
    <n v="0.2"/>
    <n v="4"/>
    <n v="2.4252385396948384"/>
    <n v="0.8"/>
    <n v="3.031548174618548"/>
    <x v="136"/>
    <n v="0.85345182538145181"/>
    <n v="-1.4723382008365427E-2"/>
    <n v="-9.9999999999997868E-3"/>
  </r>
  <r>
    <x v="650"/>
    <n v="3.0240880311784402"/>
    <n v="3.8650000000000002"/>
    <n v="1"/>
    <n v="0.2"/>
    <n v="1"/>
    <n v="0.60481760623568803"/>
    <n v="0.2"/>
    <n v="0"/>
    <x v="0"/>
    <n v="0.85345182538145181"/>
    <n v="0"/>
    <n v="-1.9999999999999574E-2"/>
  </r>
  <r>
    <x v="651"/>
    <n v="2.9883080633805301"/>
    <n v="3.8650000000000002"/>
    <n v="2"/>
    <n v="0.2"/>
    <n v="2"/>
    <n v="1.2024792189117941"/>
    <n v="0.4"/>
    <n v="0"/>
    <x v="0"/>
    <n v="0.85345182538145181"/>
    <n v="0"/>
    <n v="-1.9999999999999574E-2"/>
  </r>
  <r>
    <x v="652"/>
    <n v="2.9940977333827501"/>
    <n v="3.8650000000000002"/>
    <n v="5"/>
    <n v="0.2"/>
    <n v="3"/>
    <n v="1.8012987655883441"/>
    <n v="0.60000000000000009"/>
    <n v="0"/>
    <x v="0"/>
    <n v="0.85345182538145181"/>
    <n v="0"/>
    <n v="-1.9999999999999574E-2"/>
  </r>
  <r>
    <x v="653"/>
    <n v="2.98225794262494"/>
    <n v="3.8650000000000002"/>
    <n v="6"/>
    <n v="0.2"/>
    <n v="4"/>
    <n v="2.3977503541133323"/>
    <n v="0.8"/>
    <n v="0"/>
    <x v="0"/>
    <n v="0.85345182538145181"/>
    <n v="0"/>
    <n v="-1.9999999999999574E-2"/>
  </r>
  <r>
    <x v="654"/>
    <n v="3.0039537946355401"/>
    <n v="3.8650000000000002"/>
    <n v="7"/>
    <n v="0.2"/>
    <n v="5"/>
    <n v="2.9985411130404405"/>
    <n v="1"/>
    <n v="2.9985411130404405"/>
    <x v="137"/>
    <n v="0.86645888695955975"/>
    <n v="1.3007061578107937E-2"/>
    <n v="-1.9999999999999574E-2"/>
  </r>
  <r>
    <x v="654"/>
    <n v="3.0039537946355401"/>
    <n v="3.8450000000000002"/>
    <n v="7"/>
    <n v="0.2"/>
    <n v="1"/>
    <n v="0.60079075892710809"/>
    <n v="0.2"/>
    <n v="0"/>
    <x v="0"/>
    <n v="0.86645888695955975"/>
    <n v="0"/>
    <n v="-2.0000000000000018E-2"/>
  </r>
  <r>
    <x v="655"/>
    <n v="2.9824542230370898"/>
    <n v="3.8450000000000002"/>
    <n v="1"/>
    <n v="0.2"/>
    <n v="1"/>
    <n v="0.59649084460741797"/>
    <n v="0.2"/>
    <n v="0"/>
    <x v="0"/>
    <n v="0.86645888695955975"/>
    <n v="0"/>
    <n v="-2.0000000000000018E-2"/>
  </r>
  <r>
    <x v="656"/>
    <n v="2.96503071609644"/>
    <n v="3.8450000000000002"/>
    <n v="2"/>
    <n v="0.2"/>
    <n v="2"/>
    <n v="1.1894969878267059"/>
    <n v="0.4"/>
    <n v="0"/>
    <x v="0"/>
    <n v="0.86645888695955975"/>
    <n v="0"/>
    <n v="-2.0000000000000018E-2"/>
  </r>
  <r>
    <x v="657"/>
    <n v="2.9533754292471799"/>
    <n v="3.8450000000000002"/>
    <n v="5"/>
    <n v="0.2"/>
    <n v="3"/>
    <n v="1.7801720736761419"/>
    <n v="0.60000000000000009"/>
    <n v="0"/>
    <x v="0"/>
    <n v="0.86645888695955975"/>
    <n v="0"/>
    <n v="-2.0000000000000018E-2"/>
  </r>
  <r>
    <x v="658"/>
    <n v="2.8987235748393099"/>
    <n v="3.8450000000000002"/>
    <n v="6"/>
    <n v="0.2"/>
    <n v="4"/>
    <n v="2.359916788644004"/>
    <n v="0.8"/>
    <n v="2.9498959858050049"/>
    <x v="138"/>
    <n v="0.8951040141949953"/>
    <n v="2.8645127235435552E-2"/>
    <n v="-2.0000000000000018E-2"/>
  </r>
  <r>
    <x v="659"/>
    <n v="2.84568526355815"/>
    <n v="3.7650000000000001"/>
    <n v="2"/>
    <n v="0.2"/>
    <n v="1"/>
    <n v="0.56913705271163006"/>
    <n v="0.2"/>
    <n v="0"/>
    <x v="0"/>
    <n v="0.8951040141949953"/>
    <n v="0"/>
    <n v="-8.0000000000000071E-2"/>
  </r>
  <r>
    <x v="660"/>
    <n v="2.8622800897906999"/>
    <n v="3.7650000000000001"/>
    <n v="5"/>
    <n v="0.2"/>
    <n v="2"/>
    <n v="1.1415930706697701"/>
    <n v="0.4"/>
    <n v="0"/>
    <x v="0"/>
    <n v="0.8951040141949953"/>
    <n v="0"/>
    <n v="-8.0000000000000071E-2"/>
  </r>
  <r>
    <x v="661"/>
    <n v="2.92504129119764"/>
    <n v="3.7650000000000001"/>
    <n v="6"/>
    <n v="0.2"/>
    <n v="3"/>
    <n v="1.7266013289092981"/>
    <n v="0.60000000000000009"/>
    <n v="0"/>
    <x v="0"/>
    <n v="0.8951040141949953"/>
    <n v="0"/>
    <n v="-8.0000000000000071E-2"/>
  </r>
  <r>
    <x v="662"/>
    <n v="2.9323159668402701"/>
    <n v="3.7650000000000001"/>
    <n v="7"/>
    <n v="0.2"/>
    <n v="4"/>
    <n v="2.3130645222773523"/>
    <n v="0.8"/>
    <n v="2.89133065284669"/>
    <x v="139"/>
    <n v="0.87366934715331013"/>
    <n v="-2.1434667041685174E-2"/>
    <n v="-8.0000000000000071E-2"/>
  </r>
  <r>
    <x v="663"/>
    <n v="2.90250988237801"/>
    <n v="3.8050000000000002"/>
    <n v="1"/>
    <n v="0.2"/>
    <n v="1"/>
    <n v="0.58050197647560198"/>
    <n v="0.2"/>
    <n v="0"/>
    <x v="0"/>
    <n v="0.87366934715331013"/>
    <n v="0"/>
    <n v="4.0000000000000036E-2"/>
  </r>
  <r>
    <x v="664"/>
    <n v="2.9546349103912699"/>
    <n v="3.8050000000000002"/>
    <n v="2"/>
    <n v="0.2"/>
    <n v="2"/>
    <n v="1.171428958553856"/>
    <n v="0.4"/>
    <n v="0"/>
    <x v="0"/>
    <n v="0.87366934715331013"/>
    <n v="0"/>
    <n v="4.0000000000000036E-2"/>
  </r>
  <r>
    <x v="665"/>
    <n v="2.9087586637234901"/>
    <n v="3.8050000000000002"/>
    <n v="5"/>
    <n v="0.2"/>
    <n v="3"/>
    <n v="1.7531806912985539"/>
    <n v="0.60000000000000009"/>
    <n v="0"/>
    <x v="0"/>
    <n v="0.87366934715331013"/>
    <n v="0"/>
    <n v="4.0000000000000036E-2"/>
  </r>
  <r>
    <x v="666"/>
    <n v="2.8860238028398202"/>
    <n v="3.8050000000000002"/>
    <n v="6"/>
    <n v="0.2"/>
    <n v="4"/>
    <n v="2.3303854518665181"/>
    <n v="0.8"/>
    <n v="0"/>
    <x v="0"/>
    <n v="0.87366934715331013"/>
    <n v="0"/>
    <n v="4.0000000000000036E-2"/>
  </r>
  <r>
    <x v="667"/>
    <n v="2.8515070487427501"/>
    <n v="3.8050000000000002"/>
    <n v="7"/>
    <n v="0.2"/>
    <n v="5"/>
    <n v="2.9006868616150681"/>
    <n v="1"/>
    <n v="2.9006868616150681"/>
    <x v="140"/>
    <n v="0.9043131383849321"/>
    <n v="3.0643791231621975E-2"/>
    <n v="4.0000000000000036E-2"/>
  </r>
  <r>
    <x v="668"/>
    <n v="2.8634343397483599"/>
    <n v="3.6999999999999997"/>
    <n v="1"/>
    <n v="0.2"/>
    <n v="1"/>
    <n v="0.57268686794967205"/>
    <n v="0.2"/>
    <n v="0"/>
    <x v="0"/>
    <n v="0.9043131383849321"/>
    <n v="0"/>
    <n v="-0.10500000000000043"/>
  </r>
  <r>
    <x v="669"/>
    <n v="2.80057780204395"/>
    <n v="3.6999999999999997"/>
    <n v="2"/>
    <n v="0.2"/>
    <n v="2"/>
    <n v="1.1328024283584621"/>
    <n v="0.4"/>
    <n v="0"/>
    <x v="0"/>
    <n v="0.9043131383849321"/>
    <n v="0"/>
    <n v="-0.10500000000000043"/>
  </r>
  <r>
    <x v="670"/>
    <n v="2.8291749929655099"/>
    <n v="3.6999999999999997"/>
    <n v="5"/>
    <n v="0.2"/>
    <n v="3"/>
    <n v="1.6986374269515641"/>
    <n v="0.60000000000000009"/>
    <n v="0"/>
    <x v="0"/>
    <n v="0.9043131383849321"/>
    <n v="0"/>
    <n v="-0.10500000000000043"/>
  </r>
  <r>
    <x v="671"/>
    <n v="2.7872489970640002"/>
    <n v="3.6999999999999997"/>
    <n v="6"/>
    <n v="0.2"/>
    <n v="4"/>
    <n v="2.2560872263643641"/>
    <n v="0.8"/>
    <n v="0"/>
    <x v="0"/>
    <n v="0.9043131383849321"/>
    <n v="0"/>
    <n v="-0.10500000000000043"/>
  </r>
  <r>
    <x v="672"/>
    <n v="2.8371501312702399"/>
    <n v="3.6999999999999997"/>
    <n v="7"/>
    <n v="0.2"/>
    <n v="5"/>
    <n v="2.8235172526184122"/>
    <n v="1"/>
    <n v="2.8235172526184122"/>
    <x v="141"/>
    <n v="0.87648274738158749"/>
    <n v="-2.7830391003344612E-2"/>
    <n v="-0.10500000000000043"/>
  </r>
  <r>
    <x v="672"/>
    <n v="2.8371501312702399"/>
    <n v="3.73"/>
    <n v="7"/>
    <n v="0.2"/>
    <n v="1"/>
    <n v="0.56743002625404804"/>
    <n v="0.2"/>
    <n v="0"/>
    <x v="0"/>
    <n v="0.87648274738158749"/>
    <n v="0"/>
    <n v="3.0000000000000249E-2"/>
  </r>
  <r>
    <x v="673"/>
    <n v="2.8582300067965201"/>
    <n v="3.73"/>
    <n v="1"/>
    <n v="0.2"/>
    <n v="1"/>
    <n v="0.57164600135930399"/>
    <n v="0.2"/>
    <n v="0"/>
    <x v="0"/>
    <n v="0.87648274738158749"/>
    <n v="0"/>
    <n v="3.0000000000000249E-2"/>
  </r>
  <r>
    <x v="674"/>
    <n v="2.8337398573021799"/>
    <n v="3.73"/>
    <n v="2"/>
    <n v="0.2"/>
    <n v="2"/>
    <n v="1.1383939728197401"/>
    <n v="0.4"/>
    <n v="0"/>
    <x v="0"/>
    <n v="0.87648274738158749"/>
    <n v="0"/>
    <n v="3.0000000000000249E-2"/>
  </r>
  <r>
    <x v="675"/>
    <n v="2.8256441971088901"/>
    <n v="3.73"/>
    <n v="5"/>
    <n v="0.2"/>
    <n v="3"/>
    <n v="1.703522812241518"/>
    <n v="0.60000000000000009"/>
    <n v="0"/>
    <x v="0"/>
    <n v="0.87648274738158749"/>
    <n v="0"/>
    <n v="3.0000000000000249E-2"/>
  </r>
  <r>
    <x v="676"/>
    <n v="2.91032440435752"/>
    <n v="3.73"/>
    <n v="6"/>
    <n v="0.2"/>
    <n v="4"/>
    <n v="2.2855876931130221"/>
    <n v="0.8"/>
    <n v="0"/>
    <x v="0"/>
    <n v="0.87648274738158749"/>
    <n v="0"/>
    <n v="3.0000000000000249E-2"/>
  </r>
  <r>
    <x v="677"/>
    <n v="2.90975275027838"/>
    <n v="3.77"/>
    <n v="7"/>
    <n v="0.2"/>
    <n v="5"/>
    <n v="2.8675382431686982"/>
    <n v="1"/>
    <n v="2.8675382431686982"/>
    <x v="142"/>
    <n v="0.86246175683130177"/>
    <n v="-1.4020990550285717E-2"/>
    <n v="3.0000000000000249E-2"/>
  </r>
  <r>
    <x v="678"/>
    <n v="2.8912427168811901"/>
    <n v="3.77"/>
    <n v="2"/>
    <n v="0.2"/>
    <n v="1"/>
    <n v="0.57824854337623799"/>
    <n v="0.2"/>
    <n v="0"/>
    <x v="0"/>
    <n v="0.86246175683130177"/>
    <n v="0"/>
    <n v="0"/>
  </r>
  <r>
    <x v="679"/>
    <n v="2.8609798255384802"/>
    <n v="3.77"/>
    <n v="5"/>
    <n v="0.2"/>
    <n v="2"/>
    <n v="1.1504445084839341"/>
    <n v="0.4"/>
    <n v="0"/>
    <x v="0"/>
    <n v="0.86246175683130177"/>
    <n v="0"/>
    <n v="0"/>
  </r>
  <r>
    <x v="680"/>
    <n v="2.8519980737177399"/>
    <n v="3.77"/>
    <n v="6"/>
    <n v="0.2"/>
    <n v="3"/>
    <n v="1.720844123227482"/>
    <n v="0.60000000000000009"/>
    <n v="2.8680735387124696"/>
    <x v="143"/>
    <n v="0.9019264612875304"/>
    <n v="3.9464704456228628E-2"/>
    <n v="0"/>
  </r>
  <r>
    <x v="681"/>
    <n v="2.7854452423976599"/>
    <n v="3.63"/>
    <n v="2"/>
    <n v="0.2"/>
    <n v="1"/>
    <n v="0.557089048479532"/>
    <n v="0.2"/>
    <n v="0"/>
    <x v="0"/>
    <n v="0.9019264612875304"/>
    <n v="0"/>
    <n v="-0.14000000000000012"/>
  </r>
  <r>
    <x v="682"/>
    <n v="2.6962701266687499"/>
    <n v="3.63"/>
    <n v="5"/>
    <n v="0.2"/>
    <n v="2"/>
    <n v="1.096343073813282"/>
    <n v="0.4"/>
    <n v="0"/>
    <x v="0"/>
    <n v="0.9019264612875304"/>
    <n v="0"/>
    <n v="-0.14000000000000012"/>
  </r>
  <r>
    <x v="683"/>
    <n v="2.61636453709349"/>
    <n v="3.63"/>
    <n v="6"/>
    <n v="0.2"/>
    <n v="3"/>
    <n v="1.6196159812319801"/>
    <n v="0.60000000000000009"/>
    <n v="0"/>
    <x v="0"/>
    <n v="0.9019264612875304"/>
    <n v="0"/>
    <n v="-0.14000000000000012"/>
  </r>
  <r>
    <x v="684"/>
    <n v="2.6248431051869581"/>
    <n v="3.63"/>
    <n v="7"/>
    <n v="0.2"/>
    <n v="4"/>
    <n v="2.1445846022693718"/>
    <n v="0.8"/>
    <n v="2.6807307528367144"/>
    <x v="144"/>
    <n v="0.94926924716328553"/>
    <n v="4.7342785875755133E-2"/>
    <n v="-0.14000000000000012"/>
  </r>
  <r>
    <x v="685"/>
    <n v="2.6774292062275329"/>
    <n v="3.56"/>
    <n v="1"/>
    <n v="0.2"/>
    <n v="1"/>
    <n v="0.53548584124550658"/>
    <n v="0.2"/>
    <n v="0"/>
    <x v="0"/>
    <n v="0.94926924716328553"/>
    <n v="0"/>
    <n v="-6.999999999999984E-2"/>
  </r>
  <r>
    <x v="686"/>
    <n v="2.6462920309129299"/>
    <n v="3.56"/>
    <n v="2"/>
    <n v="0.2"/>
    <n v="2"/>
    <n v="1.0647442474280926"/>
    <n v="0.4"/>
    <n v="0"/>
    <x v="0"/>
    <n v="0.94926924716328553"/>
    <n v="0"/>
    <n v="-6.999999999999984E-2"/>
  </r>
  <r>
    <x v="687"/>
    <n v="2.5936190223084101"/>
    <n v="3.56"/>
    <n v="5"/>
    <n v="0.2"/>
    <n v="3"/>
    <n v="1.5834680518897746"/>
    <n v="0.60000000000000009"/>
    <n v="0"/>
    <x v="0"/>
    <n v="0.94926924716328553"/>
    <n v="0"/>
    <n v="-6.999999999999984E-2"/>
  </r>
  <r>
    <x v="688"/>
    <n v="2.57954379421794"/>
    <n v="3.56"/>
    <n v="6"/>
    <n v="0.2"/>
    <n v="4"/>
    <n v="2.0993768107333626"/>
    <n v="0.8"/>
    <n v="0"/>
    <x v="0"/>
    <n v="0.94926924716328553"/>
    <n v="0"/>
    <n v="-6.999999999999984E-2"/>
  </r>
  <r>
    <x v="689"/>
    <n v="2.49106608048328"/>
    <n v="3.56"/>
    <n v="7"/>
    <n v="0.2"/>
    <n v="5"/>
    <n v="2.5975900268300185"/>
    <n v="1"/>
    <n v="2.5975900268300185"/>
    <x v="145"/>
    <n v="0.96240997316998156"/>
    <n v="1.3140726006696024E-2"/>
    <n v="-6.999999999999984E-2"/>
  </r>
  <r>
    <x v="690"/>
    <n v="2.4553295319883701"/>
    <n v="3.5549999999999997"/>
    <n v="1"/>
    <n v="0.2"/>
    <n v="1"/>
    <n v="0.49106590639767406"/>
    <n v="0.2"/>
    <n v="0"/>
    <x v="0"/>
    <n v="0.96240997316998156"/>
    <n v="0"/>
    <n v="-5.0000000000003375E-3"/>
  </r>
  <r>
    <x v="691"/>
    <n v="2.5454794820645601"/>
    <n v="3.5549999999999997"/>
    <n v="2"/>
    <n v="0.2"/>
    <n v="2"/>
    <n v="1.0001618028105861"/>
    <n v="0.4"/>
    <n v="0"/>
    <x v="0"/>
    <n v="0.96240997316998156"/>
    <n v="0"/>
    <n v="-5.0000000000003375E-3"/>
  </r>
  <r>
    <x v="692"/>
    <n v="2.55737179181423"/>
    <n v="3.5549999999999997"/>
    <n v="6"/>
    <n v="0.2"/>
    <n v="3"/>
    <n v="1.5116361611734321"/>
    <n v="0.60000000000000009"/>
    <n v="0"/>
    <x v="0"/>
    <n v="0.96240997316998156"/>
    <n v="0"/>
    <n v="-5.0000000000003375E-3"/>
  </r>
  <r>
    <x v="693"/>
    <n v="2.6084944348331098"/>
    <n v="3.5549999999999997"/>
    <n v="7"/>
    <n v="0.2"/>
    <n v="4"/>
    <n v="2.0333350481400543"/>
    <n v="0.8"/>
    <n v="2.5416688101750675"/>
    <x v="146"/>
    <n v="1.0133311898249322"/>
    <n v="5.0921216654950641E-2"/>
    <n v="-5.0000000000003375E-3"/>
  </r>
  <r>
    <x v="694"/>
    <n v="2.6170205733531602"/>
    <n v="3.56"/>
    <n v="1"/>
    <n v="0.2"/>
    <n v="1"/>
    <n v="0.52340411467063208"/>
    <n v="0.2"/>
    <n v="0"/>
    <x v="0"/>
    <n v="1.0133311898249322"/>
    <n v="0"/>
    <n v="5.0000000000003375E-3"/>
  </r>
  <r>
    <x v="695"/>
    <n v="2.5688065849413189"/>
    <n v="3.56"/>
    <n v="2"/>
    <n v="0.2"/>
    <n v="2"/>
    <n v="1.0371654316588959"/>
    <n v="0.4"/>
    <n v="0"/>
    <x v="0"/>
    <n v="1.0133311898249322"/>
    <n v="0"/>
    <n v="5.0000000000003375E-3"/>
  </r>
  <r>
    <x v="696"/>
    <n v="2.5964187919228277"/>
    <n v="3.56"/>
    <n v="5"/>
    <n v="0.2"/>
    <n v="3"/>
    <n v="1.5564491900434614"/>
    <n v="0.60000000000000009"/>
    <n v="0"/>
    <x v="0"/>
    <n v="1.0133311898249322"/>
    <n v="0"/>
    <n v="5.0000000000003375E-3"/>
  </r>
  <r>
    <x v="697"/>
    <n v="2.58566791572217"/>
    <n v="3.56"/>
    <n v="6"/>
    <n v="0.2"/>
    <n v="4"/>
    <n v="2.0735827731878955"/>
    <n v="0.8"/>
    <n v="0"/>
    <x v="0"/>
    <n v="1.0133311898249322"/>
    <n v="0"/>
    <n v="5.0000000000003375E-3"/>
  </r>
  <r>
    <x v="698"/>
    <n v="2.5075854882079498"/>
    <n v="3.56"/>
    <n v="7"/>
    <n v="0.2"/>
    <n v="5"/>
    <n v="2.5750998708294857"/>
    <n v="1"/>
    <n v="2.5750998708294857"/>
    <x v="147"/>
    <n v="0.98490012917051439"/>
    <n v="-2.8431060654417806E-2"/>
    <n v="5.0000000000003375E-3"/>
  </r>
  <r>
    <x v="699"/>
    <n v="2.5133603709402799"/>
    <n v="3.5149999999999997"/>
    <n v="1"/>
    <n v="0.2"/>
    <n v="1"/>
    <n v="0.50267207418805604"/>
    <n v="0.2"/>
    <n v="0"/>
    <x v="0"/>
    <n v="0.98490012917051439"/>
    <n v="0"/>
    <n v="-4.5000000000000373E-2"/>
  </r>
  <r>
    <x v="700"/>
    <n v="2.4526687901347302"/>
    <n v="3.5149999999999997"/>
    <n v="2"/>
    <n v="0.2"/>
    <n v="2"/>
    <n v="0.99320583221500214"/>
    <n v="0.4"/>
    <n v="0"/>
    <x v="0"/>
    <n v="0.98490012917051439"/>
    <n v="0"/>
    <n v="-4.5000000000000373E-2"/>
  </r>
  <r>
    <x v="701"/>
    <n v="2.4482414321452199"/>
    <n v="3.5149999999999997"/>
    <n v="5"/>
    <n v="0.2"/>
    <n v="3"/>
    <n v="1.4828541186440463"/>
    <n v="0.60000000000000009"/>
    <n v="0"/>
    <x v="0"/>
    <n v="0.98490012917051439"/>
    <n v="0"/>
    <n v="-4.5000000000000373E-2"/>
  </r>
  <r>
    <x v="702"/>
    <n v="2.5386092043872699"/>
    <n v="3.5149999999999997"/>
    <n v="6"/>
    <n v="0.2"/>
    <n v="4"/>
    <n v="1.9905759595215002"/>
    <n v="0.8"/>
    <n v="0"/>
    <x v="0"/>
    <n v="0.98490012917051439"/>
    <n v="0"/>
    <n v="-4.5000000000000373E-2"/>
  </r>
  <r>
    <x v="703"/>
    <n v="2.56620444102245"/>
    <n v="3.5149999999999997"/>
    <n v="7"/>
    <n v="0.2"/>
    <n v="5"/>
    <n v="2.5038168477259903"/>
    <n v="1"/>
    <n v="2.5038168477259903"/>
    <x v="148"/>
    <n v="1.0111831522740093"/>
    <n v="2.6283023103494951E-2"/>
    <n v="-4.5000000000000373E-2"/>
  </r>
  <r>
    <x v="704"/>
    <n v="2.5588939804772202"/>
    <n v="3.59"/>
    <n v="1"/>
    <n v="0.2"/>
    <n v="1"/>
    <n v="0.51177879609544408"/>
    <n v="0.2"/>
    <n v="0"/>
    <x v="0"/>
    <n v="1.0111831522740093"/>
    <n v="0"/>
    <n v="7.5000000000000178E-2"/>
  </r>
  <r>
    <x v="705"/>
    <n v="2.6748566998957601"/>
    <n v="3.59"/>
    <n v="2"/>
    <n v="0.2"/>
    <n v="2"/>
    <n v="1.0467501360745961"/>
    <n v="0.4"/>
    <n v="0"/>
    <x v="0"/>
    <n v="1.0111831522740093"/>
    <n v="0"/>
    <n v="7.5000000000000178E-2"/>
  </r>
  <r>
    <x v="706"/>
    <n v="2.6856648240007002"/>
    <n v="3.59"/>
    <n v="5"/>
    <n v="0.2"/>
    <n v="3"/>
    <n v="1.5838831008747363"/>
    <n v="0.60000000000000009"/>
    <n v="0"/>
    <x v="0"/>
    <n v="1.0111831522740093"/>
    <n v="0"/>
    <n v="7.5000000000000178E-2"/>
  </r>
  <r>
    <x v="707"/>
    <n v="2.7450619013759301"/>
    <n v="3.59"/>
    <n v="6"/>
    <n v="0.2"/>
    <n v="4"/>
    <n v="2.1328954811499221"/>
    <n v="0.8"/>
    <n v="0"/>
    <x v="0"/>
    <n v="1.0111831522740093"/>
    <n v="0"/>
    <n v="7.5000000000000178E-2"/>
  </r>
  <r>
    <x v="708"/>
    <n v="2.7390944645368598"/>
    <n v="3.59"/>
    <n v="7"/>
    <n v="0.2"/>
    <n v="5"/>
    <n v="2.6807143740572941"/>
    <n v="1"/>
    <n v="2.6807143740572941"/>
    <x v="149"/>
    <n v="0.90928562594270579"/>
    <n v="-0.10189752633130356"/>
    <n v="7.5000000000000178E-2"/>
  </r>
  <r>
    <x v="709"/>
    <n v="2.7217472845669599"/>
    <n v="3.6599999999999997"/>
    <n v="1"/>
    <n v="0.2"/>
    <n v="1"/>
    <n v="0.54434945691339198"/>
    <n v="0.2"/>
    <n v="0"/>
    <x v="0"/>
    <n v="0.90928562594270579"/>
    <n v="0"/>
    <n v="6.999999999999984E-2"/>
  </r>
  <r>
    <x v="710"/>
    <n v="2.7439532601441399"/>
    <n v="3.6599999999999997"/>
    <n v="2"/>
    <n v="0.2"/>
    <n v="2"/>
    <n v="1.0931401089422201"/>
    <n v="0.4"/>
    <n v="0"/>
    <x v="0"/>
    <n v="0.90928562594270579"/>
    <n v="0"/>
    <n v="6.999999999999984E-2"/>
  </r>
  <r>
    <x v="711"/>
    <n v="2.8647464299960101"/>
    <n v="3.6599999999999997"/>
    <n v="6"/>
    <n v="0.2"/>
    <n v="3"/>
    <n v="1.6660893949414222"/>
    <n v="0.60000000000000009"/>
    <n v="0"/>
    <x v="0"/>
    <n v="0.90928562594270579"/>
    <n v="0"/>
    <n v="6.999999999999984E-2"/>
  </r>
  <r>
    <x v="712"/>
    <n v="2.80663775198708"/>
    <n v="3.6599999999999997"/>
    <n v="7"/>
    <n v="0.2"/>
    <n v="4"/>
    <n v="2.2274169453388382"/>
    <n v="0.8"/>
    <n v="2.7842711816735477"/>
    <x v="150"/>
    <n v="0.875728818326452"/>
    <n v="-3.3556807616253792E-2"/>
    <n v="6.999999999999984E-2"/>
  </r>
  <r>
    <x v="713"/>
    <n v="2.8310816393070799"/>
    <n v="3.6999999999999997"/>
    <n v="1"/>
    <n v="0.2"/>
    <n v="1"/>
    <n v="0.56621632786141596"/>
    <n v="0.2"/>
    <n v="0"/>
    <x v="0"/>
    <n v="0.875728818326452"/>
    <n v="0"/>
    <n v="4.0000000000000036E-2"/>
  </r>
  <r>
    <x v="714"/>
    <n v="2.8495343936509898"/>
    <n v="3.6999999999999997"/>
    <n v="2"/>
    <n v="0.2"/>
    <n v="2"/>
    <n v="1.136123206591614"/>
    <n v="0.4"/>
    <n v="0"/>
    <x v="0"/>
    <n v="0.875728818326452"/>
    <n v="0"/>
    <n v="4.0000000000000036E-2"/>
  </r>
  <r>
    <x v="715"/>
    <n v="2.8051692512697501"/>
    <n v="3.6999999999999997"/>
    <n v="5"/>
    <n v="0.2"/>
    <n v="3"/>
    <n v="1.6971570568455641"/>
    <n v="0.60000000000000009"/>
    <n v="0"/>
    <x v="0"/>
    <n v="0.875728818326452"/>
    <n v="0"/>
    <n v="4.0000000000000036E-2"/>
  </r>
  <r>
    <x v="716"/>
    <n v="2.7456841844873301"/>
    <n v="3.6999999999999997"/>
    <n v="6"/>
    <n v="0.2"/>
    <n v="4"/>
    <n v="2.2462938937430303"/>
    <n v="0.8"/>
    <n v="0"/>
    <x v="0"/>
    <n v="0.875728818326452"/>
    <n v="0"/>
    <n v="4.0000000000000036E-2"/>
  </r>
  <r>
    <x v="717"/>
    <n v="2.7262373083687401"/>
    <n v="3.6999999999999997"/>
    <n v="7"/>
    <n v="0.2"/>
    <n v="5"/>
    <n v="2.7915413554167783"/>
    <n v="1"/>
    <n v="2.7915413554167783"/>
    <x v="151"/>
    <n v="0.90845864458322145"/>
    <n v="3.2729826256769456E-2"/>
    <n v="4.0000000000000036E-2"/>
  </r>
  <r>
    <x v="718"/>
    <n v="2.7641939622688101"/>
    <n v="3.65"/>
    <n v="1"/>
    <n v="0.2"/>
    <n v="1"/>
    <n v="0.552838792453762"/>
    <n v="0.2"/>
    <n v="0"/>
    <x v="0"/>
    <n v="0.90845864458322145"/>
    <n v="0"/>
    <n v="-4.9999999999999822E-2"/>
  </r>
  <r>
    <x v="719"/>
    <n v="2.7365985708724101"/>
    <n v="3.65"/>
    <n v="2"/>
    <n v="0.2"/>
    <n v="2"/>
    <n v="1.100158506628244"/>
    <n v="0.4"/>
    <n v="0"/>
    <x v="0"/>
    <n v="0.90845864458322145"/>
    <n v="0"/>
    <n v="-4.9999999999999822E-2"/>
  </r>
  <r>
    <x v="720"/>
    <n v="2.7916349569467398"/>
    <n v="3.65"/>
    <n v="5"/>
    <n v="0.2"/>
    <n v="3"/>
    <n v="1.6584854980175918"/>
    <n v="0.60000000000000009"/>
    <n v="0"/>
    <x v="0"/>
    <n v="0.90845864458322145"/>
    <n v="0"/>
    <n v="-4.9999999999999822E-2"/>
  </r>
  <r>
    <x v="721"/>
    <n v="2.8341999400292899"/>
    <n v="3.65"/>
    <n v="6"/>
    <n v="0.2"/>
    <n v="4"/>
    <n v="2.2253254860234497"/>
    <n v="0.8"/>
    <n v="0"/>
    <x v="0"/>
    <n v="0.90845864458322145"/>
    <n v="0"/>
    <n v="-4.9999999999999822E-2"/>
  </r>
  <r>
    <x v="722"/>
    <n v="2.8241837227534399"/>
    <n v="3.65"/>
    <n v="7"/>
    <n v="0.2"/>
    <n v="5"/>
    <n v="2.7901622305741376"/>
    <n v="1"/>
    <n v="2.7901622305741376"/>
    <x v="152"/>
    <n v="0.85983776942586232"/>
    <n v="-4.8620875157359134E-2"/>
    <n v="-4.9999999999999822E-2"/>
  </r>
  <r>
    <x v="723"/>
    <n v="2.81556157497667"/>
    <n v="3.76"/>
    <n v="1"/>
    <n v="0.2"/>
    <n v="1"/>
    <n v="0.56311231499533398"/>
    <n v="0.2"/>
    <n v="0"/>
    <x v="0"/>
    <n v="0.85983776942586232"/>
    <n v="0"/>
    <n v="0.10999999999999988"/>
  </r>
  <r>
    <x v="724"/>
    <n v="2.9303170109018999"/>
    <n v="3.76"/>
    <n v="2"/>
    <n v="0.2"/>
    <n v="2"/>
    <n v="1.149175717175714"/>
    <n v="0.4"/>
    <n v="0"/>
    <x v="0"/>
    <n v="0.85983776942586232"/>
    <n v="0"/>
    <n v="0.10999999999999988"/>
  </r>
  <r>
    <x v="725"/>
    <n v="2.90222752352993"/>
    <n v="3.76"/>
    <n v="5"/>
    <n v="0.2"/>
    <n v="3"/>
    <n v="1.7296212218817"/>
    <n v="0.60000000000000009"/>
    <n v="0"/>
    <x v="0"/>
    <n v="0.85983776942586232"/>
    <n v="0"/>
    <n v="0.10999999999999988"/>
  </r>
  <r>
    <x v="726"/>
    <n v="2.84635033680676"/>
    <n v="3.76"/>
    <n v="6"/>
    <n v="0.2"/>
    <n v="4"/>
    <n v="2.298891289243052"/>
    <n v="0.8"/>
    <n v="0"/>
    <x v="0"/>
    <n v="0.85983776942586232"/>
    <n v="0"/>
    <n v="0.10999999999999988"/>
  </r>
  <r>
    <x v="727"/>
    <n v="2.8278353033181198"/>
    <n v="3.76"/>
    <n v="7"/>
    <n v="0.2"/>
    <n v="5"/>
    <n v="2.864458349906676"/>
    <n v="1"/>
    <n v="2.864458349906676"/>
    <x v="153"/>
    <n v="0.89554165009332376"/>
    <n v="3.5703880667461441E-2"/>
    <n v="0.10999999999999988"/>
  </r>
  <r>
    <x v="728"/>
    <n v="2.8138191102539798"/>
    <n v="3.6799999999999997"/>
    <n v="1"/>
    <n v="0.2"/>
    <n v="1"/>
    <n v="0.562763822050796"/>
    <n v="0.2"/>
    <n v="0"/>
    <x v="0"/>
    <n v="0.89554165009332376"/>
    <n v="0"/>
    <n v="-8.0000000000000071E-2"/>
  </r>
  <r>
    <x v="729"/>
    <n v="2.8315057491425"/>
    <n v="3.6799999999999997"/>
    <n v="2"/>
    <n v="0.2"/>
    <n v="2"/>
    <n v="1.129064971879296"/>
    <n v="0.4"/>
    <n v="0"/>
    <x v="0"/>
    <n v="0.89554165009332376"/>
    <n v="0"/>
    <n v="-8.0000000000000071E-2"/>
  </r>
  <r>
    <x v="730"/>
    <n v="2.8241768518279202"/>
    <n v="3.6799999999999997"/>
    <n v="5"/>
    <n v="0.2"/>
    <n v="3"/>
    <n v="1.6939003422448802"/>
    <n v="0.60000000000000009"/>
    <n v="0"/>
    <x v="0"/>
    <n v="0.89554165009332376"/>
    <n v="0"/>
    <n v="-8.0000000000000071E-2"/>
  </r>
  <r>
    <x v="731"/>
    <n v="2.79584100930466"/>
    <n v="3.6799999999999997"/>
    <n v="6"/>
    <n v="0.2"/>
    <n v="4"/>
    <n v="2.2530685441058123"/>
    <n v="0.8"/>
    <n v="0"/>
    <x v="0"/>
    <n v="0.89554165009332376"/>
    <n v="0"/>
    <n v="-8.0000000000000071E-2"/>
  </r>
  <r>
    <x v="732"/>
    <n v="2.6928489030954199"/>
    <n v="3.6799999999999997"/>
    <n v="7"/>
    <n v="0.2"/>
    <n v="5"/>
    <n v="2.7916383247248961"/>
    <n v="1"/>
    <n v="2.7916383247248961"/>
    <x v="154"/>
    <n v="0.88836167527510357"/>
    <n v="-7.1799748182201917E-3"/>
    <n v="-8.0000000000000071E-2"/>
  </r>
  <r>
    <x v="733"/>
    <n v="2.70955656376128"/>
    <n v="3.59"/>
    <n v="1"/>
    <n v="0.2"/>
    <n v="1"/>
    <n v="0.54191131275225601"/>
    <n v="0.2"/>
    <n v="0"/>
    <x v="0"/>
    <n v="0.88836167527510357"/>
    <n v="0"/>
    <n v="-8.9999999999999858E-2"/>
  </r>
  <r>
    <x v="734"/>
    <n v="2.6717729385436999"/>
    <n v="3.59"/>
    <n v="2"/>
    <n v="0.2"/>
    <n v="2"/>
    <n v="1.076265900460996"/>
    <n v="0.4"/>
    <n v="0"/>
    <x v="0"/>
    <n v="0.88836167527510357"/>
    <n v="0"/>
    <n v="-8.9999999999999858E-2"/>
  </r>
  <r>
    <x v="735"/>
    <n v="2.6575094779916602"/>
    <n v="3.59"/>
    <n v="5"/>
    <n v="0.2"/>
    <n v="3"/>
    <n v="1.6077677960593282"/>
    <n v="0.60000000000000009"/>
    <n v="0"/>
    <x v="0"/>
    <n v="0.88836167527510357"/>
    <n v="0"/>
    <n v="-8.9999999999999858E-2"/>
  </r>
  <r>
    <x v="736"/>
    <n v="2.60984671554638"/>
    <n v="3.59"/>
    <n v="6"/>
    <n v="0.2"/>
    <n v="4"/>
    <n v="2.1297371391686042"/>
    <n v="0.8"/>
    <n v="0"/>
    <x v="0"/>
    <n v="0.88836167527510357"/>
    <n v="0"/>
    <n v="-8.9999999999999858E-2"/>
  </r>
  <r>
    <x v="737"/>
    <n v="2.6641693960453199"/>
    <n v="3.59"/>
    <n v="7"/>
    <n v="0.2"/>
    <n v="5"/>
    <n v="2.6625710183776681"/>
    <n v="1"/>
    <n v="2.6625710183776681"/>
    <x v="155"/>
    <n v="0.92742898162233178"/>
    <n v="3.9067306347228214E-2"/>
    <n v="-8.9999999999999858E-2"/>
  </r>
  <r>
    <x v="738"/>
    <n v="2.7519990602785001"/>
    <n v="3.6"/>
    <n v="1"/>
    <n v="0.2"/>
    <n v="1"/>
    <n v="0.55039981205569999"/>
    <n v="0.2"/>
    <n v="0"/>
    <x v="0"/>
    <n v="0.92742898162233178"/>
    <n v="0"/>
    <n v="1.0000000000000231E-2"/>
  </r>
  <r>
    <x v="739"/>
    <n v="2.6934832462996599"/>
    <n v="3.6"/>
    <n v="2"/>
    <n v="0.2"/>
    <n v="2"/>
    <n v="1.089096461315632"/>
    <n v="0.4"/>
    <n v="0"/>
    <x v="0"/>
    <n v="0.92742898162233178"/>
    <n v="0"/>
    <n v="1.0000000000000231E-2"/>
  </r>
  <r>
    <x v="740"/>
    <n v="2.6906214304432701"/>
    <n v="3.6"/>
    <n v="5"/>
    <n v="0.2"/>
    <n v="3"/>
    <n v="1.6272207474042859"/>
    <n v="0.60000000000000009"/>
    <n v="0"/>
    <x v="0"/>
    <n v="0.92742898162233178"/>
    <n v="0"/>
    <n v="1.0000000000000231E-2"/>
  </r>
  <r>
    <x v="741"/>
    <n v="2.66103516127894"/>
    <n v="3.6"/>
    <n v="6"/>
    <n v="0.2"/>
    <n v="4"/>
    <n v="2.1594277796600738"/>
    <n v="0.8"/>
    <n v="0"/>
    <x v="0"/>
    <n v="0.92742898162233178"/>
    <n v="0"/>
    <n v="1.0000000000000231E-2"/>
  </r>
  <r>
    <x v="742"/>
    <n v="2.5992657753902901"/>
    <n v="3.6"/>
    <n v="7"/>
    <n v="0.2"/>
    <n v="5"/>
    <n v="2.6792809347381317"/>
    <n v="1"/>
    <n v="2.6792809347381317"/>
    <x v="156"/>
    <n v="0.92071906526186842"/>
    <n v="-6.7099163604633638E-3"/>
    <n v="1.0000000000000231E-2"/>
  </r>
  <r>
    <x v="743"/>
    <n v="2.6512826680006101"/>
    <n v="3.56"/>
    <n v="1"/>
    <n v="0.2"/>
    <n v="1"/>
    <n v="0.53025653360012204"/>
    <n v="0.2"/>
    <n v="0"/>
    <x v="0"/>
    <n v="0.92071906526186842"/>
    <n v="0"/>
    <n v="-4.0000000000000036E-2"/>
  </r>
  <r>
    <x v="744"/>
    <n v="2.5908884215358099"/>
    <n v="3.56"/>
    <n v="2"/>
    <n v="0.2"/>
    <n v="2"/>
    <n v="1.0484342179072841"/>
    <n v="0.4"/>
    <n v="0"/>
    <x v="0"/>
    <n v="0.92071906526186842"/>
    <n v="0"/>
    <n v="-4.0000000000000036E-2"/>
  </r>
  <r>
    <x v="745"/>
    <n v="2.63391710374052"/>
    <n v="3.56"/>
    <n v="5"/>
    <n v="0.2"/>
    <n v="3"/>
    <n v="1.575217638655388"/>
    <n v="0.60000000000000009"/>
    <n v="0"/>
    <x v="0"/>
    <n v="0.92071906526186842"/>
    <n v="0"/>
    <n v="-4.0000000000000036E-2"/>
  </r>
  <r>
    <x v="746"/>
    <n v="2.6287824588785198"/>
    <n v="3.56"/>
    <n v="6"/>
    <n v="0.2"/>
    <n v="4"/>
    <n v="2.100974130431092"/>
    <n v="0.8"/>
    <n v="0"/>
    <x v="0"/>
    <n v="0.92071906526186842"/>
    <n v="0"/>
    <n v="-4.0000000000000036E-2"/>
  </r>
  <r>
    <x v="747"/>
    <n v="2.62032151165119"/>
    <n v="3.56"/>
    <n v="7"/>
    <n v="0.2"/>
    <n v="5"/>
    <n v="2.6250384327613299"/>
    <n v="1"/>
    <n v="2.6250384327613299"/>
    <x v="157"/>
    <n v="0.93496156723867019"/>
    <n v="1.4242501976801769E-2"/>
    <n v="-4.0000000000000036E-2"/>
  </r>
  <r>
    <x v="748"/>
    <n v="2.6476582784281"/>
    <n v="3.5949999999999998"/>
    <n v="1"/>
    <n v="0.2"/>
    <n v="1"/>
    <n v="0.52953165568562"/>
    <n v="0.2"/>
    <n v="0"/>
    <x v="0"/>
    <n v="0.93496156723867019"/>
    <n v="0"/>
    <n v="3.4999999999999698E-2"/>
  </r>
  <r>
    <x v="749"/>
    <n v="2.6673945625319102"/>
    <n v="3.5949999999999998"/>
    <n v="2"/>
    <n v="0.2"/>
    <n v="2"/>
    <n v="1.0630105681920021"/>
    <n v="0.4"/>
    <n v="0"/>
    <x v="0"/>
    <n v="0.93496156723867019"/>
    <n v="0"/>
    <n v="3.4999999999999698E-2"/>
  </r>
  <r>
    <x v="750"/>
    <n v="2.64134045041691"/>
    <n v="3.5949999999999998"/>
    <n v="5"/>
    <n v="0.2"/>
    <n v="3"/>
    <n v="1.5912786582753842"/>
    <n v="0.60000000000000009"/>
    <n v="0"/>
    <x v="0"/>
    <n v="0.93496156723867019"/>
    <n v="0"/>
    <n v="3.4999999999999698E-2"/>
  </r>
  <r>
    <x v="751"/>
    <n v="2.5968587672613901"/>
    <n v="3.5949999999999998"/>
    <n v="6"/>
    <n v="0.2"/>
    <n v="4"/>
    <n v="2.1106504117276623"/>
    <n v="0.8"/>
    <n v="0"/>
    <x v="0"/>
    <n v="0.93496156723867019"/>
    <n v="0"/>
    <n v="3.4999999999999698E-2"/>
  </r>
  <r>
    <x v="752"/>
    <n v="2.58469358456979"/>
    <n v="3.5949999999999998"/>
    <n v="7"/>
    <n v="0.2"/>
    <n v="5"/>
    <n v="2.6275891286416204"/>
    <n v="1"/>
    <n v="2.6275891286416204"/>
    <x v="158"/>
    <n v="0.96741087135837933"/>
    <n v="3.2449304119709144E-2"/>
    <n v="3.4999999999999698E-2"/>
  </r>
  <r>
    <x v="753"/>
    <n v="2.5759029417987498"/>
    <n v="3.55"/>
    <n v="1"/>
    <n v="0.2"/>
    <n v="1"/>
    <n v="0.51518058835975"/>
    <n v="0.2"/>
    <n v="0"/>
    <x v="0"/>
    <n v="0.96741087135837933"/>
    <n v="0"/>
    <n v="-4.4999999999999929E-2"/>
  </r>
  <r>
    <x v="754"/>
    <n v="2.56712042045777"/>
    <n v="3.55"/>
    <n v="2"/>
    <n v="0.2"/>
    <n v="2"/>
    <n v="1.028604672451304"/>
    <n v="0.4"/>
    <n v="0"/>
    <x v="0"/>
    <n v="0.96741087135837933"/>
    <n v="0"/>
    <n v="-4.4999999999999929E-2"/>
  </r>
  <r>
    <x v="755"/>
    <n v="2.59858921707026"/>
    <n v="3.55"/>
    <n v="5"/>
    <n v="0.2"/>
    <n v="3"/>
    <n v="1.548322515865356"/>
    <n v="0.60000000000000009"/>
    <n v="0"/>
    <x v="0"/>
    <n v="0.96741087135837933"/>
    <n v="0"/>
    <n v="-4.4999999999999929E-2"/>
  </r>
  <r>
    <x v="756"/>
    <n v="2.62252108008507"/>
    <n v="3.55"/>
    <n v="6"/>
    <n v="0.2"/>
    <n v="4"/>
    <n v="2.0728267318823699"/>
    <n v="0.8"/>
    <n v="0"/>
    <x v="0"/>
    <n v="0.96741087135837933"/>
    <n v="0"/>
    <n v="-4.4999999999999929E-2"/>
  </r>
  <r>
    <x v="757"/>
    <n v="2.6753264137467299"/>
    <n v="3.55"/>
    <n v="7"/>
    <n v="0.2"/>
    <n v="5"/>
    <n v="2.6078920146317159"/>
    <n v="1"/>
    <n v="2.6078920146317159"/>
    <x v="159"/>
    <n v="0.94210798536828388"/>
    <n v="-2.5302885990095447E-2"/>
    <n v="-4.4999999999999929E-2"/>
  </r>
  <r>
    <x v="758"/>
    <n v="2.6562875815293401"/>
    <n v="3.58"/>
    <n v="1"/>
    <n v="0.2"/>
    <n v="1"/>
    <n v="0.53125751630586804"/>
    <n v="0.2"/>
    <n v="0"/>
    <x v="0"/>
    <n v="0.94210798536828388"/>
    <n v="0"/>
    <n v="3.0000000000000249E-2"/>
  </r>
  <r>
    <x v="759"/>
    <n v="2.62955921776924"/>
    <n v="3.58"/>
    <n v="2"/>
    <n v="0.2"/>
    <n v="2"/>
    <n v="1.0571693598597161"/>
    <n v="0.4"/>
    <n v="0"/>
    <x v="0"/>
    <n v="0.94210798536828388"/>
    <n v="0"/>
    <n v="3.0000000000000249E-2"/>
  </r>
  <r>
    <x v="760"/>
    <n v="2.6437338504186898"/>
    <n v="3.58"/>
    <n v="5"/>
    <n v="0.2"/>
    <n v="3"/>
    <n v="1.5859161299434539"/>
    <n v="0.60000000000000009"/>
    <n v="0"/>
    <x v="0"/>
    <n v="0.94210798536828388"/>
    <n v="0"/>
    <n v="3.0000000000000249E-2"/>
  </r>
  <r>
    <x v="761"/>
    <n v="2.6991414546305501"/>
    <n v="3.58"/>
    <n v="6"/>
    <n v="0.2"/>
    <n v="4"/>
    <n v="2.1257444208695642"/>
    <n v="0.8"/>
    <n v="0"/>
    <x v="0"/>
    <n v="0.94210798536828388"/>
    <n v="0"/>
    <n v="3.0000000000000249E-2"/>
  </r>
  <r>
    <x v="762"/>
    <n v="2.7467458715573199"/>
    <n v="3.58"/>
    <n v="7"/>
    <n v="0.2"/>
    <n v="5"/>
    <n v="2.6750935951810284"/>
    <n v="1"/>
    <n v="2.6750935951810284"/>
    <x v="160"/>
    <n v="0.90490640481897167"/>
    <n v="-3.7201580549312219E-2"/>
    <n v="3.0000000000000249E-2"/>
  </r>
  <r>
    <x v="763"/>
    <n v="2.7480147229669498"/>
    <n v="3.6999999999999997"/>
    <n v="1"/>
    <n v="0.2"/>
    <n v="1"/>
    <n v="0.54960294459338999"/>
    <n v="0.2"/>
    <n v="0"/>
    <x v="0"/>
    <n v="0.90490640481897167"/>
    <n v="0"/>
    <n v="0.11999999999999966"/>
  </r>
  <r>
    <x v="764"/>
    <n v="2.8064099070641602"/>
    <n v="3.6999999999999997"/>
    <n v="2"/>
    <n v="0.2"/>
    <n v="2"/>
    <n v="1.1108849260062219"/>
    <n v="0.4"/>
    <n v="0"/>
    <x v="0"/>
    <n v="0.90490640481897167"/>
    <n v="0"/>
    <n v="0.11999999999999966"/>
  </r>
  <r>
    <x v="765"/>
    <n v="2.8416760056146502"/>
    <n v="3.6999999999999997"/>
    <n v="5"/>
    <n v="0.2"/>
    <n v="3"/>
    <n v="1.679220127129152"/>
    <n v="0.60000000000000009"/>
    <n v="0"/>
    <x v="0"/>
    <n v="0.90490640481897167"/>
    <n v="0"/>
    <n v="0.11999999999999966"/>
  </r>
  <r>
    <x v="766"/>
    <n v="2.8756484754346898"/>
    <n v="3.6999999999999997"/>
    <n v="6"/>
    <n v="0.2"/>
    <n v="4"/>
    <n v="2.2543498222160903"/>
    <n v="0.8"/>
    <n v="0"/>
    <x v="0"/>
    <n v="0.90490640481897167"/>
    <n v="0"/>
    <n v="0.11999999999999966"/>
  </r>
  <r>
    <x v="767"/>
    <n v="2.91930519695658"/>
    <n v="3.6999999999999997"/>
    <n v="7"/>
    <n v="0.2"/>
    <n v="5"/>
    <n v="2.8382108616074064"/>
    <n v="1"/>
    <n v="2.8382108616074064"/>
    <x v="161"/>
    <n v="0.8617891383925933"/>
    <n v="-4.3117266426378364E-2"/>
    <n v="0.11999999999999966"/>
  </r>
  <r>
    <x v="768"/>
    <n v="2.86177796804412"/>
    <n v="3.75"/>
    <n v="1"/>
    <n v="0.2"/>
    <n v="1"/>
    <n v="0.57235559360882404"/>
    <n v="0.2"/>
    <n v="0"/>
    <x v="0"/>
    <n v="0.8617891383925933"/>
    <n v="0"/>
    <n v="5.0000000000000266E-2"/>
  </r>
  <r>
    <x v="769"/>
    <n v="2.8101076932532698"/>
    <n v="3.75"/>
    <n v="2"/>
    <n v="0.2"/>
    <n v="2"/>
    <n v="1.134377132259478"/>
    <n v="0.4"/>
    <n v="0"/>
    <x v="0"/>
    <n v="0.8617891383925933"/>
    <n v="0"/>
    <n v="5.0000000000000266E-2"/>
  </r>
  <r>
    <x v="770"/>
    <n v="2.9199815904284798"/>
    <n v="3.75"/>
    <n v="5"/>
    <n v="0.2"/>
    <n v="3"/>
    <n v="1.718373450345174"/>
    <n v="0.60000000000000009"/>
    <n v="0"/>
    <x v="0"/>
    <n v="0.8617891383925933"/>
    <n v="0"/>
    <n v="5.0000000000000266E-2"/>
  </r>
  <r>
    <x v="771"/>
    <n v="2.9362897451124002"/>
    <n v="3.75"/>
    <n v="6"/>
    <n v="0.2"/>
    <n v="4"/>
    <n v="2.305631399367654"/>
    <n v="0.8"/>
    <n v="0"/>
    <x v="0"/>
    <n v="0.8617891383925933"/>
    <n v="0"/>
    <n v="5.0000000000000266E-2"/>
  </r>
  <r>
    <x v="772"/>
    <n v="2.9586092652733198"/>
    <n v="3.75"/>
    <n v="7"/>
    <n v="0.2"/>
    <n v="5"/>
    <n v="2.897353252422318"/>
    <n v="1"/>
    <n v="2.897353252422318"/>
    <x v="162"/>
    <n v="0.852646747577682"/>
    <n v="-9.1423908149113053E-3"/>
    <n v="5.0000000000000266E-2"/>
  </r>
  <r>
    <x v="773"/>
    <n v="2.9068905487933598"/>
    <n v="3.7649999999999997"/>
    <n v="1"/>
    <n v="0.2"/>
    <n v="1"/>
    <n v="0.58137810975867199"/>
    <n v="0.2"/>
    <n v="0"/>
    <x v="0"/>
    <n v="0.852646747577682"/>
    <n v="0"/>
    <n v="1.499999999999968E-2"/>
  </r>
  <r>
    <x v="774"/>
    <n v="2.82631669904023"/>
    <n v="3.7649999999999997"/>
    <n v="2"/>
    <n v="0.2"/>
    <n v="2"/>
    <n v="1.1466414495667179"/>
    <n v="0.4"/>
    <n v="0"/>
    <x v="0"/>
    <n v="0.852646747577682"/>
    <n v="0"/>
    <n v="1.499999999999968E-2"/>
  </r>
  <r>
    <x v="775"/>
    <n v="2.8896799307946499"/>
    <n v="3.7649999999999997"/>
    <n v="5"/>
    <n v="0.2"/>
    <n v="3"/>
    <n v="1.724577435725648"/>
    <n v="0.60000000000000009"/>
    <n v="0"/>
    <x v="0"/>
    <n v="0.852646747577682"/>
    <n v="0"/>
    <n v="1.499999999999968E-2"/>
  </r>
  <r>
    <x v="776"/>
    <n v="2.9214483553786899"/>
    <n v="3.7649999999999997"/>
    <n v="6"/>
    <n v="0.2"/>
    <n v="4"/>
    <n v="2.3088671068013862"/>
    <n v="0.8"/>
    <n v="0"/>
    <x v="0"/>
    <n v="0.852646747577682"/>
    <n v="0"/>
    <n v="1.499999999999968E-2"/>
  </r>
  <r>
    <x v="777"/>
    <n v="2.9102623265110599"/>
    <n v="3.7649999999999997"/>
    <n v="7"/>
    <n v="0.2"/>
    <n v="5"/>
    <n v="2.8909195721035981"/>
    <n v="1"/>
    <n v="2.8909195721035981"/>
    <x v="163"/>
    <n v="0.87408042789640161"/>
    <n v="2.1433680318719617E-2"/>
    <n v="1.499999999999968E-2"/>
  </r>
  <r>
    <x v="778"/>
    <n v="2.8599760435846102"/>
    <n v="3.77"/>
    <n v="1"/>
    <n v="0.2"/>
    <n v="1"/>
    <n v="0.57199520871692211"/>
    <n v="0.2"/>
    <n v="0"/>
    <x v="0"/>
    <n v="0.87408042789640161"/>
    <n v="0"/>
    <n v="5.0000000000003375E-3"/>
  </r>
  <r>
    <x v="779"/>
    <n v="2.8915210158303699"/>
    <n v="3.77"/>
    <n v="2"/>
    <n v="0.2"/>
    <n v="2"/>
    <n v="1.1502994118829961"/>
    <n v="0.4"/>
    <n v="0"/>
    <x v="0"/>
    <n v="0.87408042789640161"/>
    <n v="0"/>
    <n v="5.0000000000003375E-3"/>
  </r>
  <r>
    <x v="780"/>
    <n v="2.8500704386135798"/>
    <n v="3.77"/>
    <n v="6"/>
    <n v="0.2"/>
    <n v="3"/>
    <n v="1.7203134996057121"/>
    <n v="0.60000000000000009"/>
    <n v="0"/>
    <x v="0"/>
    <n v="0.87408042789640161"/>
    <n v="0"/>
    <n v="5.0000000000003375E-3"/>
  </r>
  <r>
    <x v="781"/>
    <n v="2.8460665334928898"/>
    <n v="3.77"/>
    <n v="7"/>
    <n v="0.2"/>
    <n v="4"/>
    <n v="2.28952680630429"/>
    <n v="0.8"/>
    <n v="2.8619085078803623"/>
    <x v="164"/>
    <n v="0.90809149211963769"/>
    <n v="3.4011064223236076E-2"/>
    <n v="5.0000000000003375E-3"/>
  </r>
  <r>
    <x v="782"/>
    <n v="2.8413672152174398"/>
    <n v="3.77"/>
    <n v="1"/>
    <n v="0.2"/>
    <n v="1"/>
    <n v="0.56827344304348804"/>
    <n v="0.2"/>
    <n v="0"/>
    <x v="0"/>
    <n v="0.90809149211963769"/>
    <n v="0"/>
    <n v="0"/>
  </r>
  <r>
    <x v="783"/>
    <n v="2.8125589424365498"/>
    <n v="3.77"/>
    <n v="2"/>
    <n v="0.2"/>
    <n v="2"/>
    <n v="1.130785231530798"/>
    <n v="0.4"/>
    <n v="0"/>
    <x v="0"/>
    <n v="0.90809149211963769"/>
    <n v="0"/>
    <n v="0"/>
  </r>
  <r>
    <x v="784"/>
    <n v="2.8873082715202201"/>
    <n v="3.77"/>
    <n v="5"/>
    <n v="0.2"/>
    <n v="3"/>
    <n v="1.7082468858348421"/>
    <n v="0.60000000000000009"/>
    <n v="0"/>
    <x v="0"/>
    <n v="0.90809149211963769"/>
    <n v="0"/>
    <n v="0"/>
  </r>
  <r>
    <x v="785"/>
    <n v="2.96123512742628"/>
    <n v="3.77"/>
    <n v="6"/>
    <n v="0.2"/>
    <n v="4"/>
    <n v="2.300493911320098"/>
    <n v="0.8"/>
    <n v="0"/>
    <x v="0"/>
    <n v="0.90809149211963769"/>
    <n v="0"/>
    <n v="0"/>
  </r>
  <r>
    <x v="786"/>
    <n v="3.0744144315737501"/>
    <n v="3.77"/>
    <n v="7"/>
    <n v="0.2"/>
    <n v="5"/>
    <n v="2.9153767976348481"/>
    <n v="1"/>
    <n v="2.9153767976348481"/>
    <x v="165"/>
    <n v="0.85462320236515188"/>
    <n v="-5.3468289754485809E-2"/>
    <n v="0"/>
  </r>
  <r>
    <x v="787"/>
    <n v="3.0256748636149999"/>
    <n v="3.94"/>
    <n v="1"/>
    <n v="0.2"/>
    <n v="1"/>
    <n v="0.60513497272299999"/>
    <n v="0.2"/>
    <n v="0"/>
    <x v="0"/>
    <n v="0.85462320236515188"/>
    <n v="0"/>
    <n v="0.16999999999999993"/>
  </r>
  <r>
    <x v="788"/>
    <n v="3.1185389251118698"/>
    <n v="3.94"/>
    <n v="2"/>
    <n v="0.2"/>
    <n v="2"/>
    <n v="1.228842757745374"/>
    <n v="0.4"/>
    <n v="0"/>
    <x v="0"/>
    <n v="0.85462320236515188"/>
    <n v="0"/>
    <n v="0.16999999999999993"/>
  </r>
  <r>
    <x v="789"/>
    <n v="3.0852280715370801"/>
    <n v="3.94"/>
    <n v="5"/>
    <n v="0.2"/>
    <n v="3"/>
    <n v="1.8458883720527901"/>
    <n v="0.60000000000000009"/>
    <n v="0"/>
    <x v="0"/>
    <n v="0.85462320236515188"/>
    <n v="0"/>
    <n v="0.16999999999999993"/>
  </r>
  <r>
    <x v="790"/>
    <n v="3.1292995796246399"/>
    <n v="3.94"/>
    <n v="6"/>
    <n v="0.2"/>
    <n v="4"/>
    <n v="2.471748287977718"/>
    <n v="0.8"/>
    <n v="0"/>
    <x v="0"/>
    <n v="0.85462320236515188"/>
    <n v="0"/>
    <n v="0.16999999999999993"/>
  </r>
  <r>
    <x v="791"/>
    <n v="3.1773446759928401"/>
    <n v="3.94"/>
    <n v="7"/>
    <n v="0.2"/>
    <n v="5"/>
    <n v="3.1072172231762858"/>
    <n v="1"/>
    <n v="3.1072172231762858"/>
    <x v="166"/>
    <n v="0.83278277682371415"/>
    <n v="-2.1840425541437725E-2"/>
    <n v="0.16999999999999993"/>
  </r>
  <r>
    <x v="792"/>
    <n v="3.0761153132050598"/>
    <n v="3.9249999999999998"/>
    <n v="1"/>
    <n v="0.2"/>
    <n v="1"/>
    <n v="0.61522306264101201"/>
    <n v="0.2"/>
    <n v="0"/>
    <x v="0"/>
    <n v="0.83278277682371415"/>
    <n v="0"/>
    <n v="-1.5000000000000124E-2"/>
  </r>
  <r>
    <x v="793"/>
    <n v="3.0919401279735599"/>
    <n v="3.9249999999999998"/>
    <n v="2"/>
    <n v="0.2"/>
    <n v="2"/>
    <n v="1.2336110882357241"/>
    <n v="0.4"/>
    <n v="0"/>
    <x v="0"/>
    <n v="0.83278277682371415"/>
    <n v="0"/>
    <n v="-1.5000000000000124E-2"/>
  </r>
  <r>
    <x v="794"/>
    <n v="3.0848485059502999"/>
    <n v="3.9249999999999998"/>
    <n v="5"/>
    <n v="0.2"/>
    <n v="3"/>
    <n v="1.8505807894257842"/>
    <n v="0.60000000000000009"/>
    <n v="0"/>
    <x v="0"/>
    <n v="0.83278277682371415"/>
    <n v="0"/>
    <n v="-1.5000000000000124E-2"/>
  </r>
  <r>
    <x v="795"/>
    <n v="3.0537402902567599"/>
    <n v="3.9249999999999998"/>
    <n v="6"/>
    <n v="0.2"/>
    <n v="4"/>
    <n v="2.4613288474771364"/>
    <n v="0.8"/>
    <n v="0"/>
    <x v="0"/>
    <n v="0.83278277682371415"/>
    <n v="0"/>
    <n v="-1.5000000000000124E-2"/>
  </r>
  <r>
    <x v="796"/>
    <n v="3.03216152423493"/>
    <n v="3.9249999999999998"/>
    <n v="7"/>
    <n v="0.2"/>
    <n v="5"/>
    <n v="3.0677611523241226"/>
    <n v="1"/>
    <n v="3.0677611523241226"/>
    <x v="167"/>
    <n v="0.85723884767587721"/>
    <n v="2.4456070852163059E-2"/>
    <n v="-1.5000000000000124E-2"/>
  </r>
  <r>
    <x v="797"/>
    <n v="3.0468019127231698"/>
    <n v="3.9449999999999994"/>
    <n v="1"/>
    <n v="0.2"/>
    <n v="1"/>
    <n v="0.60936038254463398"/>
    <n v="0.2"/>
    <n v="0"/>
    <x v="0"/>
    <n v="0.85723884767587721"/>
    <n v="0"/>
    <n v="1.9999999999999574E-2"/>
  </r>
  <r>
    <x v="798"/>
    <n v="2.9822174038917302"/>
    <n v="3.9449999999999994"/>
    <n v="2"/>
    <n v="0.2"/>
    <n v="2"/>
    <n v="1.2058038633229802"/>
    <n v="0.4"/>
    <n v="0"/>
    <x v="0"/>
    <n v="0.85723884767587721"/>
    <n v="0"/>
    <n v="1.9999999999999574E-2"/>
  </r>
  <r>
    <x v="799"/>
    <n v="3.0761568887156101"/>
    <n v="3.9449999999999994"/>
    <n v="5"/>
    <n v="0.2"/>
    <n v="3"/>
    <n v="1.8210352410661024"/>
    <n v="0.60000000000000009"/>
    <n v="0"/>
    <x v="0"/>
    <n v="0.85723884767587721"/>
    <n v="0"/>
    <n v="1.9999999999999574E-2"/>
  </r>
  <r>
    <x v="800"/>
    <n v="3.1219045210798799"/>
    <n v="3.9449999999999994"/>
    <n v="6"/>
    <n v="0.2"/>
    <n v="4"/>
    <n v="2.4454161452820786"/>
    <n v="0.8"/>
    <n v="0"/>
    <x v="0"/>
    <n v="0.85723884767587721"/>
    <n v="0"/>
    <n v="1.9999999999999574E-2"/>
  </r>
  <r>
    <x v="801"/>
    <n v="3.0912606104251101"/>
    <n v="3.9449999999999994"/>
    <n v="7"/>
    <n v="0.2"/>
    <n v="5"/>
    <n v="3.0636682673671007"/>
    <n v="1"/>
    <n v="3.0636682673671007"/>
    <x v="168"/>
    <n v="0.88133173263289866"/>
    <n v="2.4092884957021443E-2"/>
    <n v="1.9999999999999574E-2"/>
  </r>
  <r>
    <x v="802"/>
    <n v="3.1158923075545402"/>
    <n v="3.98"/>
    <n v="1"/>
    <n v="0.2"/>
    <n v="1"/>
    <n v="0.62317846151090805"/>
    <n v="0.2"/>
    <n v="0"/>
    <x v="0"/>
    <n v="0.88133173263289866"/>
    <n v="0"/>
    <n v="3.5000000000000586E-2"/>
  </r>
  <r>
    <x v="803"/>
    <n v="3.2022687944333499"/>
    <n v="3.98"/>
    <n v="2"/>
    <n v="0.2"/>
    <n v="2"/>
    <n v="1.2636322203975781"/>
    <n v="0.4"/>
    <n v="0"/>
    <x v="0"/>
    <n v="0.88133173263289866"/>
    <n v="0"/>
    <n v="3.5000000000000586E-2"/>
  </r>
  <r>
    <x v="804"/>
    <n v="3.0851869199683102"/>
    <n v="3.98"/>
    <n v="5"/>
    <n v="0.2"/>
    <n v="3"/>
    <n v="1.8806696043912401"/>
    <n v="0.60000000000000009"/>
    <n v="0"/>
    <x v="0"/>
    <n v="0.88133173263289866"/>
    <n v="0"/>
    <n v="3.5000000000000586E-2"/>
  </r>
  <r>
    <x v="805"/>
    <n v="3.0732804432921599"/>
    <n v="3.98"/>
    <n v="6"/>
    <n v="0.2"/>
    <n v="4"/>
    <n v="2.4953256930496721"/>
    <n v="0.8"/>
    <n v="0"/>
    <x v="0"/>
    <n v="0.88133173263289866"/>
    <n v="0"/>
    <n v="3.5000000000000586E-2"/>
  </r>
  <r>
    <x v="806"/>
    <n v="3.16276525236256"/>
    <n v="3.98"/>
    <n v="7"/>
    <n v="0.2"/>
    <n v="5"/>
    <n v="3.1278787435221842"/>
    <n v="1"/>
    <n v="3.1278787435221842"/>
    <x v="169"/>
    <n v="0.85212125647781578"/>
    <n v="-2.9210476155082876E-2"/>
    <n v="3.5000000000000586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8" applyNumberFormats="0" applyBorderFormats="0" applyFontFormats="0" applyPatternFormats="0" applyAlignmentFormats="0" applyWidthHeightFormats="1" dataCaption="Values" updatedVersion="4" minRefreshableVersion="3" showDrill="0" useAutoFormatting="1" itemPrintTitles="1" createdVersion="4" indent="0" showHeaders="0" outline="1" outlineData="1" multipleFieldFilters="0" chartFormat="11">
  <location ref="A3:C173" firstHeaderRow="0" firstDataRow="1" firstDataCol="1" rowPageCount="1" colPageCount="1"/>
  <pivotFields count="13">
    <pivotField axis="axisRow" showAll="0">
      <items count="8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468">
        <item m="1" x="281"/>
        <item m="1" x="377"/>
        <item m="1" x="249"/>
        <item m="1" x="229"/>
        <item m="1" x="335"/>
        <item m="1" x="296"/>
        <item m="1" x="406"/>
        <item m="1" x="342"/>
        <item m="1" x="287"/>
        <item m="1" x="362"/>
        <item m="1" x="464"/>
        <item m="1" x="245"/>
        <item m="1" x="217"/>
        <item m="1" x="404"/>
        <item m="1" x="263"/>
        <item m="1" x="304"/>
        <item m="1" x="312"/>
        <item m="1" x="318"/>
        <item m="1" x="415"/>
        <item m="1" x="345"/>
        <item m="1" x="426"/>
        <item m="1" x="319"/>
        <item m="1" x="320"/>
        <item m="1" x="428"/>
        <item m="1" x="337"/>
        <item m="1" x="235"/>
        <item m="1" x="451"/>
        <item m="1" x="218"/>
        <item m="1" x="391"/>
        <item m="1" x="203"/>
        <item m="1" x="211"/>
        <item m="1" x="197"/>
        <item m="1" x="421"/>
        <item m="1" x="341"/>
        <item m="1" x="346"/>
        <item m="1" x="437"/>
        <item m="1" x="384"/>
        <item m="1" x="284"/>
        <item m="1" x="458"/>
        <item m="1" x="321"/>
        <item m="1" x="431"/>
        <item m="1" x="198"/>
        <item m="1" x="331"/>
        <item m="1" x="459"/>
        <item m="1" x="241"/>
        <item m="1" x="460"/>
        <item m="1" x="264"/>
        <item m="1" x="231"/>
        <item m="1" x="301"/>
        <item m="1" x="242"/>
        <item m="1" x="172"/>
        <item m="1" x="219"/>
        <item m="1" x="314"/>
        <item m="1" x="439"/>
        <item m="1" x="189"/>
        <item m="1" x="220"/>
        <item m="1" x="363"/>
        <item m="1" x="408"/>
        <item m="1" x="300"/>
        <item m="1" x="347"/>
        <item m="1" x="445"/>
        <item m="1" x="228"/>
        <item m="1" x="375"/>
        <item m="1" x="364"/>
        <item m="1" x="221"/>
        <item m="1" x="179"/>
        <item m="1" x="348"/>
        <item m="1" x="265"/>
        <item m="1" x="465"/>
        <item m="1" x="194"/>
        <item m="1" x="339"/>
        <item m="1" x="243"/>
        <item m="1" x="199"/>
        <item m="1" x="266"/>
        <item m="1" x="398"/>
        <item m="1" x="326"/>
        <item m="1" x="315"/>
        <item m="1" x="394"/>
        <item m="1" x="252"/>
        <item m="1" x="188"/>
        <item m="1" x="365"/>
        <item m="1" x="446"/>
        <item m="1" x="361"/>
        <item m="1" x="354"/>
        <item m="1" x="383"/>
        <item m="1" x="440"/>
        <item m="1" x="454"/>
        <item m="1" x="190"/>
        <item m="1" x="323"/>
        <item m="1" x="376"/>
        <item m="1" x="409"/>
        <item m="1" x="448"/>
        <item m="1" x="261"/>
        <item m="1" x="316"/>
        <item m="1" x="412"/>
        <item m="1" x="293"/>
        <item m="1" x="450"/>
        <item m="1" x="340"/>
        <item m="1" x="310"/>
        <item m="1" x="178"/>
        <item m="1" x="435"/>
        <item m="1" x="313"/>
        <item m="1" x="447"/>
        <item m="1" x="358"/>
        <item m="1" x="230"/>
        <item m="1" x="274"/>
        <item m="1" x="441"/>
        <item m="1" x="378"/>
        <item m="1" x="332"/>
        <item m="1" x="387"/>
        <item m="1" x="442"/>
        <item m="1" x="305"/>
        <item m="1" x="262"/>
        <item m="1" x="461"/>
        <item m="1" x="237"/>
        <item m="1" x="366"/>
        <item m="1" x="443"/>
        <item m="1" x="424"/>
        <item m="1" x="238"/>
        <item m="1" x="175"/>
        <item m="1" x="427"/>
        <item m="1" x="244"/>
        <item m="1" x="270"/>
        <item m="1" x="379"/>
        <item m="1" x="368"/>
        <item m="1" x="306"/>
        <item m="1" x="403"/>
        <item m="1" x="462"/>
        <item m="1" x="399"/>
        <item m="1" x="463"/>
        <item m="1" x="200"/>
        <item m="1" x="298"/>
        <item m="1" x="260"/>
        <item m="1" x="275"/>
        <item m="1" x="425"/>
        <item m="1" x="206"/>
        <item m="1" x="416"/>
        <item m="1" x="224"/>
        <item m="1" x="429"/>
        <item m="1" x="216"/>
        <item m="1" x="171"/>
        <item m="1" x="329"/>
        <item m="1" x="277"/>
        <item h="1" x="0"/>
        <item m="1" x="438"/>
        <item m="1" x="276"/>
        <item m="1" x="309"/>
        <item m="1" x="299"/>
        <item m="1" x="360"/>
        <item m="1" x="367"/>
        <item m="1" x="173"/>
        <item m="1" x="411"/>
        <item h="1" m="1" x="324"/>
        <item m="1" x="250"/>
        <item m="1" x="334"/>
        <item m="1" x="259"/>
        <item m="1" x="286"/>
        <item m="1" x="396"/>
        <item m="1" x="232"/>
        <item m="1" x="338"/>
        <item m="1" x="193"/>
        <item m="1" x="385"/>
        <item m="1" x="174"/>
        <item m="1" x="280"/>
        <item m="1" x="186"/>
        <item m="1" x="466"/>
        <item m="1" x="355"/>
        <item m="1" x="382"/>
        <item m="1" x="267"/>
        <item m="1" x="294"/>
        <item m="1" x="405"/>
        <item m="1" x="325"/>
        <item m="1" x="381"/>
        <item m="1" x="180"/>
        <item m="1" x="356"/>
        <item m="1" x="419"/>
        <item m="1" x="209"/>
        <item m="1" x="349"/>
        <item m="1" x="303"/>
        <item m="1" x="255"/>
        <item m="1" x="291"/>
        <item m="1" x="248"/>
        <item m="1" x="302"/>
        <item m="1" x="327"/>
        <item m="1" x="295"/>
        <item m="1" x="205"/>
        <item m="1" x="328"/>
        <item m="1" x="357"/>
        <item m="1" x="290"/>
        <item m="1" x="423"/>
        <item m="1" x="204"/>
        <item m="1" x="453"/>
        <item m="1" x="269"/>
        <item m="1" x="182"/>
        <item m="1" x="444"/>
        <item m="1" x="225"/>
        <item m="1" x="210"/>
        <item m="1" x="214"/>
        <item m="1" x="177"/>
        <item m="1" x="170"/>
        <item m="1" x="307"/>
        <item m="1" x="196"/>
        <item m="1" x="380"/>
        <item m="1" x="457"/>
        <item m="1" x="247"/>
        <item m="1" x="236"/>
        <item m="1" x="422"/>
        <item m="1" x="223"/>
        <item m="1" x="253"/>
        <item m="1" x="420"/>
        <item m="1" x="390"/>
        <item m="1" x="351"/>
        <item m="1" x="369"/>
        <item m="1" x="402"/>
        <item m="1" x="184"/>
        <item m="1" x="285"/>
        <item m="1" x="434"/>
        <item m="1" x="418"/>
        <item m="1" x="417"/>
        <item m="1" x="330"/>
        <item m="1" x="395"/>
        <item m="1" x="213"/>
        <item m="1" x="374"/>
        <item m="1" x="208"/>
        <item m="1" x="292"/>
        <item m="1" x="272"/>
        <item m="1" x="432"/>
        <item m="1" x="455"/>
        <item m="1" x="201"/>
        <item m="1" x="336"/>
        <item m="1" x="192"/>
        <item m="1" x="234"/>
        <item m="1" x="388"/>
        <item m="1" x="407"/>
        <item m="1" x="215"/>
        <item m="1" x="195"/>
        <item m="1" x="359"/>
        <item m="1" x="289"/>
        <item m="1" x="392"/>
        <item m="1" x="282"/>
        <item m="1" x="191"/>
        <item m="1" x="183"/>
        <item m="1" x="176"/>
        <item m="1" x="226"/>
        <item m="1" x="233"/>
        <item m="1" x="254"/>
        <item m="1" x="410"/>
        <item m="1" x="257"/>
        <item m="1" x="433"/>
        <item m="1" x="370"/>
        <item m="1" x="430"/>
        <item m="1" x="449"/>
        <item m="1" x="246"/>
        <item m="1" x="258"/>
        <item m="1" x="436"/>
        <item m="1" x="271"/>
        <item m="1" x="240"/>
        <item m="1" x="222"/>
        <item m="1" x="288"/>
        <item m="1" x="371"/>
        <item m="1" x="311"/>
        <item m="1" x="456"/>
        <item m="1" x="256"/>
        <item m="1" x="278"/>
        <item m="1" x="414"/>
        <item m="1" x="239"/>
        <item m="1" x="273"/>
        <item m="1" x="317"/>
        <item m="1" x="393"/>
        <item m="1" x="268"/>
        <item m="1" x="401"/>
        <item m="1" x="202"/>
        <item m="1" x="400"/>
        <item m="1" x="413"/>
        <item m="1" x="279"/>
        <item m="1" x="333"/>
        <item m="1" x="352"/>
        <item m="1" x="251"/>
        <item m="1" x="353"/>
        <item m="1" x="283"/>
        <item m="1" x="212"/>
        <item m="1" x="344"/>
        <item m="1" x="372"/>
        <item m="1" x="308"/>
        <item m="1" x="386"/>
        <item m="1" x="343"/>
        <item m="1" x="397"/>
        <item m="1" x="297"/>
        <item m="1" x="373"/>
        <item m="1" x="187"/>
        <item m="1" x="227"/>
        <item m="1" x="185"/>
        <item m="1" x="207"/>
        <item m="1" x="322"/>
        <item m="1" x="181"/>
        <item m="1" x="389"/>
        <item m="1" x="452"/>
        <item m="1" x="35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t="default"/>
      </items>
    </pivotField>
    <pivotField showAll="0" defaultSubtotal="0"/>
    <pivotField showAll="0" defaultSubtotal="0"/>
    <pivotField showAll="0" defaultSubtotal="0"/>
  </pivotFields>
  <rowFields count="1">
    <field x="0"/>
  </rowFields>
  <rowItems count="170">
    <i>
      <x v="5"/>
    </i>
    <i>
      <x v="10"/>
    </i>
    <i>
      <x v="15"/>
    </i>
    <i>
      <x v="20"/>
    </i>
    <i>
      <x v="25"/>
    </i>
    <i>
      <x v="30"/>
    </i>
    <i>
      <x v="35"/>
    </i>
    <i>
      <x v="39"/>
    </i>
    <i>
      <x v="44"/>
    </i>
    <i>
      <x v="49"/>
    </i>
    <i>
      <x v="54"/>
    </i>
    <i>
      <x v="59"/>
    </i>
    <i>
      <x v="63"/>
    </i>
    <i>
      <x v="68"/>
    </i>
    <i>
      <x v="73"/>
    </i>
    <i>
      <x v="78"/>
    </i>
    <i>
      <x v="83"/>
    </i>
    <i>
      <x v="88"/>
    </i>
    <i>
      <x v="93"/>
    </i>
    <i>
      <x v="98"/>
    </i>
    <i>
      <x v="103"/>
    </i>
    <i>
      <x v="107"/>
    </i>
    <i>
      <x v="112"/>
    </i>
    <i>
      <x v="117"/>
    </i>
    <i>
      <x v="122"/>
    </i>
    <i>
      <x v="127"/>
    </i>
    <i>
      <x v="131"/>
    </i>
    <i>
      <x v="136"/>
    </i>
    <i>
      <x v="141"/>
    </i>
    <i>
      <x v="145"/>
    </i>
    <i>
      <x v="150"/>
    </i>
    <i>
      <x v="154"/>
    </i>
    <i>
      <x v="158"/>
    </i>
    <i>
      <x v="162"/>
    </i>
    <i>
      <x v="167"/>
    </i>
    <i>
      <x v="172"/>
    </i>
    <i>
      <x v="177"/>
    </i>
    <i>
      <x v="181"/>
    </i>
    <i>
      <x v="185"/>
    </i>
    <i>
      <x v="190"/>
    </i>
    <i>
      <x v="195"/>
    </i>
    <i>
      <x v="199"/>
    </i>
    <i>
      <x v="204"/>
    </i>
    <i>
      <x v="209"/>
    </i>
    <i>
      <x v="214"/>
    </i>
    <i>
      <x v="218"/>
    </i>
    <i>
      <x v="223"/>
    </i>
    <i>
      <x v="228"/>
    </i>
    <i>
      <x v="233"/>
    </i>
    <i>
      <x v="238"/>
    </i>
    <i>
      <x v="243"/>
    </i>
    <i>
      <x v="247"/>
    </i>
    <i>
      <x v="252"/>
    </i>
    <i>
      <x v="257"/>
    </i>
    <i>
      <x v="262"/>
    </i>
    <i>
      <x v="267"/>
    </i>
    <i>
      <x v="272"/>
    </i>
    <i>
      <x v="277"/>
    </i>
    <i>
      <x v="282"/>
    </i>
    <i>
      <x v="286"/>
    </i>
    <i>
      <x v="291"/>
    </i>
    <i>
      <x v="296"/>
    </i>
    <i>
      <x v="301"/>
    </i>
    <i>
      <x v="306"/>
    </i>
    <i>
      <x v="310"/>
    </i>
    <i>
      <x v="314"/>
    </i>
    <i>
      <x v="319"/>
    </i>
    <i>
      <x v="324"/>
    </i>
    <i>
      <x v="329"/>
    </i>
    <i>
      <x v="334"/>
    </i>
    <i>
      <x v="339"/>
    </i>
    <i>
      <x v="344"/>
    </i>
    <i>
      <x v="349"/>
    </i>
    <i>
      <x v="353"/>
    </i>
    <i>
      <x v="358"/>
    </i>
    <i>
      <x v="363"/>
    </i>
    <i>
      <x v="368"/>
    </i>
    <i>
      <x v="373"/>
    </i>
    <i>
      <x v="378"/>
    </i>
    <i>
      <x v="382"/>
    </i>
    <i>
      <x v="387"/>
    </i>
    <i>
      <x v="392"/>
    </i>
    <i>
      <x v="397"/>
    </i>
    <i>
      <x v="401"/>
    </i>
    <i>
      <x v="406"/>
    </i>
    <i>
      <x v="410"/>
    </i>
    <i>
      <x v="414"/>
    </i>
    <i>
      <x v="419"/>
    </i>
    <i>
      <x v="424"/>
    </i>
    <i>
      <x v="428"/>
    </i>
    <i>
      <x v="432"/>
    </i>
    <i>
      <x v="437"/>
    </i>
    <i>
      <x v="442"/>
    </i>
    <i>
      <x v="446"/>
    </i>
    <i>
      <x v="451"/>
    </i>
    <i>
      <x v="456"/>
    </i>
    <i>
      <x v="461"/>
    </i>
    <i>
      <x v="465"/>
    </i>
    <i>
      <x v="470"/>
    </i>
    <i>
      <x v="475"/>
    </i>
    <i>
      <x v="480"/>
    </i>
    <i>
      <x v="485"/>
    </i>
    <i>
      <x v="490"/>
    </i>
    <i>
      <x v="495"/>
    </i>
    <i>
      <x v="500"/>
    </i>
    <i>
      <x v="505"/>
    </i>
    <i>
      <x v="509"/>
    </i>
    <i>
      <x v="514"/>
    </i>
    <i>
      <x v="519"/>
    </i>
    <i>
      <x v="524"/>
    </i>
    <i>
      <x v="529"/>
    </i>
    <i>
      <x v="533"/>
    </i>
    <i>
      <x v="538"/>
    </i>
    <i>
      <x v="543"/>
    </i>
    <i>
      <x v="548"/>
    </i>
    <i>
      <x v="553"/>
    </i>
    <i>
      <x v="558"/>
    </i>
    <i>
      <x v="562"/>
    </i>
    <i>
      <x v="567"/>
    </i>
    <i>
      <x v="572"/>
    </i>
    <i>
      <x v="577"/>
    </i>
    <i>
      <x v="582"/>
    </i>
    <i>
      <x v="587"/>
    </i>
    <i>
      <x v="592"/>
    </i>
    <i>
      <x v="597"/>
    </i>
    <i>
      <x v="601"/>
    </i>
    <i>
      <x v="606"/>
    </i>
    <i>
      <x v="611"/>
    </i>
    <i>
      <x v="616"/>
    </i>
    <i>
      <x v="621"/>
    </i>
    <i>
      <x v="626"/>
    </i>
    <i>
      <x v="630"/>
    </i>
    <i>
      <x v="635"/>
    </i>
    <i>
      <x v="640"/>
    </i>
    <i>
      <x v="645"/>
    </i>
    <i>
      <x v="649"/>
    </i>
    <i>
      <x v="654"/>
    </i>
    <i>
      <x v="658"/>
    </i>
    <i>
      <x v="662"/>
    </i>
    <i>
      <x v="667"/>
    </i>
    <i>
      <x v="672"/>
    </i>
    <i>
      <x v="677"/>
    </i>
    <i>
      <x v="680"/>
    </i>
    <i>
      <x v="684"/>
    </i>
    <i>
      <x v="689"/>
    </i>
    <i>
      <x v="693"/>
    </i>
    <i>
      <x v="698"/>
    </i>
    <i>
      <x v="703"/>
    </i>
    <i>
      <x v="708"/>
    </i>
    <i>
      <x v="712"/>
    </i>
    <i>
      <x v="717"/>
    </i>
    <i>
      <x v="722"/>
    </i>
    <i>
      <x v="727"/>
    </i>
    <i>
      <x v="732"/>
    </i>
    <i>
      <x v="737"/>
    </i>
    <i>
      <x v="742"/>
    </i>
    <i>
      <x v="747"/>
    </i>
    <i>
      <x v="752"/>
    </i>
    <i>
      <x v="757"/>
    </i>
    <i>
      <x v="762"/>
    </i>
    <i>
      <x v="767"/>
    </i>
    <i>
      <x v="772"/>
    </i>
    <i>
      <x v="777"/>
    </i>
    <i>
      <x v="781"/>
    </i>
    <i>
      <x v="786"/>
    </i>
    <i>
      <x v="791"/>
    </i>
    <i>
      <x v="796"/>
    </i>
    <i>
      <x v="801"/>
    </i>
    <i>
      <x v="806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FHLMC Survey Rate" fld="2" subtotal="average" baseField="0" baseItem="0"/>
    <dataField name="Implied Servicing Spread " fld="9" subtotal="average" baseField="0" baseItem="0"/>
  </dataFields>
  <chartFormats count="2">
    <chartFormat chart="2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F3:H173" firstHeaderRow="0" firstDataRow="1" firstDataCol="1" rowPageCount="1" colPageCount="1"/>
  <pivotFields count="13">
    <pivotField axis="axisRow" showAll="0" sortType="descending">
      <items count="808"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ame="Changes" axis="axisPage" showAll="0">
      <items count="468">
        <item h="1" x="0"/>
        <item m="1" x="281"/>
        <item m="1" x="377"/>
        <item m="1" x="249"/>
        <item m="1" x="229"/>
        <item m="1" x="237"/>
        <item m="1" x="335"/>
        <item m="1" x="378"/>
        <item m="1" x="412"/>
        <item m="1" x="256"/>
        <item m="1" x="253"/>
        <item m="1" x="273"/>
        <item m="1" x="448"/>
        <item m="1" x="277"/>
        <item m="1" x="296"/>
        <item m="1" x="366"/>
        <item m="1" x="406"/>
        <item m="1" x="413"/>
        <item m="1" x="342"/>
        <item m="1" x="435"/>
        <item m="1" x="387"/>
        <item m="1" x="358"/>
        <item m="1" x="461"/>
        <item m="1" x="414"/>
        <item x="116"/>
        <item m="1" x="287"/>
        <item m="1" x="462"/>
        <item m="1" x="270"/>
        <item m="1" x="238"/>
        <item m="1" x="200"/>
        <item m="1" x="424"/>
        <item m="1" x="282"/>
        <item x="117"/>
        <item m="1" x="316"/>
        <item m="1" x="239"/>
        <item m="1" x="244"/>
        <item x="121"/>
        <item m="1" x="215"/>
        <item m="1" x="388"/>
        <item m="1" x="449"/>
        <item x="127"/>
        <item m="1" x="379"/>
        <item m="1" x="410"/>
        <item m="1" x="370"/>
        <item m="1" x="441"/>
        <item m="1" x="463"/>
        <item m="1" x="389"/>
        <item x="85"/>
        <item m="1" x="362"/>
        <item x="115"/>
        <item x="119"/>
        <item x="75"/>
        <item m="1" x="278"/>
        <item m="1" x="268"/>
        <item m="1" x="420"/>
        <item x="113"/>
        <item m="1" x="399"/>
        <item m="1" x="279"/>
        <item m="1" x="230"/>
        <item m="1" x="350"/>
        <item x="102"/>
        <item m="1" x="216"/>
        <item m="1" x="464"/>
        <item m="1" x="390"/>
        <item x="96"/>
        <item x="129"/>
        <item m="1" x="240"/>
        <item x="118"/>
        <item m="1" x="442"/>
        <item x="107"/>
        <item x="97"/>
        <item m="1" x="201"/>
        <item x="128"/>
        <item m="1" x="336"/>
        <item m="1" x="206"/>
        <item m="1" x="292"/>
        <item x="58"/>
        <item m="1" x="310"/>
        <item x="88"/>
        <item x="124"/>
        <item m="1" x="261"/>
        <item x="59"/>
        <item m="1" x="245"/>
        <item m="1" x="455"/>
        <item x="101"/>
        <item x="122"/>
        <item m="1" x="254"/>
        <item m="1" x="430"/>
        <item x="114"/>
        <item m="1" x="202"/>
        <item x="86"/>
        <item x="78"/>
        <item m="1" x="217"/>
        <item x="109"/>
        <item m="1" x="359"/>
        <item m="1" x="332"/>
        <item x="50"/>
        <item x="90"/>
        <item x="111"/>
        <item x="79"/>
        <item x="125"/>
        <item m="1" x="425"/>
        <item m="1" x="343"/>
        <item m="1" x="262"/>
        <item x="123"/>
        <item x="100"/>
        <item m="1" x="404"/>
        <item x="76"/>
        <item m="1" x="263"/>
        <item m="1" x="233"/>
        <item x="95"/>
        <item m="1" x="400"/>
        <item m="1" x="304"/>
        <item m="1" x="317"/>
        <item x="112"/>
        <item x="98"/>
        <item m="1" x="395"/>
        <item x="93"/>
        <item m="1" x="175"/>
        <item m="1" x="371"/>
        <item m="1" x="311"/>
        <item m="1" x="312"/>
        <item x="103"/>
        <item x="110"/>
        <item x="80"/>
        <item x="73"/>
        <item m="1" x="257"/>
        <item m="1" x="195"/>
        <item m="1" x="401"/>
        <item m="1" x="372"/>
        <item m="1" x="318"/>
        <item m="1" x="288"/>
        <item m="1" x="181"/>
        <item x="120"/>
        <item m="1" x="173"/>
        <item m="1" x="344"/>
        <item m="1" x="351"/>
        <item x="92"/>
        <item m="1" x="176"/>
        <item x="83"/>
        <item m="1" x="305"/>
        <item m="1" x="333"/>
        <item m="1" x="368"/>
        <item x="136"/>
        <item x="81"/>
        <item x="105"/>
        <item m="1" x="271"/>
        <item x="130"/>
        <item m="1" x="222"/>
        <item m="1" x="415"/>
        <item m="1" x="443"/>
        <item m="1" x="393"/>
        <item m="1" x="258"/>
        <item m="1" x="352"/>
        <item x="87"/>
        <item m="1" x="246"/>
        <item m="1" x="345"/>
        <item m="1" x="426"/>
        <item m="1" x="416"/>
        <item m="1" x="208"/>
        <item m="1" x="450"/>
        <item m="1" x="456"/>
        <item x="1"/>
        <item x="152"/>
        <item m="1" x="427"/>
        <item m="1" x="407"/>
        <item m="1" x="223"/>
        <item m="1" x="402"/>
        <item x="142"/>
        <item m="1" x="224"/>
        <item x="108"/>
        <item x="106"/>
        <item m="1" x="225"/>
        <item x="94"/>
        <item m="1" x="306"/>
        <item m="1" x="329"/>
        <item x="82"/>
        <item m="1" x="289"/>
        <item x="49"/>
        <item x="77"/>
        <item x="89"/>
        <item x="137"/>
        <item x="135"/>
        <item m="1" x="234"/>
        <item m="1" x="319"/>
        <item x="126"/>
        <item m="1" x="226"/>
        <item m="1" x="320"/>
        <item m="1" x="307"/>
        <item m="1" x="210"/>
        <item m="1" x="177"/>
        <item m="1" x="170"/>
        <item x="54"/>
        <item x="139"/>
        <item m="1" x="212"/>
        <item m="1" x="428"/>
        <item m="1" x="337"/>
        <item m="1" x="178"/>
        <item x="150"/>
        <item x="47"/>
        <item m="1" x="235"/>
        <item x="141"/>
        <item m="1" x="308"/>
        <item m="1" x="183"/>
        <item m="1" x="457"/>
        <item x="61"/>
        <item x="67"/>
        <item x="51"/>
        <item m="1" x="451"/>
        <item x="63"/>
        <item m="1" x="429"/>
        <item m="1" x="417"/>
        <item m="1" x="218"/>
        <item x="104"/>
        <item m="1" x="247"/>
        <item m="1" x="391"/>
        <item x="91"/>
        <item m="1" x="392"/>
        <item m="1" x="272"/>
        <item x="134"/>
        <item x="70"/>
        <item x="46"/>
        <item m="1" x="293"/>
        <item m="1" x="213"/>
        <item x="60"/>
        <item m="1" x="313"/>
        <item m="1" x="203"/>
        <item m="1" x="196"/>
        <item x="48"/>
        <item x="66"/>
        <item m="1" x="340"/>
        <item m="1" x="191"/>
        <item x="154"/>
        <item x="99"/>
        <item m="1" x="274"/>
        <item m="1" x="250"/>
        <item x="45"/>
        <item m="1" x="283"/>
        <item m="1" x="436"/>
        <item m="1" x="447"/>
        <item x="72"/>
        <item m="1" x="211"/>
        <item m="1" x="444"/>
        <item m="1" x="380"/>
        <item m="1" x="197"/>
        <item m="1" x="330"/>
        <item x="68"/>
        <item m="1" x="421"/>
        <item m="1" x="341"/>
        <item m="1" x="403"/>
        <item m="1" x="346"/>
        <item x="52"/>
        <item x="84"/>
        <item x="138"/>
        <item x="133"/>
        <item x="153"/>
        <item m="1" x="437"/>
        <item x="53"/>
        <item m="1" x="384"/>
        <item m="1" x="284"/>
        <item m="1" x="297"/>
        <item x="57"/>
        <item m="1" x="192"/>
        <item x="69"/>
        <item m="1" x="259"/>
        <item x="5"/>
        <item m="1" x="334"/>
        <item x="143"/>
        <item m="1" x="458"/>
        <item x="131"/>
        <item m="1" x="321"/>
        <item m="1" x="431"/>
        <item x="44"/>
        <item m="1" x="285"/>
        <item m="1" x="198"/>
        <item x="140"/>
        <item x="56"/>
        <item x="71"/>
        <item x="65"/>
        <item m="1" x="286"/>
        <item m="1" x="411"/>
        <item m="1" x="369"/>
        <item x="3"/>
        <item x="151"/>
        <item x="2"/>
        <item x="149"/>
        <item m="1" x="298"/>
        <item x="74"/>
        <item x="55"/>
        <item m="1" x="214"/>
        <item x="132"/>
        <item m="1" x="396"/>
        <item m="1" x="432"/>
        <item x="4"/>
        <item m="1" x="236"/>
        <item m="1" x="275"/>
        <item x="62"/>
        <item m="1" x="418"/>
        <item m="1" x="331"/>
        <item m="1" x="385"/>
        <item m="1" x="459"/>
        <item m="1" x="373"/>
        <item m="1" x="374"/>
        <item m="1" x="367"/>
        <item m="1" x="433"/>
        <item m="1" x="241"/>
        <item m="1" x="397"/>
        <item m="1" x="184"/>
        <item m="1" x="171"/>
        <item m="1" x="324"/>
        <item m="1" x="422"/>
        <item x="6"/>
        <item m="1" x="460"/>
        <item m="1" x="264"/>
        <item m="1" x="438"/>
        <item m="1" x="231"/>
        <item m="1" x="386"/>
        <item m="1" x="434"/>
        <item x="43"/>
        <item m="1" x="251"/>
        <item m="1" x="299"/>
        <item x="144"/>
        <item m="1" x="260"/>
        <item m="1" x="301"/>
        <item m="1" x="193"/>
        <item m="1" x="232"/>
        <item m="1" x="174"/>
        <item m="1" x="242"/>
        <item x="8"/>
        <item m="1" x="452"/>
        <item m="1" x="172"/>
        <item x="9"/>
        <item m="1" x="353"/>
        <item x="145"/>
        <item m="1" x="219"/>
        <item x="10"/>
        <item m="1" x="314"/>
        <item m="1" x="439"/>
        <item x="11"/>
        <item m="1" x="189"/>
        <item m="1" x="338"/>
        <item x="20"/>
        <item x="12"/>
        <item m="1" x="322"/>
        <item m="1" x="220"/>
        <item m="1" x="280"/>
        <item m="1" x="363"/>
        <item m="1" x="185"/>
        <item x="64"/>
        <item x="147"/>
        <item m="1" x="405"/>
        <item m="1" x="325"/>
        <item m="1" x="408"/>
        <item m="1" x="309"/>
        <item m="1" x="186"/>
        <item x="42"/>
        <item m="1" x="207"/>
        <item x="13"/>
        <item m="1" x="182"/>
        <item m="1" x="300"/>
        <item m="1" x="276"/>
        <item m="1" x="347"/>
        <item m="1" x="227"/>
        <item m="1" x="445"/>
        <item m="1" x="187"/>
        <item x="148"/>
        <item m="1" x="269"/>
        <item x="7"/>
        <item x="146"/>
        <item x="41"/>
        <item x="40"/>
        <item x="14"/>
        <item m="1" x="228"/>
        <item x="19"/>
        <item m="1" x="294"/>
        <item m="1" x="375"/>
        <item m="1" x="364"/>
        <item m="1" x="355"/>
        <item x="15"/>
        <item x="21"/>
        <item x="23"/>
        <item m="1" x="221"/>
        <item m="1" x="453"/>
        <item m="1" x="179"/>
        <item m="1" x="356"/>
        <item m="1" x="360"/>
        <item m="1" x="348"/>
        <item m="1" x="265"/>
        <item m="1" x="465"/>
        <item m="1" x="290"/>
        <item m="1" x="204"/>
        <item m="1" x="194"/>
        <item m="1" x="339"/>
        <item m="1" x="243"/>
        <item m="1" x="199"/>
        <item m="1" x="381"/>
        <item m="1" x="466"/>
        <item x="18"/>
        <item x="22"/>
        <item m="1" x="180"/>
        <item x="37"/>
        <item m="1" x="295"/>
        <item m="1" x="266"/>
        <item m="1" x="398"/>
        <item x="36"/>
        <item x="38"/>
        <item x="39"/>
        <item m="1" x="357"/>
        <item x="16"/>
        <item m="1" x="423"/>
        <item x="30"/>
        <item m="1" x="326"/>
        <item m="1" x="315"/>
        <item x="17"/>
        <item m="1" x="302"/>
        <item x="29"/>
        <item m="1" x="394"/>
        <item m="1" x="419"/>
        <item m="1" x="291"/>
        <item m="1" x="252"/>
        <item x="31"/>
        <item x="24"/>
        <item m="1" x="267"/>
        <item m="1" x="188"/>
        <item x="33"/>
        <item m="1" x="365"/>
        <item m="1" x="446"/>
        <item m="1" x="382"/>
        <item x="34"/>
        <item m="1" x="248"/>
        <item m="1" x="327"/>
        <item m="1" x="361"/>
        <item m="1" x="354"/>
        <item m="1" x="255"/>
        <item x="32"/>
        <item x="35"/>
        <item m="1" x="328"/>
        <item m="1" x="383"/>
        <item m="1" x="440"/>
        <item m="1" x="303"/>
        <item m="1" x="454"/>
        <item m="1" x="205"/>
        <item x="28"/>
        <item m="1" x="190"/>
        <item x="27"/>
        <item x="25"/>
        <item x="26"/>
        <item m="1" x="323"/>
        <item m="1" x="209"/>
        <item m="1" x="349"/>
        <item m="1" x="376"/>
        <item m="1" x="409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t="default"/>
      </items>
    </pivotField>
    <pivotField showAll="0"/>
    <pivotField dataField="1" showAll="0"/>
    <pivotField dataField="1" showAll="0" defaultSubtotal="0"/>
  </pivotFields>
  <rowFields count="1">
    <field x="0"/>
  </rowFields>
  <rowItems count="170">
    <i>
      <x/>
    </i>
    <i>
      <x v="5"/>
    </i>
    <i>
      <x v="10"/>
    </i>
    <i>
      <x v="15"/>
    </i>
    <i>
      <x v="20"/>
    </i>
    <i>
      <x v="25"/>
    </i>
    <i>
      <x v="29"/>
    </i>
    <i>
      <x v="34"/>
    </i>
    <i>
      <x v="39"/>
    </i>
    <i>
      <x v="44"/>
    </i>
    <i>
      <x v="49"/>
    </i>
    <i>
      <x v="54"/>
    </i>
    <i>
      <x v="59"/>
    </i>
    <i>
      <x v="64"/>
    </i>
    <i>
      <x v="69"/>
    </i>
    <i>
      <x v="74"/>
    </i>
    <i>
      <x v="79"/>
    </i>
    <i>
      <x v="84"/>
    </i>
    <i>
      <x v="89"/>
    </i>
    <i>
      <x v="94"/>
    </i>
    <i>
      <x v="98"/>
    </i>
    <i>
      <x v="103"/>
    </i>
    <i>
      <x v="108"/>
    </i>
    <i>
      <x v="113"/>
    </i>
    <i>
      <x v="117"/>
    </i>
    <i>
      <x v="122"/>
    </i>
    <i>
      <x v="126"/>
    </i>
    <i>
      <x v="129"/>
    </i>
    <i>
      <x v="134"/>
    </i>
    <i>
      <x v="139"/>
    </i>
    <i>
      <x v="144"/>
    </i>
    <i>
      <x v="148"/>
    </i>
    <i>
      <x v="152"/>
    </i>
    <i>
      <x v="157"/>
    </i>
    <i>
      <x v="161"/>
    </i>
    <i>
      <x v="166"/>
    </i>
    <i>
      <x v="171"/>
    </i>
    <i>
      <x v="176"/>
    </i>
    <i>
      <x v="180"/>
    </i>
    <i>
      <x v="185"/>
    </i>
    <i>
      <x v="190"/>
    </i>
    <i>
      <x v="195"/>
    </i>
    <i>
      <x v="200"/>
    </i>
    <i>
      <x v="205"/>
    </i>
    <i>
      <x v="209"/>
    </i>
    <i>
      <x v="214"/>
    </i>
    <i>
      <x v="219"/>
    </i>
    <i>
      <x v="224"/>
    </i>
    <i>
      <x v="229"/>
    </i>
    <i>
      <x v="234"/>
    </i>
    <i>
      <x v="239"/>
    </i>
    <i>
      <x v="244"/>
    </i>
    <i>
      <x v="248"/>
    </i>
    <i>
      <x v="253"/>
    </i>
    <i>
      <x v="258"/>
    </i>
    <i>
      <x v="263"/>
    </i>
    <i>
      <x v="268"/>
    </i>
    <i>
      <x v="273"/>
    </i>
    <i>
      <x v="277"/>
    </i>
    <i>
      <x v="282"/>
    </i>
    <i>
      <x v="287"/>
    </i>
    <i>
      <x v="292"/>
    </i>
    <i>
      <x v="297"/>
    </i>
    <i>
      <x v="301"/>
    </i>
    <i>
      <x v="306"/>
    </i>
    <i>
      <x v="311"/>
    </i>
    <i>
      <x v="316"/>
    </i>
    <i>
      <x v="321"/>
    </i>
    <i>
      <x v="326"/>
    </i>
    <i>
      <x v="331"/>
    </i>
    <i>
      <x v="336"/>
    </i>
    <i>
      <x v="341"/>
    </i>
    <i>
      <x v="345"/>
    </i>
    <i>
      <x v="350"/>
    </i>
    <i>
      <x v="355"/>
    </i>
    <i>
      <x v="360"/>
    </i>
    <i>
      <x v="364"/>
    </i>
    <i>
      <x v="369"/>
    </i>
    <i>
      <x v="374"/>
    </i>
    <i>
      <x v="378"/>
    </i>
    <i>
      <x v="382"/>
    </i>
    <i>
      <x v="387"/>
    </i>
    <i>
      <x v="392"/>
    </i>
    <i>
      <x v="396"/>
    </i>
    <i>
      <x v="400"/>
    </i>
    <i>
      <x v="405"/>
    </i>
    <i>
      <x v="409"/>
    </i>
    <i>
      <x v="414"/>
    </i>
    <i>
      <x v="419"/>
    </i>
    <i>
      <x v="424"/>
    </i>
    <i>
      <x v="428"/>
    </i>
    <i>
      <x v="433"/>
    </i>
    <i>
      <x v="438"/>
    </i>
    <i>
      <x v="443"/>
    </i>
    <i>
      <x v="448"/>
    </i>
    <i>
      <x v="453"/>
    </i>
    <i>
      <x v="457"/>
    </i>
    <i>
      <x v="462"/>
    </i>
    <i>
      <x v="467"/>
    </i>
    <i>
      <x v="472"/>
    </i>
    <i>
      <x v="477"/>
    </i>
    <i>
      <x v="482"/>
    </i>
    <i>
      <x v="487"/>
    </i>
    <i>
      <x v="492"/>
    </i>
    <i>
      <x v="496"/>
    </i>
    <i>
      <x v="500"/>
    </i>
    <i>
      <x v="505"/>
    </i>
    <i>
      <x v="510"/>
    </i>
    <i>
      <x v="515"/>
    </i>
    <i>
      <x v="520"/>
    </i>
    <i>
      <x v="524"/>
    </i>
    <i>
      <x v="529"/>
    </i>
    <i>
      <x v="534"/>
    </i>
    <i>
      <x v="539"/>
    </i>
    <i>
      <x v="544"/>
    </i>
    <i>
      <x v="549"/>
    </i>
    <i>
      <x v="554"/>
    </i>
    <i>
      <x v="559"/>
    </i>
    <i>
      <x v="563"/>
    </i>
    <i>
      <x v="568"/>
    </i>
    <i>
      <x v="573"/>
    </i>
    <i>
      <x v="578"/>
    </i>
    <i>
      <x v="583"/>
    </i>
    <i>
      <x v="588"/>
    </i>
    <i>
      <x v="592"/>
    </i>
    <i>
      <x v="597"/>
    </i>
    <i>
      <x v="602"/>
    </i>
    <i>
      <x v="607"/>
    </i>
    <i>
      <x v="611"/>
    </i>
    <i>
      <x v="616"/>
    </i>
    <i>
      <x v="621"/>
    </i>
    <i>
      <x v="625"/>
    </i>
    <i>
      <x v="629"/>
    </i>
    <i>
      <x v="634"/>
    </i>
    <i>
      <x v="639"/>
    </i>
    <i>
      <x v="644"/>
    </i>
    <i>
      <x v="648"/>
    </i>
    <i>
      <x v="652"/>
    </i>
    <i>
      <x v="656"/>
    </i>
    <i>
      <x v="661"/>
    </i>
    <i>
      <x v="665"/>
    </i>
    <i>
      <x v="670"/>
    </i>
    <i>
      <x v="675"/>
    </i>
    <i>
      <x v="679"/>
    </i>
    <i>
      <x v="684"/>
    </i>
    <i>
      <x v="689"/>
    </i>
    <i>
      <x v="694"/>
    </i>
    <i>
      <x v="699"/>
    </i>
    <i>
      <x v="703"/>
    </i>
    <i>
      <x v="708"/>
    </i>
    <i>
      <x v="713"/>
    </i>
    <i>
      <x v="718"/>
    </i>
    <i>
      <x v="723"/>
    </i>
    <i>
      <x v="728"/>
    </i>
    <i>
      <x v="733"/>
    </i>
    <i>
      <x v="738"/>
    </i>
    <i>
      <x v="743"/>
    </i>
    <i>
      <x v="747"/>
    </i>
    <i>
      <x v="752"/>
    </i>
    <i>
      <x v="757"/>
    </i>
    <i>
      <x v="762"/>
    </i>
    <i>
      <x v="767"/>
    </i>
    <i>
      <x v="771"/>
    </i>
    <i>
      <x v="776"/>
    </i>
    <i>
      <x v="781"/>
    </i>
    <i>
      <x v="786"/>
    </i>
    <i>
      <x v="791"/>
    </i>
    <i>
      <x v="796"/>
    </i>
    <i>
      <x v="801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urvey Rate chg" fld="12" subtotal="average" baseField="0" baseItem="0"/>
    <dataField name="Servicing Spread chg" fld="1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CurrentMtgRatesDataTable8" displayName="CurrentMtgRatesDataTable8" ref="A4:M816" tableType="queryTable" totalsRowShown="0" headerRowDxfId="15" dataDxfId="14">
  <tableColumns count="13">
    <tableColumn id="10" uniqueName="10" name="AsOfDate" queryTableFieldId="51" dataDxfId="12" dataCellStyle="Normal 2 7"/>
    <tableColumn id="5" uniqueName="5" name="SeriesNumValue" queryTableFieldId="68" dataDxfId="11"/>
    <tableColumn id="1" uniqueName="1" name="Rate" queryTableFieldId="69" dataDxfId="10"/>
    <tableColumn id="2" uniqueName="2" name="Weekday" queryTableFieldId="70" dataDxfId="9" dataCellStyle="Normal 2 7">
      <calculatedColumnFormula>WEEKDAY(A5,14)</calculatedColumnFormula>
    </tableColumn>
    <tableColumn id="3" uniqueName="3" name="Weight" queryTableFieldId="75" dataDxfId="8" dataCellStyle="Normal 2 7">
      <calculatedColumnFormula>VLOOKUP(D5,P$5:Q$11,2,FALSE)</calculatedColumnFormula>
    </tableColumn>
    <tableColumn id="4" uniqueName="4" name="Counter" queryTableFieldId="74" dataDxfId="7" dataCellStyle="Normal 2 7">
      <calculatedColumnFormula>IF(AND(D5&gt;D4,F4&lt;6),F4+1,1)</calculatedColumnFormula>
    </tableColumn>
    <tableColumn id="6" uniqueName="6" name="Accumulated Weighted CC" queryTableFieldId="73" dataDxfId="6" dataCellStyle="Normal 2 7">
      <calculatedColumnFormula>IF(F5&gt;F4,G4+B5*E5,B5*E5)</calculatedColumnFormula>
    </tableColumn>
    <tableColumn id="7" uniqueName="7" name="AccumulatedWeight" queryTableFieldId="72" dataDxfId="5" dataCellStyle="Normal 2 7">
      <calculatedColumnFormula>IF(AND(F5&lt;6,F5&gt;F4),E5+H4,E5)</calculatedColumnFormula>
    </tableColumn>
    <tableColumn id="8" uniqueName="8" name="WA CC" queryTableFieldId="71" dataDxfId="4" dataCellStyle="Normal 2 7">
      <calculatedColumnFormula>IF(F5&gt;F6,G5/H5,0)</calculatedColumnFormula>
    </tableColumn>
    <tableColumn id="9" uniqueName="9" name="Servicing Spread" queryTableFieldId="76" dataDxfId="3" dataCellStyle="Normal 2 7">
      <calculatedColumnFormula>IF(CurrentMtgRatesDataTable8[[#This Row],[WA CC]]&lt;&gt;0,C4-CurrentMtgRatesDataTable8[[#This Row],[WA CC]],0)</calculatedColumnFormula>
    </tableColumn>
    <tableColumn id="11" uniqueName="11" name="Servicing Spread Non-Zero" queryTableFieldId="77" dataDxfId="2" dataCellStyle="Normal 2 7">
      <calculatedColumnFormula>IF(CurrentMtgRatesDataTable8[[#This Row],[Servicing Spread]]&lt;=0,K4,CurrentMtgRatesDataTable8[[#This Row],[Servicing Spread]])</calculatedColumnFormula>
    </tableColumn>
    <tableColumn id="12" uniqueName="12" name="Servicing Spread 1m chg" queryTableFieldId="78" dataDxfId="1" dataCellStyle="Normal 2 7">
      <calculatedColumnFormula>CurrentMtgRatesDataTable8[[#This Row],[Servicing Spread Non-Zero]]-K4</calculatedColumnFormula>
    </tableColumn>
    <tableColumn id="15" uniqueName="15" name="Survey Rate 1m chg" queryTableFieldId="81" dataDxfId="0" dataCellStyle="Normal 2 7">
      <calculatedColumnFormula>IF(I4&lt;&gt;0,CurrentMtgRatesDataTable8[[#This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F1:V57"/>
  <sheetViews>
    <sheetView showGridLines="0" topLeftCell="B1" zoomScale="90" zoomScaleNormal="90" workbookViewId="0">
      <selection activeCell="T20" sqref="T20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745</v>
      </c>
      <c r="U1" t="s">
        <v>1</v>
      </c>
      <c r="V1" s="2" t="s">
        <v>4</v>
      </c>
    </row>
    <row r="2" spans="19:22">
      <c r="S2" s="1" t="s">
        <v>2</v>
      </c>
      <c r="T2" s="3">
        <v>42191</v>
      </c>
    </row>
    <row r="3" spans="19:22">
      <c r="S3" s="1" t="s">
        <v>785</v>
      </c>
      <c r="T3" s="4" t="s">
        <v>786</v>
      </c>
    </row>
    <row r="4" spans="19:22">
      <c r="S4" s="1" t="s">
        <v>3</v>
      </c>
      <c r="T4" s="4" t="str">
        <f>PDFReportDir &amp; "Servicing Spread and Survey Rate " &amp; TEXT(CurrentCloseDate, "yyyy-mm-dd") &amp; ".pdf"</f>
        <v>S:\IT\Production\Daily Reports\Primary Market\tmp\Servicing Spread and Survey Rate 2015-07-06.pdf</v>
      </c>
    </row>
    <row r="8" spans="19:22">
      <c r="S8" t="s">
        <v>763</v>
      </c>
      <c r="T8" s="10">
        <f>IF(WEEKDAY(CurrentCloseDate,2)&gt;=4,CurrentCloseDate-WEEKDAY(CurrentCloseDate,2)+4,CurrentCloseDate-WEEKDAY(CurrentCloseDate,2)-7+4)</f>
        <v>42187</v>
      </c>
      <c r="U8" s="10"/>
    </row>
    <row r="9" spans="19:22">
      <c r="S9" t="s">
        <v>764</v>
      </c>
      <c r="T9" s="10">
        <f>LastSurveyDate-1</f>
        <v>42186</v>
      </c>
    </row>
    <row r="12" spans="19:22">
      <c r="T12" s="10"/>
    </row>
    <row r="50" spans="6:16">
      <c r="J50" s="36"/>
      <c r="P50" s="36"/>
    </row>
    <row r="54" spans="6:16">
      <c r="F54" s="37" t="s">
        <v>765</v>
      </c>
      <c r="G54" s="38">
        <f>LastSurveyDate</f>
        <v>42187</v>
      </c>
    </row>
    <row r="55" spans="6:16">
      <c r="F55" s="32"/>
      <c r="G55" s="22" t="s">
        <v>18</v>
      </c>
      <c r="H55" s="27" t="s">
        <v>779</v>
      </c>
      <c r="I55" s="29" t="s">
        <v>734</v>
      </c>
      <c r="J55" s="27" t="s">
        <v>735</v>
      </c>
      <c r="K55" s="30" t="s">
        <v>736</v>
      </c>
      <c r="L55" s="27" t="s">
        <v>737</v>
      </c>
    </row>
    <row r="56" spans="6:16">
      <c r="F56" s="25" t="s">
        <v>788</v>
      </c>
      <c r="G56" s="31" t="str">
        <f>'Historic Change'!C4&amp;"%"</f>
        <v>3.98%</v>
      </c>
      <c r="H56" s="34">
        <f>('Historic Change'!$C$4-'Historic Change'!E4)*100</f>
        <v>3.5000000000000586</v>
      </c>
      <c r="I56" s="33">
        <f>('Historic Change'!$C$4-'Historic Change'!F4)*100</f>
        <v>20.999999999999996</v>
      </c>
      <c r="J56" s="34">
        <f>('Historic Change'!$C$4-'Historic Change'!G4)*100</f>
        <v>37.999999999999986</v>
      </c>
      <c r="K56" s="35">
        <f>('Historic Change'!$C$4-'Historic Change'!H4)*100</f>
        <v>41.999999999999993</v>
      </c>
      <c r="L56" s="34">
        <f>('Historic Change'!$C$4-'Historic Change'!I4)*100</f>
        <v>-8.499999999999952</v>
      </c>
    </row>
    <row r="57" spans="6:16">
      <c r="F57" s="25" t="s">
        <v>738</v>
      </c>
      <c r="G57" s="23">
        <f>'Historic Change'!C5*100</f>
        <v>85.212125647781576</v>
      </c>
      <c r="H57" s="34">
        <f>('Historic Change'!$C$5-'Historic Change'!E5)*100</f>
        <v>-2.9210476155082876</v>
      </c>
      <c r="I57" s="33">
        <f>('Historic Change'!$C$5-'Historic Change'!F5)*100</f>
        <v>-5.5970235641821908</v>
      </c>
      <c r="J57" s="34">
        <f>('Historic Change'!$C$5-'Historic Change'!G5)*100</f>
        <v>-7.5307725144516002</v>
      </c>
      <c r="K57" s="35">
        <f>('Historic Change'!$C$5-'Historic Change'!H5)*100</f>
        <v>-13.277887269269861</v>
      </c>
      <c r="L57" s="34">
        <f>('Historic Change'!$C$5-'Historic Change'!I5)*100</f>
        <v>1.8217364236324585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65" orientation="landscape" horizontalDpi="1200" verticalDpi="1200" r:id="rId1"/>
  <headerFooter scaleWithDoc="0">
    <oddHeader>&amp;L&amp;G&amp;C&amp;"-,Bold"&amp;10&amp;K2E398A
&amp;15FHLMC Survey Rate and Implied Servicing Spread&amp;R&amp;"-,Bold"&amp;10&amp;K2E398A
As of 07/06/2015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3:Q930"/>
  <sheetViews>
    <sheetView topLeftCell="A768" workbookViewId="0">
      <selection activeCell="J816" sqref="J816"/>
    </sheetView>
  </sheetViews>
  <sheetFormatPr defaultRowHeight="12.75"/>
  <cols>
    <col min="1" max="1" width="16.7109375" style="5" customWidth="1"/>
    <col min="2" max="2" width="10.140625" style="5" bestFit="1" customWidth="1"/>
    <col min="3" max="4" width="10.140625" style="5" customWidth="1"/>
    <col min="5" max="5" width="14.140625" style="5" bestFit="1" customWidth="1"/>
    <col min="6" max="6" width="13.85546875" style="5" bestFit="1" customWidth="1"/>
    <col min="7" max="7" width="21.85546875" style="5" bestFit="1" customWidth="1"/>
    <col min="8" max="8" width="16.7109375" style="5" bestFit="1" customWidth="1"/>
    <col min="9" max="9" width="15.7109375" style="5" bestFit="1" customWidth="1"/>
    <col min="10" max="10" width="14.140625" style="5" bestFit="1" customWidth="1"/>
    <col min="11" max="13" width="14.140625" style="5" customWidth="1"/>
    <col min="14" max="14" width="13.85546875" style="5" bestFit="1" customWidth="1"/>
    <col min="15" max="15" width="12.5703125" style="5" bestFit="1" customWidth="1"/>
    <col min="16" max="16" width="12" style="5" bestFit="1" customWidth="1"/>
    <col min="17" max="17" width="15.140625" style="5" bestFit="1" customWidth="1"/>
    <col min="18" max="18" width="14.140625" style="5" bestFit="1" customWidth="1"/>
    <col min="19" max="19" width="14.140625" style="5" customWidth="1"/>
    <col min="20" max="22" width="12" style="5" bestFit="1" customWidth="1"/>
    <col min="23" max="23" width="8" style="5" bestFit="1" customWidth="1"/>
    <col min="24" max="24" width="12" style="5" bestFit="1" customWidth="1"/>
    <col min="25" max="25" width="5.7109375" style="5" bestFit="1" customWidth="1"/>
    <col min="26" max="27" width="12" style="5" bestFit="1" customWidth="1"/>
    <col min="28" max="28" width="17.5703125" style="5" bestFit="1" customWidth="1"/>
    <col min="29" max="29" width="8.85546875" style="5" bestFit="1" customWidth="1"/>
    <col min="30" max="31" width="16" style="5" bestFit="1" customWidth="1"/>
    <col min="32" max="32" width="14.7109375" style="5" bestFit="1" customWidth="1"/>
    <col min="33" max="33" width="16" style="5" bestFit="1" customWidth="1"/>
    <col min="34" max="34" width="17.5703125" style="5" bestFit="1" customWidth="1"/>
    <col min="35" max="35" width="12.140625" style="5" bestFit="1" customWidth="1"/>
    <col min="36" max="36" width="8.5703125" style="5" bestFit="1" customWidth="1"/>
    <col min="37" max="37" width="15.28515625" style="5" customWidth="1"/>
    <col min="38" max="38" width="11.7109375" style="5" bestFit="1" customWidth="1"/>
    <col min="39" max="39" width="10.28515625" style="5" bestFit="1" customWidth="1"/>
    <col min="40" max="40" width="12" style="5" bestFit="1" customWidth="1"/>
    <col min="41" max="41" width="14.42578125" style="5" customWidth="1"/>
    <col min="42" max="42" width="18.5703125" style="5" bestFit="1" customWidth="1"/>
    <col min="43" max="43" width="10.7109375" style="5" bestFit="1" customWidth="1"/>
    <col min="44" max="44" width="16.42578125" style="5" bestFit="1" customWidth="1"/>
    <col min="45" max="45" width="16.140625" style="5" bestFit="1" customWidth="1"/>
    <col min="46" max="46" width="14.42578125" style="5" customWidth="1"/>
    <col min="47" max="47" width="12.28515625" style="5" customWidth="1"/>
    <col min="48" max="16384" width="9.140625" style="5"/>
  </cols>
  <sheetData>
    <row r="3" spans="1:17" ht="23.25">
      <c r="A3" s="6" t="s">
        <v>725</v>
      </c>
    </row>
    <row r="4" spans="1:17" s="20" customFormat="1">
      <c r="A4" s="20" t="s">
        <v>5</v>
      </c>
      <c r="B4" s="20" t="s">
        <v>6</v>
      </c>
      <c r="C4" s="20" t="s">
        <v>18</v>
      </c>
      <c r="D4" s="21" t="s">
        <v>7</v>
      </c>
      <c r="E4" s="21" t="s">
        <v>8</v>
      </c>
      <c r="F4" s="21" t="s">
        <v>9</v>
      </c>
      <c r="G4" s="21" t="s">
        <v>727</v>
      </c>
      <c r="H4" s="21" t="s">
        <v>728</v>
      </c>
      <c r="I4" s="21" t="s">
        <v>10</v>
      </c>
      <c r="J4" s="21" t="s">
        <v>729</v>
      </c>
      <c r="K4" s="20" t="s">
        <v>733</v>
      </c>
      <c r="L4" s="20" t="s">
        <v>776</v>
      </c>
      <c r="M4" s="20" t="s">
        <v>781</v>
      </c>
    </row>
    <row r="5" spans="1:17" s="7" customFormat="1">
      <c r="A5" s="8" t="s">
        <v>19</v>
      </c>
      <c r="B5" s="16">
        <v>3.10879854950432</v>
      </c>
      <c r="C5" s="15">
        <v>3.9049999999999998</v>
      </c>
      <c r="D5" s="14">
        <f t="shared" ref="D5:D68" si="0">WEEKDAY(A5,14)</f>
        <v>7</v>
      </c>
      <c r="E5" s="14">
        <f t="shared" ref="E5:E68" si="1">VLOOKUP(D5,P$5:Q$11,2,FALSE)</f>
        <v>0.2</v>
      </c>
      <c r="F5" s="14">
        <f t="shared" ref="F5:F68" si="2">IF(AND(D5&gt;D4,F4&lt;6),F4+1,1)</f>
        <v>1</v>
      </c>
      <c r="G5" s="14">
        <f t="shared" ref="G5:G68" si="3">IF(F5&gt;F4,G4+B5*E5,B5*E5)</f>
        <v>0.62175970990086404</v>
      </c>
      <c r="H5" s="14">
        <f t="shared" ref="H5:H68" si="4">IF(AND(F5&lt;6,F5&gt;F4),E5+H4,E5)</f>
        <v>0.2</v>
      </c>
      <c r="I5" s="14">
        <f t="shared" ref="I5:I68" si="5">IF(F5&gt;F6,G5/H5,0)</f>
        <v>0</v>
      </c>
      <c r="J5" s="15">
        <f>IF(CurrentMtgRatesDataTable8[[#This Row],[WA CC]]&lt;&gt;0,C4-CurrentMtgRatesDataTable8[[#This Row],[WA CC]],0)</f>
        <v>0</v>
      </c>
      <c r="K5" s="16" t="str">
        <f>IF(CurrentMtgRatesDataTable8[[#This Row],[Servicing Spread]]&lt;=0,K4,CurrentMtgRatesDataTable8[[#This Row],[Servicing Spread]])</f>
        <v>Servicing Spread Non-Zero</v>
      </c>
      <c r="L5" s="16" t="e">
        <f>CurrentMtgRatesDataTable8[[#This Row],[Servicing Spread Non-Zero]]-K4</f>
        <v>#VALUE!</v>
      </c>
      <c r="M5" s="16" t="e">
        <f>IF(I4&lt;&gt;0,CurrentMtgRatesDataTable8[[#This Row],[Rate]]-C4,M4)</f>
        <v>#VALUE!</v>
      </c>
      <c r="O5" s="7" t="s">
        <v>11</v>
      </c>
      <c r="P5" s="7">
        <v>5</v>
      </c>
      <c r="Q5" s="7">
        <v>0.2</v>
      </c>
    </row>
    <row r="6" spans="1:17" s="7" customFormat="1">
      <c r="A6" s="8" t="s">
        <v>586</v>
      </c>
      <c r="B6" s="11">
        <v>3.0539631363774702</v>
      </c>
      <c r="C6" s="13">
        <v>3.8049999999999997</v>
      </c>
      <c r="D6" s="14">
        <f t="shared" si="0"/>
        <v>1</v>
      </c>
      <c r="E6" s="14">
        <f t="shared" si="1"/>
        <v>0.2</v>
      </c>
      <c r="F6" s="14">
        <f t="shared" si="2"/>
        <v>1</v>
      </c>
      <c r="G6" s="14">
        <f t="shared" si="3"/>
        <v>0.6107926272754941</v>
      </c>
      <c r="H6" s="14">
        <f t="shared" si="4"/>
        <v>0.2</v>
      </c>
      <c r="I6" s="14">
        <f t="shared" si="5"/>
        <v>0</v>
      </c>
      <c r="J6" s="15">
        <f>IF(CurrentMtgRatesDataTable8[[#This Row],[WA CC]]&lt;&gt;0,C5-CurrentMtgRatesDataTable8[[#This Row],[WA CC]],0)</f>
        <v>0</v>
      </c>
      <c r="K6" s="16" t="str">
        <f>IF(CurrentMtgRatesDataTable8[[#This Row],[Servicing Spread]]&lt;=0,K5,CurrentMtgRatesDataTable8[[#This Row],[Servicing Spread]])</f>
        <v>Servicing Spread Non-Zero</v>
      </c>
      <c r="L6" s="16" t="e">
        <f>CurrentMtgRatesDataTable8[[#This Row],[Servicing Spread Non-Zero]]-K5</f>
        <v>#VALUE!</v>
      </c>
      <c r="M6" s="16" t="e">
        <f>IF(I5&lt;&gt;0,CurrentMtgRatesDataTable8[[#This Row],[Rate]]-C5,M5)</f>
        <v>#VALUE!</v>
      </c>
      <c r="O6" s="7" t="s">
        <v>12</v>
      </c>
      <c r="P6" s="7">
        <v>6</v>
      </c>
      <c r="Q6" s="7">
        <v>0.2</v>
      </c>
    </row>
    <row r="7" spans="1:17" s="7" customFormat="1">
      <c r="A7" s="8" t="s">
        <v>441</v>
      </c>
      <c r="B7" s="11">
        <v>2.93072207475555</v>
      </c>
      <c r="C7" s="13">
        <v>3.8049999999999997</v>
      </c>
      <c r="D7" s="14">
        <f t="shared" si="0"/>
        <v>2</v>
      </c>
      <c r="E7" s="14">
        <f t="shared" si="1"/>
        <v>0.2</v>
      </c>
      <c r="F7" s="14">
        <f t="shared" si="2"/>
        <v>2</v>
      </c>
      <c r="G7" s="14">
        <f t="shared" si="3"/>
        <v>1.1969370422266041</v>
      </c>
      <c r="H7" s="14">
        <f t="shared" si="4"/>
        <v>0.4</v>
      </c>
      <c r="I7" s="14">
        <f t="shared" si="5"/>
        <v>0</v>
      </c>
      <c r="J7" s="15">
        <f>IF(CurrentMtgRatesDataTable8[[#This Row],[WA CC]]&lt;&gt;0,C6-CurrentMtgRatesDataTable8[[#This Row],[WA CC]],0)</f>
        <v>0</v>
      </c>
      <c r="K7" s="16" t="str">
        <f>IF(CurrentMtgRatesDataTable8[[#This Row],[Servicing Spread]]&lt;=0,K6,CurrentMtgRatesDataTable8[[#This Row],[Servicing Spread]])</f>
        <v>Servicing Spread Non-Zero</v>
      </c>
      <c r="L7" s="16" t="e">
        <f>CurrentMtgRatesDataTable8[[#This Row],[Servicing Spread Non-Zero]]-K6</f>
        <v>#VALUE!</v>
      </c>
      <c r="M7" s="16" t="e">
        <f>IF(I6&lt;&gt;0,CurrentMtgRatesDataTable8[[#This Row],[Rate]]-C6,M6)</f>
        <v>#VALUE!</v>
      </c>
      <c r="O7" s="7" t="s">
        <v>13</v>
      </c>
      <c r="P7" s="7">
        <v>7</v>
      </c>
      <c r="Q7" s="7">
        <v>0.2</v>
      </c>
    </row>
    <row r="8" spans="1:17" s="7" customFormat="1">
      <c r="A8" s="8" t="s">
        <v>309</v>
      </c>
      <c r="B8" s="11">
        <v>2.9115161148392898</v>
      </c>
      <c r="C8" s="13">
        <v>3.8049999999999997</v>
      </c>
      <c r="D8" s="14">
        <f t="shared" si="0"/>
        <v>5</v>
      </c>
      <c r="E8" s="14">
        <f t="shared" si="1"/>
        <v>0.2</v>
      </c>
      <c r="F8" s="14">
        <f t="shared" si="2"/>
        <v>3</v>
      </c>
      <c r="G8" s="14">
        <f t="shared" si="3"/>
        <v>1.7792402651944621</v>
      </c>
      <c r="H8" s="14">
        <f t="shared" si="4"/>
        <v>0.60000000000000009</v>
      </c>
      <c r="I8" s="14">
        <f t="shared" si="5"/>
        <v>0</v>
      </c>
      <c r="J8" s="15">
        <f>IF(CurrentMtgRatesDataTable8[[#This Row],[WA CC]]&lt;&gt;0,C7-CurrentMtgRatesDataTable8[[#This Row],[WA CC]],0)</f>
        <v>0</v>
      </c>
      <c r="K8" s="16" t="str">
        <f>IF(CurrentMtgRatesDataTable8[[#This Row],[Servicing Spread]]&lt;=0,K7,CurrentMtgRatesDataTable8[[#This Row],[Servicing Spread]])</f>
        <v>Servicing Spread Non-Zero</v>
      </c>
      <c r="L8" s="16" t="e">
        <f>CurrentMtgRatesDataTable8[[#This Row],[Servicing Spread Non-Zero]]-K7</f>
        <v>#VALUE!</v>
      </c>
      <c r="M8" s="16" t="e">
        <f>IF(I7&lt;&gt;0,CurrentMtgRatesDataTable8[[#This Row],[Rate]]-C7,M7)</f>
        <v>#VALUE!</v>
      </c>
      <c r="O8" s="7" t="s">
        <v>14</v>
      </c>
      <c r="P8" s="7">
        <v>1</v>
      </c>
      <c r="Q8" s="7">
        <v>0.2</v>
      </c>
    </row>
    <row r="9" spans="1:17" s="7" customFormat="1">
      <c r="A9" s="8" t="s">
        <v>165</v>
      </c>
      <c r="B9" s="11">
        <v>2.9109852395687899</v>
      </c>
      <c r="C9" s="13">
        <v>3.8049999999999997</v>
      </c>
      <c r="D9" s="14">
        <f t="shared" si="0"/>
        <v>6</v>
      </c>
      <c r="E9" s="14">
        <f t="shared" si="1"/>
        <v>0.2</v>
      </c>
      <c r="F9" s="14">
        <f t="shared" si="2"/>
        <v>4</v>
      </c>
      <c r="G9" s="14">
        <f t="shared" si="3"/>
        <v>2.3614373131082202</v>
      </c>
      <c r="H9" s="14">
        <f t="shared" si="4"/>
        <v>0.8</v>
      </c>
      <c r="I9" s="14">
        <f t="shared" si="5"/>
        <v>0</v>
      </c>
      <c r="J9" s="15">
        <f>IF(CurrentMtgRatesDataTable8[[#This Row],[WA CC]]&lt;&gt;0,C8-CurrentMtgRatesDataTable8[[#This Row],[WA CC]],0)</f>
        <v>0</v>
      </c>
      <c r="K9" s="16" t="str">
        <f>IF(CurrentMtgRatesDataTable8[[#This Row],[Servicing Spread]]&lt;=0,K8,CurrentMtgRatesDataTable8[[#This Row],[Servicing Spread]])</f>
        <v>Servicing Spread Non-Zero</v>
      </c>
      <c r="L9" s="16" t="e">
        <f>CurrentMtgRatesDataTable8[[#This Row],[Servicing Spread Non-Zero]]-K8</f>
        <v>#VALUE!</v>
      </c>
      <c r="M9" s="16" t="e">
        <f>IF(I8&lt;&gt;0,CurrentMtgRatesDataTable8[[#This Row],[Rate]]-C8,M8)</f>
        <v>#VALUE!</v>
      </c>
      <c r="O9" s="7" t="s">
        <v>15</v>
      </c>
      <c r="P9" s="7">
        <v>2</v>
      </c>
      <c r="Q9" s="7">
        <v>0.2</v>
      </c>
    </row>
    <row r="10" spans="1:17" s="7" customFormat="1">
      <c r="A10" s="8" t="s">
        <v>20</v>
      </c>
      <c r="B10" s="11">
        <v>2.9307831448374801</v>
      </c>
      <c r="C10" s="13">
        <v>3.8049999999999997</v>
      </c>
      <c r="D10" s="14">
        <f t="shared" si="0"/>
        <v>7</v>
      </c>
      <c r="E10" s="14">
        <f t="shared" si="1"/>
        <v>0.2</v>
      </c>
      <c r="F10" s="14">
        <f t="shared" si="2"/>
        <v>5</v>
      </c>
      <c r="G10" s="14">
        <f t="shared" si="3"/>
        <v>2.9475939420757165</v>
      </c>
      <c r="H10" s="14">
        <f t="shared" si="4"/>
        <v>1</v>
      </c>
      <c r="I10" s="14">
        <f t="shared" si="5"/>
        <v>2.9475939420757165</v>
      </c>
      <c r="J10" s="15">
        <f>IF(CurrentMtgRatesDataTable8[[#This Row],[WA CC]]&lt;&gt;0,C9-CurrentMtgRatesDataTable8[[#This Row],[WA CC]],0)</f>
        <v>0.85740605792428326</v>
      </c>
      <c r="K10" s="16">
        <f>IF(CurrentMtgRatesDataTable8[[#This Row],[Servicing Spread]]&lt;=0,K9,CurrentMtgRatesDataTable8[[#This Row],[Servicing Spread]])</f>
        <v>0.85740605792428326</v>
      </c>
      <c r="L10" s="16" t="e">
        <f>CurrentMtgRatesDataTable8[[#This Row],[Servicing Spread Non-Zero]]-K9</f>
        <v>#VALUE!</v>
      </c>
      <c r="M10" s="16" t="e">
        <f>IF(I9&lt;&gt;0,CurrentMtgRatesDataTable8[[#This Row],[Rate]]-C9,M9)</f>
        <v>#VALUE!</v>
      </c>
      <c r="O10" s="7" t="s">
        <v>16</v>
      </c>
      <c r="P10" s="7">
        <v>3</v>
      </c>
      <c r="Q10" s="7">
        <v>0</v>
      </c>
    </row>
    <row r="11" spans="1:17" s="7" customFormat="1">
      <c r="A11" s="8" t="s">
        <v>587</v>
      </c>
      <c r="B11" s="11">
        <v>2.9674500244903301</v>
      </c>
      <c r="C11" s="13">
        <v>3.85</v>
      </c>
      <c r="D11" s="14">
        <f t="shared" si="0"/>
        <v>1</v>
      </c>
      <c r="E11" s="14">
        <f t="shared" si="1"/>
        <v>0.2</v>
      </c>
      <c r="F11" s="14">
        <f t="shared" si="2"/>
        <v>1</v>
      </c>
      <c r="G11" s="14">
        <f t="shared" si="3"/>
        <v>0.59349000489806603</v>
      </c>
      <c r="H11" s="14">
        <f t="shared" si="4"/>
        <v>0.2</v>
      </c>
      <c r="I11" s="14">
        <f t="shared" si="5"/>
        <v>0</v>
      </c>
      <c r="J11" s="15">
        <f>IF(CurrentMtgRatesDataTable8[[#This Row],[WA CC]]&lt;&gt;0,C10-CurrentMtgRatesDataTable8[[#This Row],[WA CC]],0)</f>
        <v>0</v>
      </c>
      <c r="K11" s="16">
        <f>IF(CurrentMtgRatesDataTable8[[#This Row],[Servicing Spread]]&lt;=0,K10,CurrentMtgRatesDataTable8[[#This Row],[Servicing Spread]])</f>
        <v>0.85740605792428326</v>
      </c>
      <c r="L11" s="16">
        <f>CurrentMtgRatesDataTable8[[#This Row],[Servicing Spread Non-Zero]]-K10</f>
        <v>0</v>
      </c>
      <c r="M11" s="16">
        <f>IF(I10&lt;&gt;0,CurrentMtgRatesDataTable8[[#This Row],[Rate]]-C10,M10)</f>
        <v>4.5000000000000373E-2</v>
      </c>
      <c r="O11" s="7" t="s">
        <v>17</v>
      </c>
      <c r="P11" s="7">
        <v>4</v>
      </c>
      <c r="Q11" s="7">
        <v>0</v>
      </c>
    </row>
    <row r="12" spans="1:17" s="7" customFormat="1">
      <c r="A12" s="8" t="s">
        <v>442</v>
      </c>
      <c r="B12" s="11">
        <v>2.93226575052006</v>
      </c>
      <c r="C12" s="13">
        <v>3.85</v>
      </c>
      <c r="D12" s="14">
        <f t="shared" si="0"/>
        <v>2</v>
      </c>
      <c r="E12" s="14">
        <f t="shared" si="1"/>
        <v>0.2</v>
      </c>
      <c r="F12" s="14">
        <f t="shared" si="2"/>
        <v>2</v>
      </c>
      <c r="G12" s="14">
        <f t="shared" si="3"/>
        <v>1.179943155002078</v>
      </c>
      <c r="H12" s="14">
        <f t="shared" si="4"/>
        <v>0.4</v>
      </c>
      <c r="I12" s="14">
        <f t="shared" si="5"/>
        <v>0</v>
      </c>
      <c r="J12" s="15">
        <f>IF(CurrentMtgRatesDataTable8[[#This Row],[WA CC]]&lt;&gt;0,C11-CurrentMtgRatesDataTable8[[#This Row],[WA CC]],0)</f>
        <v>0</v>
      </c>
      <c r="K12" s="16">
        <f>IF(CurrentMtgRatesDataTable8[[#This Row],[Servicing Spread]]&lt;=0,K11,CurrentMtgRatesDataTable8[[#This Row],[Servicing Spread]])</f>
        <v>0.85740605792428326</v>
      </c>
      <c r="L12" s="16">
        <f>CurrentMtgRatesDataTable8[[#This Row],[Servicing Spread Non-Zero]]-K11</f>
        <v>0</v>
      </c>
      <c r="M12" s="16">
        <f>IF(I11&lt;&gt;0,CurrentMtgRatesDataTable8[[#This Row],[Rate]]-C11,M11)</f>
        <v>4.5000000000000373E-2</v>
      </c>
    </row>
    <row r="13" spans="1:17" s="7" customFormat="1">
      <c r="A13" s="8" t="s">
        <v>310</v>
      </c>
      <c r="B13" s="11">
        <v>2.91808321555345</v>
      </c>
      <c r="C13" s="13">
        <v>3.85</v>
      </c>
      <c r="D13" s="14">
        <f t="shared" si="0"/>
        <v>5</v>
      </c>
      <c r="E13" s="14">
        <f t="shared" si="1"/>
        <v>0.2</v>
      </c>
      <c r="F13" s="14">
        <f t="shared" si="2"/>
        <v>3</v>
      </c>
      <c r="G13" s="14">
        <f t="shared" si="3"/>
        <v>1.7635597981127682</v>
      </c>
      <c r="H13" s="14">
        <f t="shared" si="4"/>
        <v>0.60000000000000009</v>
      </c>
      <c r="I13" s="14">
        <f t="shared" si="5"/>
        <v>0</v>
      </c>
      <c r="J13" s="15">
        <f>IF(CurrentMtgRatesDataTable8[[#This Row],[WA CC]]&lt;&gt;0,C12-CurrentMtgRatesDataTable8[[#This Row],[WA CC]],0)</f>
        <v>0</v>
      </c>
      <c r="K13" s="16">
        <f>IF(CurrentMtgRatesDataTable8[[#This Row],[Servicing Spread]]&lt;=0,K12,CurrentMtgRatesDataTable8[[#This Row],[Servicing Spread]])</f>
        <v>0.85740605792428326</v>
      </c>
      <c r="L13" s="16">
        <f>CurrentMtgRatesDataTable8[[#This Row],[Servicing Spread Non-Zero]]-K12</f>
        <v>0</v>
      </c>
      <c r="M13" s="16">
        <f>IF(I12&lt;&gt;0,CurrentMtgRatesDataTable8[[#This Row],[Rate]]-C12,M12)</f>
        <v>4.5000000000000373E-2</v>
      </c>
    </row>
    <row r="14" spans="1:17" s="7" customFormat="1">
      <c r="A14" s="8" t="s">
        <v>166</v>
      </c>
      <c r="B14" s="11">
        <v>2.9570995386029302</v>
      </c>
      <c r="C14" s="13">
        <v>3.85</v>
      </c>
      <c r="D14" s="14">
        <f t="shared" si="0"/>
        <v>6</v>
      </c>
      <c r="E14" s="14">
        <f t="shared" si="1"/>
        <v>0.2</v>
      </c>
      <c r="F14" s="14">
        <f t="shared" si="2"/>
        <v>4</v>
      </c>
      <c r="G14" s="14">
        <f t="shared" si="3"/>
        <v>2.3549797058333541</v>
      </c>
      <c r="H14" s="14">
        <f t="shared" si="4"/>
        <v>0.8</v>
      </c>
      <c r="I14" s="14">
        <f t="shared" si="5"/>
        <v>0</v>
      </c>
      <c r="J14" s="15">
        <f>IF(CurrentMtgRatesDataTable8[[#This Row],[WA CC]]&lt;&gt;0,C13-CurrentMtgRatesDataTable8[[#This Row],[WA CC]],0)</f>
        <v>0</v>
      </c>
      <c r="K14" s="16">
        <f>IF(CurrentMtgRatesDataTable8[[#This Row],[Servicing Spread]]&lt;=0,K13,CurrentMtgRatesDataTable8[[#This Row],[Servicing Spread]])</f>
        <v>0.85740605792428326</v>
      </c>
      <c r="L14" s="16">
        <f>CurrentMtgRatesDataTable8[[#This Row],[Servicing Spread Non-Zero]]-K13</f>
        <v>0</v>
      </c>
      <c r="M14" s="16">
        <f>IF(I13&lt;&gt;0,CurrentMtgRatesDataTable8[[#This Row],[Rate]]-C13,M13)</f>
        <v>4.5000000000000373E-2</v>
      </c>
    </row>
    <row r="15" spans="1:17" s="7" customFormat="1">
      <c r="A15" s="8" t="s">
        <v>21</v>
      </c>
      <c r="B15" s="11">
        <v>2.9304565344863098</v>
      </c>
      <c r="C15" s="13">
        <v>3.85</v>
      </c>
      <c r="D15" s="14">
        <f t="shared" si="0"/>
        <v>7</v>
      </c>
      <c r="E15" s="14">
        <f t="shared" si="1"/>
        <v>0.2</v>
      </c>
      <c r="F15" s="14">
        <f t="shared" si="2"/>
        <v>5</v>
      </c>
      <c r="G15" s="14">
        <f t="shared" si="3"/>
        <v>2.9410710127306161</v>
      </c>
      <c r="H15" s="14">
        <f t="shared" si="4"/>
        <v>1</v>
      </c>
      <c r="I15" s="14">
        <f t="shared" si="5"/>
        <v>2.9410710127306161</v>
      </c>
      <c r="J15" s="15">
        <f>IF(CurrentMtgRatesDataTable8[[#This Row],[WA CC]]&lt;&gt;0,C14-CurrentMtgRatesDataTable8[[#This Row],[WA CC]],0)</f>
        <v>0.90892898726938398</v>
      </c>
      <c r="K15" s="16">
        <f>IF(CurrentMtgRatesDataTable8[[#This Row],[Servicing Spread]]&lt;=0,K14,CurrentMtgRatesDataTable8[[#This Row],[Servicing Spread]])</f>
        <v>0.90892898726938398</v>
      </c>
      <c r="L15" s="16">
        <f>CurrentMtgRatesDataTable8[[#This Row],[Servicing Spread Non-Zero]]-K14</f>
        <v>5.1522929345100721E-2</v>
      </c>
      <c r="M15" s="16">
        <f>IF(I14&lt;&gt;0,CurrentMtgRatesDataTable8[[#This Row],[Rate]]-C14,M14)</f>
        <v>4.5000000000000373E-2</v>
      </c>
    </row>
    <row r="16" spans="1:17" s="7" customFormat="1">
      <c r="A16" s="8" t="s">
        <v>588</v>
      </c>
      <c r="B16" s="11">
        <v>2.8874390264499499</v>
      </c>
      <c r="C16" s="13">
        <v>3.8049999999999997</v>
      </c>
      <c r="D16" s="14">
        <f t="shared" si="0"/>
        <v>1</v>
      </c>
      <c r="E16" s="14">
        <f t="shared" si="1"/>
        <v>0.2</v>
      </c>
      <c r="F16" s="14">
        <f t="shared" si="2"/>
        <v>1</v>
      </c>
      <c r="G16" s="14">
        <f t="shared" si="3"/>
        <v>0.57748780528999</v>
      </c>
      <c r="H16" s="14">
        <f t="shared" si="4"/>
        <v>0.2</v>
      </c>
      <c r="I16" s="14">
        <f t="shared" si="5"/>
        <v>0</v>
      </c>
      <c r="J16" s="15">
        <f>IF(CurrentMtgRatesDataTable8[[#This Row],[WA CC]]&lt;&gt;0,C15-CurrentMtgRatesDataTable8[[#This Row],[WA CC]],0)</f>
        <v>0</v>
      </c>
      <c r="K16" s="16">
        <f>IF(CurrentMtgRatesDataTable8[[#This Row],[Servicing Spread]]&lt;=0,K15,CurrentMtgRatesDataTable8[[#This Row],[Servicing Spread]])</f>
        <v>0.90892898726938398</v>
      </c>
      <c r="L16" s="16">
        <f>CurrentMtgRatesDataTable8[[#This Row],[Servicing Spread Non-Zero]]-K15</f>
        <v>0</v>
      </c>
      <c r="M16" s="16">
        <f>IF(I15&lt;&gt;0,CurrentMtgRatesDataTable8[[#This Row],[Rate]]-C15,M15)</f>
        <v>-4.5000000000000373E-2</v>
      </c>
    </row>
    <row r="17" spans="1:13" s="7" customFormat="1">
      <c r="A17" s="8" t="s">
        <v>443</v>
      </c>
      <c r="B17" s="11">
        <v>2.90335136163185</v>
      </c>
      <c r="C17" s="13">
        <v>3.8049999999999997</v>
      </c>
      <c r="D17" s="14">
        <f t="shared" si="0"/>
        <v>2</v>
      </c>
      <c r="E17" s="14">
        <f t="shared" si="1"/>
        <v>0.2</v>
      </c>
      <c r="F17" s="14">
        <f t="shared" si="2"/>
        <v>2</v>
      </c>
      <c r="G17" s="14">
        <f t="shared" si="3"/>
        <v>1.15815807761636</v>
      </c>
      <c r="H17" s="14">
        <f t="shared" si="4"/>
        <v>0.4</v>
      </c>
      <c r="I17" s="14">
        <f t="shared" si="5"/>
        <v>0</v>
      </c>
      <c r="J17" s="15">
        <f>IF(CurrentMtgRatesDataTable8[[#This Row],[WA CC]]&lt;&gt;0,C16-CurrentMtgRatesDataTable8[[#This Row],[WA CC]],0)</f>
        <v>0</v>
      </c>
      <c r="K17" s="16">
        <f>IF(CurrentMtgRatesDataTable8[[#This Row],[Servicing Spread]]&lt;=0,K16,CurrentMtgRatesDataTable8[[#This Row],[Servicing Spread]])</f>
        <v>0.90892898726938398</v>
      </c>
      <c r="L17" s="16">
        <f>CurrentMtgRatesDataTable8[[#This Row],[Servicing Spread Non-Zero]]-K16</f>
        <v>0</v>
      </c>
      <c r="M17" s="16">
        <f>IF(I16&lt;&gt;0,CurrentMtgRatesDataTable8[[#This Row],[Rate]]-C16,M16)</f>
        <v>-4.5000000000000373E-2</v>
      </c>
    </row>
    <row r="18" spans="1:13" s="7" customFormat="1">
      <c r="A18" s="8" t="s">
        <v>311</v>
      </c>
      <c r="B18" s="11">
        <v>2.8708141508909</v>
      </c>
      <c r="C18" s="13">
        <v>3.8049999999999997</v>
      </c>
      <c r="D18" s="14">
        <f t="shared" si="0"/>
        <v>5</v>
      </c>
      <c r="E18" s="14">
        <f t="shared" si="1"/>
        <v>0.2</v>
      </c>
      <c r="F18" s="14">
        <f t="shared" si="2"/>
        <v>3</v>
      </c>
      <c r="G18" s="14">
        <f t="shared" si="3"/>
        <v>1.7323209077945401</v>
      </c>
      <c r="H18" s="14">
        <f t="shared" si="4"/>
        <v>0.60000000000000009</v>
      </c>
      <c r="I18" s="14">
        <f t="shared" si="5"/>
        <v>0</v>
      </c>
      <c r="J18" s="15">
        <f>IF(CurrentMtgRatesDataTable8[[#This Row],[WA CC]]&lt;&gt;0,C17-CurrentMtgRatesDataTable8[[#This Row],[WA CC]],0)</f>
        <v>0</v>
      </c>
      <c r="K18" s="16">
        <f>IF(CurrentMtgRatesDataTable8[[#This Row],[Servicing Spread]]&lt;=0,K17,CurrentMtgRatesDataTable8[[#This Row],[Servicing Spread]])</f>
        <v>0.90892898726938398</v>
      </c>
      <c r="L18" s="16">
        <f>CurrentMtgRatesDataTable8[[#This Row],[Servicing Spread Non-Zero]]-K17</f>
        <v>0</v>
      </c>
      <c r="M18" s="16">
        <f>IF(I17&lt;&gt;0,CurrentMtgRatesDataTable8[[#This Row],[Rate]]-C17,M17)</f>
        <v>-4.5000000000000373E-2</v>
      </c>
    </row>
    <row r="19" spans="1:13" s="7" customFormat="1">
      <c r="A19" s="8" t="s">
        <v>167</v>
      </c>
      <c r="B19" s="11">
        <v>2.9009701197976399</v>
      </c>
      <c r="C19" s="13">
        <v>3.8049999999999997</v>
      </c>
      <c r="D19" s="14">
        <f t="shared" si="0"/>
        <v>6</v>
      </c>
      <c r="E19" s="14">
        <f t="shared" si="1"/>
        <v>0.2</v>
      </c>
      <c r="F19" s="14">
        <f t="shared" si="2"/>
        <v>4</v>
      </c>
      <c r="G19" s="14">
        <f t="shared" si="3"/>
        <v>2.3125149317540679</v>
      </c>
      <c r="H19" s="14">
        <f t="shared" si="4"/>
        <v>0.8</v>
      </c>
      <c r="I19" s="14">
        <f t="shared" si="5"/>
        <v>0</v>
      </c>
      <c r="J19" s="15">
        <f>IF(CurrentMtgRatesDataTable8[[#This Row],[WA CC]]&lt;&gt;0,C18-CurrentMtgRatesDataTable8[[#This Row],[WA CC]],0)</f>
        <v>0</v>
      </c>
      <c r="K19" s="16">
        <f>IF(CurrentMtgRatesDataTable8[[#This Row],[Servicing Spread]]&lt;=0,K18,CurrentMtgRatesDataTable8[[#This Row],[Servicing Spread]])</f>
        <v>0.90892898726938398</v>
      </c>
      <c r="L19" s="16">
        <f>CurrentMtgRatesDataTable8[[#This Row],[Servicing Spread Non-Zero]]-K18</f>
        <v>0</v>
      </c>
      <c r="M19" s="16">
        <f>IF(I18&lt;&gt;0,CurrentMtgRatesDataTable8[[#This Row],[Rate]]-C18,M18)</f>
        <v>-4.5000000000000373E-2</v>
      </c>
    </row>
    <row r="20" spans="1:13" s="7" customFormat="1">
      <c r="A20" s="8" t="s">
        <v>22</v>
      </c>
      <c r="B20" s="11">
        <v>2.9224114614009999</v>
      </c>
      <c r="C20" s="13">
        <v>3.8049999999999997</v>
      </c>
      <c r="D20" s="14">
        <f t="shared" si="0"/>
        <v>7</v>
      </c>
      <c r="E20" s="14">
        <f t="shared" si="1"/>
        <v>0.2</v>
      </c>
      <c r="F20" s="14">
        <f t="shared" si="2"/>
        <v>5</v>
      </c>
      <c r="G20" s="14">
        <f t="shared" si="3"/>
        <v>2.8969972240342678</v>
      </c>
      <c r="H20" s="14">
        <f t="shared" si="4"/>
        <v>1</v>
      </c>
      <c r="I20" s="14">
        <f t="shared" si="5"/>
        <v>2.8969972240342678</v>
      </c>
      <c r="J20" s="15">
        <f>IF(CurrentMtgRatesDataTable8[[#This Row],[WA CC]]&lt;&gt;0,C19-CurrentMtgRatesDataTable8[[#This Row],[WA CC]],0)</f>
        <v>0.90800277596573187</v>
      </c>
      <c r="K20" s="16">
        <f>IF(CurrentMtgRatesDataTable8[[#This Row],[Servicing Spread]]&lt;=0,K19,CurrentMtgRatesDataTable8[[#This Row],[Servicing Spread]])</f>
        <v>0.90800277596573187</v>
      </c>
      <c r="L20" s="16">
        <f>CurrentMtgRatesDataTable8[[#This Row],[Servicing Spread Non-Zero]]-K19</f>
        <v>-9.2621130365211357E-4</v>
      </c>
      <c r="M20" s="16">
        <f>IF(I19&lt;&gt;0,CurrentMtgRatesDataTable8[[#This Row],[Rate]]-C19,M19)</f>
        <v>-4.5000000000000373E-2</v>
      </c>
    </row>
    <row r="21" spans="1:13" s="7" customFormat="1">
      <c r="A21" s="8" t="s">
        <v>589</v>
      </c>
      <c r="B21" s="11">
        <v>2.8924009736045302</v>
      </c>
      <c r="C21" s="13">
        <v>3.79</v>
      </c>
      <c r="D21" s="14">
        <f t="shared" si="0"/>
        <v>1</v>
      </c>
      <c r="E21" s="14">
        <f t="shared" si="1"/>
        <v>0.2</v>
      </c>
      <c r="F21" s="14">
        <f t="shared" si="2"/>
        <v>1</v>
      </c>
      <c r="G21" s="14">
        <f t="shared" si="3"/>
        <v>0.57848019472090606</v>
      </c>
      <c r="H21" s="14">
        <f t="shared" si="4"/>
        <v>0.2</v>
      </c>
      <c r="I21" s="14">
        <f t="shared" si="5"/>
        <v>0</v>
      </c>
      <c r="J21" s="15">
        <f>IF(CurrentMtgRatesDataTable8[[#This Row],[WA CC]]&lt;&gt;0,C20-CurrentMtgRatesDataTable8[[#This Row],[WA CC]],0)</f>
        <v>0</v>
      </c>
      <c r="K21" s="16">
        <f>IF(CurrentMtgRatesDataTable8[[#This Row],[Servicing Spread]]&lt;=0,K20,CurrentMtgRatesDataTable8[[#This Row],[Servicing Spread]])</f>
        <v>0.90800277596573187</v>
      </c>
      <c r="L21" s="16">
        <f>CurrentMtgRatesDataTable8[[#This Row],[Servicing Spread Non-Zero]]-K20</f>
        <v>0</v>
      </c>
      <c r="M21" s="16">
        <f>IF(I20&lt;&gt;0,CurrentMtgRatesDataTable8[[#This Row],[Rate]]-C20,M20)</f>
        <v>-1.499999999999968E-2</v>
      </c>
    </row>
    <row r="22" spans="1:13" s="7" customFormat="1">
      <c r="A22" s="8" t="s">
        <v>444</v>
      </c>
      <c r="B22" s="11">
        <v>2.8716721168117001</v>
      </c>
      <c r="C22" s="13">
        <v>3.79</v>
      </c>
      <c r="D22" s="14">
        <f t="shared" si="0"/>
        <v>2</v>
      </c>
      <c r="E22" s="14">
        <f t="shared" si="1"/>
        <v>0.2</v>
      </c>
      <c r="F22" s="14">
        <f t="shared" si="2"/>
        <v>2</v>
      </c>
      <c r="G22" s="14">
        <f t="shared" si="3"/>
        <v>1.1528146180832461</v>
      </c>
      <c r="H22" s="14">
        <f t="shared" si="4"/>
        <v>0.4</v>
      </c>
      <c r="I22" s="14">
        <f t="shared" si="5"/>
        <v>0</v>
      </c>
      <c r="J22" s="15">
        <f>IF(CurrentMtgRatesDataTable8[[#This Row],[WA CC]]&lt;&gt;0,C21-CurrentMtgRatesDataTable8[[#This Row],[WA CC]],0)</f>
        <v>0</v>
      </c>
      <c r="K22" s="16">
        <f>IF(CurrentMtgRatesDataTable8[[#This Row],[Servicing Spread]]&lt;=0,K21,CurrentMtgRatesDataTable8[[#This Row],[Servicing Spread]])</f>
        <v>0.90800277596573187</v>
      </c>
      <c r="L22" s="16">
        <f>CurrentMtgRatesDataTable8[[#This Row],[Servicing Spread Non-Zero]]-K21</f>
        <v>0</v>
      </c>
      <c r="M22" s="16">
        <f>IF(I21&lt;&gt;0,CurrentMtgRatesDataTable8[[#This Row],[Rate]]-C21,M21)</f>
        <v>-1.499999999999968E-2</v>
      </c>
    </row>
    <row r="23" spans="1:13" s="7" customFormat="1">
      <c r="A23" s="8" t="s">
        <v>312</v>
      </c>
      <c r="B23" s="11">
        <v>2.8585941716778001</v>
      </c>
      <c r="C23" s="13">
        <v>3.79</v>
      </c>
      <c r="D23" s="14">
        <f t="shared" si="0"/>
        <v>5</v>
      </c>
      <c r="E23" s="14">
        <f t="shared" si="1"/>
        <v>0.2</v>
      </c>
      <c r="F23" s="14">
        <f t="shared" si="2"/>
        <v>3</v>
      </c>
      <c r="G23" s="14">
        <f t="shared" si="3"/>
        <v>1.7245334524188061</v>
      </c>
      <c r="H23" s="14">
        <f t="shared" si="4"/>
        <v>0.60000000000000009</v>
      </c>
      <c r="I23" s="14">
        <f t="shared" si="5"/>
        <v>0</v>
      </c>
      <c r="J23" s="15">
        <f>IF(CurrentMtgRatesDataTable8[[#This Row],[WA CC]]&lt;&gt;0,C22-CurrentMtgRatesDataTable8[[#This Row],[WA CC]],0)</f>
        <v>0</v>
      </c>
      <c r="K23" s="16">
        <f>IF(CurrentMtgRatesDataTable8[[#This Row],[Servicing Spread]]&lt;=0,K22,CurrentMtgRatesDataTable8[[#This Row],[Servicing Spread]])</f>
        <v>0.90800277596573187</v>
      </c>
      <c r="L23" s="16">
        <f>CurrentMtgRatesDataTable8[[#This Row],[Servicing Spread Non-Zero]]-K22</f>
        <v>0</v>
      </c>
      <c r="M23" s="16">
        <f>IF(I22&lt;&gt;0,CurrentMtgRatesDataTable8[[#This Row],[Rate]]-C22,M22)</f>
        <v>-1.499999999999968E-2</v>
      </c>
    </row>
    <row r="24" spans="1:13" s="7" customFormat="1">
      <c r="A24" s="8" t="s">
        <v>168</v>
      </c>
      <c r="B24" s="11">
        <v>2.8908484323394701</v>
      </c>
      <c r="C24" s="13">
        <v>3.79</v>
      </c>
      <c r="D24" s="14">
        <f t="shared" si="0"/>
        <v>6</v>
      </c>
      <c r="E24" s="14">
        <f t="shared" si="1"/>
        <v>0.2</v>
      </c>
      <c r="F24" s="14">
        <f t="shared" si="2"/>
        <v>4</v>
      </c>
      <c r="G24" s="14">
        <f t="shared" si="3"/>
        <v>2.3027031388867001</v>
      </c>
      <c r="H24" s="14">
        <f t="shared" si="4"/>
        <v>0.8</v>
      </c>
      <c r="I24" s="14">
        <f t="shared" si="5"/>
        <v>0</v>
      </c>
      <c r="J24" s="15">
        <f>IF(CurrentMtgRatesDataTable8[[#This Row],[WA CC]]&lt;&gt;0,C23-CurrentMtgRatesDataTable8[[#This Row],[WA CC]],0)</f>
        <v>0</v>
      </c>
      <c r="K24" s="16">
        <f>IF(CurrentMtgRatesDataTable8[[#This Row],[Servicing Spread]]&lt;=0,K23,CurrentMtgRatesDataTable8[[#This Row],[Servicing Spread]])</f>
        <v>0.90800277596573187</v>
      </c>
      <c r="L24" s="16">
        <f>CurrentMtgRatesDataTable8[[#This Row],[Servicing Spread Non-Zero]]-K23</f>
        <v>0</v>
      </c>
      <c r="M24" s="16">
        <f>IF(I23&lt;&gt;0,CurrentMtgRatesDataTable8[[#This Row],[Rate]]-C23,M23)</f>
        <v>-1.499999999999968E-2</v>
      </c>
    </row>
    <row r="25" spans="1:13" s="7" customFormat="1">
      <c r="A25" s="8" t="s">
        <v>23</v>
      </c>
      <c r="B25" s="11">
        <v>2.8733809550088201</v>
      </c>
      <c r="C25" s="13">
        <v>3.79</v>
      </c>
      <c r="D25" s="14">
        <f t="shared" si="0"/>
        <v>7</v>
      </c>
      <c r="E25" s="14">
        <f t="shared" si="1"/>
        <v>0.2</v>
      </c>
      <c r="F25" s="14">
        <f t="shared" si="2"/>
        <v>5</v>
      </c>
      <c r="G25" s="14">
        <f t="shared" si="3"/>
        <v>2.877379329888464</v>
      </c>
      <c r="H25" s="14">
        <f t="shared" si="4"/>
        <v>1</v>
      </c>
      <c r="I25" s="14">
        <f t="shared" si="5"/>
        <v>2.877379329888464</v>
      </c>
      <c r="J25" s="15">
        <f>IF(CurrentMtgRatesDataTable8[[#This Row],[WA CC]]&lt;&gt;0,C24-CurrentMtgRatesDataTable8[[#This Row],[WA CC]],0)</f>
        <v>0.91262067011153603</v>
      </c>
      <c r="K25" s="16">
        <f>IF(CurrentMtgRatesDataTable8[[#This Row],[Servicing Spread]]&lt;=0,K24,CurrentMtgRatesDataTable8[[#This Row],[Servicing Spread]])</f>
        <v>0.91262067011153603</v>
      </c>
      <c r="L25" s="16">
        <f>CurrentMtgRatesDataTable8[[#This Row],[Servicing Spread Non-Zero]]-K24</f>
        <v>4.6178941458041578E-3</v>
      </c>
      <c r="M25" s="16">
        <f>IF(I24&lt;&gt;0,CurrentMtgRatesDataTable8[[#This Row],[Rate]]-C24,M24)</f>
        <v>-1.499999999999968E-2</v>
      </c>
    </row>
    <row r="26" spans="1:13" s="7" customFormat="1">
      <c r="A26" s="8" t="s">
        <v>590</v>
      </c>
      <c r="B26" s="11">
        <v>2.88233463781564</v>
      </c>
      <c r="C26" s="13">
        <v>3.7549999999999999</v>
      </c>
      <c r="D26" s="14">
        <f t="shared" si="0"/>
        <v>1</v>
      </c>
      <c r="E26" s="14">
        <f t="shared" si="1"/>
        <v>0.2</v>
      </c>
      <c r="F26" s="14">
        <f t="shared" si="2"/>
        <v>1</v>
      </c>
      <c r="G26" s="14">
        <f t="shared" si="3"/>
        <v>0.57646692756312801</v>
      </c>
      <c r="H26" s="14">
        <f t="shared" si="4"/>
        <v>0.2</v>
      </c>
      <c r="I26" s="14">
        <f t="shared" si="5"/>
        <v>0</v>
      </c>
      <c r="J26" s="15">
        <f>IF(CurrentMtgRatesDataTable8[[#This Row],[WA CC]]&lt;&gt;0,C25-CurrentMtgRatesDataTable8[[#This Row],[WA CC]],0)</f>
        <v>0</v>
      </c>
      <c r="K26" s="16">
        <f>IF(CurrentMtgRatesDataTable8[[#This Row],[Servicing Spread]]&lt;=0,K25,CurrentMtgRatesDataTable8[[#This Row],[Servicing Spread]])</f>
        <v>0.91262067011153603</v>
      </c>
      <c r="L26" s="16">
        <f>CurrentMtgRatesDataTable8[[#This Row],[Servicing Spread Non-Zero]]-K25</f>
        <v>0</v>
      </c>
      <c r="M26" s="16">
        <f>IF(I25&lt;&gt;0,CurrentMtgRatesDataTable8[[#This Row],[Rate]]-C25,M25)</f>
        <v>-3.5000000000000142E-2</v>
      </c>
    </row>
    <row r="27" spans="1:13" s="7" customFormat="1">
      <c r="A27" s="8" t="s">
        <v>445</v>
      </c>
      <c r="B27" s="11">
        <v>2.8508681241779898</v>
      </c>
      <c r="C27" s="13">
        <v>3.7549999999999999</v>
      </c>
      <c r="D27" s="14">
        <f t="shared" si="0"/>
        <v>2</v>
      </c>
      <c r="E27" s="14">
        <f t="shared" si="1"/>
        <v>0.2</v>
      </c>
      <c r="F27" s="14">
        <f t="shared" si="2"/>
        <v>2</v>
      </c>
      <c r="G27" s="14">
        <f t="shared" si="3"/>
        <v>1.146640552398726</v>
      </c>
      <c r="H27" s="14">
        <f t="shared" si="4"/>
        <v>0.4</v>
      </c>
      <c r="I27" s="14">
        <f t="shared" si="5"/>
        <v>0</v>
      </c>
      <c r="J27" s="15">
        <f>IF(CurrentMtgRatesDataTable8[[#This Row],[WA CC]]&lt;&gt;0,C26-CurrentMtgRatesDataTable8[[#This Row],[WA CC]],0)</f>
        <v>0</v>
      </c>
      <c r="K27" s="16">
        <f>IF(CurrentMtgRatesDataTable8[[#This Row],[Servicing Spread]]&lt;=0,K26,CurrentMtgRatesDataTable8[[#This Row],[Servicing Spread]])</f>
        <v>0.91262067011153603</v>
      </c>
      <c r="L27" s="16">
        <f>CurrentMtgRatesDataTable8[[#This Row],[Servicing Spread Non-Zero]]-K26</f>
        <v>0</v>
      </c>
      <c r="M27" s="16">
        <f>IF(I26&lt;&gt;0,CurrentMtgRatesDataTable8[[#This Row],[Rate]]-C26,M26)</f>
        <v>-3.5000000000000142E-2</v>
      </c>
    </row>
    <row r="28" spans="1:13" s="7" customFormat="1">
      <c r="A28" s="8" t="s">
        <v>313</v>
      </c>
      <c r="B28" s="11">
        <v>2.85847369417964</v>
      </c>
      <c r="C28" s="13">
        <v>3.7549999999999999</v>
      </c>
      <c r="D28" s="14">
        <f t="shared" si="0"/>
        <v>5</v>
      </c>
      <c r="E28" s="14">
        <f t="shared" si="1"/>
        <v>0.2</v>
      </c>
      <c r="F28" s="14">
        <f t="shared" si="2"/>
        <v>3</v>
      </c>
      <c r="G28" s="14">
        <f t="shared" si="3"/>
        <v>1.7183352912346539</v>
      </c>
      <c r="H28" s="14">
        <f t="shared" si="4"/>
        <v>0.60000000000000009</v>
      </c>
      <c r="I28" s="14">
        <f t="shared" si="5"/>
        <v>0</v>
      </c>
      <c r="J28" s="15">
        <f>IF(CurrentMtgRatesDataTable8[[#This Row],[WA CC]]&lt;&gt;0,C27-CurrentMtgRatesDataTable8[[#This Row],[WA CC]],0)</f>
        <v>0</v>
      </c>
      <c r="K28" s="16">
        <f>IF(CurrentMtgRatesDataTable8[[#This Row],[Servicing Spread]]&lt;=0,K27,CurrentMtgRatesDataTable8[[#This Row],[Servicing Spread]])</f>
        <v>0.91262067011153603</v>
      </c>
      <c r="L28" s="16">
        <f>CurrentMtgRatesDataTable8[[#This Row],[Servicing Spread Non-Zero]]-K27</f>
        <v>0</v>
      </c>
      <c r="M28" s="16">
        <f>IF(I27&lt;&gt;0,CurrentMtgRatesDataTable8[[#This Row],[Rate]]-C27,M27)</f>
        <v>-3.5000000000000142E-2</v>
      </c>
    </row>
    <row r="29" spans="1:13" s="7" customFormat="1">
      <c r="A29" s="8" t="s">
        <v>169</v>
      </c>
      <c r="B29" s="11">
        <v>2.8457023219339699</v>
      </c>
      <c r="C29" s="13">
        <v>3.7549999999999999</v>
      </c>
      <c r="D29" s="14">
        <f t="shared" si="0"/>
        <v>6</v>
      </c>
      <c r="E29" s="14">
        <f t="shared" si="1"/>
        <v>0.2</v>
      </c>
      <c r="F29" s="14">
        <f t="shared" si="2"/>
        <v>4</v>
      </c>
      <c r="G29" s="14">
        <f t="shared" si="3"/>
        <v>2.2874757556214478</v>
      </c>
      <c r="H29" s="14">
        <f t="shared" si="4"/>
        <v>0.8</v>
      </c>
      <c r="I29" s="14">
        <f t="shared" si="5"/>
        <v>0</v>
      </c>
      <c r="J29" s="15">
        <f>IF(CurrentMtgRatesDataTable8[[#This Row],[WA CC]]&lt;&gt;0,C28-CurrentMtgRatesDataTable8[[#This Row],[WA CC]],0)</f>
        <v>0</v>
      </c>
      <c r="K29" s="16">
        <f>IF(CurrentMtgRatesDataTable8[[#This Row],[Servicing Spread]]&lt;=0,K28,CurrentMtgRatesDataTable8[[#This Row],[Servicing Spread]])</f>
        <v>0.91262067011153603</v>
      </c>
      <c r="L29" s="16">
        <f>CurrentMtgRatesDataTable8[[#This Row],[Servicing Spread Non-Zero]]-K28</f>
        <v>0</v>
      </c>
      <c r="M29" s="16">
        <f>IF(I28&lt;&gt;0,CurrentMtgRatesDataTable8[[#This Row],[Rate]]-C28,M28)</f>
        <v>-3.5000000000000142E-2</v>
      </c>
    </row>
    <row r="30" spans="1:13" s="7" customFormat="1">
      <c r="A30" s="8" t="s">
        <v>24</v>
      </c>
      <c r="B30" s="11">
        <v>2.8327642978398999</v>
      </c>
      <c r="C30" s="13">
        <v>3.7549999999999999</v>
      </c>
      <c r="D30" s="14">
        <f t="shared" si="0"/>
        <v>7</v>
      </c>
      <c r="E30" s="14">
        <f t="shared" si="1"/>
        <v>0.2</v>
      </c>
      <c r="F30" s="14">
        <f t="shared" si="2"/>
        <v>5</v>
      </c>
      <c r="G30" s="14">
        <f t="shared" si="3"/>
        <v>2.8540286151894279</v>
      </c>
      <c r="H30" s="14">
        <f t="shared" si="4"/>
        <v>1</v>
      </c>
      <c r="I30" s="14">
        <f t="shared" si="5"/>
        <v>2.8540286151894279</v>
      </c>
      <c r="J30" s="15">
        <f>IF(CurrentMtgRatesDataTable8[[#This Row],[WA CC]]&lt;&gt;0,C29-CurrentMtgRatesDataTable8[[#This Row],[WA CC]],0)</f>
        <v>0.90097138481057204</v>
      </c>
      <c r="K30" s="16">
        <f>IF(CurrentMtgRatesDataTable8[[#This Row],[Servicing Spread]]&lt;=0,K29,CurrentMtgRatesDataTable8[[#This Row],[Servicing Spread]])</f>
        <v>0.90097138481057204</v>
      </c>
      <c r="L30" s="16">
        <f>CurrentMtgRatesDataTable8[[#This Row],[Servicing Spread Non-Zero]]-K29</f>
        <v>-1.1649285300963985E-2</v>
      </c>
      <c r="M30" s="16">
        <f>IF(I29&lt;&gt;0,CurrentMtgRatesDataTable8[[#This Row],[Rate]]-C29,M29)</f>
        <v>-3.5000000000000142E-2</v>
      </c>
    </row>
    <row r="31" spans="1:13" s="7" customFormat="1">
      <c r="A31" s="8" t="s">
        <v>591</v>
      </c>
      <c r="B31" s="11">
        <v>2.8246078637178802</v>
      </c>
      <c r="C31" s="13">
        <v>3.7149999999999999</v>
      </c>
      <c r="D31" s="14">
        <f t="shared" si="0"/>
        <v>1</v>
      </c>
      <c r="E31" s="14">
        <f t="shared" si="1"/>
        <v>0.2</v>
      </c>
      <c r="F31" s="14">
        <f t="shared" si="2"/>
        <v>1</v>
      </c>
      <c r="G31" s="14">
        <f t="shared" si="3"/>
        <v>0.56492157274357602</v>
      </c>
      <c r="H31" s="14">
        <f t="shared" si="4"/>
        <v>0.2</v>
      </c>
      <c r="I31" s="14">
        <f t="shared" si="5"/>
        <v>0</v>
      </c>
      <c r="J31" s="15">
        <f>IF(CurrentMtgRatesDataTable8[[#This Row],[WA CC]]&lt;&gt;0,C30-CurrentMtgRatesDataTable8[[#This Row],[WA CC]],0)</f>
        <v>0</v>
      </c>
      <c r="K31" s="16">
        <f>IF(CurrentMtgRatesDataTable8[[#This Row],[Servicing Spread]]&lt;=0,K30,CurrentMtgRatesDataTable8[[#This Row],[Servicing Spread]])</f>
        <v>0.90097138481057204</v>
      </c>
      <c r="L31" s="16">
        <f>CurrentMtgRatesDataTable8[[#This Row],[Servicing Spread Non-Zero]]-K30</f>
        <v>0</v>
      </c>
      <c r="M31" s="16">
        <f>IF(I30&lt;&gt;0,CurrentMtgRatesDataTable8[[#This Row],[Rate]]-C30,M30)</f>
        <v>-4.0000000000000036E-2</v>
      </c>
    </row>
    <row r="32" spans="1:13" s="7" customFormat="1">
      <c r="A32" s="8" t="s">
        <v>446</v>
      </c>
      <c r="B32" s="11">
        <v>2.8052772077153998</v>
      </c>
      <c r="C32" s="13">
        <v>3.7149999999999999</v>
      </c>
      <c r="D32" s="14">
        <f t="shared" si="0"/>
        <v>2</v>
      </c>
      <c r="E32" s="14">
        <f t="shared" si="1"/>
        <v>0.2</v>
      </c>
      <c r="F32" s="14">
        <f t="shared" si="2"/>
        <v>2</v>
      </c>
      <c r="G32" s="14">
        <f t="shared" si="3"/>
        <v>1.1259770142866561</v>
      </c>
      <c r="H32" s="14">
        <f t="shared" si="4"/>
        <v>0.4</v>
      </c>
      <c r="I32" s="14">
        <f t="shared" si="5"/>
        <v>0</v>
      </c>
      <c r="J32" s="15">
        <f>IF(CurrentMtgRatesDataTable8[[#This Row],[WA CC]]&lt;&gt;0,C31-CurrentMtgRatesDataTable8[[#This Row],[WA CC]],0)</f>
        <v>0</v>
      </c>
      <c r="K32" s="16">
        <f>IF(CurrentMtgRatesDataTable8[[#This Row],[Servicing Spread]]&lt;=0,K31,CurrentMtgRatesDataTable8[[#This Row],[Servicing Spread]])</f>
        <v>0.90097138481057204</v>
      </c>
      <c r="L32" s="16">
        <f>CurrentMtgRatesDataTable8[[#This Row],[Servicing Spread Non-Zero]]-K31</f>
        <v>0</v>
      </c>
      <c r="M32" s="16">
        <f>IF(I31&lt;&gt;0,CurrentMtgRatesDataTable8[[#This Row],[Rate]]-C31,M31)</f>
        <v>-4.0000000000000036E-2</v>
      </c>
    </row>
    <row r="33" spans="1:13" s="7" customFormat="1">
      <c r="A33" s="8" t="s">
        <v>314</v>
      </c>
      <c r="B33" s="11">
        <v>2.7739749118365999</v>
      </c>
      <c r="C33" s="13">
        <v>3.7149999999999999</v>
      </c>
      <c r="D33" s="14">
        <f t="shared" si="0"/>
        <v>5</v>
      </c>
      <c r="E33" s="14">
        <f t="shared" si="1"/>
        <v>0.2</v>
      </c>
      <c r="F33" s="14">
        <f t="shared" si="2"/>
        <v>3</v>
      </c>
      <c r="G33" s="14">
        <f t="shared" si="3"/>
        <v>1.6807719966539763</v>
      </c>
      <c r="H33" s="14">
        <f t="shared" si="4"/>
        <v>0.60000000000000009</v>
      </c>
      <c r="I33" s="14">
        <f t="shared" si="5"/>
        <v>0</v>
      </c>
      <c r="J33" s="15">
        <f>IF(CurrentMtgRatesDataTable8[[#This Row],[WA CC]]&lt;&gt;0,C32-CurrentMtgRatesDataTable8[[#This Row],[WA CC]],0)</f>
        <v>0</v>
      </c>
      <c r="K33" s="16">
        <f>IF(CurrentMtgRatesDataTable8[[#This Row],[Servicing Spread]]&lt;=0,K32,CurrentMtgRatesDataTable8[[#This Row],[Servicing Spread]])</f>
        <v>0.90097138481057204</v>
      </c>
      <c r="L33" s="16">
        <f>CurrentMtgRatesDataTable8[[#This Row],[Servicing Spread Non-Zero]]-K32</f>
        <v>0</v>
      </c>
      <c r="M33" s="16">
        <f>IF(I32&lt;&gt;0,CurrentMtgRatesDataTable8[[#This Row],[Rate]]-C32,M32)</f>
        <v>-4.0000000000000036E-2</v>
      </c>
    </row>
    <row r="34" spans="1:13" s="7" customFormat="1">
      <c r="A34" s="8" t="s">
        <v>170</v>
      </c>
      <c r="B34" s="11">
        <v>2.7697091879875599</v>
      </c>
      <c r="C34" s="13">
        <v>3.7149999999999999</v>
      </c>
      <c r="D34" s="14">
        <f t="shared" si="0"/>
        <v>6</v>
      </c>
      <c r="E34" s="14">
        <f t="shared" si="1"/>
        <v>0.2</v>
      </c>
      <c r="F34" s="14">
        <f t="shared" si="2"/>
        <v>4</v>
      </c>
      <c r="G34" s="14">
        <f t="shared" si="3"/>
        <v>2.2347138342514885</v>
      </c>
      <c r="H34" s="14">
        <f t="shared" si="4"/>
        <v>0.8</v>
      </c>
      <c r="I34" s="14">
        <f t="shared" si="5"/>
        <v>0</v>
      </c>
      <c r="J34" s="15">
        <f>IF(CurrentMtgRatesDataTable8[[#This Row],[WA CC]]&lt;&gt;0,C33-CurrentMtgRatesDataTable8[[#This Row],[WA CC]],0)</f>
        <v>0</v>
      </c>
      <c r="K34" s="16">
        <f>IF(CurrentMtgRatesDataTable8[[#This Row],[Servicing Spread]]&lt;=0,K33,CurrentMtgRatesDataTable8[[#This Row],[Servicing Spread]])</f>
        <v>0.90097138481057204</v>
      </c>
      <c r="L34" s="16">
        <f>CurrentMtgRatesDataTable8[[#This Row],[Servicing Spread Non-Zero]]-K33</f>
        <v>0</v>
      </c>
      <c r="M34" s="16">
        <f>IF(I33&lt;&gt;0,CurrentMtgRatesDataTable8[[#This Row],[Rate]]-C33,M33)</f>
        <v>-4.0000000000000036E-2</v>
      </c>
    </row>
    <row r="35" spans="1:13" s="7" customFormat="1">
      <c r="A35" s="8" t="s">
        <v>25</v>
      </c>
      <c r="B35" s="11">
        <v>2.7401286983352402</v>
      </c>
      <c r="C35" s="13">
        <v>3.7149999999999999</v>
      </c>
      <c r="D35" s="14">
        <f t="shared" si="0"/>
        <v>7</v>
      </c>
      <c r="E35" s="14">
        <f t="shared" si="1"/>
        <v>0.2</v>
      </c>
      <c r="F35" s="14">
        <f t="shared" si="2"/>
        <v>5</v>
      </c>
      <c r="G35" s="14">
        <f t="shared" si="3"/>
        <v>2.7827395739185365</v>
      </c>
      <c r="H35" s="14">
        <f t="shared" si="4"/>
        <v>1</v>
      </c>
      <c r="I35" s="14">
        <f t="shared" si="5"/>
        <v>2.7827395739185365</v>
      </c>
      <c r="J35" s="15">
        <f>IF(CurrentMtgRatesDataTable8[[#This Row],[WA CC]]&lt;&gt;0,C34-CurrentMtgRatesDataTable8[[#This Row],[WA CC]],0)</f>
        <v>0.93226042608146331</v>
      </c>
      <c r="K35" s="16">
        <f>IF(CurrentMtgRatesDataTable8[[#This Row],[Servicing Spread]]&lt;=0,K34,CurrentMtgRatesDataTable8[[#This Row],[Servicing Spread]])</f>
        <v>0.93226042608146331</v>
      </c>
      <c r="L35" s="16">
        <f>CurrentMtgRatesDataTable8[[#This Row],[Servicing Spread Non-Zero]]-K34</f>
        <v>3.1289041270891271E-2</v>
      </c>
      <c r="M35" s="16">
        <f>IF(I34&lt;&gt;0,CurrentMtgRatesDataTable8[[#This Row],[Rate]]-C34,M34)</f>
        <v>-4.0000000000000036E-2</v>
      </c>
    </row>
    <row r="36" spans="1:13" s="7" customFormat="1">
      <c r="A36" s="8" t="s">
        <v>592</v>
      </c>
      <c r="B36" s="11">
        <v>2.6718406862121098</v>
      </c>
      <c r="C36" s="13">
        <v>3.73</v>
      </c>
      <c r="D36" s="14">
        <f t="shared" si="0"/>
        <v>1</v>
      </c>
      <c r="E36" s="14">
        <f t="shared" si="1"/>
        <v>0.2</v>
      </c>
      <c r="F36" s="14">
        <f t="shared" si="2"/>
        <v>1</v>
      </c>
      <c r="G36" s="14">
        <f t="shared" si="3"/>
        <v>0.53436813724242194</v>
      </c>
      <c r="H36" s="14">
        <f t="shared" si="4"/>
        <v>0.2</v>
      </c>
      <c r="I36" s="14">
        <f t="shared" si="5"/>
        <v>0</v>
      </c>
      <c r="J36" s="15">
        <f>IF(CurrentMtgRatesDataTable8[[#This Row],[WA CC]]&lt;&gt;0,C35-CurrentMtgRatesDataTable8[[#This Row],[WA CC]],0)</f>
        <v>0</v>
      </c>
      <c r="K36" s="16">
        <f>IF(CurrentMtgRatesDataTable8[[#This Row],[Servicing Spread]]&lt;=0,K35,CurrentMtgRatesDataTable8[[#This Row],[Servicing Spread]])</f>
        <v>0.93226042608146331</v>
      </c>
      <c r="L36" s="16">
        <f>CurrentMtgRatesDataTable8[[#This Row],[Servicing Spread Non-Zero]]-K35</f>
        <v>0</v>
      </c>
      <c r="M36" s="16">
        <f>IF(I35&lt;&gt;0,CurrentMtgRatesDataTable8[[#This Row],[Rate]]-C35,M35)</f>
        <v>1.5000000000000124E-2</v>
      </c>
    </row>
    <row r="37" spans="1:13" s="7" customFormat="1">
      <c r="A37" s="8" t="s">
        <v>447</v>
      </c>
      <c r="B37" s="11">
        <v>2.67797206633489</v>
      </c>
      <c r="C37" s="13">
        <v>3.73</v>
      </c>
      <c r="D37" s="14">
        <f t="shared" si="0"/>
        <v>2</v>
      </c>
      <c r="E37" s="14">
        <f t="shared" si="1"/>
        <v>0.2</v>
      </c>
      <c r="F37" s="14">
        <f t="shared" si="2"/>
        <v>2</v>
      </c>
      <c r="G37" s="14">
        <f t="shared" si="3"/>
        <v>1.0699625505093999</v>
      </c>
      <c r="H37" s="14">
        <f t="shared" si="4"/>
        <v>0.4</v>
      </c>
      <c r="I37" s="14">
        <f t="shared" si="5"/>
        <v>0</v>
      </c>
      <c r="J37" s="15">
        <f>IF(CurrentMtgRatesDataTable8[[#This Row],[WA CC]]&lt;&gt;0,C36-CurrentMtgRatesDataTable8[[#This Row],[WA CC]],0)</f>
        <v>0</v>
      </c>
      <c r="K37" s="16">
        <f>IF(CurrentMtgRatesDataTable8[[#This Row],[Servicing Spread]]&lt;=0,K36,CurrentMtgRatesDataTable8[[#This Row],[Servicing Spread]])</f>
        <v>0.93226042608146331</v>
      </c>
      <c r="L37" s="16">
        <f>CurrentMtgRatesDataTable8[[#This Row],[Servicing Spread Non-Zero]]-K36</f>
        <v>0</v>
      </c>
      <c r="M37" s="16">
        <f>IF(I36&lt;&gt;0,CurrentMtgRatesDataTable8[[#This Row],[Rate]]-C36,M36)</f>
        <v>1.5000000000000124E-2</v>
      </c>
    </row>
    <row r="38" spans="1:13" s="7" customFormat="1">
      <c r="A38" s="8" t="s">
        <v>315</v>
      </c>
      <c r="B38" s="11">
        <v>2.73357010628694</v>
      </c>
      <c r="C38" s="13">
        <v>3.73</v>
      </c>
      <c r="D38" s="14">
        <f t="shared" si="0"/>
        <v>5</v>
      </c>
      <c r="E38" s="14">
        <f t="shared" si="1"/>
        <v>0.2</v>
      </c>
      <c r="F38" s="14">
        <f t="shared" si="2"/>
        <v>3</v>
      </c>
      <c r="G38" s="14">
        <f t="shared" si="3"/>
        <v>1.6166765717667879</v>
      </c>
      <c r="H38" s="14">
        <f t="shared" si="4"/>
        <v>0.60000000000000009</v>
      </c>
      <c r="I38" s="14">
        <f t="shared" si="5"/>
        <v>0</v>
      </c>
      <c r="J38" s="15">
        <f>IF(CurrentMtgRatesDataTable8[[#This Row],[WA CC]]&lt;&gt;0,C37-CurrentMtgRatesDataTable8[[#This Row],[WA CC]],0)</f>
        <v>0</v>
      </c>
      <c r="K38" s="16">
        <f>IF(CurrentMtgRatesDataTable8[[#This Row],[Servicing Spread]]&lt;=0,K37,CurrentMtgRatesDataTable8[[#This Row],[Servicing Spread]])</f>
        <v>0.93226042608146331</v>
      </c>
      <c r="L38" s="16">
        <f>CurrentMtgRatesDataTable8[[#This Row],[Servicing Spread Non-Zero]]-K37</f>
        <v>0</v>
      </c>
      <c r="M38" s="16">
        <f>IF(I37&lt;&gt;0,CurrentMtgRatesDataTable8[[#This Row],[Rate]]-C37,M37)</f>
        <v>1.5000000000000124E-2</v>
      </c>
    </row>
    <row r="39" spans="1:13" s="7" customFormat="1">
      <c r="A39" s="8" t="s">
        <v>171</v>
      </c>
      <c r="B39" s="11">
        <v>2.76969358536605</v>
      </c>
      <c r="C39" s="13">
        <v>3.73</v>
      </c>
      <c r="D39" s="14">
        <f t="shared" si="0"/>
        <v>6</v>
      </c>
      <c r="E39" s="14">
        <f t="shared" si="1"/>
        <v>0.2</v>
      </c>
      <c r="F39" s="14">
        <f t="shared" si="2"/>
        <v>4</v>
      </c>
      <c r="G39" s="14">
        <f t="shared" si="3"/>
        <v>2.1706152888399979</v>
      </c>
      <c r="H39" s="14">
        <f t="shared" si="4"/>
        <v>0.8</v>
      </c>
      <c r="I39" s="14">
        <f t="shared" si="5"/>
        <v>0</v>
      </c>
      <c r="J39" s="15">
        <f>IF(CurrentMtgRatesDataTable8[[#This Row],[WA CC]]&lt;&gt;0,C38-CurrentMtgRatesDataTable8[[#This Row],[WA CC]],0)</f>
        <v>0</v>
      </c>
      <c r="K39" s="16">
        <f>IF(CurrentMtgRatesDataTable8[[#This Row],[Servicing Spread]]&lt;=0,K38,CurrentMtgRatesDataTable8[[#This Row],[Servicing Spread]])</f>
        <v>0.93226042608146331</v>
      </c>
      <c r="L39" s="16">
        <f>CurrentMtgRatesDataTable8[[#This Row],[Servicing Spread Non-Zero]]-K38</f>
        <v>0</v>
      </c>
      <c r="M39" s="16">
        <f>IF(I38&lt;&gt;0,CurrentMtgRatesDataTable8[[#This Row],[Rate]]-C38,M38)</f>
        <v>1.5000000000000124E-2</v>
      </c>
    </row>
    <row r="40" spans="1:13" s="7" customFormat="1">
      <c r="A40" s="8" t="s">
        <v>26</v>
      </c>
      <c r="B40" s="11">
        <v>2.7350812469927099</v>
      </c>
      <c r="C40" s="13">
        <v>3.73</v>
      </c>
      <c r="D40" s="14">
        <f t="shared" si="0"/>
        <v>7</v>
      </c>
      <c r="E40" s="14">
        <f t="shared" si="1"/>
        <v>0.2</v>
      </c>
      <c r="F40" s="14">
        <f t="shared" si="2"/>
        <v>5</v>
      </c>
      <c r="G40" s="14">
        <f t="shared" si="3"/>
        <v>2.7176315382385399</v>
      </c>
      <c r="H40" s="14">
        <f t="shared" si="4"/>
        <v>1</v>
      </c>
      <c r="I40" s="14">
        <f t="shared" si="5"/>
        <v>2.7176315382385399</v>
      </c>
      <c r="J40" s="15">
        <f>IF(CurrentMtgRatesDataTable8[[#This Row],[WA CC]]&lt;&gt;0,C39-CurrentMtgRatesDataTable8[[#This Row],[WA CC]],0)</f>
        <v>1.0123684617614601</v>
      </c>
      <c r="K40" s="16">
        <f>IF(CurrentMtgRatesDataTable8[[#This Row],[Servicing Spread]]&lt;=0,K39,CurrentMtgRatesDataTable8[[#This Row],[Servicing Spread]])</f>
        <v>1.0123684617614601</v>
      </c>
      <c r="L40" s="16">
        <f>CurrentMtgRatesDataTable8[[#This Row],[Servicing Spread Non-Zero]]-K39</f>
        <v>8.0108035679996803E-2</v>
      </c>
      <c r="M40" s="16">
        <f>IF(I39&lt;&gt;0,CurrentMtgRatesDataTable8[[#This Row],[Rate]]-C39,M39)</f>
        <v>1.5000000000000124E-2</v>
      </c>
    </row>
    <row r="41" spans="1:13" s="7" customFormat="1">
      <c r="A41" s="8" t="s">
        <v>593</v>
      </c>
      <c r="B41" s="11">
        <v>2.7605421873144298</v>
      </c>
      <c r="C41" s="13">
        <v>3.7</v>
      </c>
      <c r="D41" s="14">
        <f t="shared" si="0"/>
        <v>1</v>
      </c>
      <c r="E41" s="14">
        <f t="shared" si="1"/>
        <v>0.2</v>
      </c>
      <c r="F41" s="14">
        <f t="shared" si="2"/>
        <v>1</v>
      </c>
      <c r="G41" s="14">
        <f t="shared" si="3"/>
        <v>0.55210843746288596</v>
      </c>
      <c r="H41" s="14">
        <f t="shared" si="4"/>
        <v>0.2</v>
      </c>
      <c r="I41" s="14">
        <f t="shared" si="5"/>
        <v>0</v>
      </c>
      <c r="J41" s="15">
        <f>IF(CurrentMtgRatesDataTable8[[#This Row],[WA CC]]&lt;&gt;0,C40-CurrentMtgRatesDataTable8[[#This Row],[WA CC]],0)</f>
        <v>0</v>
      </c>
      <c r="K41" s="16">
        <f>IF(CurrentMtgRatesDataTable8[[#This Row],[Servicing Spread]]&lt;=0,K40,CurrentMtgRatesDataTable8[[#This Row],[Servicing Spread]])</f>
        <v>1.0123684617614601</v>
      </c>
      <c r="L41" s="16">
        <f>CurrentMtgRatesDataTable8[[#This Row],[Servicing Spread Non-Zero]]-K40</f>
        <v>0</v>
      </c>
      <c r="M41" s="16">
        <f>IF(I40&lt;&gt;0,CurrentMtgRatesDataTable8[[#This Row],[Rate]]-C40,M40)</f>
        <v>-2.9999999999999805E-2</v>
      </c>
    </row>
    <row r="42" spans="1:13" s="7" customFormat="1">
      <c r="A42" s="8" t="s">
        <v>448</v>
      </c>
      <c r="B42" s="11">
        <v>2.7634534959262198</v>
      </c>
      <c r="C42" s="13">
        <v>3.7</v>
      </c>
      <c r="D42" s="14">
        <f t="shared" si="0"/>
        <v>2</v>
      </c>
      <c r="E42" s="14">
        <f t="shared" si="1"/>
        <v>0.2</v>
      </c>
      <c r="F42" s="14">
        <f t="shared" si="2"/>
        <v>2</v>
      </c>
      <c r="G42" s="14">
        <f t="shared" si="3"/>
        <v>1.10479913664813</v>
      </c>
      <c r="H42" s="14">
        <f t="shared" si="4"/>
        <v>0.4</v>
      </c>
      <c r="I42" s="14">
        <f t="shared" si="5"/>
        <v>0</v>
      </c>
      <c r="J42" s="15">
        <f>IF(CurrentMtgRatesDataTable8[[#This Row],[WA CC]]&lt;&gt;0,C41-CurrentMtgRatesDataTable8[[#This Row],[WA CC]],0)</f>
        <v>0</v>
      </c>
      <c r="K42" s="16">
        <f>IF(CurrentMtgRatesDataTable8[[#This Row],[Servicing Spread]]&lt;=0,K41,CurrentMtgRatesDataTable8[[#This Row],[Servicing Spread]])</f>
        <v>1.0123684617614601</v>
      </c>
      <c r="L42" s="16">
        <f>CurrentMtgRatesDataTable8[[#This Row],[Servicing Spread Non-Zero]]-K41</f>
        <v>0</v>
      </c>
      <c r="M42" s="16">
        <f>IF(I41&lt;&gt;0,CurrentMtgRatesDataTable8[[#This Row],[Rate]]-C41,M41)</f>
        <v>-2.9999999999999805E-2</v>
      </c>
    </row>
    <row r="43" spans="1:13" s="7" customFormat="1">
      <c r="A43" s="8" t="s">
        <v>172</v>
      </c>
      <c r="B43" s="11">
        <v>2.77148784579206</v>
      </c>
      <c r="C43" s="13">
        <v>3.7</v>
      </c>
      <c r="D43" s="14">
        <f t="shared" si="0"/>
        <v>6</v>
      </c>
      <c r="E43" s="14">
        <f t="shared" si="1"/>
        <v>0.2</v>
      </c>
      <c r="F43" s="14">
        <f t="shared" si="2"/>
        <v>3</v>
      </c>
      <c r="G43" s="14">
        <f t="shared" si="3"/>
        <v>1.659096705806542</v>
      </c>
      <c r="H43" s="14">
        <f t="shared" si="4"/>
        <v>0.60000000000000009</v>
      </c>
      <c r="I43" s="14">
        <f t="shared" si="5"/>
        <v>0</v>
      </c>
      <c r="J43" s="15">
        <f>IF(CurrentMtgRatesDataTable8[[#This Row],[WA CC]]&lt;&gt;0,C42-CurrentMtgRatesDataTable8[[#This Row],[WA CC]],0)</f>
        <v>0</v>
      </c>
      <c r="K43" s="16">
        <f>IF(CurrentMtgRatesDataTable8[[#This Row],[Servicing Spread]]&lt;=0,K42,CurrentMtgRatesDataTable8[[#This Row],[Servicing Spread]])</f>
        <v>1.0123684617614601</v>
      </c>
      <c r="L43" s="16">
        <f>CurrentMtgRatesDataTable8[[#This Row],[Servicing Spread Non-Zero]]-K42</f>
        <v>0</v>
      </c>
      <c r="M43" s="16">
        <f>IF(I42&lt;&gt;0,CurrentMtgRatesDataTable8[[#This Row],[Rate]]-C42,M42)</f>
        <v>-2.9999999999999805E-2</v>
      </c>
    </row>
    <row r="44" spans="1:13" s="7" customFormat="1">
      <c r="A44" s="8" t="s">
        <v>27</v>
      </c>
      <c r="B44" s="11">
        <v>2.6848642616862599</v>
      </c>
      <c r="C44" s="13">
        <v>3.7</v>
      </c>
      <c r="D44" s="14">
        <f t="shared" si="0"/>
        <v>7</v>
      </c>
      <c r="E44" s="14">
        <f t="shared" si="1"/>
        <v>0.2</v>
      </c>
      <c r="F44" s="14">
        <f t="shared" si="2"/>
        <v>4</v>
      </c>
      <c r="G44" s="14">
        <f t="shared" si="3"/>
        <v>2.1960695581437939</v>
      </c>
      <c r="H44" s="14">
        <f t="shared" si="4"/>
        <v>0.8</v>
      </c>
      <c r="I44" s="14">
        <f t="shared" si="5"/>
        <v>2.7450869476797424</v>
      </c>
      <c r="J44" s="15">
        <f>IF(CurrentMtgRatesDataTable8[[#This Row],[WA CC]]&lt;&gt;0,C43-CurrentMtgRatesDataTable8[[#This Row],[WA CC]],0)</f>
        <v>0.9549130523202578</v>
      </c>
      <c r="K44" s="16">
        <f>IF(CurrentMtgRatesDataTable8[[#This Row],[Servicing Spread]]&lt;=0,K43,CurrentMtgRatesDataTable8[[#This Row],[Servicing Spread]])</f>
        <v>0.9549130523202578</v>
      </c>
      <c r="L44" s="16">
        <f>CurrentMtgRatesDataTable8[[#This Row],[Servicing Spread Non-Zero]]-K43</f>
        <v>-5.745540944120231E-2</v>
      </c>
      <c r="M44" s="16">
        <f>IF(I43&lt;&gt;0,CurrentMtgRatesDataTable8[[#This Row],[Rate]]-C43,M43)</f>
        <v>-2.9999999999999805E-2</v>
      </c>
    </row>
    <row r="45" spans="1:13" s="7" customFormat="1">
      <c r="A45" s="8" t="s">
        <v>594</v>
      </c>
      <c r="B45" s="11">
        <v>2.6463905286345102</v>
      </c>
      <c r="C45" s="13">
        <v>3.5949999999999998</v>
      </c>
      <c r="D45" s="14">
        <f t="shared" si="0"/>
        <v>1</v>
      </c>
      <c r="E45" s="14">
        <f t="shared" si="1"/>
        <v>0.2</v>
      </c>
      <c r="F45" s="14">
        <f t="shared" si="2"/>
        <v>1</v>
      </c>
      <c r="G45" s="14">
        <f t="shared" si="3"/>
        <v>0.52927810572690204</v>
      </c>
      <c r="H45" s="14">
        <f t="shared" si="4"/>
        <v>0.2</v>
      </c>
      <c r="I45" s="14">
        <f t="shared" si="5"/>
        <v>0</v>
      </c>
      <c r="J45" s="15">
        <f>IF(CurrentMtgRatesDataTable8[[#This Row],[WA CC]]&lt;&gt;0,C44-CurrentMtgRatesDataTable8[[#This Row],[WA CC]],0)</f>
        <v>0</v>
      </c>
      <c r="K45" s="16">
        <f>IF(CurrentMtgRatesDataTable8[[#This Row],[Servicing Spread]]&lt;=0,K44,CurrentMtgRatesDataTable8[[#This Row],[Servicing Spread]])</f>
        <v>0.9549130523202578</v>
      </c>
      <c r="L45" s="16">
        <f>CurrentMtgRatesDataTable8[[#This Row],[Servicing Spread Non-Zero]]-K44</f>
        <v>0</v>
      </c>
      <c r="M45" s="16">
        <f>IF(I44&lt;&gt;0,CurrentMtgRatesDataTable8[[#This Row],[Rate]]-C44,M44)</f>
        <v>-0.10500000000000043</v>
      </c>
    </row>
    <row r="46" spans="1:13" s="7" customFormat="1">
      <c r="A46" s="8" t="s">
        <v>449</v>
      </c>
      <c r="B46" s="11">
        <v>2.5315862032348999</v>
      </c>
      <c r="C46" s="13">
        <v>3.5949999999999998</v>
      </c>
      <c r="D46" s="14">
        <f t="shared" si="0"/>
        <v>2</v>
      </c>
      <c r="E46" s="14">
        <f t="shared" si="1"/>
        <v>0.2</v>
      </c>
      <c r="F46" s="14">
        <f t="shared" si="2"/>
        <v>2</v>
      </c>
      <c r="G46" s="14">
        <f t="shared" si="3"/>
        <v>1.0355953463738821</v>
      </c>
      <c r="H46" s="14">
        <f t="shared" si="4"/>
        <v>0.4</v>
      </c>
      <c r="I46" s="14">
        <f t="shared" si="5"/>
        <v>0</v>
      </c>
      <c r="J46" s="15">
        <f>IF(CurrentMtgRatesDataTable8[[#This Row],[WA CC]]&lt;&gt;0,C45-CurrentMtgRatesDataTable8[[#This Row],[WA CC]],0)</f>
        <v>0</v>
      </c>
      <c r="K46" s="16">
        <f>IF(CurrentMtgRatesDataTable8[[#This Row],[Servicing Spread]]&lt;=0,K45,CurrentMtgRatesDataTable8[[#This Row],[Servicing Spread]])</f>
        <v>0.9549130523202578</v>
      </c>
      <c r="L46" s="16">
        <f>CurrentMtgRatesDataTable8[[#This Row],[Servicing Spread Non-Zero]]-K45</f>
        <v>0</v>
      </c>
      <c r="M46" s="16">
        <f>IF(I45&lt;&gt;0,CurrentMtgRatesDataTable8[[#This Row],[Rate]]-C45,M45)</f>
        <v>-0.10500000000000043</v>
      </c>
    </row>
    <row r="47" spans="1:13" s="7" customFormat="1">
      <c r="A47" s="8" t="s">
        <v>316</v>
      </c>
      <c r="B47" s="11">
        <v>2.62225605452167</v>
      </c>
      <c r="C47" s="13">
        <v>3.5949999999999998</v>
      </c>
      <c r="D47" s="14">
        <f t="shared" si="0"/>
        <v>5</v>
      </c>
      <c r="E47" s="14">
        <f t="shared" si="1"/>
        <v>0.2</v>
      </c>
      <c r="F47" s="14">
        <f t="shared" si="2"/>
        <v>3</v>
      </c>
      <c r="G47" s="14">
        <f t="shared" si="3"/>
        <v>1.5600465572782161</v>
      </c>
      <c r="H47" s="14">
        <f t="shared" si="4"/>
        <v>0.60000000000000009</v>
      </c>
      <c r="I47" s="14">
        <f t="shared" si="5"/>
        <v>0</v>
      </c>
      <c r="J47" s="15">
        <f>IF(CurrentMtgRatesDataTable8[[#This Row],[WA CC]]&lt;&gt;0,C46-CurrentMtgRatesDataTable8[[#This Row],[WA CC]],0)</f>
        <v>0</v>
      </c>
      <c r="K47" s="16">
        <f>IF(CurrentMtgRatesDataTable8[[#This Row],[Servicing Spread]]&lt;=0,K46,CurrentMtgRatesDataTable8[[#This Row],[Servicing Spread]])</f>
        <v>0.9549130523202578</v>
      </c>
      <c r="L47" s="16">
        <f>CurrentMtgRatesDataTable8[[#This Row],[Servicing Spread Non-Zero]]-K46</f>
        <v>0</v>
      </c>
      <c r="M47" s="16">
        <f>IF(I46&lt;&gt;0,CurrentMtgRatesDataTable8[[#This Row],[Rate]]-C46,M46)</f>
        <v>-0.10500000000000043</v>
      </c>
    </row>
    <row r="48" spans="1:13" s="7" customFormat="1">
      <c r="A48" s="8" t="s">
        <v>173</v>
      </c>
      <c r="B48" s="11">
        <v>2.67215902179854</v>
      </c>
      <c r="C48" s="13">
        <v>3.5949999999999998</v>
      </c>
      <c r="D48" s="14">
        <f t="shared" si="0"/>
        <v>6</v>
      </c>
      <c r="E48" s="14">
        <f t="shared" si="1"/>
        <v>0.2</v>
      </c>
      <c r="F48" s="14">
        <f t="shared" si="2"/>
        <v>4</v>
      </c>
      <c r="G48" s="14">
        <f t="shared" si="3"/>
        <v>2.0944783616379241</v>
      </c>
      <c r="H48" s="14">
        <f t="shared" si="4"/>
        <v>0.8</v>
      </c>
      <c r="I48" s="14">
        <f t="shared" si="5"/>
        <v>0</v>
      </c>
      <c r="J48" s="15">
        <f>IF(CurrentMtgRatesDataTable8[[#This Row],[WA CC]]&lt;&gt;0,C47-CurrentMtgRatesDataTable8[[#This Row],[WA CC]],0)</f>
        <v>0</v>
      </c>
      <c r="K48" s="16">
        <f>IF(CurrentMtgRatesDataTable8[[#This Row],[Servicing Spread]]&lt;=0,K47,CurrentMtgRatesDataTable8[[#This Row],[Servicing Spread]])</f>
        <v>0.9549130523202578</v>
      </c>
      <c r="L48" s="16">
        <f>CurrentMtgRatesDataTable8[[#This Row],[Servicing Spread Non-Zero]]-K47</f>
        <v>0</v>
      </c>
      <c r="M48" s="16">
        <f>IF(I47&lt;&gt;0,CurrentMtgRatesDataTable8[[#This Row],[Rate]]-C47,M47)</f>
        <v>-0.10500000000000043</v>
      </c>
    </row>
    <row r="49" spans="1:13" s="7" customFormat="1">
      <c r="A49" s="8" t="s">
        <v>28</v>
      </c>
      <c r="B49" s="11">
        <v>2.7069899299945201</v>
      </c>
      <c r="C49" s="13">
        <v>3.5949999999999998</v>
      </c>
      <c r="D49" s="14">
        <f t="shared" si="0"/>
        <v>7</v>
      </c>
      <c r="E49" s="14">
        <f t="shared" si="1"/>
        <v>0.2</v>
      </c>
      <c r="F49" s="14">
        <f t="shared" si="2"/>
        <v>5</v>
      </c>
      <c r="G49" s="14">
        <f t="shared" si="3"/>
        <v>2.6358763476368283</v>
      </c>
      <c r="H49" s="14">
        <f t="shared" si="4"/>
        <v>1</v>
      </c>
      <c r="I49" s="14">
        <f t="shared" si="5"/>
        <v>2.6358763476368283</v>
      </c>
      <c r="J49" s="15">
        <f>IF(CurrentMtgRatesDataTable8[[#This Row],[WA CC]]&lt;&gt;0,C48-CurrentMtgRatesDataTable8[[#This Row],[WA CC]],0)</f>
        <v>0.95912365236317143</v>
      </c>
      <c r="K49" s="16">
        <f>IF(CurrentMtgRatesDataTable8[[#This Row],[Servicing Spread]]&lt;=0,K48,CurrentMtgRatesDataTable8[[#This Row],[Servicing Spread]])</f>
        <v>0.95912365236317143</v>
      </c>
      <c r="L49" s="16">
        <f>CurrentMtgRatesDataTable8[[#This Row],[Servicing Spread Non-Zero]]-K48</f>
        <v>4.2106000429136259E-3</v>
      </c>
      <c r="M49" s="16">
        <f>IF(I48&lt;&gt;0,CurrentMtgRatesDataTable8[[#This Row],[Rate]]-C48,M48)</f>
        <v>-0.10500000000000043</v>
      </c>
    </row>
    <row r="50" spans="1:13" s="7" customFormat="1">
      <c r="A50" s="8" t="s">
        <v>595</v>
      </c>
      <c r="B50" s="11">
        <v>2.6775785563630401</v>
      </c>
      <c r="C50" s="13">
        <v>3.6349999999999998</v>
      </c>
      <c r="D50" s="14">
        <f t="shared" si="0"/>
        <v>1</v>
      </c>
      <c r="E50" s="14">
        <f t="shared" si="1"/>
        <v>0.2</v>
      </c>
      <c r="F50" s="14">
        <f t="shared" si="2"/>
        <v>1</v>
      </c>
      <c r="G50" s="14">
        <f t="shared" si="3"/>
        <v>0.535515711272608</v>
      </c>
      <c r="H50" s="14">
        <f t="shared" si="4"/>
        <v>0.2</v>
      </c>
      <c r="I50" s="14">
        <f t="shared" si="5"/>
        <v>0</v>
      </c>
      <c r="J50" s="15">
        <f>IF(CurrentMtgRatesDataTable8[[#This Row],[WA CC]]&lt;&gt;0,C49-CurrentMtgRatesDataTable8[[#This Row],[WA CC]],0)</f>
        <v>0</v>
      </c>
      <c r="K50" s="16">
        <f>IF(CurrentMtgRatesDataTable8[[#This Row],[Servicing Spread]]&lt;=0,K49,CurrentMtgRatesDataTable8[[#This Row],[Servicing Spread]])</f>
        <v>0.95912365236317143</v>
      </c>
      <c r="L50" s="16">
        <f>CurrentMtgRatesDataTable8[[#This Row],[Servicing Spread Non-Zero]]-K49</f>
        <v>0</v>
      </c>
      <c r="M50" s="16">
        <f>IF(I49&lt;&gt;0,CurrentMtgRatesDataTable8[[#This Row],[Rate]]-C49,M49)</f>
        <v>4.0000000000000036E-2</v>
      </c>
    </row>
    <row r="51" spans="1:13" s="7" customFormat="1">
      <c r="A51" s="8" t="s">
        <v>450</v>
      </c>
      <c r="B51" s="11">
        <v>2.6791053539735099</v>
      </c>
      <c r="C51" s="13">
        <v>3.6349999999999998</v>
      </c>
      <c r="D51" s="14">
        <f t="shared" si="0"/>
        <v>2</v>
      </c>
      <c r="E51" s="14">
        <f t="shared" si="1"/>
        <v>0.2</v>
      </c>
      <c r="F51" s="14">
        <f t="shared" si="2"/>
        <v>2</v>
      </c>
      <c r="G51" s="14">
        <f t="shared" si="3"/>
        <v>1.0713367820673101</v>
      </c>
      <c r="H51" s="14">
        <f t="shared" si="4"/>
        <v>0.4</v>
      </c>
      <c r="I51" s="14">
        <f t="shared" si="5"/>
        <v>0</v>
      </c>
      <c r="J51" s="15">
        <f>IF(CurrentMtgRatesDataTable8[[#This Row],[WA CC]]&lt;&gt;0,C50-CurrentMtgRatesDataTable8[[#This Row],[WA CC]],0)</f>
        <v>0</v>
      </c>
      <c r="K51" s="16">
        <f>IF(CurrentMtgRatesDataTable8[[#This Row],[Servicing Spread]]&lt;=0,K50,CurrentMtgRatesDataTable8[[#This Row],[Servicing Spread]])</f>
        <v>0.95912365236317143</v>
      </c>
      <c r="L51" s="16">
        <f>CurrentMtgRatesDataTable8[[#This Row],[Servicing Spread Non-Zero]]-K50</f>
        <v>0</v>
      </c>
      <c r="M51" s="16">
        <f>IF(I50&lt;&gt;0,CurrentMtgRatesDataTable8[[#This Row],[Rate]]-C50,M50)</f>
        <v>4.0000000000000036E-2</v>
      </c>
    </row>
    <row r="52" spans="1:13" s="7" customFormat="1">
      <c r="A52" s="8" t="s">
        <v>317</v>
      </c>
      <c r="B52" s="11">
        <v>2.6398968961248501</v>
      </c>
      <c r="C52" s="13">
        <v>3.6349999999999998</v>
      </c>
      <c r="D52" s="14">
        <f t="shared" si="0"/>
        <v>5</v>
      </c>
      <c r="E52" s="14">
        <f t="shared" si="1"/>
        <v>0.2</v>
      </c>
      <c r="F52" s="14">
        <f t="shared" si="2"/>
        <v>3</v>
      </c>
      <c r="G52" s="14">
        <f t="shared" si="3"/>
        <v>1.5993161612922802</v>
      </c>
      <c r="H52" s="14">
        <f t="shared" si="4"/>
        <v>0.60000000000000009</v>
      </c>
      <c r="I52" s="14">
        <f t="shared" si="5"/>
        <v>0</v>
      </c>
      <c r="J52" s="15">
        <f>IF(CurrentMtgRatesDataTable8[[#This Row],[WA CC]]&lt;&gt;0,C51-CurrentMtgRatesDataTable8[[#This Row],[WA CC]],0)</f>
        <v>0</v>
      </c>
      <c r="K52" s="16">
        <f>IF(CurrentMtgRatesDataTable8[[#This Row],[Servicing Spread]]&lt;=0,K51,CurrentMtgRatesDataTable8[[#This Row],[Servicing Spread]])</f>
        <v>0.95912365236317143</v>
      </c>
      <c r="L52" s="16">
        <f>CurrentMtgRatesDataTable8[[#This Row],[Servicing Spread Non-Zero]]-K51</f>
        <v>0</v>
      </c>
      <c r="M52" s="16">
        <f>IF(I51&lt;&gt;0,CurrentMtgRatesDataTable8[[#This Row],[Rate]]-C51,M51)</f>
        <v>4.0000000000000036E-2</v>
      </c>
    </row>
    <row r="53" spans="1:13" s="7" customFormat="1">
      <c r="A53" s="8" t="s">
        <v>174</v>
      </c>
      <c r="B53" s="11">
        <v>2.6959588926221301</v>
      </c>
      <c r="C53" s="13">
        <v>3.6349999999999998</v>
      </c>
      <c r="D53" s="14">
        <f t="shared" si="0"/>
        <v>6</v>
      </c>
      <c r="E53" s="14">
        <f t="shared" si="1"/>
        <v>0.2</v>
      </c>
      <c r="F53" s="14">
        <f t="shared" si="2"/>
        <v>4</v>
      </c>
      <c r="G53" s="14">
        <f t="shared" si="3"/>
        <v>2.1385079398167059</v>
      </c>
      <c r="H53" s="14">
        <f t="shared" si="4"/>
        <v>0.8</v>
      </c>
      <c r="I53" s="14">
        <f t="shared" si="5"/>
        <v>0</v>
      </c>
      <c r="J53" s="15">
        <f>IF(CurrentMtgRatesDataTable8[[#This Row],[WA CC]]&lt;&gt;0,C52-CurrentMtgRatesDataTable8[[#This Row],[WA CC]],0)</f>
        <v>0</v>
      </c>
      <c r="K53" s="16">
        <f>IF(CurrentMtgRatesDataTable8[[#This Row],[Servicing Spread]]&lt;=0,K52,CurrentMtgRatesDataTable8[[#This Row],[Servicing Spread]])</f>
        <v>0.95912365236317143</v>
      </c>
      <c r="L53" s="16">
        <f>CurrentMtgRatesDataTable8[[#This Row],[Servicing Spread Non-Zero]]-K52</f>
        <v>0</v>
      </c>
      <c r="M53" s="16">
        <f>IF(I52&lt;&gt;0,CurrentMtgRatesDataTable8[[#This Row],[Rate]]-C52,M52)</f>
        <v>4.0000000000000036E-2</v>
      </c>
    </row>
    <row r="54" spans="1:13" s="7" customFormat="1">
      <c r="A54" s="8" t="s">
        <v>29</v>
      </c>
      <c r="B54" s="11">
        <v>2.6525646200106201</v>
      </c>
      <c r="C54" s="13">
        <v>3.6349999999999998</v>
      </c>
      <c r="D54" s="14">
        <f t="shared" si="0"/>
        <v>7</v>
      </c>
      <c r="E54" s="14">
        <f t="shared" si="1"/>
        <v>0.2</v>
      </c>
      <c r="F54" s="14">
        <f t="shared" si="2"/>
        <v>5</v>
      </c>
      <c r="G54" s="14">
        <f t="shared" si="3"/>
        <v>2.66902086381883</v>
      </c>
      <c r="H54" s="14">
        <f t="shared" si="4"/>
        <v>1</v>
      </c>
      <c r="I54" s="14">
        <f t="shared" si="5"/>
        <v>2.66902086381883</v>
      </c>
      <c r="J54" s="15">
        <f>IF(CurrentMtgRatesDataTable8[[#This Row],[WA CC]]&lt;&gt;0,C53-CurrentMtgRatesDataTable8[[#This Row],[WA CC]],0)</f>
        <v>0.96597913618116982</v>
      </c>
      <c r="K54" s="16">
        <f>IF(CurrentMtgRatesDataTable8[[#This Row],[Servicing Spread]]&lt;=0,K53,CurrentMtgRatesDataTable8[[#This Row],[Servicing Spread]])</f>
        <v>0.96597913618116982</v>
      </c>
      <c r="L54" s="16">
        <f>CurrentMtgRatesDataTable8[[#This Row],[Servicing Spread Non-Zero]]-K53</f>
        <v>6.8554838179983868E-3</v>
      </c>
      <c r="M54" s="16">
        <f>IF(I53&lt;&gt;0,CurrentMtgRatesDataTable8[[#This Row],[Rate]]-C53,M53)</f>
        <v>4.0000000000000036E-2</v>
      </c>
    </row>
    <row r="55" spans="1:13" s="7" customFormat="1">
      <c r="A55" s="8" t="s">
        <v>596</v>
      </c>
      <c r="B55" s="11">
        <v>2.63093877997242</v>
      </c>
      <c r="C55" s="13">
        <v>3.585</v>
      </c>
      <c r="D55" s="14">
        <f t="shared" si="0"/>
        <v>1</v>
      </c>
      <c r="E55" s="14">
        <f t="shared" si="1"/>
        <v>0.2</v>
      </c>
      <c r="F55" s="14">
        <f t="shared" si="2"/>
        <v>1</v>
      </c>
      <c r="G55" s="14">
        <f t="shared" si="3"/>
        <v>0.52618775599448397</v>
      </c>
      <c r="H55" s="14">
        <f t="shared" si="4"/>
        <v>0.2</v>
      </c>
      <c r="I55" s="14">
        <f t="shared" si="5"/>
        <v>0</v>
      </c>
      <c r="J55" s="15">
        <f>IF(CurrentMtgRatesDataTable8[[#This Row],[WA CC]]&lt;&gt;0,C54-CurrentMtgRatesDataTable8[[#This Row],[WA CC]],0)</f>
        <v>0</v>
      </c>
      <c r="K55" s="16">
        <f>IF(CurrentMtgRatesDataTable8[[#This Row],[Servicing Spread]]&lt;=0,K54,CurrentMtgRatesDataTable8[[#This Row],[Servicing Spread]])</f>
        <v>0.96597913618116982</v>
      </c>
      <c r="L55" s="16">
        <f>CurrentMtgRatesDataTable8[[#This Row],[Servicing Spread Non-Zero]]-K54</f>
        <v>0</v>
      </c>
      <c r="M55" s="16">
        <f>IF(I54&lt;&gt;0,CurrentMtgRatesDataTable8[[#This Row],[Rate]]-C54,M54)</f>
        <v>-4.9999999999999822E-2</v>
      </c>
    </row>
    <row r="56" spans="1:13" s="7" customFormat="1">
      <c r="A56" s="8" t="s">
        <v>451</v>
      </c>
      <c r="B56" s="11">
        <v>2.6135481549442598</v>
      </c>
      <c r="C56" s="13">
        <v>3.585</v>
      </c>
      <c r="D56" s="14">
        <f t="shared" si="0"/>
        <v>2</v>
      </c>
      <c r="E56" s="14">
        <f t="shared" si="1"/>
        <v>0.2</v>
      </c>
      <c r="F56" s="14">
        <f t="shared" si="2"/>
        <v>2</v>
      </c>
      <c r="G56" s="14">
        <f t="shared" si="3"/>
        <v>1.048897386983336</v>
      </c>
      <c r="H56" s="14">
        <f t="shared" si="4"/>
        <v>0.4</v>
      </c>
      <c r="I56" s="14">
        <f t="shared" si="5"/>
        <v>0</v>
      </c>
      <c r="J56" s="15">
        <f>IF(CurrentMtgRatesDataTable8[[#This Row],[WA CC]]&lt;&gt;0,C55-CurrentMtgRatesDataTable8[[#This Row],[WA CC]],0)</f>
        <v>0</v>
      </c>
      <c r="K56" s="16">
        <f>IF(CurrentMtgRatesDataTable8[[#This Row],[Servicing Spread]]&lt;=0,K55,CurrentMtgRatesDataTable8[[#This Row],[Servicing Spread]])</f>
        <v>0.96597913618116982</v>
      </c>
      <c r="L56" s="16">
        <f>CurrentMtgRatesDataTable8[[#This Row],[Servicing Spread Non-Zero]]-K55</f>
        <v>0</v>
      </c>
      <c r="M56" s="16">
        <f>IF(I55&lt;&gt;0,CurrentMtgRatesDataTable8[[#This Row],[Rate]]-C55,M55)</f>
        <v>-4.9999999999999822E-2</v>
      </c>
    </row>
    <row r="57" spans="1:13" s="7" customFormat="1">
      <c r="A57" s="8" t="s">
        <v>318</v>
      </c>
      <c r="B57" s="11">
        <v>2.5951502868946998</v>
      </c>
      <c r="C57" s="13">
        <v>3.585</v>
      </c>
      <c r="D57" s="14">
        <f t="shared" si="0"/>
        <v>5</v>
      </c>
      <c r="E57" s="14">
        <f t="shared" si="1"/>
        <v>0.2</v>
      </c>
      <c r="F57" s="14">
        <f t="shared" si="2"/>
        <v>3</v>
      </c>
      <c r="G57" s="14">
        <f t="shared" si="3"/>
        <v>1.5679274443622759</v>
      </c>
      <c r="H57" s="14">
        <f t="shared" si="4"/>
        <v>0.60000000000000009</v>
      </c>
      <c r="I57" s="14">
        <f t="shared" si="5"/>
        <v>0</v>
      </c>
      <c r="J57" s="15">
        <f>IF(CurrentMtgRatesDataTable8[[#This Row],[WA CC]]&lt;&gt;0,C56-CurrentMtgRatesDataTable8[[#This Row],[WA CC]],0)</f>
        <v>0</v>
      </c>
      <c r="K57" s="16">
        <f>IF(CurrentMtgRatesDataTable8[[#This Row],[Servicing Spread]]&lt;=0,K56,CurrentMtgRatesDataTable8[[#This Row],[Servicing Spread]])</f>
        <v>0.96597913618116982</v>
      </c>
      <c r="L57" s="16">
        <f>CurrentMtgRatesDataTable8[[#This Row],[Servicing Spread Non-Zero]]-K56</f>
        <v>0</v>
      </c>
      <c r="M57" s="16">
        <f>IF(I56&lt;&gt;0,CurrentMtgRatesDataTable8[[#This Row],[Rate]]-C56,M56)</f>
        <v>-4.9999999999999822E-2</v>
      </c>
    </row>
    <row r="58" spans="1:13" s="7" customFormat="1">
      <c r="A58" s="8" t="s">
        <v>175</v>
      </c>
      <c r="B58" s="11">
        <v>2.5989008122860202</v>
      </c>
      <c r="C58" s="13">
        <v>3.585</v>
      </c>
      <c r="D58" s="14">
        <f t="shared" si="0"/>
        <v>6</v>
      </c>
      <c r="E58" s="14">
        <f t="shared" si="1"/>
        <v>0.2</v>
      </c>
      <c r="F58" s="14">
        <f t="shared" si="2"/>
        <v>4</v>
      </c>
      <c r="G58" s="14">
        <f t="shared" si="3"/>
        <v>2.08770760681948</v>
      </c>
      <c r="H58" s="14">
        <f t="shared" si="4"/>
        <v>0.8</v>
      </c>
      <c r="I58" s="14">
        <f t="shared" si="5"/>
        <v>0</v>
      </c>
      <c r="J58" s="15">
        <f>IF(CurrentMtgRatesDataTable8[[#This Row],[WA CC]]&lt;&gt;0,C57-CurrentMtgRatesDataTable8[[#This Row],[WA CC]],0)</f>
        <v>0</v>
      </c>
      <c r="K58" s="16">
        <f>IF(CurrentMtgRatesDataTable8[[#This Row],[Servicing Spread]]&lt;=0,K57,CurrentMtgRatesDataTable8[[#This Row],[Servicing Spread]])</f>
        <v>0.96597913618116982</v>
      </c>
      <c r="L58" s="16">
        <f>CurrentMtgRatesDataTable8[[#This Row],[Servicing Spread Non-Zero]]-K57</f>
        <v>0</v>
      </c>
      <c r="M58" s="16">
        <f>IF(I57&lt;&gt;0,CurrentMtgRatesDataTable8[[#This Row],[Rate]]-C57,M57)</f>
        <v>-4.9999999999999822E-2</v>
      </c>
    </row>
    <row r="59" spans="1:13" s="7" customFormat="1">
      <c r="A59" s="8" t="s">
        <v>30</v>
      </c>
      <c r="B59" s="11">
        <v>2.6422120111570599</v>
      </c>
      <c r="C59" s="13">
        <v>3.585</v>
      </c>
      <c r="D59" s="14">
        <f t="shared" si="0"/>
        <v>7</v>
      </c>
      <c r="E59" s="14">
        <f t="shared" si="1"/>
        <v>0.2</v>
      </c>
      <c r="F59" s="14">
        <f t="shared" si="2"/>
        <v>5</v>
      </c>
      <c r="G59" s="14">
        <f t="shared" si="3"/>
        <v>2.6161500090508918</v>
      </c>
      <c r="H59" s="14">
        <f t="shared" si="4"/>
        <v>1</v>
      </c>
      <c r="I59" s="14">
        <f t="shared" si="5"/>
        <v>2.6161500090508918</v>
      </c>
      <c r="J59" s="15">
        <f>IF(CurrentMtgRatesDataTable8[[#This Row],[WA CC]]&lt;&gt;0,C58-CurrentMtgRatesDataTable8[[#This Row],[WA CC]],0)</f>
        <v>0.96884999094910818</v>
      </c>
      <c r="K59" s="16">
        <f>IF(CurrentMtgRatesDataTable8[[#This Row],[Servicing Spread]]&lt;=0,K58,CurrentMtgRatesDataTable8[[#This Row],[Servicing Spread]])</f>
        <v>0.96884999094910818</v>
      </c>
      <c r="L59" s="16">
        <f>CurrentMtgRatesDataTable8[[#This Row],[Servicing Spread Non-Zero]]-K58</f>
        <v>2.8708547679383578E-3</v>
      </c>
      <c r="M59" s="16">
        <f>IF(I58&lt;&gt;0,CurrentMtgRatesDataTable8[[#This Row],[Rate]]-C58,M58)</f>
        <v>-4.9999999999999822E-2</v>
      </c>
    </row>
    <row r="60" spans="1:13" s="7" customFormat="1">
      <c r="A60" s="8" t="s">
        <v>597</v>
      </c>
      <c r="B60" s="11">
        <v>2.61404533663225</v>
      </c>
      <c r="C60" s="13">
        <v>3.585</v>
      </c>
      <c r="D60" s="14">
        <f t="shared" si="0"/>
        <v>1</v>
      </c>
      <c r="E60" s="14">
        <f t="shared" si="1"/>
        <v>0.2</v>
      </c>
      <c r="F60" s="14">
        <f t="shared" si="2"/>
        <v>1</v>
      </c>
      <c r="G60" s="14">
        <f t="shared" si="3"/>
        <v>0.52280906732645005</v>
      </c>
      <c r="H60" s="14">
        <f t="shared" si="4"/>
        <v>0.2</v>
      </c>
      <c r="I60" s="14">
        <f t="shared" si="5"/>
        <v>0</v>
      </c>
      <c r="J60" s="15">
        <f>IF(CurrentMtgRatesDataTable8[[#This Row],[WA CC]]&lt;&gt;0,C59-CurrentMtgRatesDataTable8[[#This Row],[WA CC]],0)</f>
        <v>0</v>
      </c>
      <c r="K60" s="16">
        <f>IF(CurrentMtgRatesDataTable8[[#This Row],[Servicing Spread]]&lt;=0,K59,CurrentMtgRatesDataTable8[[#This Row],[Servicing Spread]])</f>
        <v>0.96884999094910818</v>
      </c>
      <c r="L60" s="16">
        <f>CurrentMtgRatesDataTable8[[#This Row],[Servicing Spread Non-Zero]]-K59</f>
        <v>0</v>
      </c>
      <c r="M60" s="16">
        <f>IF(I59&lt;&gt;0,CurrentMtgRatesDataTable8[[#This Row],[Rate]]-C59,M59)</f>
        <v>0</v>
      </c>
    </row>
    <row r="61" spans="1:13" s="7" customFormat="1">
      <c r="A61" s="8" t="s">
        <v>452</v>
      </c>
      <c r="B61" s="11">
        <v>2.6681925280418901</v>
      </c>
      <c r="C61" s="13">
        <v>3.585</v>
      </c>
      <c r="D61" s="14">
        <f t="shared" si="0"/>
        <v>2</v>
      </c>
      <c r="E61" s="14">
        <f t="shared" si="1"/>
        <v>0.2</v>
      </c>
      <c r="F61" s="14">
        <f t="shared" si="2"/>
        <v>2</v>
      </c>
      <c r="G61" s="14">
        <f t="shared" si="3"/>
        <v>1.0564475729348279</v>
      </c>
      <c r="H61" s="14">
        <f t="shared" si="4"/>
        <v>0.4</v>
      </c>
      <c r="I61" s="14">
        <f t="shared" si="5"/>
        <v>0</v>
      </c>
      <c r="J61" s="15">
        <f>IF(CurrentMtgRatesDataTable8[[#This Row],[WA CC]]&lt;&gt;0,C60-CurrentMtgRatesDataTable8[[#This Row],[WA CC]],0)</f>
        <v>0</v>
      </c>
      <c r="K61" s="16">
        <f>IF(CurrentMtgRatesDataTable8[[#This Row],[Servicing Spread]]&lt;=0,K60,CurrentMtgRatesDataTable8[[#This Row],[Servicing Spread]])</f>
        <v>0.96884999094910818</v>
      </c>
      <c r="L61" s="16">
        <f>CurrentMtgRatesDataTable8[[#This Row],[Servicing Spread Non-Zero]]-K60</f>
        <v>0</v>
      </c>
      <c r="M61" s="16">
        <f>IF(I60&lt;&gt;0,CurrentMtgRatesDataTable8[[#This Row],[Rate]]-C60,M60)</f>
        <v>0</v>
      </c>
    </row>
    <row r="62" spans="1:13" s="7" customFormat="1">
      <c r="A62" s="8" t="s">
        <v>319</v>
      </c>
      <c r="B62" s="11">
        <v>2.57850061271707</v>
      </c>
      <c r="C62" s="13">
        <v>3.585</v>
      </c>
      <c r="D62" s="14">
        <f t="shared" si="0"/>
        <v>5</v>
      </c>
      <c r="E62" s="14">
        <f t="shared" si="1"/>
        <v>0.2</v>
      </c>
      <c r="F62" s="14">
        <f t="shared" si="2"/>
        <v>3</v>
      </c>
      <c r="G62" s="14">
        <f t="shared" si="3"/>
        <v>1.5721476954782418</v>
      </c>
      <c r="H62" s="14">
        <f t="shared" si="4"/>
        <v>0.60000000000000009</v>
      </c>
      <c r="I62" s="14">
        <f t="shared" si="5"/>
        <v>0</v>
      </c>
      <c r="J62" s="15">
        <f>IF(CurrentMtgRatesDataTable8[[#This Row],[WA CC]]&lt;&gt;0,C61-CurrentMtgRatesDataTable8[[#This Row],[WA CC]],0)</f>
        <v>0</v>
      </c>
      <c r="K62" s="16">
        <f>IF(CurrentMtgRatesDataTable8[[#This Row],[Servicing Spread]]&lt;=0,K61,CurrentMtgRatesDataTable8[[#This Row],[Servicing Spread]])</f>
        <v>0.96884999094910818</v>
      </c>
      <c r="L62" s="16">
        <f>CurrentMtgRatesDataTable8[[#This Row],[Servicing Spread Non-Zero]]-K61</f>
        <v>0</v>
      </c>
      <c r="M62" s="16">
        <f>IF(I61&lt;&gt;0,CurrentMtgRatesDataTable8[[#This Row],[Rate]]-C61,M61)</f>
        <v>0</v>
      </c>
    </row>
    <row r="63" spans="1:13" s="7" customFormat="1">
      <c r="A63" s="8" t="s">
        <v>176</v>
      </c>
      <c r="B63" s="11">
        <v>2.6163872152587899</v>
      </c>
      <c r="C63" s="13">
        <v>3.585</v>
      </c>
      <c r="D63" s="14">
        <f t="shared" si="0"/>
        <v>6</v>
      </c>
      <c r="E63" s="14">
        <f t="shared" si="1"/>
        <v>0.2</v>
      </c>
      <c r="F63" s="14">
        <f t="shared" si="2"/>
        <v>4</v>
      </c>
      <c r="G63" s="14">
        <f t="shared" si="3"/>
        <v>2.09542513853</v>
      </c>
      <c r="H63" s="14">
        <f t="shared" si="4"/>
        <v>0.8</v>
      </c>
      <c r="I63" s="14">
        <f t="shared" si="5"/>
        <v>0</v>
      </c>
      <c r="J63" s="15">
        <f>IF(CurrentMtgRatesDataTable8[[#This Row],[WA CC]]&lt;&gt;0,C62-CurrentMtgRatesDataTable8[[#This Row],[WA CC]],0)</f>
        <v>0</v>
      </c>
      <c r="K63" s="16">
        <f>IF(CurrentMtgRatesDataTable8[[#This Row],[Servicing Spread]]&lt;=0,K62,CurrentMtgRatesDataTable8[[#This Row],[Servicing Spread]])</f>
        <v>0.96884999094910818</v>
      </c>
      <c r="L63" s="16">
        <f>CurrentMtgRatesDataTable8[[#This Row],[Servicing Spread Non-Zero]]-K62</f>
        <v>0</v>
      </c>
      <c r="M63" s="16">
        <f>IF(I62&lt;&gt;0,CurrentMtgRatesDataTable8[[#This Row],[Rate]]-C62,M62)</f>
        <v>0</v>
      </c>
    </row>
    <row r="64" spans="1:13" s="7" customFormat="1">
      <c r="A64" s="8" t="s">
        <v>31</v>
      </c>
      <c r="B64" s="11">
        <v>2.5886723749410501</v>
      </c>
      <c r="C64" s="13">
        <v>3.585</v>
      </c>
      <c r="D64" s="14">
        <f t="shared" si="0"/>
        <v>7</v>
      </c>
      <c r="E64" s="14">
        <f t="shared" si="1"/>
        <v>0.2</v>
      </c>
      <c r="F64" s="14">
        <f t="shared" si="2"/>
        <v>5</v>
      </c>
      <c r="G64" s="14">
        <f t="shared" si="3"/>
        <v>2.61315961351821</v>
      </c>
      <c r="H64" s="14">
        <f t="shared" si="4"/>
        <v>1</v>
      </c>
      <c r="I64" s="14">
        <f t="shared" si="5"/>
        <v>2.61315961351821</v>
      </c>
      <c r="J64" s="15">
        <f>IF(CurrentMtgRatesDataTable8[[#This Row],[WA CC]]&lt;&gt;0,C63-CurrentMtgRatesDataTable8[[#This Row],[WA CC]],0)</f>
        <v>0.97184038648178994</v>
      </c>
      <c r="K64" s="16">
        <f>IF(CurrentMtgRatesDataTable8[[#This Row],[Servicing Spread]]&lt;=0,K63,CurrentMtgRatesDataTable8[[#This Row],[Servicing Spread]])</f>
        <v>0.97184038648178994</v>
      </c>
      <c r="L64" s="16">
        <f>CurrentMtgRatesDataTable8[[#This Row],[Servicing Spread Non-Zero]]-K63</f>
        <v>2.9903955326817666E-3</v>
      </c>
      <c r="M64" s="16">
        <f>IF(I63&lt;&gt;0,CurrentMtgRatesDataTable8[[#This Row],[Rate]]-C63,M63)</f>
        <v>0</v>
      </c>
    </row>
    <row r="65" spans="1:13" s="7" customFormat="1">
      <c r="A65" s="8" t="s">
        <v>598</v>
      </c>
      <c r="B65" s="11">
        <v>2.5509636037861898</v>
      </c>
      <c r="C65" s="13">
        <v>3.5700000000000003</v>
      </c>
      <c r="D65" s="14">
        <f t="shared" si="0"/>
        <v>1</v>
      </c>
      <c r="E65" s="14">
        <f t="shared" si="1"/>
        <v>0.2</v>
      </c>
      <c r="F65" s="14">
        <f t="shared" si="2"/>
        <v>1</v>
      </c>
      <c r="G65" s="14">
        <f t="shared" si="3"/>
        <v>0.51019272075723798</v>
      </c>
      <c r="H65" s="14">
        <f t="shared" si="4"/>
        <v>0.2</v>
      </c>
      <c r="I65" s="14">
        <f t="shared" si="5"/>
        <v>0</v>
      </c>
      <c r="J65" s="15">
        <f>IF(CurrentMtgRatesDataTable8[[#This Row],[WA CC]]&lt;&gt;0,C64-CurrentMtgRatesDataTable8[[#This Row],[WA CC]],0)</f>
        <v>0</v>
      </c>
      <c r="K65" s="16">
        <f>IF(CurrentMtgRatesDataTable8[[#This Row],[Servicing Spread]]&lt;=0,K64,CurrentMtgRatesDataTable8[[#This Row],[Servicing Spread]])</f>
        <v>0.97184038648178994</v>
      </c>
      <c r="L65" s="16">
        <f>CurrentMtgRatesDataTable8[[#This Row],[Servicing Spread Non-Zero]]-K64</f>
        <v>0</v>
      </c>
      <c r="M65" s="16">
        <f>IF(I64&lt;&gt;0,CurrentMtgRatesDataTable8[[#This Row],[Rate]]-C64,M64)</f>
        <v>-1.499999999999968E-2</v>
      </c>
    </row>
    <row r="66" spans="1:13" s="7" customFormat="1">
      <c r="A66" s="8" t="s">
        <v>453</v>
      </c>
      <c r="B66" s="11">
        <v>2.6237188553228199</v>
      </c>
      <c r="C66" s="13">
        <v>3.5700000000000003</v>
      </c>
      <c r="D66" s="14">
        <f t="shared" si="0"/>
        <v>2</v>
      </c>
      <c r="E66" s="14">
        <f t="shared" si="1"/>
        <v>0.2</v>
      </c>
      <c r="F66" s="14">
        <f t="shared" si="2"/>
        <v>2</v>
      </c>
      <c r="G66" s="14">
        <f t="shared" si="3"/>
        <v>1.034936491821802</v>
      </c>
      <c r="H66" s="14">
        <f t="shared" si="4"/>
        <v>0.4</v>
      </c>
      <c r="I66" s="14">
        <f t="shared" si="5"/>
        <v>0</v>
      </c>
      <c r="J66" s="15">
        <f>IF(CurrentMtgRatesDataTable8[[#This Row],[WA CC]]&lt;&gt;0,C65-CurrentMtgRatesDataTable8[[#This Row],[WA CC]],0)</f>
        <v>0</v>
      </c>
      <c r="K66" s="16">
        <f>IF(CurrentMtgRatesDataTable8[[#This Row],[Servicing Spread]]&lt;=0,K65,CurrentMtgRatesDataTable8[[#This Row],[Servicing Spread]])</f>
        <v>0.97184038648178994</v>
      </c>
      <c r="L66" s="16">
        <f>CurrentMtgRatesDataTable8[[#This Row],[Servicing Spread Non-Zero]]-K65</f>
        <v>0</v>
      </c>
      <c r="M66" s="16">
        <f>IF(I65&lt;&gt;0,CurrentMtgRatesDataTable8[[#This Row],[Rate]]-C65,M65)</f>
        <v>-1.499999999999968E-2</v>
      </c>
    </row>
    <row r="67" spans="1:13" s="7" customFormat="1">
      <c r="A67" s="8" t="s">
        <v>320</v>
      </c>
      <c r="B67" s="11">
        <v>2.54531844167705</v>
      </c>
      <c r="C67" s="13">
        <v>3.5700000000000003</v>
      </c>
      <c r="D67" s="14">
        <f t="shared" si="0"/>
        <v>5</v>
      </c>
      <c r="E67" s="14">
        <f t="shared" si="1"/>
        <v>0.2</v>
      </c>
      <c r="F67" s="14">
        <f t="shared" si="2"/>
        <v>3</v>
      </c>
      <c r="G67" s="14">
        <f t="shared" si="3"/>
        <v>1.5440001801572121</v>
      </c>
      <c r="H67" s="14">
        <f t="shared" si="4"/>
        <v>0.60000000000000009</v>
      </c>
      <c r="I67" s="14">
        <f t="shared" si="5"/>
        <v>0</v>
      </c>
      <c r="J67" s="15">
        <f>IF(CurrentMtgRatesDataTable8[[#This Row],[WA CC]]&lt;&gt;0,C66-CurrentMtgRatesDataTable8[[#This Row],[WA CC]],0)</f>
        <v>0</v>
      </c>
      <c r="K67" s="16">
        <f>IF(CurrentMtgRatesDataTable8[[#This Row],[Servicing Spread]]&lt;=0,K66,CurrentMtgRatesDataTable8[[#This Row],[Servicing Spread]])</f>
        <v>0.97184038648178994</v>
      </c>
      <c r="L67" s="16">
        <f>CurrentMtgRatesDataTable8[[#This Row],[Servicing Spread Non-Zero]]-K66</f>
        <v>0</v>
      </c>
      <c r="M67" s="16">
        <f>IF(I66&lt;&gt;0,CurrentMtgRatesDataTable8[[#This Row],[Rate]]-C66,M66)</f>
        <v>-1.499999999999968E-2</v>
      </c>
    </row>
    <row r="68" spans="1:13" s="7" customFormat="1">
      <c r="A68" s="8" t="s">
        <v>177</v>
      </c>
      <c r="B68" s="11">
        <v>2.58328220354782</v>
      </c>
      <c r="C68" s="13">
        <v>3.5700000000000003</v>
      </c>
      <c r="D68" s="14">
        <f t="shared" si="0"/>
        <v>6</v>
      </c>
      <c r="E68" s="14">
        <f t="shared" si="1"/>
        <v>0.2</v>
      </c>
      <c r="F68" s="14">
        <f t="shared" si="2"/>
        <v>4</v>
      </c>
      <c r="G68" s="14">
        <f t="shared" si="3"/>
        <v>2.060656620866776</v>
      </c>
      <c r="H68" s="14">
        <f t="shared" si="4"/>
        <v>0.8</v>
      </c>
      <c r="I68" s="14">
        <f t="shared" si="5"/>
        <v>2.5758207760834697</v>
      </c>
      <c r="J68" s="15">
        <f>IF(CurrentMtgRatesDataTable8[[#This Row],[WA CC]]&lt;&gt;0,C67-CurrentMtgRatesDataTable8[[#This Row],[WA CC]],0)</f>
        <v>0.99417922391653057</v>
      </c>
      <c r="K68" s="16">
        <f>IF(CurrentMtgRatesDataTable8[[#This Row],[Servicing Spread]]&lt;=0,K67,CurrentMtgRatesDataTable8[[#This Row],[Servicing Spread]])</f>
        <v>0.99417922391653057</v>
      </c>
      <c r="L68" s="16">
        <f>CurrentMtgRatesDataTable8[[#This Row],[Servicing Spread Non-Zero]]-K67</f>
        <v>2.2338837434740633E-2</v>
      </c>
      <c r="M68" s="16">
        <f>IF(I67&lt;&gt;0,CurrentMtgRatesDataTable8[[#This Row],[Rate]]-C67,M67)</f>
        <v>-1.499999999999968E-2</v>
      </c>
    </row>
    <row r="69" spans="1:13" s="7" customFormat="1">
      <c r="A69" s="8" t="s">
        <v>599</v>
      </c>
      <c r="B69" s="11">
        <v>2.5563795134905498</v>
      </c>
      <c r="C69" s="13">
        <v>3.4849999999999999</v>
      </c>
      <c r="D69" s="14">
        <f t="shared" ref="D69:D132" si="6">WEEKDAY(A69,14)</f>
        <v>1</v>
      </c>
      <c r="E69" s="14">
        <f t="shared" ref="E69:E132" si="7">VLOOKUP(D69,P$5:Q$11,2,FALSE)</f>
        <v>0.2</v>
      </c>
      <c r="F69" s="14">
        <f t="shared" ref="F69:F132" si="8">IF(AND(D69&gt;D68,F68&lt;6),F68+1,1)</f>
        <v>1</v>
      </c>
      <c r="G69" s="14">
        <f t="shared" ref="G69:G132" si="9">IF(F69&gt;F68,G68+B69*E69,B69*E69)</f>
        <v>0.51127590269810996</v>
      </c>
      <c r="H69" s="14">
        <f t="shared" ref="H69:H132" si="10">IF(AND(F69&lt;6,F69&gt;F68),E69+H68,E69)</f>
        <v>0.2</v>
      </c>
      <c r="I69" s="14">
        <f t="shared" ref="I69:I132" si="11">IF(F69&gt;F70,G69/H69,0)</f>
        <v>0</v>
      </c>
      <c r="J69" s="15">
        <f>IF(CurrentMtgRatesDataTable8[[#This Row],[WA CC]]&lt;&gt;0,C68-CurrentMtgRatesDataTable8[[#This Row],[WA CC]],0)</f>
        <v>0</v>
      </c>
      <c r="K69" s="16">
        <f>IF(CurrentMtgRatesDataTable8[[#This Row],[Servicing Spread]]&lt;=0,K68,CurrentMtgRatesDataTable8[[#This Row],[Servicing Spread]])</f>
        <v>0.99417922391653057</v>
      </c>
      <c r="L69" s="16">
        <f>CurrentMtgRatesDataTable8[[#This Row],[Servicing Spread Non-Zero]]-K68</f>
        <v>0</v>
      </c>
      <c r="M69" s="16">
        <f>IF(I68&lt;&gt;0,CurrentMtgRatesDataTable8[[#This Row],[Rate]]-C68,M68)</f>
        <v>-8.5000000000000409E-2</v>
      </c>
    </row>
    <row r="70" spans="1:13" s="7" customFormat="1">
      <c r="A70" s="8" t="s">
        <v>454</v>
      </c>
      <c r="B70" s="11">
        <v>2.4766480457309101</v>
      </c>
      <c r="C70" s="13">
        <v>3.4849999999999999</v>
      </c>
      <c r="D70" s="14">
        <f t="shared" si="6"/>
        <v>2</v>
      </c>
      <c r="E70" s="14">
        <f t="shared" si="7"/>
        <v>0.2</v>
      </c>
      <c r="F70" s="14">
        <f t="shared" si="8"/>
        <v>2</v>
      </c>
      <c r="G70" s="14">
        <f t="shared" si="9"/>
        <v>1.006605511844292</v>
      </c>
      <c r="H70" s="14">
        <f t="shared" si="10"/>
        <v>0.4</v>
      </c>
      <c r="I70" s="14">
        <f t="shared" si="11"/>
        <v>0</v>
      </c>
      <c r="J70" s="15">
        <f>IF(CurrentMtgRatesDataTable8[[#This Row],[WA CC]]&lt;&gt;0,C69-CurrentMtgRatesDataTable8[[#This Row],[WA CC]],0)</f>
        <v>0</v>
      </c>
      <c r="K70" s="16">
        <f>IF(CurrentMtgRatesDataTable8[[#This Row],[Servicing Spread]]&lt;=0,K69,CurrentMtgRatesDataTable8[[#This Row],[Servicing Spread]])</f>
        <v>0.99417922391653057</v>
      </c>
      <c r="L70" s="16">
        <f>CurrentMtgRatesDataTable8[[#This Row],[Servicing Spread Non-Zero]]-K69</f>
        <v>0</v>
      </c>
      <c r="M70" s="16">
        <f>IF(I69&lt;&gt;0,CurrentMtgRatesDataTable8[[#This Row],[Rate]]-C69,M69)</f>
        <v>-8.5000000000000409E-2</v>
      </c>
    </row>
    <row r="71" spans="1:13" s="7" customFormat="1">
      <c r="A71" s="8" t="s">
        <v>321</v>
      </c>
      <c r="B71" s="11">
        <v>2.4491972100580299</v>
      </c>
      <c r="C71" s="13">
        <v>3.4849999999999999</v>
      </c>
      <c r="D71" s="14">
        <f t="shared" si="6"/>
        <v>5</v>
      </c>
      <c r="E71" s="14">
        <f t="shared" si="7"/>
        <v>0.2</v>
      </c>
      <c r="F71" s="14">
        <f t="shared" si="8"/>
        <v>3</v>
      </c>
      <c r="G71" s="14">
        <f t="shared" si="9"/>
        <v>1.4964449538558982</v>
      </c>
      <c r="H71" s="14">
        <f t="shared" si="10"/>
        <v>0.60000000000000009</v>
      </c>
      <c r="I71" s="14">
        <f t="shared" si="11"/>
        <v>0</v>
      </c>
      <c r="J71" s="15">
        <f>IF(CurrentMtgRatesDataTable8[[#This Row],[WA CC]]&lt;&gt;0,C70-CurrentMtgRatesDataTable8[[#This Row],[WA CC]],0)</f>
        <v>0</v>
      </c>
      <c r="K71" s="16">
        <f>IF(CurrentMtgRatesDataTable8[[#This Row],[Servicing Spread]]&lt;=0,K70,CurrentMtgRatesDataTable8[[#This Row],[Servicing Spread]])</f>
        <v>0.99417922391653057</v>
      </c>
      <c r="L71" s="16">
        <f>CurrentMtgRatesDataTable8[[#This Row],[Servicing Spread Non-Zero]]-K70</f>
        <v>0</v>
      </c>
      <c r="M71" s="16">
        <f>IF(I70&lt;&gt;0,CurrentMtgRatesDataTable8[[#This Row],[Rate]]-C70,M70)</f>
        <v>-8.5000000000000409E-2</v>
      </c>
    </row>
    <row r="72" spans="1:13" s="7" customFormat="1">
      <c r="A72" s="8" t="s">
        <v>178</v>
      </c>
      <c r="B72" s="11">
        <v>2.42302981927218</v>
      </c>
      <c r="C72" s="13">
        <v>3.4849999999999999</v>
      </c>
      <c r="D72" s="14">
        <f t="shared" si="6"/>
        <v>6</v>
      </c>
      <c r="E72" s="14">
        <f t="shared" si="7"/>
        <v>0.2</v>
      </c>
      <c r="F72" s="14">
        <f t="shared" si="8"/>
        <v>4</v>
      </c>
      <c r="G72" s="14">
        <f t="shared" si="9"/>
        <v>1.9810509177103341</v>
      </c>
      <c r="H72" s="14">
        <f t="shared" si="10"/>
        <v>0.8</v>
      </c>
      <c r="I72" s="14">
        <f t="shared" si="11"/>
        <v>0</v>
      </c>
      <c r="J72" s="15">
        <f>IF(CurrentMtgRatesDataTable8[[#This Row],[WA CC]]&lt;&gt;0,C71-CurrentMtgRatesDataTable8[[#This Row],[WA CC]],0)</f>
        <v>0</v>
      </c>
      <c r="K72" s="16">
        <f>IF(CurrentMtgRatesDataTable8[[#This Row],[Servicing Spread]]&lt;=0,K71,CurrentMtgRatesDataTable8[[#This Row],[Servicing Spread]])</f>
        <v>0.99417922391653057</v>
      </c>
      <c r="L72" s="16">
        <f>CurrentMtgRatesDataTable8[[#This Row],[Servicing Spread Non-Zero]]-K71</f>
        <v>0</v>
      </c>
      <c r="M72" s="16">
        <f>IF(I71&lt;&gt;0,CurrentMtgRatesDataTable8[[#This Row],[Rate]]-C71,M71)</f>
        <v>-8.5000000000000409E-2</v>
      </c>
    </row>
    <row r="73" spans="1:13" s="7" customFormat="1">
      <c r="A73" s="8" t="s">
        <v>32</v>
      </c>
      <c r="B73" s="11">
        <v>2.4116172706611501</v>
      </c>
      <c r="C73" s="13">
        <v>3.4849999999999999</v>
      </c>
      <c r="D73" s="14">
        <f t="shared" si="6"/>
        <v>7</v>
      </c>
      <c r="E73" s="14">
        <f t="shared" si="7"/>
        <v>0.2</v>
      </c>
      <c r="F73" s="14">
        <f t="shared" si="8"/>
        <v>5</v>
      </c>
      <c r="G73" s="14">
        <f t="shared" si="9"/>
        <v>2.4633743718425642</v>
      </c>
      <c r="H73" s="14">
        <f t="shared" si="10"/>
        <v>1</v>
      </c>
      <c r="I73" s="14">
        <f t="shared" si="11"/>
        <v>2.4633743718425642</v>
      </c>
      <c r="J73" s="15">
        <f>IF(CurrentMtgRatesDataTable8[[#This Row],[WA CC]]&lt;&gt;0,C72-CurrentMtgRatesDataTable8[[#This Row],[WA CC]],0)</f>
        <v>1.0216256281574356</v>
      </c>
      <c r="K73" s="16">
        <f>IF(CurrentMtgRatesDataTable8[[#This Row],[Servicing Spread]]&lt;=0,K72,CurrentMtgRatesDataTable8[[#This Row],[Servicing Spread]])</f>
        <v>1.0216256281574356</v>
      </c>
      <c r="L73" s="16">
        <f>CurrentMtgRatesDataTable8[[#This Row],[Servicing Spread Non-Zero]]-K72</f>
        <v>2.7446404240905053E-2</v>
      </c>
      <c r="M73" s="16">
        <f>IF(I72&lt;&gt;0,CurrentMtgRatesDataTable8[[#This Row],[Rate]]-C72,M72)</f>
        <v>-8.5000000000000409E-2</v>
      </c>
    </row>
    <row r="74" spans="1:13" s="7" customFormat="1">
      <c r="A74" s="8" t="s">
        <v>600</v>
      </c>
      <c r="B74" s="11">
        <v>2.4034266466938199</v>
      </c>
      <c r="C74" s="13">
        <v>3.4549999999999996</v>
      </c>
      <c r="D74" s="14">
        <f t="shared" si="6"/>
        <v>1</v>
      </c>
      <c r="E74" s="14">
        <f t="shared" si="7"/>
        <v>0.2</v>
      </c>
      <c r="F74" s="14">
        <f t="shared" si="8"/>
        <v>1</v>
      </c>
      <c r="G74" s="14">
        <f t="shared" si="9"/>
        <v>0.48068532933876401</v>
      </c>
      <c r="H74" s="14">
        <f t="shared" si="10"/>
        <v>0.2</v>
      </c>
      <c r="I74" s="14">
        <f t="shared" si="11"/>
        <v>0</v>
      </c>
      <c r="J74" s="15">
        <f>IF(CurrentMtgRatesDataTable8[[#This Row],[WA CC]]&lt;&gt;0,C73-CurrentMtgRatesDataTable8[[#This Row],[WA CC]],0)</f>
        <v>0</v>
      </c>
      <c r="K74" s="16">
        <f>IF(CurrentMtgRatesDataTable8[[#This Row],[Servicing Spread]]&lt;=0,K73,CurrentMtgRatesDataTable8[[#This Row],[Servicing Spread]])</f>
        <v>1.0216256281574356</v>
      </c>
      <c r="L74" s="16">
        <f>CurrentMtgRatesDataTable8[[#This Row],[Servicing Spread Non-Zero]]-K73</f>
        <v>0</v>
      </c>
      <c r="M74" s="16">
        <f>IF(I73&lt;&gt;0,CurrentMtgRatesDataTable8[[#This Row],[Rate]]-C73,M73)</f>
        <v>-3.0000000000000249E-2</v>
      </c>
    </row>
    <row r="75" spans="1:13" s="7" customFormat="1">
      <c r="A75" s="8" t="s">
        <v>455</v>
      </c>
      <c r="B75" s="11">
        <v>2.45850252986091</v>
      </c>
      <c r="C75" s="13">
        <v>3.4549999999999996</v>
      </c>
      <c r="D75" s="14">
        <f t="shared" si="6"/>
        <v>2</v>
      </c>
      <c r="E75" s="14">
        <f t="shared" si="7"/>
        <v>0.2</v>
      </c>
      <c r="F75" s="14">
        <f t="shared" si="8"/>
        <v>2</v>
      </c>
      <c r="G75" s="14">
        <f t="shared" si="9"/>
        <v>0.97238583531094602</v>
      </c>
      <c r="H75" s="14">
        <f t="shared" si="10"/>
        <v>0.4</v>
      </c>
      <c r="I75" s="14">
        <f t="shared" si="11"/>
        <v>0</v>
      </c>
      <c r="J75" s="15">
        <f>IF(CurrentMtgRatesDataTable8[[#This Row],[WA CC]]&lt;&gt;0,C74-CurrentMtgRatesDataTable8[[#This Row],[WA CC]],0)</f>
        <v>0</v>
      </c>
      <c r="K75" s="16">
        <f>IF(CurrentMtgRatesDataTable8[[#This Row],[Servicing Spread]]&lt;=0,K74,CurrentMtgRatesDataTable8[[#This Row],[Servicing Spread]])</f>
        <v>1.0216256281574356</v>
      </c>
      <c r="L75" s="16">
        <f>CurrentMtgRatesDataTable8[[#This Row],[Servicing Spread Non-Zero]]-K74</f>
        <v>0</v>
      </c>
      <c r="M75" s="16">
        <f>IF(I74&lt;&gt;0,CurrentMtgRatesDataTable8[[#This Row],[Rate]]-C74,M74)</f>
        <v>-3.0000000000000249E-2</v>
      </c>
    </row>
    <row r="76" spans="1:13" s="7" customFormat="1">
      <c r="A76" s="8" t="s">
        <v>322</v>
      </c>
      <c r="B76" s="11">
        <v>2.3968423718228902</v>
      </c>
      <c r="C76" s="13">
        <v>3.4549999999999996</v>
      </c>
      <c r="D76" s="14">
        <f t="shared" si="6"/>
        <v>5</v>
      </c>
      <c r="E76" s="14">
        <f t="shared" si="7"/>
        <v>0.2</v>
      </c>
      <c r="F76" s="14">
        <f t="shared" si="8"/>
        <v>3</v>
      </c>
      <c r="G76" s="14">
        <f t="shared" si="9"/>
        <v>1.4517543096755241</v>
      </c>
      <c r="H76" s="14">
        <f t="shared" si="10"/>
        <v>0.60000000000000009</v>
      </c>
      <c r="I76" s="14">
        <f t="shared" si="11"/>
        <v>0</v>
      </c>
      <c r="J76" s="15">
        <f>IF(CurrentMtgRatesDataTable8[[#This Row],[WA CC]]&lt;&gt;0,C75-CurrentMtgRatesDataTable8[[#This Row],[WA CC]],0)</f>
        <v>0</v>
      </c>
      <c r="K76" s="16">
        <f>IF(CurrentMtgRatesDataTable8[[#This Row],[Servicing Spread]]&lt;=0,K75,CurrentMtgRatesDataTable8[[#This Row],[Servicing Spread]])</f>
        <v>1.0216256281574356</v>
      </c>
      <c r="L76" s="16">
        <f>CurrentMtgRatesDataTable8[[#This Row],[Servicing Spread Non-Zero]]-K75</f>
        <v>0</v>
      </c>
      <c r="M76" s="16">
        <f>IF(I75&lt;&gt;0,CurrentMtgRatesDataTable8[[#This Row],[Rate]]-C75,M75)</f>
        <v>-3.0000000000000249E-2</v>
      </c>
    </row>
    <row r="77" spans="1:13" s="7" customFormat="1">
      <c r="A77" s="8" t="s">
        <v>179</v>
      </c>
      <c r="B77" s="11">
        <v>2.4360959184987601</v>
      </c>
      <c r="C77" s="13">
        <v>3.4549999999999996</v>
      </c>
      <c r="D77" s="14">
        <f t="shared" si="6"/>
        <v>6</v>
      </c>
      <c r="E77" s="14">
        <f t="shared" si="7"/>
        <v>0.2</v>
      </c>
      <c r="F77" s="14">
        <f t="shared" si="8"/>
        <v>4</v>
      </c>
      <c r="G77" s="14">
        <f t="shared" si="9"/>
        <v>1.938973493375276</v>
      </c>
      <c r="H77" s="14">
        <f t="shared" si="10"/>
        <v>0.8</v>
      </c>
      <c r="I77" s="14">
        <f t="shared" si="11"/>
        <v>0</v>
      </c>
      <c r="J77" s="15">
        <f>IF(CurrentMtgRatesDataTable8[[#This Row],[WA CC]]&lt;&gt;0,C76-CurrentMtgRatesDataTable8[[#This Row],[WA CC]],0)</f>
        <v>0</v>
      </c>
      <c r="K77" s="16">
        <f>IF(CurrentMtgRatesDataTable8[[#This Row],[Servicing Spread]]&lt;=0,K76,CurrentMtgRatesDataTable8[[#This Row],[Servicing Spread]])</f>
        <v>1.0216256281574356</v>
      </c>
      <c r="L77" s="16">
        <f>CurrentMtgRatesDataTable8[[#This Row],[Servicing Spread Non-Zero]]-K76</f>
        <v>0</v>
      </c>
      <c r="M77" s="16">
        <f>IF(I76&lt;&gt;0,CurrentMtgRatesDataTable8[[#This Row],[Rate]]-C76,M76)</f>
        <v>-3.0000000000000249E-2</v>
      </c>
    </row>
    <row r="78" spans="1:13" s="7" customFormat="1">
      <c r="A78" s="8" t="s">
        <v>33</v>
      </c>
      <c r="B78" s="11">
        <v>2.3758504228028601</v>
      </c>
      <c r="C78" s="13">
        <v>3.4549999999999996</v>
      </c>
      <c r="D78" s="14">
        <f t="shared" si="6"/>
        <v>7</v>
      </c>
      <c r="E78" s="14">
        <f t="shared" si="7"/>
        <v>0.2</v>
      </c>
      <c r="F78" s="14">
        <f t="shared" si="8"/>
        <v>5</v>
      </c>
      <c r="G78" s="14">
        <f t="shared" si="9"/>
        <v>2.4141435779358482</v>
      </c>
      <c r="H78" s="14">
        <f t="shared" si="10"/>
        <v>1</v>
      </c>
      <c r="I78" s="14">
        <f t="shared" si="11"/>
        <v>2.4141435779358482</v>
      </c>
      <c r="J78" s="15">
        <f>IF(CurrentMtgRatesDataTable8[[#This Row],[WA CC]]&lt;&gt;0,C77-CurrentMtgRatesDataTable8[[#This Row],[WA CC]],0)</f>
        <v>1.0408564220641514</v>
      </c>
      <c r="K78" s="16">
        <f>IF(CurrentMtgRatesDataTable8[[#This Row],[Servicing Spread]]&lt;=0,K77,CurrentMtgRatesDataTable8[[#This Row],[Servicing Spread]])</f>
        <v>1.0408564220641514</v>
      </c>
      <c r="L78" s="16">
        <f>CurrentMtgRatesDataTable8[[#This Row],[Servicing Spread Non-Zero]]-K77</f>
        <v>1.9230793906715782E-2</v>
      </c>
      <c r="M78" s="16">
        <f>IF(I77&lt;&gt;0,CurrentMtgRatesDataTable8[[#This Row],[Rate]]-C77,M77)</f>
        <v>-3.0000000000000249E-2</v>
      </c>
    </row>
    <row r="79" spans="1:13" s="9" customFormat="1">
      <c r="A79" s="8" t="s">
        <v>601</v>
      </c>
      <c r="B79" s="11">
        <v>2.3931217438343899</v>
      </c>
      <c r="C79" s="13">
        <v>3.415</v>
      </c>
      <c r="D79" s="14">
        <f t="shared" si="6"/>
        <v>1</v>
      </c>
      <c r="E79" s="14">
        <f t="shared" si="7"/>
        <v>0.2</v>
      </c>
      <c r="F79" s="14">
        <f t="shared" si="8"/>
        <v>1</v>
      </c>
      <c r="G79" s="14">
        <f t="shared" si="9"/>
        <v>0.47862434876687798</v>
      </c>
      <c r="H79" s="14">
        <f t="shared" si="10"/>
        <v>0.2</v>
      </c>
      <c r="I79" s="14">
        <f t="shared" si="11"/>
        <v>0</v>
      </c>
      <c r="J79" s="15">
        <f>IF(CurrentMtgRatesDataTable8[[#This Row],[WA CC]]&lt;&gt;0,C78-CurrentMtgRatesDataTable8[[#This Row],[WA CC]],0)</f>
        <v>0</v>
      </c>
      <c r="K79" s="16">
        <f>IF(CurrentMtgRatesDataTable8[[#This Row],[Servicing Spread]]&lt;=0,K78,CurrentMtgRatesDataTable8[[#This Row],[Servicing Spread]])</f>
        <v>1.0408564220641514</v>
      </c>
      <c r="L79" s="16">
        <f>CurrentMtgRatesDataTable8[[#This Row],[Servicing Spread Non-Zero]]-K78</f>
        <v>0</v>
      </c>
      <c r="M79" s="16">
        <f>IF(I78&lt;&gt;0,CurrentMtgRatesDataTable8[[#This Row],[Rate]]-C78,M78)</f>
        <v>-3.9999999999999591E-2</v>
      </c>
    </row>
    <row r="80" spans="1:13" s="9" customFormat="1">
      <c r="A80" s="8" t="s">
        <v>456</v>
      </c>
      <c r="B80" s="11">
        <v>2.32496037866738</v>
      </c>
      <c r="C80" s="13">
        <v>3.415</v>
      </c>
      <c r="D80" s="14">
        <f t="shared" si="6"/>
        <v>2</v>
      </c>
      <c r="E80" s="14">
        <f t="shared" si="7"/>
        <v>0.2</v>
      </c>
      <c r="F80" s="14">
        <f t="shared" si="8"/>
        <v>2</v>
      </c>
      <c r="G80" s="14">
        <f t="shared" si="9"/>
        <v>0.94361642450035399</v>
      </c>
      <c r="H80" s="14">
        <f t="shared" si="10"/>
        <v>0.4</v>
      </c>
      <c r="I80" s="14">
        <f t="shared" si="11"/>
        <v>0</v>
      </c>
      <c r="J80" s="15">
        <f>IF(CurrentMtgRatesDataTable8[[#This Row],[WA CC]]&lt;&gt;0,C79-CurrentMtgRatesDataTable8[[#This Row],[WA CC]],0)</f>
        <v>0</v>
      </c>
      <c r="K80" s="16">
        <f>IF(CurrentMtgRatesDataTable8[[#This Row],[Servicing Spread]]&lt;=0,K79,CurrentMtgRatesDataTable8[[#This Row],[Servicing Spread]])</f>
        <v>1.0408564220641514</v>
      </c>
      <c r="L80" s="16">
        <f>CurrentMtgRatesDataTable8[[#This Row],[Servicing Spread Non-Zero]]-K79</f>
        <v>0</v>
      </c>
      <c r="M80" s="16">
        <f>IF(I79&lt;&gt;0,CurrentMtgRatesDataTable8[[#This Row],[Rate]]-C79,M79)</f>
        <v>-3.9999999999999591E-2</v>
      </c>
    </row>
    <row r="81" spans="1:13" s="9" customFormat="1">
      <c r="A81" s="8" t="s">
        <v>323</v>
      </c>
      <c r="B81" s="11">
        <v>2.27723185682542</v>
      </c>
      <c r="C81" s="13">
        <v>3.415</v>
      </c>
      <c r="D81" s="14">
        <f t="shared" si="6"/>
        <v>5</v>
      </c>
      <c r="E81" s="14">
        <f t="shared" si="7"/>
        <v>0.2</v>
      </c>
      <c r="F81" s="14">
        <f t="shared" si="8"/>
        <v>3</v>
      </c>
      <c r="G81" s="14">
        <f t="shared" si="9"/>
        <v>1.399062795865438</v>
      </c>
      <c r="H81" s="14">
        <f t="shared" si="10"/>
        <v>0.60000000000000009</v>
      </c>
      <c r="I81" s="14">
        <f t="shared" si="11"/>
        <v>0</v>
      </c>
      <c r="J81" s="15">
        <f>IF(CurrentMtgRatesDataTable8[[#This Row],[WA CC]]&lt;&gt;0,C80-CurrentMtgRatesDataTable8[[#This Row],[WA CC]],0)</f>
        <v>0</v>
      </c>
      <c r="K81" s="16">
        <f>IF(CurrentMtgRatesDataTable8[[#This Row],[Servicing Spread]]&lt;=0,K80,CurrentMtgRatesDataTable8[[#This Row],[Servicing Spread]])</f>
        <v>1.0408564220641514</v>
      </c>
      <c r="L81" s="16">
        <f>CurrentMtgRatesDataTable8[[#This Row],[Servicing Spread Non-Zero]]-K80</f>
        <v>0</v>
      </c>
      <c r="M81" s="16">
        <f>IF(I80&lt;&gt;0,CurrentMtgRatesDataTable8[[#This Row],[Rate]]-C80,M80)</f>
        <v>-3.9999999999999591E-2</v>
      </c>
    </row>
    <row r="82" spans="1:13" s="9" customFormat="1">
      <c r="A82" s="8" t="s">
        <v>180</v>
      </c>
      <c r="B82" s="11">
        <v>2.2471779895370898</v>
      </c>
      <c r="C82" s="13">
        <v>3.415</v>
      </c>
      <c r="D82" s="14">
        <f t="shared" si="6"/>
        <v>6</v>
      </c>
      <c r="E82" s="14">
        <f t="shared" si="7"/>
        <v>0.2</v>
      </c>
      <c r="F82" s="14">
        <f t="shared" si="8"/>
        <v>4</v>
      </c>
      <c r="G82" s="14">
        <f t="shared" si="9"/>
        <v>1.8484983937728561</v>
      </c>
      <c r="H82" s="14">
        <f t="shared" si="10"/>
        <v>0.8</v>
      </c>
      <c r="I82" s="14">
        <f t="shared" si="11"/>
        <v>0</v>
      </c>
      <c r="J82" s="15">
        <f>IF(CurrentMtgRatesDataTable8[[#This Row],[WA CC]]&lt;&gt;0,C81-CurrentMtgRatesDataTable8[[#This Row],[WA CC]],0)</f>
        <v>0</v>
      </c>
      <c r="K82" s="16">
        <f>IF(CurrentMtgRatesDataTable8[[#This Row],[Servicing Spread]]&lt;=0,K81,CurrentMtgRatesDataTable8[[#This Row],[Servicing Spread]])</f>
        <v>1.0408564220641514</v>
      </c>
      <c r="L82" s="16">
        <f>CurrentMtgRatesDataTable8[[#This Row],[Servicing Spread Non-Zero]]-K81</f>
        <v>0</v>
      </c>
      <c r="M82" s="16">
        <f>IF(I81&lt;&gt;0,CurrentMtgRatesDataTable8[[#This Row],[Rate]]-C81,M81)</f>
        <v>-3.9999999999999591E-2</v>
      </c>
    </row>
    <row r="83" spans="1:13" s="9" customFormat="1">
      <c r="A83" s="8" t="s">
        <v>34</v>
      </c>
      <c r="B83" s="11">
        <v>2.2633680242154099</v>
      </c>
      <c r="C83" s="13">
        <v>3.415</v>
      </c>
      <c r="D83" s="14">
        <f t="shared" si="6"/>
        <v>7</v>
      </c>
      <c r="E83" s="14">
        <f t="shared" si="7"/>
        <v>0.2</v>
      </c>
      <c r="F83" s="14">
        <f t="shared" si="8"/>
        <v>5</v>
      </c>
      <c r="G83" s="14">
        <f t="shared" si="9"/>
        <v>2.301171998615938</v>
      </c>
      <c r="H83" s="14">
        <f t="shared" si="10"/>
        <v>1</v>
      </c>
      <c r="I83" s="14">
        <f t="shared" si="11"/>
        <v>2.301171998615938</v>
      </c>
      <c r="J83" s="15">
        <f>IF(CurrentMtgRatesDataTable8[[#This Row],[WA CC]]&lt;&gt;0,C82-CurrentMtgRatesDataTable8[[#This Row],[WA CC]],0)</f>
        <v>1.113828001384062</v>
      </c>
      <c r="K83" s="16">
        <f>IF(CurrentMtgRatesDataTable8[[#This Row],[Servicing Spread]]&lt;=0,K82,CurrentMtgRatesDataTable8[[#This Row],[Servicing Spread]])</f>
        <v>1.113828001384062</v>
      </c>
      <c r="L83" s="16">
        <f>CurrentMtgRatesDataTable8[[#This Row],[Servicing Spread Non-Zero]]-K82</f>
        <v>7.2971579319910607E-2</v>
      </c>
      <c r="M83" s="16">
        <f>IF(I82&lt;&gt;0,CurrentMtgRatesDataTable8[[#This Row],[Rate]]-C82,M82)</f>
        <v>-3.9999999999999591E-2</v>
      </c>
    </row>
    <row r="84" spans="1:13" s="9" customFormat="1">
      <c r="A84" s="8" t="s">
        <v>602</v>
      </c>
      <c r="B84" s="11">
        <v>2.2877898548229898</v>
      </c>
      <c r="C84" s="13">
        <v>3.4749999999999996</v>
      </c>
      <c r="D84" s="14">
        <f t="shared" si="6"/>
        <v>1</v>
      </c>
      <c r="E84" s="14">
        <f t="shared" si="7"/>
        <v>0.2</v>
      </c>
      <c r="F84" s="14">
        <f t="shared" si="8"/>
        <v>1</v>
      </c>
      <c r="G84" s="14">
        <f t="shared" si="9"/>
        <v>0.45755797096459799</v>
      </c>
      <c r="H84" s="14">
        <f t="shared" si="10"/>
        <v>0.2</v>
      </c>
      <c r="I84" s="14">
        <f t="shared" si="11"/>
        <v>0</v>
      </c>
      <c r="J84" s="15">
        <f>IF(CurrentMtgRatesDataTable8[[#This Row],[WA CC]]&lt;&gt;0,C83-CurrentMtgRatesDataTable8[[#This Row],[WA CC]],0)</f>
        <v>0</v>
      </c>
      <c r="K84" s="16">
        <f>IF(CurrentMtgRatesDataTable8[[#This Row],[Servicing Spread]]&lt;=0,K83,CurrentMtgRatesDataTable8[[#This Row],[Servicing Spread]])</f>
        <v>1.113828001384062</v>
      </c>
      <c r="L84" s="16">
        <f>CurrentMtgRatesDataTable8[[#This Row],[Servicing Spread Non-Zero]]-K83</f>
        <v>0</v>
      </c>
      <c r="M84" s="16">
        <f>IF(I83&lt;&gt;0,CurrentMtgRatesDataTable8[[#This Row],[Rate]]-C83,M83)</f>
        <v>5.9999999999999609E-2</v>
      </c>
    </row>
    <row r="85" spans="1:13" s="9" customFormat="1">
      <c r="A85" s="8" t="s">
        <v>457</v>
      </c>
      <c r="B85" s="11">
        <v>2.4685368274640398</v>
      </c>
      <c r="C85" s="13">
        <v>3.4749999999999996</v>
      </c>
      <c r="D85" s="14">
        <f t="shared" si="6"/>
        <v>2</v>
      </c>
      <c r="E85" s="14">
        <f t="shared" si="7"/>
        <v>0.2</v>
      </c>
      <c r="F85" s="14">
        <f t="shared" si="8"/>
        <v>2</v>
      </c>
      <c r="G85" s="14">
        <f t="shared" si="9"/>
        <v>0.95126533645740596</v>
      </c>
      <c r="H85" s="14">
        <f t="shared" si="10"/>
        <v>0.4</v>
      </c>
      <c r="I85" s="14">
        <f t="shared" si="11"/>
        <v>0</v>
      </c>
      <c r="J85" s="15">
        <f>IF(CurrentMtgRatesDataTable8[[#This Row],[WA CC]]&lt;&gt;0,C84-CurrentMtgRatesDataTable8[[#This Row],[WA CC]],0)</f>
        <v>0</v>
      </c>
      <c r="K85" s="16">
        <f>IF(CurrentMtgRatesDataTable8[[#This Row],[Servicing Spread]]&lt;=0,K84,CurrentMtgRatesDataTable8[[#This Row],[Servicing Spread]])</f>
        <v>1.113828001384062</v>
      </c>
      <c r="L85" s="16">
        <f>CurrentMtgRatesDataTable8[[#This Row],[Servicing Spread Non-Zero]]-K84</f>
        <v>0</v>
      </c>
      <c r="M85" s="16">
        <f>IF(I84&lt;&gt;0,CurrentMtgRatesDataTable8[[#This Row],[Rate]]-C84,M84)</f>
        <v>5.9999999999999609E-2</v>
      </c>
    </row>
    <row r="86" spans="1:13" s="9" customFormat="1">
      <c r="A86" s="8" t="s">
        <v>324</v>
      </c>
      <c r="B86" s="11">
        <v>2.3365107534465399</v>
      </c>
      <c r="C86" s="13">
        <v>3.4749999999999996</v>
      </c>
      <c r="D86" s="14">
        <f t="shared" si="6"/>
        <v>5</v>
      </c>
      <c r="E86" s="14">
        <f t="shared" si="7"/>
        <v>0.2</v>
      </c>
      <c r="F86" s="14">
        <f t="shared" si="8"/>
        <v>3</v>
      </c>
      <c r="G86" s="14">
        <f t="shared" si="9"/>
        <v>1.418567487146714</v>
      </c>
      <c r="H86" s="14">
        <f t="shared" si="10"/>
        <v>0.60000000000000009</v>
      </c>
      <c r="I86" s="14">
        <f t="shared" si="11"/>
        <v>0</v>
      </c>
      <c r="J86" s="15">
        <f>IF(CurrentMtgRatesDataTable8[[#This Row],[WA CC]]&lt;&gt;0,C85-CurrentMtgRatesDataTable8[[#This Row],[WA CC]],0)</f>
        <v>0</v>
      </c>
      <c r="K86" s="16">
        <f>IF(CurrentMtgRatesDataTable8[[#This Row],[Servicing Spread]]&lt;=0,K85,CurrentMtgRatesDataTable8[[#This Row],[Servicing Spread]])</f>
        <v>1.113828001384062</v>
      </c>
      <c r="L86" s="16">
        <f>CurrentMtgRatesDataTable8[[#This Row],[Servicing Spread Non-Zero]]-K85</f>
        <v>0</v>
      </c>
      <c r="M86" s="16">
        <f>IF(I85&lt;&gt;0,CurrentMtgRatesDataTable8[[#This Row],[Rate]]-C85,M85)</f>
        <v>5.9999999999999609E-2</v>
      </c>
    </row>
    <row r="87" spans="1:13" s="9" customFormat="1">
      <c r="A87" s="8" t="s">
        <v>181</v>
      </c>
      <c r="B87" s="11">
        <v>2.3145960727619199</v>
      </c>
      <c r="C87" s="13">
        <v>3.4749999999999996</v>
      </c>
      <c r="D87" s="14">
        <f t="shared" si="6"/>
        <v>6</v>
      </c>
      <c r="E87" s="14">
        <f t="shared" si="7"/>
        <v>0.2</v>
      </c>
      <c r="F87" s="14">
        <f t="shared" si="8"/>
        <v>4</v>
      </c>
      <c r="G87" s="14">
        <f t="shared" si="9"/>
        <v>1.8814867016990979</v>
      </c>
      <c r="H87" s="14">
        <f t="shared" si="10"/>
        <v>0.8</v>
      </c>
      <c r="I87" s="14">
        <f t="shared" si="11"/>
        <v>0</v>
      </c>
      <c r="J87" s="15">
        <f>IF(CurrentMtgRatesDataTable8[[#This Row],[WA CC]]&lt;&gt;0,C86-CurrentMtgRatesDataTable8[[#This Row],[WA CC]],0)</f>
        <v>0</v>
      </c>
      <c r="K87" s="16">
        <f>IF(CurrentMtgRatesDataTable8[[#This Row],[Servicing Spread]]&lt;=0,K86,CurrentMtgRatesDataTable8[[#This Row],[Servicing Spread]])</f>
        <v>1.113828001384062</v>
      </c>
      <c r="L87" s="16">
        <f>CurrentMtgRatesDataTable8[[#This Row],[Servicing Spread Non-Zero]]-K86</f>
        <v>0</v>
      </c>
      <c r="M87" s="16">
        <f>IF(I86&lt;&gt;0,CurrentMtgRatesDataTable8[[#This Row],[Rate]]-C86,M86)</f>
        <v>5.9999999999999609E-2</v>
      </c>
    </row>
    <row r="88" spans="1:13" s="9" customFormat="1">
      <c r="A88" s="8" t="s">
        <v>35</v>
      </c>
      <c r="B88" s="11">
        <v>2.3658814096234999</v>
      </c>
      <c r="C88" s="13">
        <v>3.4749999999999996</v>
      </c>
      <c r="D88" s="14">
        <f t="shared" si="6"/>
        <v>7</v>
      </c>
      <c r="E88" s="14">
        <f t="shared" si="7"/>
        <v>0.2</v>
      </c>
      <c r="F88" s="14">
        <f t="shared" si="8"/>
        <v>5</v>
      </c>
      <c r="G88" s="14">
        <f t="shared" si="9"/>
        <v>2.3546629836237978</v>
      </c>
      <c r="H88" s="14">
        <f t="shared" si="10"/>
        <v>1</v>
      </c>
      <c r="I88" s="14">
        <f t="shared" si="11"/>
        <v>2.3546629836237978</v>
      </c>
      <c r="J88" s="15">
        <f>IF(CurrentMtgRatesDataTable8[[#This Row],[WA CC]]&lt;&gt;0,C87-CurrentMtgRatesDataTable8[[#This Row],[WA CC]],0)</f>
        <v>1.1203370163762019</v>
      </c>
      <c r="K88" s="16">
        <f>IF(CurrentMtgRatesDataTable8[[#This Row],[Servicing Spread]]&lt;=0,K87,CurrentMtgRatesDataTable8[[#This Row],[Servicing Spread]])</f>
        <v>1.1203370163762019</v>
      </c>
      <c r="L88" s="16">
        <f>CurrentMtgRatesDataTable8[[#This Row],[Servicing Spread Non-Zero]]-K87</f>
        <v>6.5090149921398499E-3</v>
      </c>
      <c r="M88" s="16">
        <f>IF(I87&lt;&gt;0,CurrentMtgRatesDataTable8[[#This Row],[Rate]]-C87,M87)</f>
        <v>5.9999999999999609E-2</v>
      </c>
    </row>
    <row r="89" spans="1:13" s="9" customFormat="1">
      <c r="A89" s="8" t="s">
        <v>603</v>
      </c>
      <c r="B89" s="11">
        <v>2.33657189118883</v>
      </c>
      <c r="C89" s="13">
        <v>3.4899999999999998</v>
      </c>
      <c r="D89" s="14">
        <f t="shared" si="6"/>
        <v>1</v>
      </c>
      <c r="E89" s="14">
        <f t="shared" si="7"/>
        <v>0.2</v>
      </c>
      <c r="F89" s="14">
        <f t="shared" si="8"/>
        <v>1</v>
      </c>
      <c r="G89" s="14">
        <f t="shared" si="9"/>
        <v>0.467314378237766</v>
      </c>
      <c r="H89" s="14">
        <f t="shared" si="10"/>
        <v>0.2</v>
      </c>
      <c r="I89" s="14">
        <f t="shared" si="11"/>
        <v>0</v>
      </c>
      <c r="J89" s="15">
        <f>IF(CurrentMtgRatesDataTable8[[#This Row],[WA CC]]&lt;&gt;0,C88-CurrentMtgRatesDataTable8[[#This Row],[WA CC]],0)</f>
        <v>0</v>
      </c>
      <c r="K89" s="16">
        <f>IF(CurrentMtgRatesDataTable8[[#This Row],[Servicing Spread]]&lt;=0,K88,CurrentMtgRatesDataTable8[[#This Row],[Servicing Spread]])</f>
        <v>1.1203370163762019</v>
      </c>
      <c r="L89" s="16">
        <f>CurrentMtgRatesDataTable8[[#This Row],[Servicing Spread Non-Zero]]-K88</f>
        <v>0</v>
      </c>
      <c r="M89" s="16">
        <f>IF(I88&lt;&gt;0,CurrentMtgRatesDataTable8[[#This Row],[Rate]]-C88,M88)</f>
        <v>1.5000000000000124E-2</v>
      </c>
    </row>
    <row r="90" spans="1:13" s="9" customFormat="1">
      <c r="A90" s="8" t="s">
        <v>458</v>
      </c>
      <c r="B90" s="11">
        <v>2.42675409444622</v>
      </c>
      <c r="C90" s="13">
        <v>3.4899999999999998</v>
      </c>
      <c r="D90" s="14">
        <f t="shared" si="6"/>
        <v>2</v>
      </c>
      <c r="E90" s="14">
        <f t="shared" si="7"/>
        <v>0.2</v>
      </c>
      <c r="F90" s="14">
        <f t="shared" si="8"/>
        <v>2</v>
      </c>
      <c r="G90" s="14">
        <f t="shared" si="9"/>
        <v>0.95266519712701003</v>
      </c>
      <c r="H90" s="14">
        <f t="shared" si="10"/>
        <v>0.4</v>
      </c>
      <c r="I90" s="14">
        <f t="shared" si="11"/>
        <v>0</v>
      </c>
      <c r="J90" s="15">
        <f>IF(CurrentMtgRatesDataTable8[[#This Row],[WA CC]]&lt;&gt;0,C89-CurrentMtgRatesDataTable8[[#This Row],[WA CC]],0)</f>
        <v>0</v>
      </c>
      <c r="K90" s="16">
        <f>IF(CurrentMtgRatesDataTable8[[#This Row],[Servicing Spread]]&lt;=0,K89,CurrentMtgRatesDataTable8[[#This Row],[Servicing Spread]])</f>
        <v>1.1203370163762019</v>
      </c>
      <c r="L90" s="16">
        <f>CurrentMtgRatesDataTable8[[#This Row],[Servicing Spread Non-Zero]]-K89</f>
        <v>0</v>
      </c>
      <c r="M90" s="16">
        <f>IF(I89&lt;&gt;0,CurrentMtgRatesDataTable8[[#This Row],[Rate]]-C89,M89)</f>
        <v>1.5000000000000124E-2</v>
      </c>
    </row>
    <row r="91" spans="1:13" s="9" customFormat="1">
      <c r="A91" s="8" t="s">
        <v>325</v>
      </c>
      <c r="B91" s="11">
        <v>2.4102554462908099</v>
      </c>
      <c r="C91" s="13">
        <v>3.4899999999999998</v>
      </c>
      <c r="D91" s="14">
        <f t="shared" si="6"/>
        <v>5</v>
      </c>
      <c r="E91" s="14">
        <f t="shared" si="7"/>
        <v>0.2</v>
      </c>
      <c r="F91" s="14">
        <f t="shared" si="8"/>
        <v>3</v>
      </c>
      <c r="G91" s="14">
        <f t="shared" si="9"/>
        <v>1.4347162863851719</v>
      </c>
      <c r="H91" s="14">
        <f t="shared" si="10"/>
        <v>0.60000000000000009</v>
      </c>
      <c r="I91" s="14">
        <f t="shared" si="11"/>
        <v>0</v>
      </c>
      <c r="J91" s="15">
        <f>IF(CurrentMtgRatesDataTable8[[#This Row],[WA CC]]&lt;&gt;0,C90-CurrentMtgRatesDataTable8[[#This Row],[WA CC]],0)</f>
        <v>0</v>
      </c>
      <c r="K91" s="16">
        <f>IF(CurrentMtgRatesDataTable8[[#This Row],[Servicing Spread]]&lt;=0,K90,CurrentMtgRatesDataTable8[[#This Row],[Servicing Spread]])</f>
        <v>1.1203370163762019</v>
      </c>
      <c r="L91" s="16">
        <f>CurrentMtgRatesDataTable8[[#This Row],[Servicing Spread Non-Zero]]-K90</f>
        <v>0</v>
      </c>
      <c r="M91" s="16">
        <f>IF(I90&lt;&gt;0,CurrentMtgRatesDataTable8[[#This Row],[Rate]]-C90,M90)</f>
        <v>1.5000000000000124E-2</v>
      </c>
    </row>
    <row r="92" spans="1:13" s="9" customFormat="1">
      <c r="A92" s="8" t="s">
        <v>182</v>
      </c>
      <c r="B92" s="11">
        <v>2.4648279812140101</v>
      </c>
      <c r="C92" s="13">
        <v>3.4899999999999998</v>
      </c>
      <c r="D92" s="14">
        <f t="shared" si="6"/>
        <v>6</v>
      </c>
      <c r="E92" s="14">
        <f t="shared" si="7"/>
        <v>0.2</v>
      </c>
      <c r="F92" s="14">
        <f t="shared" si="8"/>
        <v>4</v>
      </c>
      <c r="G92" s="14">
        <f t="shared" si="9"/>
        <v>1.927681882627974</v>
      </c>
      <c r="H92" s="14">
        <f t="shared" si="10"/>
        <v>0.8</v>
      </c>
      <c r="I92" s="14">
        <f t="shared" si="11"/>
        <v>0</v>
      </c>
      <c r="J92" s="15">
        <f>IF(CurrentMtgRatesDataTable8[[#This Row],[WA CC]]&lt;&gt;0,C91-CurrentMtgRatesDataTable8[[#This Row],[WA CC]],0)</f>
        <v>0</v>
      </c>
      <c r="K92" s="16">
        <f>IF(CurrentMtgRatesDataTable8[[#This Row],[Servicing Spread]]&lt;=0,K91,CurrentMtgRatesDataTable8[[#This Row],[Servicing Spread]])</f>
        <v>1.1203370163762019</v>
      </c>
      <c r="L92" s="16">
        <f>CurrentMtgRatesDataTable8[[#This Row],[Servicing Spread Non-Zero]]-K91</f>
        <v>0</v>
      </c>
      <c r="M92" s="16">
        <f>IF(I91&lt;&gt;0,CurrentMtgRatesDataTable8[[#This Row],[Rate]]-C91,M91)</f>
        <v>1.5000000000000124E-2</v>
      </c>
    </row>
    <row r="93" spans="1:13" s="9" customFormat="1">
      <c r="A93" s="8" t="s">
        <v>36</v>
      </c>
      <c r="B93" s="11">
        <v>2.45387778372179</v>
      </c>
      <c r="C93" s="13">
        <v>3.4899999999999998</v>
      </c>
      <c r="D93" s="14">
        <f t="shared" si="6"/>
        <v>7</v>
      </c>
      <c r="E93" s="14">
        <f t="shared" si="7"/>
        <v>0.2</v>
      </c>
      <c r="F93" s="14">
        <f t="shared" si="8"/>
        <v>5</v>
      </c>
      <c r="G93" s="14">
        <f t="shared" si="9"/>
        <v>2.4184574393723319</v>
      </c>
      <c r="H93" s="14">
        <f t="shared" si="10"/>
        <v>1</v>
      </c>
      <c r="I93" s="14">
        <f t="shared" si="11"/>
        <v>2.4184574393723319</v>
      </c>
      <c r="J93" s="15">
        <f>IF(CurrentMtgRatesDataTable8[[#This Row],[WA CC]]&lt;&gt;0,C92-CurrentMtgRatesDataTable8[[#This Row],[WA CC]],0)</f>
        <v>1.0715425606276678</v>
      </c>
      <c r="K93" s="16">
        <f>IF(CurrentMtgRatesDataTable8[[#This Row],[Servicing Spread]]&lt;=0,K92,CurrentMtgRatesDataTable8[[#This Row],[Servicing Spread]])</f>
        <v>1.0715425606276678</v>
      </c>
      <c r="L93" s="16">
        <f>CurrentMtgRatesDataTable8[[#This Row],[Servicing Spread Non-Zero]]-K92</f>
        <v>-4.8794455748534027E-2</v>
      </c>
      <c r="M93" s="16">
        <f>IF(I92&lt;&gt;0,CurrentMtgRatesDataTable8[[#This Row],[Rate]]-C92,M92)</f>
        <v>1.5000000000000124E-2</v>
      </c>
    </row>
    <row r="94" spans="1:13" s="9" customFormat="1">
      <c r="A94" s="8" t="s">
        <v>604</v>
      </c>
      <c r="B94" s="11">
        <v>2.45717074132124</v>
      </c>
      <c r="C94" s="13">
        <v>3.52</v>
      </c>
      <c r="D94" s="14">
        <f t="shared" si="6"/>
        <v>1</v>
      </c>
      <c r="E94" s="14">
        <f t="shared" si="7"/>
        <v>0.2</v>
      </c>
      <c r="F94" s="14">
        <f t="shared" si="8"/>
        <v>1</v>
      </c>
      <c r="G94" s="14">
        <f t="shared" si="9"/>
        <v>0.49143414826424803</v>
      </c>
      <c r="H94" s="14">
        <f t="shared" si="10"/>
        <v>0.2</v>
      </c>
      <c r="I94" s="14">
        <f t="shared" si="11"/>
        <v>0</v>
      </c>
      <c r="J94" s="15">
        <f>IF(CurrentMtgRatesDataTable8[[#This Row],[WA CC]]&lt;&gt;0,C93-CurrentMtgRatesDataTable8[[#This Row],[WA CC]],0)</f>
        <v>0</v>
      </c>
      <c r="K94" s="16">
        <f>IF(CurrentMtgRatesDataTable8[[#This Row],[Servicing Spread]]&lt;=0,K93,CurrentMtgRatesDataTable8[[#This Row],[Servicing Spread]])</f>
        <v>1.0715425606276678</v>
      </c>
      <c r="L94" s="16">
        <f>CurrentMtgRatesDataTable8[[#This Row],[Servicing Spread Non-Zero]]-K93</f>
        <v>0</v>
      </c>
      <c r="M94" s="16">
        <f>IF(I93&lt;&gt;0,CurrentMtgRatesDataTable8[[#This Row],[Rate]]-C93,M93)</f>
        <v>3.0000000000000249E-2</v>
      </c>
    </row>
    <row r="95" spans="1:13" s="9" customFormat="1">
      <c r="A95" s="8" t="s">
        <v>459</v>
      </c>
      <c r="B95" s="11">
        <v>2.43734688080974</v>
      </c>
      <c r="C95" s="13">
        <v>3.52</v>
      </c>
      <c r="D95" s="14">
        <f t="shared" si="6"/>
        <v>2</v>
      </c>
      <c r="E95" s="14">
        <f t="shared" si="7"/>
        <v>0.2</v>
      </c>
      <c r="F95" s="14">
        <f t="shared" si="8"/>
        <v>2</v>
      </c>
      <c r="G95" s="14">
        <f t="shared" si="9"/>
        <v>0.9789035244261961</v>
      </c>
      <c r="H95" s="14">
        <f t="shared" si="10"/>
        <v>0.4</v>
      </c>
      <c r="I95" s="14">
        <f t="shared" si="11"/>
        <v>0</v>
      </c>
      <c r="J95" s="15">
        <f>IF(CurrentMtgRatesDataTable8[[#This Row],[WA CC]]&lt;&gt;0,C94-CurrentMtgRatesDataTable8[[#This Row],[WA CC]],0)</f>
        <v>0</v>
      </c>
      <c r="K95" s="16">
        <f>IF(CurrentMtgRatesDataTable8[[#This Row],[Servicing Spread]]&lt;=0,K94,CurrentMtgRatesDataTable8[[#This Row],[Servicing Spread]])</f>
        <v>1.0715425606276678</v>
      </c>
      <c r="L95" s="16">
        <f>CurrentMtgRatesDataTable8[[#This Row],[Servicing Spread Non-Zero]]-K94</f>
        <v>0</v>
      </c>
      <c r="M95" s="16">
        <f>IF(I94&lt;&gt;0,CurrentMtgRatesDataTable8[[#This Row],[Rate]]-C94,M94)</f>
        <v>3.0000000000000249E-2</v>
      </c>
    </row>
    <row r="96" spans="1:13" s="9" customFormat="1">
      <c r="A96" s="8" t="s">
        <v>326</v>
      </c>
      <c r="B96" s="11">
        <v>2.4326197879338101</v>
      </c>
      <c r="C96" s="13">
        <v>3.52</v>
      </c>
      <c r="D96" s="14">
        <f t="shared" si="6"/>
        <v>5</v>
      </c>
      <c r="E96" s="14">
        <f t="shared" si="7"/>
        <v>0.2</v>
      </c>
      <c r="F96" s="14">
        <f t="shared" si="8"/>
        <v>3</v>
      </c>
      <c r="G96" s="14">
        <f t="shared" si="9"/>
        <v>1.465427482012958</v>
      </c>
      <c r="H96" s="14">
        <f t="shared" si="10"/>
        <v>0.60000000000000009</v>
      </c>
      <c r="I96" s="14">
        <f t="shared" si="11"/>
        <v>0</v>
      </c>
      <c r="J96" s="15">
        <f>IF(CurrentMtgRatesDataTable8[[#This Row],[WA CC]]&lt;&gt;0,C95-CurrentMtgRatesDataTable8[[#This Row],[WA CC]],0)</f>
        <v>0</v>
      </c>
      <c r="K96" s="16">
        <f>IF(CurrentMtgRatesDataTable8[[#This Row],[Servicing Spread]]&lt;=0,K95,CurrentMtgRatesDataTable8[[#This Row],[Servicing Spread]])</f>
        <v>1.0715425606276678</v>
      </c>
      <c r="L96" s="16">
        <f>CurrentMtgRatesDataTable8[[#This Row],[Servicing Spread Non-Zero]]-K95</f>
        <v>0</v>
      </c>
      <c r="M96" s="16">
        <f>IF(I95&lt;&gt;0,CurrentMtgRatesDataTable8[[#This Row],[Rate]]-C95,M95)</f>
        <v>3.0000000000000249E-2</v>
      </c>
    </row>
    <row r="97" spans="1:13" s="9" customFormat="1">
      <c r="A97" s="8" t="s">
        <v>183</v>
      </c>
      <c r="B97" s="11">
        <v>2.5032104637526098</v>
      </c>
      <c r="C97" s="13">
        <v>3.52</v>
      </c>
      <c r="D97" s="14">
        <f t="shared" si="6"/>
        <v>6</v>
      </c>
      <c r="E97" s="14">
        <f t="shared" si="7"/>
        <v>0.2</v>
      </c>
      <c r="F97" s="14">
        <f t="shared" si="8"/>
        <v>4</v>
      </c>
      <c r="G97" s="14">
        <f t="shared" si="9"/>
        <v>1.96606957476348</v>
      </c>
      <c r="H97" s="14">
        <f t="shared" si="10"/>
        <v>0.8</v>
      </c>
      <c r="I97" s="14">
        <f t="shared" si="11"/>
        <v>0</v>
      </c>
      <c r="J97" s="15">
        <f>IF(CurrentMtgRatesDataTable8[[#This Row],[WA CC]]&lt;&gt;0,C96-CurrentMtgRatesDataTable8[[#This Row],[WA CC]],0)</f>
        <v>0</v>
      </c>
      <c r="K97" s="16">
        <f>IF(CurrentMtgRatesDataTable8[[#This Row],[Servicing Spread]]&lt;=0,K96,CurrentMtgRatesDataTable8[[#This Row],[Servicing Spread]])</f>
        <v>1.0715425606276678</v>
      </c>
      <c r="L97" s="16">
        <f>CurrentMtgRatesDataTable8[[#This Row],[Servicing Spread Non-Zero]]-K96</f>
        <v>0</v>
      </c>
      <c r="M97" s="16">
        <f>IF(I96&lt;&gt;0,CurrentMtgRatesDataTable8[[#This Row],[Rate]]-C96,M96)</f>
        <v>3.0000000000000249E-2</v>
      </c>
    </row>
    <row r="98" spans="1:13" s="9" customFormat="1">
      <c r="A98" s="8" t="s">
        <v>37</v>
      </c>
      <c r="B98" s="11">
        <v>2.6381335660023502</v>
      </c>
      <c r="C98" s="13">
        <v>3.52</v>
      </c>
      <c r="D98" s="14">
        <f t="shared" si="6"/>
        <v>7</v>
      </c>
      <c r="E98" s="14">
        <f t="shared" si="7"/>
        <v>0.2</v>
      </c>
      <c r="F98" s="14">
        <f t="shared" si="8"/>
        <v>5</v>
      </c>
      <c r="G98" s="14">
        <f t="shared" si="9"/>
        <v>2.4936962879639499</v>
      </c>
      <c r="H98" s="14">
        <f t="shared" si="10"/>
        <v>1</v>
      </c>
      <c r="I98" s="14">
        <f t="shared" si="11"/>
        <v>2.4936962879639499</v>
      </c>
      <c r="J98" s="15">
        <f>IF(CurrentMtgRatesDataTable8[[#This Row],[WA CC]]&lt;&gt;0,C97-CurrentMtgRatesDataTable8[[#This Row],[WA CC]],0)</f>
        <v>1.0263037120360501</v>
      </c>
      <c r="K98" s="16">
        <f>IF(CurrentMtgRatesDataTable8[[#This Row],[Servicing Spread]]&lt;=0,K97,CurrentMtgRatesDataTable8[[#This Row],[Servicing Spread]])</f>
        <v>1.0263037120360501</v>
      </c>
      <c r="L98" s="16">
        <f>CurrentMtgRatesDataTable8[[#This Row],[Servicing Spread Non-Zero]]-K97</f>
        <v>-4.5238848591617753E-2</v>
      </c>
      <c r="M98" s="16">
        <f>IF(I97&lt;&gt;0,CurrentMtgRatesDataTable8[[#This Row],[Rate]]-C97,M97)</f>
        <v>3.0000000000000249E-2</v>
      </c>
    </row>
    <row r="99" spans="1:13" s="9" customFormat="1">
      <c r="A99" s="8" t="s">
        <v>605</v>
      </c>
      <c r="B99" s="11">
        <v>2.67019432510418</v>
      </c>
      <c r="C99" s="13">
        <v>3.585</v>
      </c>
      <c r="D99" s="14">
        <f t="shared" si="6"/>
        <v>1</v>
      </c>
      <c r="E99" s="14">
        <f t="shared" si="7"/>
        <v>0.2</v>
      </c>
      <c r="F99" s="14">
        <f t="shared" si="8"/>
        <v>1</v>
      </c>
      <c r="G99" s="14">
        <f t="shared" si="9"/>
        <v>0.53403886502083597</v>
      </c>
      <c r="H99" s="14">
        <f t="shared" si="10"/>
        <v>0.2</v>
      </c>
      <c r="I99" s="14">
        <f t="shared" si="11"/>
        <v>0</v>
      </c>
      <c r="J99" s="15">
        <f>IF(CurrentMtgRatesDataTable8[[#This Row],[WA CC]]&lt;&gt;0,C98-CurrentMtgRatesDataTable8[[#This Row],[WA CC]],0)</f>
        <v>0</v>
      </c>
      <c r="K99" s="16">
        <f>IF(CurrentMtgRatesDataTable8[[#This Row],[Servicing Spread]]&lt;=0,K98,CurrentMtgRatesDataTable8[[#This Row],[Servicing Spread]])</f>
        <v>1.0263037120360501</v>
      </c>
      <c r="L99" s="16">
        <f>CurrentMtgRatesDataTable8[[#This Row],[Servicing Spread Non-Zero]]-K98</f>
        <v>0</v>
      </c>
      <c r="M99" s="16">
        <f>IF(I98&lt;&gt;0,CurrentMtgRatesDataTable8[[#This Row],[Rate]]-C98,M98)</f>
        <v>6.4999999999999947E-2</v>
      </c>
    </row>
    <row r="100" spans="1:13" s="9" customFormat="1">
      <c r="A100" s="8" t="s">
        <v>460</v>
      </c>
      <c r="B100" s="11">
        <v>2.6390371038052001</v>
      </c>
      <c r="C100" s="13">
        <v>3.585</v>
      </c>
      <c r="D100" s="14">
        <f t="shared" si="6"/>
        <v>2</v>
      </c>
      <c r="E100" s="14">
        <f t="shared" si="7"/>
        <v>0.2</v>
      </c>
      <c r="F100" s="14">
        <f t="shared" si="8"/>
        <v>2</v>
      </c>
      <c r="G100" s="14">
        <f t="shared" si="9"/>
        <v>1.061846285781876</v>
      </c>
      <c r="H100" s="14">
        <f t="shared" si="10"/>
        <v>0.4</v>
      </c>
      <c r="I100" s="14">
        <f t="shared" si="11"/>
        <v>0</v>
      </c>
      <c r="J100" s="15">
        <f>IF(CurrentMtgRatesDataTable8[[#This Row],[WA CC]]&lt;&gt;0,C99-CurrentMtgRatesDataTable8[[#This Row],[WA CC]],0)</f>
        <v>0</v>
      </c>
      <c r="K100" s="16">
        <f>IF(CurrentMtgRatesDataTable8[[#This Row],[Servicing Spread]]&lt;=0,K99,CurrentMtgRatesDataTable8[[#This Row],[Servicing Spread]])</f>
        <v>1.0263037120360501</v>
      </c>
      <c r="L100" s="16">
        <f>CurrentMtgRatesDataTable8[[#This Row],[Servicing Spread Non-Zero]]-K99</f>
        <v>0</v>
      </c>
      <c r="M100" s="16">
        <f>IF(I99&lt;&gt;0,CurrentMtgRatesDataTable8[[#This Row],[Rate]]-C99,M99)</f>
        <v>6.4999999999999947E-2</v>
      </c>
    </row>
    <row r="101" spans="1:13" s="9" customFormat="1">
      <c r="A101" s="8" t="s">
        <v>327</v>
      </c>
      <c r="B101" s="11">
        <v>2.6186769861639401</v>
      </c>
      <c r="C101" s="13">
        <v>3.585</v>
      </c>
      <c r="D101" s="14">
        <f t="shared" si="6"/>
        <v>5</v>
      </c>
      <c r="E101" s="14">
        <f t="shared" si="7"/>
        <v>0.2</v>
      </c>
      <c r="F101" s="14">
        <f t="shared" si="8"/>
        <v>3</v>
      </c>
      <c r="G101" s="14">
        <f t="shared" si="9"/>
        <v>1.5855816830146641</v>
      </c>
      <c r="H101" s="14">
        <f t="shared" si="10"/>
        <v>0.60000000000000009</v>
      </c>
      <c r="I101" s="14">
        <f t="shared" si="11"/>
        <v>0</v>
      </c>
      <c r="J101" s="15">
        <f>IF(CurrentMtgRatesDataTable8[[#This Row],[WA CC]]&lt;&gt;0,C100-CurrentMtgRatesDataTable8[[#This Row],[WA CC]],0)</f>
        <v>0</v>
      </c>
      <c r="K101" s="16">
        <f>IF(CurrentMtgRatesDataTable8[[#This Row],[Servicing Spread]]&lt;=0,K100,CurrentMtgRatesDataTable8[[#This Row],[Servicing Spread]])</f>
        <v>1.0263037120360501</v>
      </c>
      <c r="L101" s="16">
        <f>CurrentMtgRatesDataTable8[[#This Row],[Servicing Spread Non-Zero]]-K100</f>
        <v>0</v>
      </c>
      <c r="M101" s="16">
        <f>IF(I100&lt;&gt;0,CurrentMtgRatesDataTable8[[#This Row],[Rate]]-C100,M100)</f>
        <v>6.4999999999999947E-2</v>
      </c>
    </row>
    <row r="102" spans="1:13" s="9" customFormat="1">
      <c r="A102" s="8" t="s">
        <v>184</v>
      </c>
      <c r="B102" s="11">
        <v>2.6258914158610902</v>
      </c>
      <c r="C102" s="13">
        <v>3.585</v>
      </c>
      <c r="D102" s="14">
        <f t="shared" si="6"/>
        <v>6</v>
      </c>
      <c r="E102" s="14">
        <f t="shared" si="7"/>
        <v>0.2</v>
      </c>
      <c r="F102" s="14">
        <f t="shared" si="8"/>
        <v>4</v>
      </c>
      <c r="G102" s="14">
        <f t="shared" si="9"/>
        <v>2.1107599661868823</v>
      </c>
      <c r="H102" s="14">
        <f t="shared" si="10"/>
        <v>0.8</v>
      </c>
      <c r="I102" s="14">
        <f t="shared" si="11"/>
        <v>0</v>
      </c>
      <c r="J102" s="15">
        <f>IF(CurrentMtgRatesDataTable8[[#This Row],[WA CC]]&lt;&gt;0,C101-CurrentMtgRatesDataTable8[[#This Row],[WA CC]],0)</f>
        <v>0</v>
      </c>
      <c r="K102" s="16">
        <f>IF(CurrentMtgRatesDataTable8[[#This Row],[Servicing Spread]]&lt;=0,K101,CurrentMtgRatesDataTable8[[#This Row],[Servicing Spread]])</f>
        <v>1.0263037120360501</v>
      </c>
      <c r="L102" s="16">
        <f>CurrentMtgRatesDataTable8[[#This Row],[Servicing Spread Non-Zero]]-K101</f>
        <v>0</v>
      </c>
      <c r="M102" s="16">
        <f>IF(I101&lt;&gt;0,CurrentMtgRatesDataTable8[[#This Row],[Rate]]-C101,M101)</f>
        <v>6.4999999999999947E-2</v>
      </c>
    </row>
    <row r="103" spans="1:13" s="9" customFormat="1">
      <c r="A103" s="8" t="s">
        <v>38</v>
      </c>
      <c r="B103" s="11">
        <v>2.5120707644049798</v>
      </c>
      <c r="C103" s="13">
        <v>3.585</v>
      </c>
      <c r="D103" s="14">
        <f t="shared" si="6"/>
        <v>7</v>
      </c>
      <c r="E103" s="14">
        <f t="shared" si="7"/>
        <v>0.2</v>
      </c>
      <c r="F103" s="14">
        <f t="shared" si="8"/>
        <v>5</v>
      </c>
      <c r="G103" s="14">
        <f t="shared" si="9"/>
        <v>2.6131741190678781</v>
      </c>
      <c r="H103" s="14">
        <f t="shared" si="10"/>
        <v>1</v>
      </c>
      <c r="I103" s="14">
        <f t="shared" si="11"/>
        <v>2.6131741190678781</v>
      </c>
      <c r="J103" s="15">
        <f>IF(CurrentMtgRatesDataTable8[[#This Row],[WA CC]]&lt;&gt;0,C102-CurrentMtgRatesDataTable8[[#This Row],[WA CC]],0)</f>
        <v>0.97182588093212185</v>
      </c>
      <c r="K103" s="16">
        <f>IF(CurrentMtgRatesDataTable8[[#This Row],[Servicing Spread]]&lt;=0,K102,CurrentMtgRatesDataTable8[[#This Row],[Servicing Spread]])</f>
        <v>0.97182588093212185</v>
      </c>
      <c r="L103" s="16">
        <f>CurrentMtgRatesDataTable8[[#This Row],[Servicing Spread Non-Zero]]-K102</f>
        <v>-5.4477831103928231E-2</v>
      </c>
      <c r="M103" s="16">
        <f>IF(I102&lt;&gt;0,CurrentMtgRatesDataTable8[[#This Row],[Rate]]-C102,M102)</f>
        <v>6.4999999999999947E-2</v>
      </c>
    </row>
    <row r="104" spans="1:13" s="9" customFormat="1">
      <c r="A104" s="8" t="s">
        <v>606</v>
      </c>
      <c r="B104" s="11">
        <v>2.4447051610431401</v>
      </c>
      <c r="C104" s="13">
        <v>3.4899999999999998</v>
      </c>
      <c r="D104" s="14">
        <f t="shared" si="6"/>
        <v>1</v>
      </c>
      <c r="E104" s="14">
        <f t="shared" si="7"/>
        <v>0.2</v>
      </c>
      <c r="F104" s="14">
        <f t="shared" si="8"/>
        <v>1</v>
      </c>
      <c r="G104" s="14">
        <f t="shared" si="9"/>
        <v>0.48894103220862806</v>
      </c>
      <c r="H104" s="14">
        <f t="shared" si="10"/>
        <v>0.2</v>
      </c>
      <c r="I104" s="14">
        <f t="shared" si="11"/>
        <v>0</v>
      </c>
      <c r="J104" s="15">
        <f>IF(CurrentMtgRatesDataTable8[[#This Row],[WA CC]]&lt;&gt;0,C103-CurrentMtgRatesDataTable8[[#This Row],[WA CC]],0)</f>
        <v>0</v>
      </c>
      <c r="K104" s="16">
        <f>IF(CurrentMtgRatesDataTable8[[#This Row],[Servicing Spread]]&lt;=0,K103,CurrentMtgRatesDataTable8[[#This Row],[Servicing Spread]])</f>
        <v>0.97182588093212185</v>
      </c>
      <c r="L104" s="16">
        <f>CurrentMtgRatesDataTable8[[#This Row],[Servicing Spread Non-Zero]]-K103</f>
        <v>0</v>
      </c>
      <c r="M104" s="16">
        <f>IF(I103&lt;&gt;0,CurrentMtgRatesDataTable8[[#This Row],[Rate]]-C103,M103)</f>
        <v>-9.5000000000000195E-2</v>
      </c>
    </row>
    <row r="105" spans="1:13" s="9" customFormat="1">
      <c r="A105" s="8" t="s">
        <v>461</v>
      </c>
      <c r="B105" s="11">
        <v>2.4760934642707801</v>
      </c>
      <c r="C105" s="13">
        <v>3.4899999999999998</v>
      </c>
      <c r="D105" s="14">
        <f t="shared" si="6"/>
        <v>2</v>
      </c>
      <c r="E105" s="14">
        <f t="shared" si="7"/>
        <v>0.2</v>
      </c>
      <c r="F105" s="14">
        <f t="shared" si="8"/>
        <v>2</v>
      </c>
      <c r="G105" s="14">
        <f t="shared" si="9"/>
        <v>0.98415972506278404</v>
      </c>
      <c r="H105" s="14">
        <f t="shared" si="10"/>
        <v>0.4</v>
      </c>
      <c r="I105" s="14">
        <f t="shared" si="11"/>
        <v>0</v>
      </c>
      <c r="J105" s="15">
        <f>IF(CurrentMtgRatesDataTable8[[#This Row],[WA CC]]&lt;&gt;0,C104-CurrentMtgRatesDataTable8[[#This Row],[WA CC]],0)</f>
        <v>0</v>
      </c>
      <c r="K105" s="16">
        <f>IF(CurrentMtgRatesDataTable8[[#This Row],[Servicing Spread]]&lt;=0,K104,CurrentMtgRatesDataTable8[[#This Row],[Servicing Spread]])</f>
        <v>0.97182588093212185</v>
      </c>
      <c r="L105" s="16">
        <f>CurrentMtgRatesDataTable8[[#This Row],[Servicing Spread Non-Zero]]-K104</f>
        <v>0</v>
      </c>
      <c r="M105" s="16">
        <f>IF(I104&lt;&gt;0,CurrentMtgRatesDataTable8[[#This Row],[Rate]]-C104,M104)</f>
        <v>-9.5000000000000195E-2</v>
      </c>
    </row>
    <row r="106" spans="1:13" s="9" customFormat="1">
      <c r="A106" s="8" t="s">
        <v>328</v>
      </c>
      <c r="B106" s="11">
        <v>2.4407526300903402</v>
      </c>
      <c r="C106" s="13">
        <v>3.4899999999999998</v>
      </c>
      <c r="D106" s="14">
        <f t="shared" si="6"/>
        <v>5</v>
      </c>
      <c r="E106" s="14">
        <f t="shared" si="7"/>
        <v>0.2</v>
      </c>
      <c r="F106" s="14">
        <f t="shared" si="8"/>
        <v>3</v>
      </c>
      <c r="G106" s="14">
        <f t="shared" si="9"/>
        <v>1.4723102510808521</v>
      </c>
      <c r="H106" s="14">
        <f t="shared" si="10"/>
        <v>0.60000000000000009</v>
      </c>
      <c r="I106" s="14">
        <f t="shared" si="11"/>
        <v>0</v>
      </c>
      <c r="J106" s="15">
        <f>IF(CurrentMtgRatesDataTable8[[#This Row],[WA CC]]&lt;&gt;0,C105-CurrentMtgRatesDataTable8[[#This Row],[WA CC]],0)</f>
        <v>0</v>
      </c>
      <c r="K106" s="16">
        <f>IF(CurrentMtgRatesDataTable8[[#This Row],[Servicing Spread]]&lt;=0,K105,CurrentMtgRatesDataTable8[[#This Row],[Servicing Spread]])</f>
        <v>0.97182588093212185</v>
      </c>
      <c r="L106" s="16">
        <f>CurrentMtgRatesDataTable8[[#This Row],[Servicing Spread Non-Zero]]-K105</f>
        <v>0</v>
      </c>
      <c r="M106" s="16">
        <f>IF(I105&lt;&gt;0,CurrentMtgRatesDataTable8[[#This Row],[Rate]]-C105,M105)</f>
        <v>-9.5000000000000195E-2</v>
      </c>
    </row>
    <row r="107" spans="1:13" s="9" customFormat="1">
      <c r="A107" s="8" t="s">
        <v>185</v>
      </c>
      <c r="B107" s="11">
        <v>2.4110384199427202</v>
      </c>
      <c r="C107" s="13">
        <v>3.4899999999999998</v>
      </c>
      <c r="D107" s="14">
        <f t="shared" si="6"/>
        <v>6</v>
      </c>
      <c r="E107" s="14">
        <f t="shared" si="7"/>
        <v>0.2</v>
      </c>
      <c r="F107" s="14">
        <f t="shared" si="8"/>
        <v>4</v>
      </c>
      <c r="G107" s="14">
        <f t="shared" si="9"/>
        <v>1.9545179350693962</v>
      </c>
      <c r="H107" s="14">
        <f t="shared" si="10"/>
        <v>0.8</v>
      </c>
      <c r="I107" s="14">
        <f t="shared" si="11"/>
        <v>0</v>
      </c>
      <c r="J107" s="15">
        <f>IF(CurrentMtgRatesDataTable8[[#This Row],[WA CC]]&lt;&gt;0,C106-CurrentMtgRatesDataTable8[[#This Row],[WA CC]],0)</f>
        <v>0</v>
      </c>
      <c r="K107" s="16">
        <f>IF(CurrentMtgRatesDataTable8[[#This Row],[Servicing Spread]]&lt;=0,K106,CurrentMtgRatesDataTable8[[#This Row],[Servicing Spread]])</f>
        <v>0.97182588093212185</v>
      </c>
      <c r="L107" s="16">
        <f>CurrentMtgRatesDataTable8[[#This Row],[Servicing Spread Non-Zero]]-K106</f>
        <v>0</v>
      </c>
      <c r="M107" s="16">
        <f>IF(I106&lt;&gt;0,CurrentMtgRatesDataTable8[[#This Row],[Rate]]-C106,M106)</f>
        <v>-9.5000000000000195E-2</v>
      </c>
    </row>
    <row r="108" spans="1:13" s="9" customFormat="1">
      <c r="A108" s="8" t="s">
        <v>39</v>
      </c>
      <c r="B108" s="11">
        <v>2.4687840450515499</v>
      </c>
      <c r="C108" s="13">
        <v>3.4899999999999998</v>
      </c>
      <c r="D108" s="14">
        <f t="shared" si="6"/>
        <v>7</v>
      </c>
      <c r="E108" s="14">
        <f t="shared" si="7"/>
        <v>0.2</v>
      </c>
      <c r="F108" s="14">
        <f t="shared" si="8"/>
        <v>5</v>
      </c>
      <c r="G108" s="14">
        <f t="shared" si="9"/>
        <v>2.4482747440797064</v>
      </c>
      <c r="H108" s="14">
        <f t="shared" si="10"/>
        <v>1</v>
      </c>
      <c r="I108" s="14">
        <f t="shared" si="11"/>
        <v>2.4482747440797064</v>
      </c>
      <c r="J108" s="15">
        <f>IF(CurrentMtgRatesDataTable8[[#This Row],[WA CC]]&lt;&gt;0,C107-CurrentMtgRatesDataTable8[[#This Row],[WA CC]],0)</f>
        <v>1.0417252559202934</v>
      </c>
      <c r="K108" s="16">
        <f>IF(CurrentMtgRatesDataTable8[[#This Row],[Servicing Spread]]&lt;=0,K107,CurrentMtgRatesDataTable8[[#This Row],[Servicing Spread]])</f>
        <v>1.0417252559202934</v>
      </c>
      <c r="L108" s="16">
        <f>CurrentMtgRatesDataTable8[[#This Row],[Servicing Spread Non-Zero]]-K107</f>
        <v>6.9899374988171559E-2</v>
      </c>
      <c r="M108" s="16">
        <f>IF(I107&lt;&gt;0,CurrentMtgRatesDataTable8[[#This Row],[Rate]]-C107,M107)</f>
        <v>-9.5000000000000195E-2</v>
      </c>
    </row>
    <row r="109" spans="1:13" s="9" customFormat="1">
      <c r="A109" s="8" t="s">
        <v>607</v>
      </c>
      <c r="B109" s="11">
        <v>2.4337082726962702</v>
      </c>
      <c r="C109" s="13">
        <v>3.4749999999999996</v>
      </c>
      <c r="D109" s="14">
        <f t="shared" si="6"/>
        <v>1</v>
      </c>
      <c r="E109" s="14">
        <f t="shared" si="7"/>
        <v>0.2</v>
      </c>
      <c r="F109" s="14">
        <f t="shared" si="8"/>
        <v>1</v>
      </c>
      <c r="G109" s="14">
        <f t="shared" si="9"/>
        <v>0.48674165453925405</v>
      </c>
      <c r="H109" s="14">
        <f t="shared" si="10"/>
        <v>0.2</v>
      </c>
      <c r="I109" s="14">
        <f t="shared" si="11"/>
        <v>0</v>
      </c>
      <c r="J109" s="15">
        <f>IF(CurrentMtgRatesDataTable8[[#This Row],[WA CC]]&lt;&gt;0,C108-CurrentMtgRatesDataTable8[[#This Row],[WA CC]],0)</f>
        <v>0</v>
      </c>
      <c r="K109" s="16">
        <f>IF(CurrentMtgRatesDataTable8[[#This Row],[Servicing Spread]]&lt;=0,K108,CurrentMtgRatesDataTable8[[#This Row],[Servicing Spread]])</f>
        <v>1.0417252559202934</v>
      </c>
      <c r="L109" s="16">
        <f>CurrentMtgRatesDataTable8[[#This Row],[Servicing Spread Non-Zero]]-K108</f>
        <v>0</v>
      </c>
      <c r="M109" s="16">
        <f>IF(I108&lt;&gt;0,CurrentMtgRatesDataTable8[[#This Row],[Rate]]-C108,M108)</f>
        <v>-1.5000000000000124E-2</v>
      </c>
    </row>
    <row r="110" spans="1:13" s="9" customFormat="1">
      <c r="A110" s="8" t="s">
        <v>462</v>
      </c>
      <c r="B110" s="11">
        <v>2.3689486742097801</v>
      </c>
      <c r="C110" s="13">
        <v>3.4749999999999996</v>
      </c>
      <c r="D110" s="14">
        <f t="shared" si="6"/>
        <v>2</v>
      </c>
      <c r="E110" s="14">
        <f t="shared" si="7"/>
        <v>0.2</v>
      </c>
      <c r="F110" s="14">
        <f t="shared" si="8"/>
        <v>2</v>
      </c>
      <c r="G110" s="14">
        <f t="shared" si="9"/>
        <v>0.96053138938121008</v>
      </c>
      <c r="H110" s="14">
        <f t="shared" si="10"/>
        <v>0.4</v>
      </c>
      <c r="I110" s="14">
        <f t="shared" si="11"/>
        <v>0</v>
      </c>
      <c r="J110" s="15">
        <f>IF(CurrentMtgRatesDataTable8[[#This Row],[WA CC]]&lt;&gt;0,C109-CurrentMtgRatesDataTable8[[#This Row],[WA CC]],0)</f>
        <v>0</v>
      </c>
      <c r="K110" s="16">
        <f>IF(CurrentMtgRatesDataTable8[[#This Row],[Servicing Spread]]&lt;=0,K109,CurrentMtgRatesDataTable8[[#This Row],[Servicing Spread]])</f>
        <v>1.0417252559202934</v>
      </c>
      <c r="L110" s="16">
        <f>CurrentMtgRatesDataTable8[[#This Row],[Servicing Spread Non-Zero]]-K109</f>
        <v>0</v>
      </c>
      <c r="M110" s="16">
        <f>IF(I109&lt;&gt;0,CurrentMtgRatesDataTable8[[#This Row],[Rate]]-C109,M109)</f>
        <v>-1.5000000000000124E-2</v>
      </c>
    </row>
    <row r="111" spans="1:13" s="9" customFormat="1">
      <c r="A111" s="8" t="s">
        <v>186</v>
      </c>
      <c r="B111" s="11">
        <v>2.3841669341916099</v>
      </c>
      <c r="C111" s="13">
        <v>3.4749999999999996</v>
      </c>
      <c r="D111" s="14">
        <f t="shared" si="6"/>
        <v>6</v>
      </c>
      <c r="E111" s="14">
        <f t="shared" si="7"/>
        <v>0.2</v>
      </c>
      <c r="F111" s="14">
        <f t="shared" si="8"/>
        <v>3</v>
      </c>
      <c r="G111" s="14">
        <f t="shared" si="9"/>
        <v>1.4373647762195321</v>
      </c>
      <c r="H111" s="14">
        <f t="shared" si="10"/>
        <v>0.60000000000000009</v>
      </c>
      <c r="I111" s="14">
        <f t="shared" si="11"/>
        <v>0</v>
      </c>
      <c r="J111" s="15">
        <f>IF(CurrentMtgRatesDataTable8[[#This Row],[WA CC]]&lt;&gt;0,C110-CurrentMtgRatesDataTable8[[#This Row],[WA CC]],0)</f>
        <v>0</v>
      </c>
      <c r="K111" s="16">
        <f>IF(CurrentMtgRatesDataTable8[[#This Row],[Servicing Spread]]&lt;=0,K110,CurrentMtgRatesDataTable8[[#This Row],[Servicing Spread]])</f>
        <v>1.0417252559202934</v>
      </c>
      <c r="L111" s="16">
        <f>CurrentMtgRatesDataTable8[[#This Row],[Servicing Spread Non-Zero]]-K110</f>
        <v>0</v>
      </c>
      <c r="M111" s="16">
        <f>IF(I110&lt;&gt;0,CurrentMtgRatesDataTable8[[#This Row],[Rate]]-C110,M110)</f>
        <v>-1.5000000000000124E-2</v>
      </c>
    </row>
    <row r="112" spans="1:13" s="9" customFormat="1">
      <c r="A112" s="8" t="s">
        <v>40</v>
      </c>
      <c r="B112" s="11">
        <v>2.39527607095176</v>
      </c>
      <c r="C112" s="13">
        <v>3.4749999999999996</v>
      </c>
      <c r="D112" s="14">
        <f t="shared" si="6"/>
        <v>7</v>
      </c>
      <c r="E112" s="14">
        <f t="shared" si="7"/>
        <v>0.2</v>
      </c>
      <c r="F112" s="14">
        <f t="shared" si="8"/>
        <v>4</v>
      </c>
      <c r="G112" s="14">
        <f t="shared" si="9"/>
        <v>1.9164199904098842</v>
      </c>
      <c r="H112" s="14">
        <f t="shared" si="10"/>
        <v>0.8</v>
      </c>
      <c r="I112" s="14">
        <f t="shared" si="11"/>
        <v>2.395524988012355</v>
      </c>
      <c r="J112" s="15">
        <f>IF(CurrentMtgRatesDataTable8[[#This Row],[WA CC]]&lt;&gt;0,C111-CurrentMtgRatesDataTable8[[#This Row],[WA CC]],0)</f>
        <v>1.0794750119876446</v>
      </c>
      <c r="K112" s="16">
        <f>IF(CurrentMtgRatesDataTable8[[#This Row],[Servicing Spread]]&lt;=0,K111,CurrentMtgRatesDataTable8[[#This Row],[Servicing Spread]])</f>
        <v>1.0794750119876446</v>
      </c>
      <c r="L112" s="16">
        <f>CurrentMtgRatesDataTable8[[#This Row],[Servicing Spread Non-Zero]]-K111</f>
        <v>3.7749756067351203E-2</v>
      </c>
      <c r="M112" s="16">
        <f>IF(I111&lt;&gt;0,CurrentMtgRatesDataTable8[[#This Row],[Rate]]-C111,M111)</f>
        <v>-1.5000000000000124E-2</v>
      </c>
    </row>
    <row r="113" spans="1:13" s="9" customFormat="1">
      <c r="A113" s="8" t="s">
        <v>608</v>
      </c>
      <c r="B113" s="11">
        <v>2.4560721347491201</v>
      </c>
      <c r="C113" s="13">
        <v>3.4499999999999997</v>
      </c>
      <c r="D113" s="14">
        <f t="shared" si="6"/>
        <v>1</v>
      </c>
      <c r="E113" s="14">
        <f t="shared" si="7"/>
        <v>0.2</v>
      </c>
      <c r="F113" s="14">
        <f t="shared" si="8"/>
        <v>1</v>
      </c>
      <c r="G113" s="14">
        <f t="shared" si="9"/>
        <v>0.49121442694982403</v>
      </c>
      <c r="H113" s="14">
        <f t="shared" si="10"/>
        <v>0.2</v>
      </c>
      <c r="I113" s="14">
        <f t="shared" si="11"/>
        <v>0</v>
      </c>
      <c r="J113" s="15">
        <f>IF(CurrentMtgRatesDataTable8[[#This Row],[WA CC]]&lt;&gt;0,C112-CurrentMtgRatesDataTable8[[#This Row],[WA CC]],0)</f>
        <v>0</v>
      </c>
      <c r="K113" s="16">
        <f>IF(CurrentMtgRatesDataTable8[[#This Row],[Servicing Spread]]&lt;=0,K112,CurrentMtgRatesDataTable8[[#This Row],[Servicing Spread]])</f>
        <v>1.0794750119876446</v>
      </c>
      <c r="L113" s="16">
        <f>CurrentMtgRatesDataTable8[[#This Row],[Servicing Spread Non-Zero]]-K112</f>
        <v>0</v>
      </c>
      <c r="M113" s="16">
        <f>IF(I112&lt;&gt;0,CurrentMtgRatesDataTable8[[#This Row],[Rate]]-C112,M112)</f>
        <v>-2.4999999999999911E-2</v>
      </c>
    </row>
    <row r="114" spans="1:13" s="9" customFormat="1">
      <c r="A114" s="8" t="s">
        <v>463</v>
      </c>
      <c r="B114" s="11">
        <v>2.3738371878590399</v>
      </c>
      <c r="C114" s="13">
        <v>3.4499999999999997</v>
      </c>
      <c r="D114" s="14">
        <f t="shared" si="6"/>
        <v>2</v>
      </c>
      <c r="E114" s="14">
        <f t="shared" si="7"/>
        <v>0.2</v>
      </c>
      <c r="F114" s="14">
        <f t="shared" si="8"/>
        <v>2</v>
      </c>
      <c r="G114" s="14">
        <f t="shared" si="9"/>
        <v>0.96598186452163204</v>
      </c>
      <c r="H114" s="14">
        <f t="shared" si="10"/>
        <v>0.4</v>
      </c>
      <c r="I114" s="14">
        <f t="shared" si="11"/>
        <v>0</v>
      </c>
      <c r="J114" s="15">
        <f>IF(CurrentMtgRatesDataTable8[[#This Row],[WA CC]]&lt;&gt;0,C113-CurrentMtgRatesDataTable8[[#This Row],[WA CC]],0)</f>
        <v>0</v>
      </c>
      <c r="K114" s="16">
        <f>IF(CurrentMtgRatesDataTable8[[#This Row],[Servicing Spread]]&lt;=0,K113,CurrentMtgRatesDataTable8[[#This Row],[Servicing Spread]])</f>
        <v>1.0794750119876446</v>
      </c>
      <c r="L114" s="16">
        <f>CurrentMtgRatesDataTable8[[#This Row],[Servicing Spread Non-Zero]]-K113</f>
        <v>0</v>
      </c>
      <c r="M114" s="16">
        <f>IF(I113&lt;&gt;0,CurrentMtgRatesDataTable8[[#This Row],[Rate]]-C113,M113)</f>
        <v>-2.4999999999999911E-2</v>
      </c>
    </row>
    <row r="115" spans="1:13" s="9" customFormat="1">
      <c r="A115" s="8" t="s">
        <v>329</v>
      </c>
      <c r="B115" s="11">
        <v>2.3778465565534201</v>
      </c>
      <c r="C115" s="13">
        <v>3.4499999999999997</v>
      </c>
      <c r="D115" s="14">
        <f t="shared" si="6"/>
        <v>5</v>
      </c>
      <c r="E115" s="14">
        <f t="shared" si="7"/>
        <v>0.2</v>
      </c>
      <c r="F115" s="14">
        <f t="shared" si="8"/>
        <v>3</v>
      </c>
      <c r="G115" s="14">
        <f t="shared" si="9"/>
        <v>1.4415511758323161</v>
      </c>
      <c r="H115" s="14">
        <f t="shared" si="10"/>
        <v>0.60000000000000009</v>
      </c>
      <c r="I115" s="14">
        <f t="shared" si="11"/>
        <v>0</v>
      </c>
      <c r="J115" s="15">
        <f>IF(CurrentMtgRatesDataTable8[[#This Row],[WA CC]]&lt;&gt;0,C114-CurrentMtgRatesDataTable8[[#This Row],[WA CC]],0)</f>
        <v>0</v>
      </c>
      <c r="K115" s="16">
        <f>IF(CurrentMtgRatesDataTable8[[#This Row],[Servicing Spread]]&lt;=0,K114,CurrentMtgRatesDataTable8[[#This Row],[Servicing Spread]])</f>
        <v>1.0794750119876446</v>
      </c>
      <c r="L115" s="16">
        <f>CurrentMtgRatesDataTable8[[#This Row],[Servicing Spread Non-Zero]]-K114</f>
        <v>0</v>
      </c>
      <c r="M115" s="16">
        <f>IF(I114&lt;&gt;0,CurrentMtgRatesDataTable8[[#This Row],[Rate]]-C114,M114)</f>
        <v>-2.4999999999999911E-2</v>
      </c>
    </row>
    <row r="116" spans="1:13" s="9" customFormat="1">
      <c r="A116" s="8" t="s">
        <v>187</v>
      </c>
      <c r="B116" s="11">
        <v>2.3937114953982901</v>
      </c>
      <c r="C116" s="13">
        <v>3.4499999999999997</v>
      </c>
      <c r="D116" s="14">
        <f t="shared" si="6"/>
        <v>6</v>
      </c>
      <c r="E116" s="14">
        <f t="shared" si="7"/>
        <v>0.2</v>
      </c>
      <c r="F116" s="14">
        <f t="shared" si="8"/>
        <v>4</v>
      </c>
      <c r="G116" s="14">
        <f t="shared" si="9"/>
        <v>1.9202934749119742</v>
      </c>
      <c r="H116" s="14">
        <f t="shared" si="10"/>
        <v>0.8</v>
      </c>
      <c r="I116" s="14">
        <f t="shared" si="11"/>
        <v>0</v>
      </c>
      <c r="J116" s="15">
        <f>IF(CurrentMtgRatesDataTable8[[#This Row],[WA CC]]&lt;&gt;0,C115-CurrentMtgRatesDataTable8[[#This Row],[WA CC]],0)</f>
        <v>0</v>
      </c>
      <c r="K116" s="16">
        <f>IF(CurrentMtgRatesDataTable8[[#This Row],[Servicing Spread]]&lt;=0,K115,CurrentMtgRatesDataTable8[[#This Row],[Servicing Spread]])</f>
        <v>1.0794750119876446</v>
      </c>
      <c r="L116" s="16">
        <f>CurrentMtgRatesDataTable8[[#This Row],[Servicing Spread Non-Zero]]-K115</f>
        <v>0</v>
      </c>
      <c r="M116" s="16">
        <f>IF(I115&lt;&gt;0,CurrentMtgRatesDataTable8[[#This Row],[Rate]]-C115,M115)</f>
        <v>-2.4999999999999911E-2</v>
      </c>
    </row>
    <row r="117" spans="1:13" s="9" customFormat="1">
      <c r="A117" s="8" t="s">
        <v>41</v>
      </c>
      <c r="B117" s="11">
        <v>2.4292166245487601</v>
      </c>
      <c r="C117" s="13">
        <v>3.4499999999999997</v>
      </c>
      <c r="D117" s="14">
        <f t="shared" si="6"/>
        <v>7</v>
      </c>
      <c r="E117" s="14">
        <f t="shared" si="7"/>
        <v>0.2</v>
      </c>
      <c r="F117" s="14">
        <f t="shared" si="8"/>
        <v>5</v>
      </c>
      <c r="G117" s="14">
        <f t="shared" si="9"/>
        <v>2.4061367998217262</v>
      </c>
      <c r="H117" s="14">
        <f t="shared" si="10"/>
        <v>1</v>
      </c>
      <c r="I117" s="14">
        <f t="shared" si="11"/>
        <v>2.4061367998217262</v>
      </c>
      <c r="J117" s="15">
        <f>IF(CurrentMtgRatesDataTable8[[#This Row],[WA CC]]&lt;&gt;0,C116-CurrentMtgRatesDataTable8[[#This Row],[WA CC]],0)</f>
        <v>1.0438632001782735</v>
      </c>
      <c r="K117" s="16">
        <f>IF(CurrentMtgRatesDataTable8[[#This Row],[Servicing Spread]]&lt;=0,K116,CurrentMtgRatesDataTable8[[#This Row],[Servicing Spread]])</f>
        <v>1.0438632001782735</v>
      </c>
      <c r="L117" s="16">
        <f>CurrentMtgRatesDataTable8[[#This Row],[Servicing Spread Non-Zero]]-K116</f>
        <v>-3.5611811809371119E-2</v>
      </c>
      <c r="M117" s="16">
        <f>IF(I116&lt;&gt;0,CurrentMtgRatesDataTable8[[#This Row],[Rate]]-C116,M116)</f>
        <v>-2.4999999999999911E-2</v>
      </c>
    </row>
    <row r="118" spans="1:13" s="9" customFormat="1">
      <c r="A118" s="8" t="s">
        <v>609</v>
      </c>
      <c r="B118" s="11">
        <v>2.2060134697218898</v>
      </c>
      <c r="C118" s="13">
        <v>3.39</v>
      </c>
      <c r="D118" s="14">
        <f t="shared" si="6"/>
        <v>1</v>
      </c>
      <c r="E118" s="14">
        <f t="shared" si="7"/>
        <v>0.2</v>
      </c>
      <c r="F118" s="14">
        <f t="shared" si="8"/>
        <v>1</v>
      </c>
      <c r="G118" s="14">
        <f t="shared" si="9"/>
        <v>0.441202693944378</v>
      </c>
      <c r="H118" s="14">
        <f t="shared" si="10"/>
        <v>0.2</v>
      </c>
      <c r="I118" s="14">
        <f t="shared" si="11"/>
        <v>0</v>
      </c>
      <c r="J118" s="15">
        <f>IF(CurrentMtgRatesDataTable8[[#This Row],[WA CC]]&lt;&gt;0,C117-CurrentMtgRatesDataTable8[[#This Row],[WA CC]],0)</f>
        <v>0</v>
      </c>
      <c r="K118" s="16">
        <f>IF(CurrentMtgRatesDataTable8[[#This Row],[Servicing Spread]]&lt;=0,K117,CurrentMtgRatesDataTable8[[#This Row],[Servicing Spread]])</f>
        <v>1.0438632001782735</v>
      </c>
      <c r="L118" s="16">
        <f>CurrentMtgRatesDataTable8[[#This Row],[Servicing Spread Non-Zero]]-K117</f>
        <v>0</v>
      </c>
      <c r="M118" s="16">
        <f>IF(I117&lt;&gt;0,CurrentMtgRatesDataTable8[[#This Row],[Rate]]-C117,M117)</f>
        <v>-5.9999999999999609E-2</v>
      </c>
    </row>
    <row r="119" spans="1:13" s="9" customFormat="1">
      <c r="A119" s="8" t="s">
        <v>464</v>
      </c>
      <c r="B119" s="11">
        <v>2.2680491660278101</v>
      </c>
      <c r="C119" s="13">
        <v>3.39</v>
      </c>
      <c r="D119" s="14">
        <f t="shared" si="6"/>
        <v>2</v>
      </c>
      <c r="E119" s="14">
        <f t="shared" si="7"/>
        <v>0.2</v>
      </c>
      <c r="F119" s="14">
        <f t="shared" si="8"/>
        <v>2</v>
      </c>
      <c r="G119" s="14">
        <f t="shared" si="9"/>
        <v>0.89481252714994008</v>
      </c>
      <c r="H119" s="14">
        <f t="shared" si="10"/>
        <v>0.4</v>
      </c>
      <c r="I119" s="14">
        <f t="shared" si="11"/>
        <v>0</v>
      </c>
      <c r="J119" s="15">
        <f>IF(CurrentMtgRatesDataTable8[[#This Row],[WA CC]]&lt;&gt;0,C118-CurrentMtgRatesDataTable8[[#This Row],[WA CC]],0)</f>
        <v>0</v>
      </c>
      <c r="K119" s="16">
        <f>IF(CurrentMtgRatesDataTable8[[#This Row],[Servicing Spread]]&lt;=0,K118,CurrentMtgRatesDataTable8[[#This Row],[Servicing Spread]])</f>
        <v>1.0438632001782735</v>
      </c>
      <c r="L119" s="16">
        <f>CurrentMtgRatesDataTable8[[#This Row],[Servicing Spread Non-Zero]]-K118</f>
        <v>0</v>
      </c>
      <c r="M119" s="16">
        <f>IF(I118&lt;&gt;0,CurrentMtgRatesDataTable8[[#This Row],[Rate]]-C118,M118)</f>
        <v>-5.9999999999999609E-2</v>
      </c>
    </row>
    <row r="120" spans="1:13" s="9" customFormat="1">
      <c r="A120" s="8" t="s">
        <v>330</v>
      </c>
      <c r="B120" s="11">
        <v>2.2811650726171102</v>
      </c>
      <c r="C120" s="13">
        <v>3.39</v>
      </c>
      <c r="D120" s="14">
        <f t="shared" si="6"/>
        <v>5</v>
      </c>
      <c r="E120" s="14">
        <f t="shared" si="7"/>
        <v>0.2</v>
      </c>
      <c r="F120" s="14">
        <f t="shared" si="8"/>
        <v>3</v>
      </c>
      <c r="G120" s="14">
        <f t="shared" si="9"/>
        <v>1.3510455416733622</v>
      </c>
      <c r="H120" s="14">
        <f t="shared" si="10"/>
        <v>0.60000000000000009</v>
      </c>
      <c r="I120" s="14">
        <f t="shared" si="11"/>
        <v>0</v>
      </c>
      <c r="J120" s="15">
        <f>IF(CurrentMtgRatesDataTable8[[#This Row],[WA CC]]&lt;&gt;0,C119-CurrentMtgRatesDataTable8[[#This Row],[WA CC]],0)</f>
        <v>0</v>
      </c>
      <c r="K120" s="16">
        <f>IF(CurrentMtgRatesDataTable8[[#This Row],[Servicing Spread]]&lt;=0,K119,CurrentMtgRatesDataTable8[[#This Row],[Servicing Spread]])</f>
        <v>1.0438632001782735</v>
      </c>
      <c r="L120" s="16">
        <f>CurrentMtgRatesDataTable8[[#This Row],[Servicing Spread Non-Zero]]-K119</f>
        <v>0</v>
      </c>
      <c r="M120" s="16">
        <f>IF(I119&lt;&gt;0,CurrentMtgRatesDataTable8[[#This Row],[Rate]]-C119,M119)</f>
        <v>-5.9999999999999609E-2</v>
      </c>
    </row>
    <row r="121" spans="1:13" s="9" customFormat="1">
      <c r="A121" s="8" t="s">
        <v>188</v>
      </c>
      <c r="B121" s="11">
        <v>2.2693986193058602</v>
      </c>
      <c r="C121" s="13">
        <v>3.39</v>
      </c>
      <c r="D121" s="14">
        <f t="shared" si="6"/>
        <v>6</v>
      </c>
      <c r="E121" s="14">
        <f t="shared" si="7"/>
        <v>0.2</v>
      </c>
      <c r="F121" s="14">
        <f t="shared" si="8"/>
        <v>4</v>
      </c>
      <c r="G121" s="14">
        <f t="shared" si="9"/>
        <v>1.8049252655345343</v>
      </c>
      <c r="H121" s="14">
        <f t="shared" si="10"/>
        <v>0.8</v>
      </c>
      <c r="I121" s="14">
        <f t="shared" si="11"/>
        <v>0</v>
      </c>
      <c r="J121" s="15">
        <f>IF(CurrentMtgRatesDataTable8[[#This Row],[WA CC]]&lt;&gt;0,C120-CurrentMtgRatesDataTable8[[#This Row],[WA CC]],0)</f>
        <v>0</v>
      </c>
      <c r="K121" s="16">
        <f>IF(CurrentMtgRatesDataTable8[[#This Row],[Servicing Spread]]&lt;=0,K120,CurrentMtgRatesDataTable8[[#This Row],[Servicing Spread]])</f>
        <v>1.0438632001782735</v>
      </c>
      <c r="L121" s="16">
        <f>CurrentMtgRatesDataTable8[[#This Row],[Servicing Spread Non-Zero]]-K120</f>
        <v>0</v>
      </c>
      <c r="M121" s="16">
        <f>IF(I120&lt;&gt;0,CurrentMtgRatesDataTable8[[#This Row],[Rate]]-C120,M120)</f>
        <v>-5.9999999999999609E-2</v>
      </c>
    </row>
    <row r="122" spans="1:13" s="9" customFormat="1">
      <c r="A122" s="8" t="s">
        <v>42</v>
      </c>
      <c r="B122" s="11">
        <v>2.2108565855724298</v>
      </c>
      <c r="C122" s="13">
        <v>3.39</v>
      </c>
      <c r="D122" s="14">
        <f t="shared" si="6"/>
        <v>7</v>
      </c>
      <c r="E122" s="14">
        <f t="shared" si="7"/>
        <v>0.2</v>
      </c>
      <c r="F122" s="14">
        <f t="shared" si="8"/>
        <v>5</v>
      </c>
      <c r="G122" s="14">
        <f t="shared" si="9"/>
        <v>2.2470965826490201</v>
      </c>
      <c r="H122" s="14">
        <f t="shared" si="10"/>
        <v>1</v>
      </c>
      <c r="I122" s="14">
        <f t="shared" si="11"/>
        <v>2.2470965826490201</v>
      </c>
      <c r="J122" s="15">
        <f>IF(CurrentMtgRatesDataTable8[[#This Row],[WA CC]]&lt;&gt;0,C121-CurrentMtgRatesDataTable8[[#This Row],[WA CC]],0)</f>
        <v>1.14290341735098</v>
      </c>
      <c r="K122" s="16">
        <f>IF(CurrentMtgRatesDataTable8[[#This Row],[Servicing Spread]]&lt;=0,K121,CurrentMtgRatesDataTable8[[#This Row],[Servicing Spread]])</f>
        <v>1.14290341735098</v>
      </c>
      <c r="L122" s="16">
        <f>CurrentMtgRatesDataTable8[[#This Row],[Servicing Spread Non-Zero]]-K121</f>
        <v>9.9040217172706502E-2</v>
      </c>
      <c r="M122" s="16">
        <f>IF(I121&lt;&gt;0,CurrentMtgRatesDataTable8[[#This Row],[Rate]]-C121,M121)</f>
        <v>-5.9999999999999609E-2</v>
      </c>
    </row>
    <row r="123" spans="1:13" s="9" customFormat="1">
      <c r="A123" s="8" t="s">
        <v>610</v>
      </c>
      <c r="B123" s="11">
        <v>2.1699341948075102</v>
      </c>
      <c r="C123" s="13">
        <v>3.3</v>
      </c>
      <c r="D123" s="14">
        <f t="shared" si="6"/>
        <v>1</v>
      </c>
      <c r="E123" s="14">
        <f t="shared" si="7"/>
        <v>0.2</v>
      </c>
      <c r="F123" s="14">
        <f t="shared" si="8"/>
        <v>1</v>
      </c>
      <c r="G123" s="14">
        <f t="shared" si="9"/>
        <v>0.43398683896150203</v>
      </c>
      <c r="H123" s="14">
        <f t="shared" si="10"/>
        <v>0.2</v>
      </c>
      <c r="I123" s="14">
        <f t="shared" si="11"/>
        <v>0</v>
      </c>
      <c r="J123" s="15">
        <f>IF(CurrentMtgRatesDataTable8[[#This Row],[WA CC]]&lt;&gt;0,C122-CurrentMtgRatesDataTable8[[#This Row],[WA CC]],0)</f>
        <v>0</v>
      </c>
      <c r="K123" s="16">
        <f>IF(CurrentMtgRatesDataTable8[[#This Row],[Servicing Spread]]&lt;=0,K122,CurrentMtgRatesDataTable8[[#This Row],[Servicing Spread]])</f>
        <v>1.14290341735098</v>
      </c>
      <c r="L123" s="16">
        <f>CurrentMtgRatesDataTable8[[#This Row],[Servicing Spread Non-Zero]]-K122</f>
        <v>0</v>
      </c>
      <c r="M123" s="16">
        <f>IF(I122&lt;&gt;0,CurrentMtgRatesDataTable8[[#This Row],[Rate]]-C122,M122)</f>
        <v>-9.0000000000000302E-2</v>
      </c>
    </row>
    <row r="124" spans="1:13" s="9" customFormat="1">
      <c r="A124" s="8" t="s">
        <v>465</v>
      </c>
      <c r="B124" s="11">
        <v>2.0967004826224001</v>
      </c>
      <c r="C124" s="13">
        <v>3.3</v>
      </c>
      <c r="D124" s="14">
        <f t="shared" si="6"/>
        <v>2</v>
      </c>
      <c r="E124" s="14">
        <f t="shared" si="7"/>
        <v>0.2</v>
      </c>
      <c r="F124" s="14">
        <f t="shared" si="8"/>
        <v>2</v>
      </c>
      <c r="G124" s="14">
        <f t="shared" si="9"/>
        <v>0.85332693548598204</v>
      </c>
      <c r="H124" s="14">
        <f t="shared" si="10"/>
        <v>0.4</v>
      </c>
      <c r="I124" s="14">
        <f t="shared" si="11"/>
        <v>0</v>
      </c>
      <c r="J124" s="15">
        <f>IF(CurrentMtgRatesDataTable8[[#This Row],[WA CC]]&lt;&gt;0,C123-CurrentMtgRatesDataTable8[[#This Row],[WA CC]],0)</f>
        <v>0</v>
      </c>
      <c r="K124" s="16">
        <f>IF(CurrentMtgRatesDataTable8[[#This Row],[Servicing Spread]]&lt;=0,K123,CurrentMtgRatesDataTable8[[#This Row],[Servicing Spread]])</f>
        <v>1.14290341735098</v>
      </c>
      <c r="L124" s="16">
        <f>CurrentMtgRatesDataTable8[[#This Row],[Servicing Spread Non-Zero]]-K123</f>
        <v>0</v>
      </c>
      <c r="M124" s="16">
        <f>IF(I123&lt;&gt;0,CurrentMtgRatesDataTable8[[#This Row],[Rate]]-C123,M123)</f>
        <v>-9.0000000000000302E-2</v>
      </c>
    </row>
    <row r="125" spans="1:13" s="9" customFormat="1">
      <c r="A125" s="8" t="s">
        <v>331</v>
      </c>
      <c r="B125" s="11">
        <v>2.0433470771670201</v>
      </c>
      <c r="C125" s="13">
        <v>3.3</v>
      </c>
      <c r="D125" s="14">
        <f t="shared" si="6"/>
        <v>5</v>
      </c>
      <c r="E125" s="14">
        <f t="shared" si="7"/>
        <v>0.2</v>
      </c>
      <c r="F125" s="14">
        <f t="shared" si="8"/>
        <v>3</v>
      </c>
      <c r="G125" s="14">
        <f t="shared" si="9"/>
        <v>1.2619963509193861</v>
      </c>
      <c r="H125" s="14">
        <f t="shared" si="10"/>
        <v>0.60000000000000009</v>
      </c>
      <c r="I125" s="14">
        <f t="shared" si="11"/>
        <v>0</v>
      </c>
      <c r="J125" s="15">
        <f>IF(CurrentMtgRatesDataTable8[[#This Row],[WA CC]]&lt;&gt;0,C124-CurrentMtgRatesDataTable8[[#This Row],[WA CC]],0)</f>
        <v>0</v>
      </c>
      <c r="K125" s="16">
        <f>IF(CurrentMtgRatesDataTable8[[#This Row],[Servicing Spread]]&lt;=0,K124,CurrentMtgRatesDataTable8[[#This Row],[Servicing Spread]])</f>
        <v>1.14290341735098</v>
      </c>
      <c r="L125" s="16">
        <f>CurrentMtgRatesDataTable8[[#This Row],[Servicing Spread Non-Zero]]-K124</f>
        <v>0</v>
      </c>
      <c r="M125" s="16">
        <f>IF(I124&lt;&gt;0,CurrentMtgRatesDataTable8[[#This Row],[Rate]]-C124,M124)</f>
        <v>-9.0000000000000302E-2</v>
      </c>
    </row>
    <row r="126" spans="1:13" s="9" customFormat="1">
      <c r="A126" s="8" t="s">
        <v>189</v>
      </c>
      <c r="B126" s="11">
        <v>1.9795562323798399</v>
      </c>
      <c r="C126" s="13">
        <v>3.3</v>
      </c>
      <c r="D126" s="14">
        <f t="shared" si="6"/>
        <v>6</v>
      </c>
      <c r="E126" s="14">
        <f t="shared" si="7"/>
        <v>0.2</v>
      </c>
      <c r="F126" s="14">
        <f t="shared" si="8"/>
        <v>4</v>
      </c>
      <c r="G126" s="14">
        <f t="shared" si="9"/>
        <v>1.6579075973953541</v>
      </c>
      <c r="H126" s="14">
        <f t="shared" si="10"/>
        <v>0.8</v>
      </c>
      <c r="I126" s="14">
        <f t="shared" si="11"/>
        <v>0</v>
      </c>
      <c r="J126" s="15">
        <f>IF(CurrentMtgRatesDataTable8[[#This Row],[WA CC]]&lt;&gt;0,C125-CurrentMtgRatesDataTable8[[#This Row],[WA CC]],0)</f>
        <v>0</v>
      </c>
      <c r="K126" s="16">
        <f>IF(CurrentMtgRatesDataTable8[[#This Row],[Servicing Spread]]&lt;=0,K125,CurrentMtgRatesDataTable8[[#This Row],[Servicing Spread]])</f>
        <v>1.14290341735098</v>
      </c>
      <c r="L126" s="16">
        <f>CurrentMtgRatesDataTable8[[#This Row],[Servicing Spread Non-Zero]]-K125</f>
        <v>0</v>
      </c>
      <c r="M126" s="16">
        <f>IF(I125&lt;&gt;0,CurrentMtgRatesDataTable8[[#This Row],[Rate]]-C125,M125)</f>
        <v>-9.0000000000000302E-2</v>
      </c>
    </row>
    <row r="127" spans="1:13" s="9" customFormat="1">
      <c r="A127" s="8" t="s">
        <v>43</v>
      </c>
      <c r="B127" s="11">
        <v>1.9736635579989501</v>
      </c>
      <c r="C127" s="13">
        <v>3.3</v>
      </c>
      <c r="D127" s="14">
        <f t="shared" si="6"/>
        <v>7</v>
      </c>
      <c r="E127" s="14">
        <f t="shared" si="7"/>
        <v>0.2</v>
      </c>
      <c r="F127" s="14">
        <f t="shared" si="8"/>
        <v>5</v>
      </c>
      <c r="G127" s="14">
        <f t="shared" si="9"/>
        <v>2.0526403089951444</v>
      </c>
      <c r="H127" s="14">
        <f t="shared" si="10"/>
        <v>1</v>
      </c>
      <c r="I127" s="14">
        <f t="shared" si="11"/>
        <v>2.0526403089951444</v>
      </c>
      <c r="J127" s="15">
        <f>IF(CurrentMtgRatesDataTable8[[#This Row],[WA CC]]&lt;&gt;0,C126-CurrentMtgRatesDataTable8[[#This Row],[WA CC]],0)</f>
        <v>1.2473596910048554</v>
      </c>
      <c r="K127" s="16">
        <f>IF(CurrentMtgRatesDataTable8[[#This Row],[Servicing Spread]]&lt;=0,K126,CurrentMtgRatesDataTable8[[#This Row],[Servicing Spread]])</f>
        <v>1.2473596910048554</v>
      </c>
      <c r="L127" s="16">
        <f>CurrentMtgRatesDataTable8[[#This Row],[Servicing Spread Non-Zero]]-K126</f>
        <v>0.10445627365387544</v>
      </c>
      <c r="M127" s="16">
        <f>IF(I126&lt;&gt;0,CurrentMtgRatesDataTable8[[#This Row],[Rate]]-C126,M126)</f>
        <v>-9.0000000000000302E-2</v>
      </c>
    </row>
    <row r="128" spans="1:13" s="9" customFormat="1">
      <c r="A128" s="8" t="s">
        <v>611</v>
      </c>
      <c r="B128" s="11">
        <v>2.0509749333657501</v>
      </c>
      <c r="C128" s="13">
        <v>3.26</v>
      </c>
      <c r="D128" s="14">
        <f t="shared" si="6"/>
        <v>1</v>
      </c>
      <c r="E128" s="14">
        <f t="shared" si="7"/>
        <v>0.2</v>
      </c>
      <c r="F128" s="14">
        <f t="shared" si="8"/>
        <v>1</v>
      </c>
      <c r="G128" s="14">
        <f t="shared" si="9"/>
        <v>0.41019498667315002</v>
      </c>
      <c r="H128" s="14">
        <f t="shared" si="10"/>
        <v>0.2</v>
      </c>
      <c r="I128" s="14">
        <f t="shared" si="11"/>
        <v>0</v>
      </c>
      <c r="J128" s="15">
        <f>IF(CurrentMtgRatesDataTable8[[#This Row],[WA CC]]&lt;&gt;0,C127-CurrentMtgRatesDataTable8[[#This Row],[WA CC]],0)</f>
        <v>0</v>
      </c>
      <c r="K128" s="16">
        <f>IF(CurrentMtgRatesDataTable8[[#This Row],[Servicing Spread]]&lt;=0,K127,CurrentMtgRatesDataTable8[[#This Row],[Servicing Spread]])</f>
        <v>1.2473596910048554</v>
      </c>
      <c r="L128" s="16">
        <f>CurrentMtgRatesDataTable8[[#This Row],[Servicing Spread Non-Zero]]-K127</f>
        <v>0</v>
      </c>
      <c r="M128" s="16">
        <f>IF(I127&lt;&gt;0,CurrentMtgRatesDataTable8[[#This Row],[Rate]]-C127,M127)</f>
        <v>-4.0000000000000036E-2</v>
      </c>
    </row>
    <row r="129" spans="1:13" s="9" customFormat="1">
      <c r="A129" s="8" t="s">
        <v>466</v>
      </c>
      <c r="B129" s="11">
        <v>2.0399140401394802</v>
      </c>
      <c r="C129" s="13">
        <v>3.26</v>
      </c>
      <c r="D129" s="14">
        <f t="shared" si="6"/>
        <v>2</v>
      </c>
      <c r="E129" s="14">
        <f t="shared" si="7"/>
        <v>0.2</v>
      </c>
      <c r="F129" s="14">
        <f t="shared" si="8"/>
        <v>2</v>
      </c>
      <c r="G129" s="14">
        <f t="shared" si="9"/>
        <v>0.81817779470104601</v>
      </c>
      <c r="H129" s="14">
        <f t="shared" si="10"/>
        <v>0.4</v>
      </c>
      <c r="I129" s="14">
        <f t="shared" si="11"/>
        <v>0</v>
      </c>
      <c r="J129" s="15">
        <f>IF(CurrentMtgRatesDataTable8[[#This Row],[WA CC]]&lt;&gt;0,C128-CurrentMtgRatesDataTable8[[#This Row],[WA CC]],0)</f>
        <v>0</v>
      </c>
      <c r="K129" s="16">
        <f>IF(CurrentMtgRatesDataTable8[[#This Row],[Servicing Spread]]&lt;=0,K128,CurrentMtgRatesDataTable8[[#This Row],[Servicing Spread]])</f>
        <v>1.2473596910048554</v>
      </c>
      <c r="L129" s="16">
        <f>CurrentMtgRatesDataTable8[[#This Row],[Servicing Spread Non-Zero]]-K128</f>
        <v>0</v>
      </c>
      <c r="M129" s="16">
        <f>IF(I128&lt;&gt;0,CurrentMtgRatesDataTable8[[#This Row],[Rate]]-C128,M128)</f>
        <v>-4.0000000000000036E-2</v>
      </c>
    </row>
    <row r="130" spans="1:13" s="9" customFormat="1">
      <c r="A130" s="8" t="s">
        <v>332</v>
      </c>
      <c r="B130" s="11">
        <v>1.9791061697796299</v>
      </c>
      <c r="C130" s="13">
        <v>3.26</v>
      </c>
      <c r="D130" s="14">
        <f t="shared" si="6"/>
        <v>5</v>
      </c>
      <c r="E130" s="14">
        <f t="shared" si="7"/>
        <v>0.2</v>
      </c>
      <c r="F130" s="14">
        <f t="shared" si="8"/>
        <v>3</v>
      </c>
      <c r="G130" s="14">
        <f t="shared" si="9"/>
        <v>1.213999028656972</v>
      </c>
      <c r="H130" s="14">
        <f t="shared" si="10"/>
        <v>0.60000000000000009</v>
      </c>
      <c r="I130" s="14">
        <f t="shared" si="11"/>
        <v>0</v>
      </c>
      <c r="J130" s="15">
        <f>IF(CurrentMtgRatesDataTable8[[#This Row],[WA CC]]&lt;&gt;0,C129-CurrentMtgRatesDataTable8[[#This Row],[WA CC]],0)</f>
        <v>0</v>
      </c>
      <c r="K130" s="16">
        <f>IF(CurrentMtgRatesDataTable8[[#This Row],[Servicing Spread]]&lt;=0,K129,CurrentMtgRatesDataTable8[[#This Row],[Servicing Spread]])</f>
        <v>1.2473596910048554</v>
      </c>
      <c r="L130" s="16">
        <f>CurrentMtgRatesDataTable8[[#This Row],[Servicing Spread Non-Zero]]-K129</f>
        <v>0</v>
      </c>
      <c r="M130" s="16">
        <f>IF(I129&lt;&gt;0,CurrentMtgRatesDataTable8[[#This Row],[Rate]]-C129,M129)</f>
        <v>-4.0000000000000036E-2</v>
      </c>
    </row>
    <row r="131" spans="1:13" s="9" customFormat="1">
      <c r="A131" s="8" t="s">
        <v>190</v>
      </c>
      <c r="B131" s="11">
        <v>1.89926870046304</v>
      </c>
      <c r="C131" s="13">
        <v>3.26</v>
      </c>
      <c r="D131" s="14">
        <f t="shared" si="6"/>
        <v>6</v>
      </c>
      <c r="E131" s="14">
        <f t="shared" si="7"/>
        <v>0.2</v>
      </c>
      <c r="F131" s="14">
        <f t="shared" si="8"/>
        <v>4</v>
      </c>
      <c r="G131" s="14">
        <f t="shared" si="9"/>
        <v>1.59385276874958</v>
      </c>
      <c r="H131" s="14">
        <f t="shared" si="10"/>
        <v>0.8</v>
      </c>
      <c r="I131" s="14">
        <f t="shared" si="11"/>
        <v>0</v>
      </c>
      <c r="J131" s="15">
        <f>IF(CurrentMtgRatesDataTable8[[#This Row],[WA CC]]&lt;&gt;0,C130-CurrentMtgRatesDataTable8[[#This Row],[WA CC]],0)</f>
        <v>0</v>
      </c>
      <c r="K131" s="16">
        <f>IF(CurrentMtgRatesDataTable8[[#This Row],[Servicing Spread]]&lt;=0,K130,CurrentMtgRatesDataTable8[[#This Row],[Servicing Spread]])</f>
        <v>1.2473596910048554</v>
      </c>
      <c r="L131" s="16">
        <f>CurrentMtgRatesDataTable8[[#This Row],[Servicing Spread Non-Zero]]-K130</f>
        <v>0</v>
      </c>
      <c r="M131" s="16">
        <f>IF(I130&lt;&gt;0,CurrentMtgRatesDataTable8[[#This Row],[Rate]]-C130,M130)</f>
        <v>-4.0000000000000036E-2</v>
      </c>
    </row>
    <row r="132" spans="1:13" s="9" customFormat="1">
      <c r="A132" s="8" t="s">
        <v>44</v>
      </c>
      <c r="B132" s="11">
        <v>1.9744446236261499</v>
      </c>
      <c r="C132" s="13">
        <v>3.26</v>
      </c>
      <c r="D132" s="14">
        <f t="shared" si="6"/>
        <v>7</v>
      </c>
      <c r="E132" s="14">
        <f t="shared" si="7"/>
        <v>0.2</v>
      </c>
      <c r="F132" s="14">
        <f t="shared" si="8"/>
        <v>5</v>
      </c>
      <c r="G132" s="14">
        <f t="shared" si="9"/>
        <v>1.9887416934748101</v>
      </c>
      <c r="H132" s="14">
        <f t="shared" si="10"/>
        <v>1</v>
      </c>
      <c r="I132" s="14">
        <f t="shared" si="11"/>
        <v>1.9887416934748101</v>
      </c>
      <c r="J132" s="15">
        <f>IF(CurrentMtgRatesDataTable8[[#This Row],[WA CC]]&lt;&gt;0,C131-CurrentMtgRatesDataTable8[[#This Row],[WA CC]],0)</f>
        <v>1.2712583065251897</v>
      </c>
      <c r="K132" s="16">
        <f>IF(CurrentMtgRatesDataTable8[[#This Row],[Servicing Spread]]&lt;=0,K131,CurrentMtgRatesDataTable8[[#This Row],[Servicing Spread]])</f>
        <v>1.2712583065251897</v>
      </c>
      <c r="L132" s="16">
        <f>CurrentMtgRatesDataTable8[[#This Row],[Servicing Spread Non-Zero]]-K131</f>
        <v>2.3898615520334232E-2</v>
      </c>
      <c r="M132" s="16">
        <f>IF(I131&lt;&gt;0,CurrentMtgRatesDataTable8[[#This Row],[Rate]]-C131,M131)</f>
        <v>-4.0000000000000036E-2</v>
      </c>
    </row>
    <row r="133" spans="1:13" s="9" customFormat="1">
      <c r="A133" s="8" t="s">
        <v>612</v>
      </c>
      <c r="B133" s="11">
        <v>2.0658821659188802</v>
      </c>
      <c r="C133" s="13">
        <v>3.3149999999999999</v>
      </c>
      <c r="D133" s="14">
        <f t="shared" ref="D133:D196" si="12">WEEKDAY(A133,14)</f>
        <v>1</v>
      </c>
      <c r="E133" s="14">
        <f t="shared" ref="E133:E196" si="13">VLOOKUP(D133,P$5:Q$11,2,FALSE)</f>
        <v>0.2</v>
      </c>
      <c r="F133" s="14">
        <f t="shared" ref="F133:F196" si="14">IF(AND(D133&gt;D132,F132&lt;6),F132+1,1)</f>
        <v>1</v>
      </c>
      <c r="G133" s="14">
        <f t="shared" ref="G133:G196" si="15">IF(F133&gt;F132,G132+B133*E133,B133*E133)</f>
        <v>0.41317643318377606</v>
      </c>
      <c r="H133" s="14">
        <f t="shared" ref="H133:H196" si="16">IF(AND(F133&lt;6,F133&gt;F132),E133+H132,E133)</f>
        <v>0.2</v>
      </c>
      <c r="I133" s="14">
        <f t="shared" ref="I133:I196" si="17">IF(F133&gt;F134,G133/H133,0)</f>
        <v>0</v>
      </c>
      <c r="J133" s="15">
        <f>IF(CurrentMtgRatesDataTable8[[#This Row],[WA CC]]&lt;&gt;0,C132-CurrentMtgRatesDataTable8[[#This Row],[WA CC]],0)</f>
        <v>0</v>
      </c>
      <c r="K133" s="16">
        <f>IF(CurrentMtgRatesDataTable8[[#This Row],[Servicing Spread]]&lt;=0,K132,CurrentMtgRatesDataTable8[[#This Row],[Servicing Spread]])</f>
        <v>1.2712583065251897</v>
      </c>
      <c r="L133" s="16">
        <f>CurrentMtgRatesDataTable8[[#This Row],[Servicing Spread Non-Zero]]-K132</f>
        <v>0</v>
      </c>
      <c r="M133" s="16">
        <f>IF(I132&lt;&gt;0,CurrentMtgRatesDataTable8[[#This Row],[Rate]]-C132,M132)</f>
        <v>5.500000000000016E-2</v>
      </c>
    </row>
    <row r="134" spans="1:13" s="9" customFormat="1">
      <c r="A134" s="8" t="s">
        <v>467</v>
      </c>
      <c r="B134" s="11">
        <v>2.0999165140206202</v>
      </c>
      <c r="C134" s="13">
        <v>3.3149999999999999</v>
      </c>
      <c r="D134" s="14">
        <f t="shared" si="12"/>
        <v>2</v>
      </c>
      <c r="E134" s="14">
        <f t="shared" si="13"/>
        <v>0.2</v>
      </c>
      <c r="F134" s="14">
        <f t="shared" si="14"/>
        <v>2</v>
      </c>
      <c r="G134" s="14">
        <f t="shared" si="15"/>
        <v>0.83315973598790016</v>
      </c>
      <c r="H134" s="14">
        <f t="shared" si="16"/>
        <v>0.4</v>
      </c>
      <c r="I134" s="14">
        <f t="shared" si="17"/>
        <v>0</v>
      </c>
      <c r="J134" s="15">
        <f>IF(CurrentMtgRatesDataTable8[[#This Row],[WA CC]]&lt;&gt;0,C133-CurrentMtgRatesDataTable8[[#This Row],[WA CC]],0)</f>
        <v>0</v>
      </c>
      <c r="K134" s="16">
        <f>IF(CurrentMtgRatesDataTable8[[#This Row],[Servicing Spread]]&lt;=0,K133,CurrentMtgRatesDataTable8[[#This Row],[Servicing Spread]])</f>
        <v>1.2712583065251897</v>
      </c>
      <c r="L134" s="16">
        <f>CurrentMtgRatesDataTable8[[#This Row],[Servicing Spread Non-Zero]]-K133</f>
        <v>0</v>
      </c>
      <c r="M134" s="16">
        <f>IF(I133&lt;&gt;0,CurrentMtgRatesDataTable8[[#This Row],[Rate]]-C133,M133)</f>
        <v>5.500000000000016E-2</v>
      </c>
    </row>
    <row r="135" spans="1:13" s="9" customFormat="1">
      <c r="A135" s="8" t="s">
        <v>191</v>
      </c>
      <c r="B135" s="11">
        <v>2.1121992044017102</v>
      </c>
      <c r="C135" s="13">
        <v>3.3149999999999999</v>
      </c>
      <c r="D135" s="14">
        <f t="shared" si="12"/>
        <v>6</v>
      </c>
      <c r="E135" s="14">
        <f t="shared" si="13"/>
        <v>0.2</v>
      </c>
      <c r="F135" s="14">
        <f t="shared" si="14"/>
        <v>3</v>
      </c>
      <c r="G135" s="14">
        <f t="shared" si="15"/>
        <v>1.2555995768682422</v>
      </c>
      <c r="H135" s="14">
        <f t="shared" si="16"/>
        <v>0.60000000000000009</v>
      </c>
      <c r="I135" s="14">
        <f t="shared" si="17"/>
        <v>0</v>
      </c>
      <c r="J135" s="15">
        <f>IF(CurrentMtgRatesDataTable8[[#This Row],[WA CC]]&lt;&gt;0,C134-CurrentMtgRatesDataTable8[[#This Row],[WA CC]],0)</f>
        <v>0</v>
      </c>
      <c r="K135" s="16">
        <f>IF(CurrentMtgRatesDataTable8[[#This Row],[Servicing Spread]]&lt;=0,K134,CurrentMtgRatesDataTable8[[#This Row],[Servicing Spread]])</f>
        <v>1.2712583065251897</v>
      </c>
      <c r="L135" s="16">
        <f>CurrentMtgRatesDataTable8[[#This Row],[Servicing Spread Non-Zero]]-K134</f>
        <v>0</v>
      </c>
      <c r="M135" s="16">
        <f>IF(I134&lt;&gt;0,CurrentMtgRatesDataTable8[[#This Row],[Rate]]-C134,M134)</f>
        <v>5.500000000000016E-2</v>
      </c>
    </row>
    <row r="136" spans="1:13" s="9" customFormat="1">
      <c r="A136" s="8" t="s">
        <v>45</v>
      </c>
      <c r="B136" s="11">
        <v>2.0566984028863402</v>
      </c>
      <c r="C136" s="13">
        <v>3.3149999999999999</v>
      </c>
      <c r="D136" s="14">
        <f t="shared" si="12"/>
        <v>7</v>
      </c>
      <c r="E136" s="14">
        <f t="shared" si="13"/>
        <v>0.2</v>
      </c>
      <c r="F136" s="14">
        <f t="shared" si="14"/>
        <v>4</v>
      </c>
      <c r="G136" s="14">
        <f t="shared" si="15"/>
        <v>1.6669392574455102</v>
      </c>
      <c r="H136" s="14">
        <f t="shared" si="16"/>
        <v>0.8</v>
      </c>
      <c r="I136" s="14">
        <f t="shared" si="17"/>
        <v>2.0836740718068878</v>
      </c>
      <c r="J136" s="15">
        <f>IF(CurrentMtgRatesDataTable8[[#This Row],[WA CC]]&lt;&gt;0,C135-CurrentMtgRatesDataTable8[[#This Row],[WA CC]],0)</f>
        <v>1.2313259281931122</v>
      </c>
      <c r="K136" s="16">
        <f>IF(CurrentMtgRatesDataTable8[[#This Row],[Servicing Spread]]&lt;=0,K135,CurrentMtgRatesDataTable8[[#This Row],[Servicing Spread]])</f>
        <v>1.2313259281931122</v>
      </c>
      <c r="L136" s="16">
        <f>CurrentMtgRatesDataTable8[[#This Row],[Servicing Spread Non-Zero]]-K135</f>
        <v>-3.9932378332077523E-2</v>
      </c>
      <c r="M136" s="16">
        <f>IF(I135&lt;&gt;0,CurrentMtgRatesDataTable8[[#This Row],[Rate]]-C135,M135)</f>
        <v>5.500000000000016E-2</v>
      </c>
    </row>
    <row r="137" spans="1:13" s="9" customFormat="1">
      <c r="A137" s="8" t="s">
        <v>613</v>
      </c>
      <c r="B137" s="11">
        <v>2.0188150642087299</v>
      </c>
      <c r="C137" s="13">
        <v>3.2949999999999999</v>
      </c>
      <c r="D137" s="14">
        <f t="shared" si="12"/>
        <v>1</v>
      </c>
      <c r="E137" s="14">
        <f t="shared" si="13"/>
        <v>0.2</v>
      </c>
      <c r="F137" s="14">
        <f t="shared" si="14"/>
        <v>1</v>
      </c>
      <c r="G137" s="14">
        <f t="shared" si="15"/>
        <v>0.40376301284174598</v>
      </c>
      <c r="H137" s="14">
        <f t="shared" si="16"/>
        <v>0.2</v>
      </c>
      <c r="I137" s="14">
        <f t="shared" si="17"/>
        <v>0</v>
      </c>
      <c r="J137" s="15">
        <f>IF(CurrentMtgRatesDataTable8[[#This Row],[WA CC]]&lt;&gt;0,C136-CurrentMtgRatesDataTable8[[#This Row],[WA CC]],0)</f>
        <v>0</v>
      </c>
      <c r="K137" s="16">
        <f>IF(CurrentMtgRatesDataTable8[[#This Row],[Servicing Spread]]&lt;=0,K136,CurrentMtgRatesDataTable8[[#This Row],[Servicing Spread]])</f>
        <v>1.2313259281931122</v>
      </c>
      <c r="L137" s="16">
        <f>CurrentMtgRatesDataTable8[[#This Row],[Servicing Spread Non-Zero]]-K136</f>
        <v>0</v>
      </c>
      <c r="M137" s="16">
        <f>IF(I136&lt;&gt;0,CurrentMtgRatesDataTable8[[#This Row],[Rate]]-C136,M136)</f>
        <v>-2.0000000000000018E-2</v>
      </c>
    </row>
    <row r="138" spans="1:13" s="9" customFormat="1">
      <c r="A138" s="8" t="s">
        <v>468</v>
      </c>
      <c r="B138" s="11">
        <v>2.0148705784973</v>
      </c>
      <c r="C138" s="13">
        <v>3.2949999999999999</v>
      </c>
      <c r="D138" s="14">
        <f t="shared" si="12"/>
        <v>2</v>
      </c>
      <c r="E138" s="14">
        <f t="shared" si="13"/>
        <v>0.2</v>
      </c>
      <c r="F138" s="14">
        <f t="shared" si="14"/>
        <v>2</v>
      </c>
      <c r="G138" s="14">
        <f t="shared" si="15"/>
        <v>0.80673712854120594</v>
      </c>
      <c r="H138" s="14">
        <f t="shared" si="16"/>
        <v>0.4</v>
      </c>
      <c r="I138" s="14">
        <f t="shared" si="17"/>
        <v>0</v>
      </c>
      <c r="J138" s="15">
        <f>IF(CurrentMtgRatesDataTable8[[#This Row],[WA CC]]&lt;&gt;0,C137-CurrentMtgRatesDataTable8[[#This Row],[WA CC]],0)</f>
        <v>0</v>
      </c>
      <c r="K138" s="16">
        <f>IF(CurrentMtgRatesDataTable8[[#This Row],[Servicing Spread]]&lt;=0,K137,CurrentMtgRatesDataTable8[[#This Row],[Servicing Spread]])</f>
        <v>1.2313259281931122</v>
      </c>
      <c r="L138" s="16">
        <f>CurrentMtgRatesDataTable8[[#This Row],[Servicing Spread Non-Zero]]-K137</f>
        <v>0</v>
      </c>
      <c r="M138" s="16">
        <f>IF(I137&lt;&gt;0,CurrentMtgRatesDataTable8[[#This Row],[Rate]]-C137,M137)</f>
        <v>-2.0000000000000018E-2</v>
      </c>
    </row>
    <row r="139" spans="1:13" s="9" customFormat="1">
      <c r="A139" s="8" t="s">
        <v>333</v>
      </c>
      <c r="B139" s="11">
        <v>2.0433983497425001</v>
      </c>
      <c r="C139" s="13">
        <v>3.2949999999999999</v>
      </c>
      <c r="D139" s="14">
        <f t="shared" si="12"/>
        <v>5</v>
      </c>
      <c r="E139" s="14">
        <f t="shared" si="13"/>
        <v>0.2</v>
      </c>
      <c r="F139" s="14">
        <f t="shared" si="14"/>
        <v>3</v>
      </c>
      <c r="G139" s="14">
        <f t="shared" si="15"/>
        <v>1.215416798489706</v>
      </c>
      <c r="H139" s="14">
        <f t="shared" si="16"/>
        <v>0.60000000000000009</v>
      </c>
      <c r="I139" s="14">
        <f t="shared" si="17"/>
        <v>0</v>
      </c>
      <c r="J139" s="15">
        <f>IF(CurrentMtgRatesDataTable8[[#This Row],[WA CC]]&lt;&gt;0,C138-CurrentMtgRatesDataTable8[[#This Row],[WA CC]],0)</f>
        <v>0</v>
      </c>
      <c r="K139" s="16">
        <f>IF(CurrentMtgRatesDataTable8[[#This Row],[Servicing Spread]]&lt;=0,K138,CurrentMtgRatesDataTable8[[#This Row],[Servicing Spread]])</f>
        <v>1.2313259281931122</v>
      </c>
      <c r="L139" s="16">
        <f>CurrentMtgRatesDataTable8[[#This Row],[Servicing Spread Non-Zero]]-K138</f>
        <v>0</v>
      </c>
      <c r="M139" s="16">
        <f>IF(I138&lt;&gt;0,CurrentMtgRatesDataTable8[[#This Row],[Rate]]-C138,M138)</f>
        <v>-2.0000000000000018E-2</v>
      </c>
    </row>
    <row r="140" spans="1:13" s="9" customFormat="1">
      <c r="A140" s="8" t="s">
        <v>192</v>
      </c>
      <c r="B140" s="11">
        <v>2.0903131154582399</v>
      </c>
      <c r="C140" s="13">
        <v>3.2949999999999999</v>
      </c>
      <c r="D140" s="14">
        <f t="shared" si="12"/>
        <v>6</v>
      </c>
      <c r="E140" s="14">
        <f t="shared" si="13"/>
        <v>0.2</v>
      </c>
      <c r="F140" s="14">
        <f t="shared" si="14"/>
        <v>4</v>
      </c>
      <c r="G140" s="14">
        <f t="shared" si="15"/>
        <v>1.633479421581354</v>
      </c>
      <c r="H140" s="14">
        <f t="shared" si="16"/>
        <v>0.8</v>
      </c>
      <c r="I140" s="14">
        <f t="shared" si="17"/>
        <v>0</v>
      </c>
      <c r="J140" s="15">
        <f>IF(CurrentMtgRatesDataTable8[[#This Row],[WA CC]]&lt;&gt;0,C139-CurrentMtgRatesDataTable8[[#This Row],[WA CC]],0)</f>
        <v>0</v>
      </c>
      <c r="K140" s="16">
        <f>IF(CurrentMtgRatesDataTable8[[#This Row],[Servicing Spread]]&lt;=0,K139,CurrentMtgRatesDataTable8[[#This Row],[Servicing Spread]])</f>
        <v>1.2313259281931122</v>
      </c>
      <c r="L140" s="16">
        <f>CurrentMtgRatesDataTable8[[#This Row],[Servicing Spread Non-Zero]]-K139</f>
        <v>0</v>
      </c>
      <c r="M140" s="16">
        <f>IF(I139&lt;&gt;0,CurrentMtgRatesDataTable8[[#This Row],[Rate]]-C139,M139)</f>
        <v>-2.0000000000000018E-2</v>
      </c>
    </row>
    <row r="141" spans="1:13" s="9" customFormat="1">
      <c r="A141" s="8" t="s">
        <v>46</v>
      </c>
      <c r="B141" s="11">
        <v>2.1999397264302898</v>
      </c>
      <c r="C141" s="13">
        <v>3.2949999999999999</v>
      </c>
      <c r="D141" s="14">
        <f t="shared" si="12"/>
        <v>7</v>
      </c>
      <c r="E141" s="14">
        <f t="shared" si="13"/>
        <v>0.2</v>
      </c>
      <c r="F141" s="14">
        <f t="shared" si="14"/>
        <v>5</v>
      </c>
      <c r="G141" s="14">
        <f t="shared" si="15"/>
        <v>2.073467366867412</v>
      </c>
      <c r="H141" s="14">
        <f t="shared" si="16"/>
        <v>1</v>
      </c>
      <c r="I141" s="14">
        <f t="shared" si="17"/>
        <v>2.073467366867412</v>
      </c>
      <c r="J141" s="15">
        <f>IF(CurrentMtgRatesDataTable8[[#This Row],[WA CC]]&lt;&gt;0,C140-CurrentMtgRatesDataTable8[[#This Row],[WA CC]],0)</f>
        <v>1.221532633132588</v>
      </c>
      <c r="K141" s="16">
        <f>IF(CurrentMtgRatesDataTable8[[#This Row],[Servicing Spread]]&lt;=0,K140,CurrentMtgRatesDataTable8[[#This Row],[Servicing Spread]])</f>
        <v>1.221532633132588</v>
      </c>
      <c r="L141" s="16">
        <f>CurrentMtgRatesDataTable8[[#This Row],[Servicing Spread Non-Zero]]-K140</f>
        <v>-9.7932950605241764E-3</v>
      </c>
      <c r="M141" s="16">
        <f>IF(I140&lt;&gt;0,CurrentMtgRatesDataTable8[[#This Row],[Rate]]-C140,M140)</f>
        <v>-2.0000000000000018E-2</v>
      </c>
    </row>
    <row r="142" spans="1:13" s="9" customFormat="1">
      <c r="A142" s="8" t="s">
        <v>614</v>
      </c>
      <c r="B142" s="11">
        <v>2.23804060063864</v>
      </c>
      <c r="C142" s="13">
        <v>3.335</v>
      </c>
      <c r="D142" s="14">
        <f t="shared" si="12"/>
        <v>1</v>
      </c>
      <c r="E142" s="14">
        <f t="shared" si="13"/>
        <v>0.2</v>
      </c>
      <c r="F142" s="14">
        <f t="shared" si="14"/>
        <v>1</v>
      </c>
      <c r="G142" s="14">
        <f t="shared" si="15"/>
        <v>0.44760812012772799</v>
      </c>
      <c r="H142" s="14">
        <f t="shared" si="16"/>
        <v>0.2</v>
      </c>
      <c r="I142" s="14">
        <f t="shared" si="17"/>
        <v>0</v>
      </c>
      <c r="J142" s="15">
        <f>IF(CurrentMtgRatesDataTable8[[#This Row],[WA CC]]&lt;&gt;0,C141-CurrentMtgRatesDataTable8[[#This Row],[WA CC]],0)</f>
        <v>0</v>
      </c>
      <c r="K142" s="16">
        <f>IF(CurrentMtgRatesDataTable8[[#This Row],[Servicing Spread]]&lt;=0,K141,CurrentMtgRatesDataTable8[[#This Row],[Servicing Spread]])</f>
        <v>1.221532633132588</v>
      </c>
      <c r="L142" s="16">
        <f>CurrentMtgRatesDataTable8[[#This Row],[Servicing Spread Non-Zero]]-K141</f>
        <v>0</v>
      </c>
      <c r="M142" s="16">
        <f>IF(I141&lt;&gt;0,CurrentMtgRatesDataTable8[[#This Row],[Rate]]-C141,M141)</f>
        <v>4.0000000000000036E-2</v>
      </c>
    </row>
    <row r="143" spans="1:13" s="9" customFormat="1">
      <c r="A143" s="8" t="s">
        <v>469</v>
      </c>
      <c r="B143" s="11">
        <v>2.17149064090427</v>
      </c>
      <c r="C143" s="13">
        <v>3.335</v>
      </c>
      <c r="D143" s="14">
        <f t="shared" si="12"/>
        <v>2</v>
      </c>
      <c r="E143" s="14">
        <f t="shared" si="13"/>
        <v>0.2</v>
      </c>
      <c r="F143" s="14">
        <f t="shared" si="14"/>
        <v>2</v>
      </c>
      <c r="G143" s="14">
        <f t="shared" si="15"/>
        <v>0.881906248308582</v>
      </c>
      <c r="H143" s="14">
        <f t="shared" si="16"/>
        <v>0.4</v>
      </c>
      <c r="I143" s="14">
        <f t="shared" si="17"/>
        <v>0</v>
      </c>
      <c r="J143" s="15">
        <f>IF(CurrentMtgRatesDataTable8[[#This Row],[WA CC]]&lt;&gt;0,C142-CurrentMtgRatesDataTable8[[#This Row],[WA CC]],0)</f>
        <v>0</v>
      </c>
      <c r="K143" s="16">
        <f>IF(CurrentMtgRatesDataTable8[[#This Row],[Servicing Spread]]&lt;=0,K142,CurrentMtgRatesDataTable8[[#This Row],[Servicing Spread]])</f>
        <v>1.221532633132588</v>
      </c>
      <c r="L143" s="16">
        <f>CurrentMtgRatesDataTable8[[#This Row],[Servicing Spread Non-Zero]]-K142</f>
        <v>0</v>
      </c>
      <c r="M143" s="16">
        <f>IF(I142&lt;&gt;0,CurrentMtgRatesDataTable8[[#This Row],[Rate]]-C142,M142)</f>
        <v>4.0000000000000036E-2</v>
      </c>
    </row>
    <row r="144" spans="1:13" s="9" customFormat="1">
      <c r="A144" s="8" t="s">
        <v>334</v>
      </c>
      <c r="B144" s="11">
        <v>2.2048003727510999</v>
      </c>
      <c r="C144" s="13">
        <v>3.335</v>
      </c>
      <c r="D144" s="14">
        <f t="shared" si="12"/>
        <v>5</v>
      </c>
      <c r="E144" s="14">
        <f t="shared" si="13"/>
        <v>0.2</v>
      </c>
      <c r="F144" s="14">
        <f t="shared" si="14"/>
        <v>3</v>
      </c>
      <c r="G144" s="14">
        <f t="shared" si="15"/>
        <v>1.322866322858802</v>
      </c>
      <c r="H144" s="14">
        <f t="shared" si="16"/>
        <v>0.60000000000000009</v>
      </c>
      <c r="I144" s="14">
        <f t="shared" si="17"/>
        <v>0</v>
      </c>
      <c r="J144" s="15">
        <f>IF(CurrentMtgRatesDataTable8[[#This Row],[WA CC]]&lt;&gt;0,C143-CurrentMtgRatesDataTable8[[#This Row],[WA CC]],0)</f>
        <v>0</v>
      </c>
      <c r="K144" s="16">
        <f>IF(CurrentMtgRatesDataTable8[[#This Row],[Servicing Spread]]&lt;=0,K143,CurrentMtgRatesDataTable8[[#This Row],[Servicing Spread]])</f>
        <v>1.221532633132588</v>
      </c>
      <c r="L144" s="16">
        <f>CurrentMtgRatesDataTable8[[#This Row],[Servicing Spread Non-Zero]]-K143</f>
        <v>0</v>
      </c>
      <c r="M144" s="16">
        <f>IF(I143&lt;&gt;0,CurrentMtgRatesDataTable8[[#This Row],[Rate]]-C143,M143)</f>
        <v>4.0000000000000036E-2</v>
      </c>
    </row>
    <row r="145" spans="1:13" s="9" customFormat="1">
      <c r="A145" s="8" t="s">
        <v>193</v>
      </c>
      <c r="B145" s="11">
        <v>2.1883122196514102</v>
      </c>
      <c r="C145" s="13">
        <v>3.335</v>
      </c>
      <c r="D145" s="14">
        <f t="shared" si="12"/>
        <v>6</v>
      </c>
      <c r="E145" s="14">
        <f t="shared" si="13"/>
        <v>0.2</v>
      </c>
      <c r="F145" s="14">
        <f t="shared" si="14"/>
        <v>4</v>
      </c>
      <c r="G145" s="14">
        <f t="shared" si="15"/>
        <v>1.7605287667890841</v>
      </c>
      <c r="H145" s="14">
        <f t="shared" si="16"/>
        <v>0.8</v>
      </c>
      <c r="I145" s="14">
        <f t="shared" si="17"/>
        <v>0</v>
      </c>
      <c r="J145" s="15">
        <f>IF(CurrentMtgRatesDataTable8[[#This Row],[WA CC]]&lt;&gt;0,C144-CurrentMtgRatesDataTable8[[#This Row],[WA CC]],0)</f>
        <v>0</v>
      </c>
      <c r="K145" s="16">
        <f>IF(CurrentMtgRatesDataTable8[[#This Row],[Servicing Spread]]&lt;=0,K144,CurrentMtgRatesDataTable8[[#This Row],[Servicing Spread]])</f>
        <v>1.221532633132588</v>
      </c>
      <c r="L145" s="16">
        <f>CurrentMtgRatesDataTable8[[#This Row],[Servicing Spread Non-Zero]]-K144</f>
        <v>0</v>
      </c>
      <c r="M145" s="16">
        <f>IF(I144&lt;&gt;0,CurrentMtgRatesDataTable8[[#This Row],[Rate]]-C144,M144)</f>
        <v>4.0000000000000036E-2</v>
      </c>
    </row>
    <row r="146" spans="1:13" s="9" customFormat="1">
      <c r="A146" s="8" t="s">
        <v>47</v>
      </c>
      <c r="B146" s="11">
        <v>2.2250151290701798</v>
      </c>
      <c r="C146" s="13">
        <v>3.335</v>
      </c>
      <c r="D146" s="14">
        <f t="shared" si="12"/>
        <v>7</v>
      </c>
      <c r="E146" s="14">
        <f t="shared" si="13"/>
        <v>0.2</v>
      </c>
      <c r="F146" s="14">
        <f t="shared" si="14"/>
        <v>5</v>
      </c>
      <c r="G146" s="14">
        <f t="shared" si="15"/>
        <v>2.2055317926031202</v>
      </c>
      <c r="H146" s="14">
        <f t="shared" si="16"/>
        <v>1</v>
      </c>
      <c r="I146" s="14">
        <f t="shared" si="17"/>
        <v>2.2055317926031202</v>
      </c>
      <c r="J146" s="15">
        <f>IF(CurrentMtgRatesDataTable8[[#This Row],[WA CC]]&lt;&gt;0,C145-CurrentMtgRatesDataTable8[[#This Row],[WA CC]],0)</f>
        <v>1.1294682073968798</v>
      </c>
      <c r="K146" s="16">
        <f>IF(CurrentMtgRatesDataTable8[[#This Row],[Servicing Spread]]&lt;=0,K145,CurrentMtgRatesDataTable8[[#This Row],[Servicing Spread]])</f>
        <v>1.1294682073968798</v>
      </c>
      <c r="L146" s="16">
        <f>CurrentMtgRatesDataTable8[[#This Row],[Servicing Spread Non-Zero]]-K145</f>
        <v>-9.2064425735708166E-2</v>
      </c>
      <c r="M146" s="16">
        <f>IF(I145&lt;&gt;0,CurrentMtgRatesDataTable8[[#This Row],[Rate]]-C145,M145)</f>
        <v>4.0000000000000036E-2</v>
      </c>
    </row>
    <row r="147" spans="1:13" s="9" customFormat="1">
      <c r="A147" s="8" t="s">
        <v>615</v>
      </c>
      <c r="B147" s="11">
        <v>2.2775343256732099</v>
      </c>
      <c r="C147" s="13">
        <v>3.3149999999999999</v>
      </c>
      <c r="D147" s="14">
        <f t="shared" si="12"/>
        <v>1</v>
      </c>
      <c r="E147" s="14">
        <f t="shared" si="13"/>
        <v>0.2</v>
      </c>
      <c r="F147" s="14">
        <f t="shared" si="14"/>
        <v>1</v>
      </c>
      <c r="G147" s="14">
        <f t="shared" si="15"/>
        <v>0.455506865134642</v>
      </c>
      <c r="H147" s="14">
        <f t="shared" si="16"/>
        <v>0.2</v>
      </c>
      <c r="I147" s="14">
        <f t="shared" si="17"/>
        <v>0</v>
      </c>
      <c r="J147" s="15">
        <f>IF(CurrentMtgRatesDataTable8[[#This Row],[WA CC]]&lt;&gt;0,C146-CurrentMtgRatesDataTable8[[#This Row],[WA CC]],0)</f>
        <v>0</v>
      </c>
      <c r="K147" s="16">
        <f>IF(CurrentMtgRatesDataTable8[[#This Row],[Servicing Spread]]&lt;=0,K146,CurrentMtgRatesDataTable8[[#This Row],[Servicing Spread]])</f>
        <v>1.1294682073968798</v>
      </c>
      <c r="L147" s="16">
        <f>CurrentMtgRatesDataTable8[[#This Row],[Servicing Spread Non-Zero]]-K146</f>
        <v>0</v>
      </c>
      <c r="M147" s="16">
        <f>IF(I146&lt;&gt;0,CurrentMtgRatesDataTable8[[#This Row],[Rate]]-C146,M146)</f>
        <v>-2.0000000000000018E-2</v>
      </c>
    </row>
    <row r="148" spans="1:13" s="9" customFormat="1">
      <c r="A148" s="8" t="s">
        <v>470</v>
      </c>
      <c r="B148" s="11">
        <v>2.2062412812927401</v>
      </c>
      <c r="C148" s="13">
        <v>3.3149999999999999</v>
      </c>
      <c r="D148" s="14">
        <f t="shared" si="12"/>
        <v>2</v>
      </c>
      <c r="E148" s="14">
        <f t="shared" si="13"/>
        <v>0.2</v>
      </c>
      <c r="F148" s="14">
        <f t="shared" si="14"/>
        <v>2</v>
      </c>
      <c r="G148" s="14">
        <f t="shared" si="15"/>
        <v>0.89675512139319002</v>
      </c>
      <c r="H148" s="14">
        <f t="shared" si="16"/>
        <v>0.4</v>
      </c>
      <c r="I148" s="14">
        <f t="shared" si="17"/>
        <v>0</v>
      </c>
      <c r="J148" s="15">
        <f>IF(CurrentMtgRatesDataTable8[[#This Row],[WA CC]]&lt;&gt;0,C147-CurrentMtgRatesDataTable8[[#This Row],[WA CC]],0)</f>
        <v>0</v>
      </c>
      <c r="K148" s="16">
        <f>IF(CurrentMtgRatesDataTable8[[#This Row],[Servicing Spread]]&lt;=0,K147,CurrentMtgRatesDataTable8[[#This Row],[Servicing Spread]])</f>
        <v>1.1294682073968798</v>
      </c>
      <c r="L148" s="16">
        <f>CurrentMtgRatesDataTable8[[#This Row],[Servicing Spread Non-Zero]]-K147</f>
        <v>0</v>
      </c>
      <c r="M148" s="16">
        <f>IF(I147&lt;&gt;0,CurrentMtgRatesDataTable8[[#This Row],[Rate]]-C147,M147)</f>
        <v>-2.0000000000000018E-2</v>
      </c>
    </row>
    <row r="149" spans="1:13" s="9" customFormat="1">
      <c r="A149" s="8" t="s">
        <v>335</v>
      </c>
      <c r="B149" s="11">
        <v>2.1758632003490601</v>
      </c>
      <c r="C149" s="13">
        <v>3.3149999999999999</v>
      </c>
      <c r="D149" s="14">
        <f t="shared" si="12"/>
        <v>5</v>
      </c>
      <c r="E149" s="14">
        <f t="shared" si="13"/>
        <v>0.2</v>
      </c>
      <c r="F149" s="14">
        <f t="shared" si="14"/>
        <v>3</v>
      </c>
      <c r="G149" s="14">
        <f t="shared" si="15"/>
        <v>1.3319277614630021</v>
      </c>
      <c r="H149" s="14">
        <f t="shared" si="16"/>
        <v>0.60000000000000009</v>
      </c>
      <c r="I149" s="14">
        <f t="shared" si="17"/>
        <v>0</v>
      </c>
      <c r="J149" s="15">
        <f>IF(CurrentMtgRatesDataTable8[[#This Row],[WA CC]]&lt;&gt;0,C148-CurrentMtgRatesDataTable8[[#This Row],[WA CC]],0)</f>
        <v>0</v>
      </c>
      <c r="K149" s="16">
        <f>IF(CurrentMtgRatesDataTable8[[#This Row],[Servicing Spread]]&lt;=0,K148,CurrentMtgRatesDataTable8[[#This Row],[Servicing Spread]])</f>
        <v>1.1294682073968798</v>
      </c>
      <c r="L149" s="16">
        <f>CurrentMtgRatesDataTable8[[#This Row],[Servicing Spread Non-Zero]]-K148</f>
        <v>0</v>
      </c>
      <c r="M149" s="16">
        <f>IF(I148&lt;&gt;0,CurrentMtgRatesDataTable8[[#This Row],[Rate]]-C148,M148)</f>
        <v>-2.0000000000000018E-2</v>
      </c>
    </row>
    <row r="150" spans="1:13" s="9" customFormat="1">
      <c r="A150" s="8" t="s">
        <v>48</v>
      </c>
      <c r="B150" s="11">
        <v>2.1423497452898399</v>
      </c>
      <c r="C150" s="13">
        <v>3.3149999999999999</v>
      </c>
      <c r="D150" s="14">
        <f t="shared" si="12"/>
        <v>7</v>
      </c>
      <c r="E150" s="14">
        <f t="shared" si="13"/>
        <v>0.2</v>
      </c>
      <c r="F150" s="14">
        <f t="shared" si="14"/>
        <v>4</v>
      </c>
      <c r="G150" s="14">
        <f t="shared" si="15"/>
        <v>1.76039771052097</v>
      </c>
      <c r="H150" s="14">
        <f t="shared" si="16"/>
        <v>0.8</v>
      </c>
      <c r="I150" s="14">
        <f t="shared" si="17"/>
        <v>2.2004971381512126</v>
      </c>
      <c r="J150" s="15">
        <f>IF(CurrentMtgRatesDataTable8[[#This Row],[WA CC]]&lt;&gt;0,C149-CurrentMtgRatesDataTable8[[#This Row],[WA CC]],0)</f>
        <v>1.1145028618487873</v>
      </c>
      <c r="K150" s="16">
        <f>IF(CurrentMtgRatesDataTable8[[#This Row],[Servicing Spread]]&lt;=0,K149,CurrentMtgRatesDataTable8[[#This Row],[Servicing Spread]])</f>
        <v>1.1145028618487873</v>
      </c>
      <c r="L150" s="16">
        <f>CurrentMtgRatesDataTable8[[#This Row],[Servicing Spread Non-Zero]]-K149</f>
        <v>-1.4965345548092479E-2</v>
      </c>
      <c r="M150" s="16">
        <f>IF(I149&lt;&gt;0,CurrentMtgRatesDataTable8[[#This Row],[Rate]]-C149,M149)</f>
        <v>-2.0000000000000018E-2</v>
      </c>
    </row>
    <row r="151" spans="1:13" s="9" customFormat="1">
      <c r="A151" s="8" t="s">
        <v>616</v>
      </c>
      <c r="B151" s="11">
        <v>2.2324289694544102</v>
      </c>
      <c r="C151" s="13">
        <v>3.3249999999999997</v>
      </c>
      <c r="D151" s="14">
        <f t="shared" si="12"/>
        <v>1</v>
      </c>
      <c r="E151" s="14">
        <f t="shared" si="13"/>
        <v>0.2</v>
      </c>
      <c r="F151" s="14">
        <f t="shared" si="14"/>
        <v>1</v>
      </c>
      <c r="G151" s="14">
        <f t="shared" si="15"/>
        <v>0.44648579389088205</v>
      </c>
      <c r="H151" s="14">
        <f t="shared" si="16"/>
        <v>0.2</v>
      </c>
      <c r="I151" s="14">
        <f t="shared" si="17"/>
        <v>0</v>
      </c>
      <c r="J151" s="15">
        <f>IF(CurrentMtgRatesDataTable8[[#This Row],[WA CC]]&lt;&gt;0,C150-CurrentMtgRatesDataTable8[[#This Row],[WA CC]],0)</f>
        <v>0</v>
      </c>
      <c r="K151" s="16">
        <f>IF(CurrentMtgRatesDataTable8[[#This Row],[Servicing Spread]]&lt;=0,K150,CurrentMtgRatesDataTable8[[#This Row],[Servicing Spread]])</f>
        <v>1.1145028618487873</v>
      </c>
      <c r="L151" s="16">
        <f>CurrentMtgRatesDataTable8[[#This Row],[Servicing Spread Non-Zero]]-K150</f>
        <v>0</v>
      </c>
      <c r="M151" s="16">
        <f>IF(I150&lt;&gt;0,CurrentMtgRatesDataTable8[[#This Row],[Rate]]-C150,M150)</f>
        <v>9.9999999999997868E-3</v>
      </c>
    </row>
    <row r="152" spans="1:13">
      <c r="A152" s="8" t="s">
        <v>471</v>
      </c>
      <c r="B152" s="11">
        <v>2.1949310629738199</v>
      </c>
      <c r="C152" s="13">
        <v>3.3249999999999997</v>
      </c>
      <c r="D152" s="14">
        <f t="shared" si="12"/>
        <v>2</v>
      </c>
      <c r="E152" s="14">
        <f t="shared" si="13"/>
        <v>0.2</v>
      </c>
      <c r="F152" s="14">
        <f t="shared" si="14"/>
        <v>2</v>
      </c>
      <c r="G152" s="14">
        <f t="shared" si="15"/>
        <v>0.88547200648564606</v>
      </c>
      <c r="H152" s="14">
        <f t="shared" si="16"/>
        <v>0.4</v>
      </c>
      <c r="I152" s="14">
        <f t="shared" si="17"/>
        <v>0</v>
      </c>
      <c r="J152" s="15">
        <f>IF(CurrentMtgRatesDataTable8[[#This Row],[WA CC]]&lt;&gt;0,C151-CurrentMtgRatesDataTable8[[#This Row],[WA CC]],0)</f>
        <v>0</v>
      </c>
      <c r="K152" s="16">
        <f>IF(CurrentMtgRatesDataTable8[[#This Row],[Servicing Spread]]&lt;=0,K151,CurrentMtgRatesDataTable8[[#This Row],[Servicing Spread]])</f>
        <v>1.1145028618487873</v>
      </c>
      <c r="L152" s="16">
        <f>CurrentMtgRatesDataTable8[[#This Row],[Servicing Spread Non-Zero]]-K151</f>
        <v>0</v>
      </c>
      <c r="M152" s="16">
        <f>IF(I151&lt;&gt;0,CurrentMtgRatesDataTable8[[#This Row],[Rate]]-C151,M151)</f>
        <v>9.9999999999997868E-3</v>
      </c>
    </row>
    <row r="153" spans="1:13">
      <c r="A153" s="8" t="s">
        <v>336</v>
      </c>
      <c r="B153" s="11">
        <v>2.1479421519661601</v>
      </c>
      <c r="C153" s="13">
        <v>3.3249999999999997</v>
      </c>
      <c r="D153" s="14">
        <f t="shared" si="12"/>
        <v>5</v>
      </c>
      <c r="E153" s="14">
        <f t="shared" si="13"/>
        <v>0.2</v>
      </c>
      <c r="F153" s="14">
        <f t="shared" si="14"/>
        <v>3</v>
      </c>
      <c r="G153" s="14">
        <f t="shared" si="15"/>
        <v>1.3150604368788781</v>
      </c>
      <c r="H153" s="14">
        <f t="shared" si="16"/>
        <v>0.60000000000000009</v>
      </c>
      <c r="I153" s="14">
        <f t="shared" si="17"/>
        <v>0</v>
      </c>
      <c r="J153" s="15">
        <f>IF(CurrentMtgRatesDataTable8[[#This Row],[WA CC]]&lt;&gt;0,C152-CurrentMtgRatesDataTable8[[#This Row],[WA CC]],0)</f>
        <v>0</v>
      </c>
      <c r="K153" s="16">
        <f>IF(CurrentMtgRatesDataTable8[[#This Row],[Servicing Spread]]&lt;=0,K152,CurrentMtgRatesDataTable8[[#This Row],[Servicing Spread]])</f>
        <v>1.1145028618487873</v>
      </c>
      <c r="L153" s="16">
        <f>CurrentMtgRatesDataTable8[[#This Row],[Servicing Spread Non-Zero]]-K152</f>
        <v>0</v>
      </c>
      <c r="M153" s="16">
        <f>IF(I152&lt;&gt;0,CurrentMtgRatesDataTable8[[#This Row],[Rate]]-C152,M152)</f>
        <v>9.9999999999997868E-3</v>
      </c>
    </row>
    <row r="154" spans="1:13">
      <c r="A154" s="8" t="s">
        <v>194</v>
      </c>
      <c r="B154" s="11">
        <v>2.2488911274377399</v>
      </c>
      <c r="C154" s="13">
        <v>3.3249999999999997</v>
      </c>
      <c r="D154" s="14">
        <f t="shared" si="12"/>
        <v>6</v>
      </c>
      <c r="E154" s="14">
        <f t="shared" si="13"/>
        <v>0.2</v>
      </c>
      <c r="F154" s="14">
        <f t="shared" si="14"/>
        <v>4</v>
      </c>
      <c r="G154" s="14">
        <f t="shared" si="15"/>
        <v>1.7648386623664261</v>
      </c>
      <c r="H154" s="14">
        <f t="shared" si="16"/>
        <v>0.8</v>
      </c>
      <c r="I154" s="14">
        <f t="shared" si="17"/>
        <v>0</v>
      </c>
      <c r="J154" s="15">
        <f>IF(CurrentMtgRatesDataTable8[[#This Row],[WA CC]]&lt;&gt;0,C153-CurrentMtgRatesDataTable8[[#This Row],[WA CC]],0)</f>
        <v>0</v>
      </c>
      <c r="K154" s="16">
        <f>IF(CurrentMtgRatesDataTable8[[#This Row],[Servicing Spread]]&lt;=0,K153,CurrentMtgRatesDataTable8[[#This Row],[Servicing Spread]])</f>
        <v>1.1145028618487873</v>
      </c>
      <c r="L154" s="16">
        <f>CurrentMtgRatesDataTable8[[#This Row],[Servicing Spread Non-Zero]]-K153</f>
        <v>0</v>
      </c>
      <c r="M154" s="16">
        <f>IF(I153&lt;&gt;0,CurrentMtgRatesDataTable8[[#This Row],[Rate]]-C153,M153)</f>
        <v>9.9999999999997868E-3</v>
      </c>
    </row>
    <row r="155" spans="1:13">
      <c r="A155" s="8" t="s">
        <v>49</v>
      </c>
      <c r="B155" s="11">
        <v>2.0919724577728598</v>
      </c>
      <c r="C155" s="13">
        <v>3.3249999999999997</v>
      </c>
      <c r="D155" s="14">
        <f t="shared" si="12"/>
        <v>7</v>
      </c>
      <c r="E155" s="14">
        <f t="shared" si="13"/>
        <v>0.2</v>
      </c>
      <c r="F155" s="14">
        <f t="shared" si="14"/>
        <v>5</v>
      </c>
      <c r="G155" s="14">
        <f t="shared" si="15"/>
        <v>2.1832331539209981</v>
      </c>
      <c r="H155" s="14">
        <f t="shared" si="16"/>
        <v>1</v>
      </c>
      <c r="I155" s="14">
        <f t="shared" si="17"/>
        <v>2.1832331539209981</v>
      </c>
      <c r="J155" s="15">
        <f>IF(CurrentMtgRatesDataTable8[[#This Row],[WA CC]]&lt;&gt;0,C154-CurrentMtgRatesDataTable8[[#This Row],[WA CC]],0)</f>
        <v>1.1417668460790016</v>
      </c>
      <c r="K155" s="16">
        <f>IF(CurrentMtgRatesDataTable8[[#This Row],[Servicing Spread]]&lt;=0,K154,CurrentMtgRatesDataTable8[[#This Row],[Servicing Spread]])</f>
        <v>1.1417668460790016</v>
      </c>
      <c r="L155" s="16">
        <f>CurrentMtgRatesDataTable8[[#This Row],[Servicing Spread Non-Zero]]-K154</f>
        <v>2.7263984230214255E-2</v>
      </c>
      <c r="M155" s="16">
        <f>IF(I154&lt;&gt;0,CurrentMtgRatesDataTable8[[#This Row],[Rate]]-C154,M154)</f>
        <v>9.9999999999997868E-3</v>
      </c>
    </row>
    <row r="156" spans="1:13">
      <c r="A156" s="8" t="s">
        <v>617</v>
      </c>
      <c r="B156" s="11">
        <v>2.04956432037537</v>
      </c>
      <c r="C156" s="13">
        <v>3.2649999999999997</v>
      </c>
      <c r="D156" s="14">
        <f t="shared" si="12"/>
        <v>1</v>
      </c>
      <c r="E156" s="14">
        <f t="shared" si="13"/>
        <v>0.2</v>
      </c>
      <c r="F156" s="14">
        <f t="shared" si="14"/>
        <v>1</v>
      </c>
      <c r="G156" s="14">
        <f t="shared" si="15"/>
        <v>0.40991286407507399</v>
      </c>
      <c r="H156" s="14">
        <f t="shared" si="16"/>
        <v>0.2</v>
      </c>
      <c r="I156" s="14">
        <f t="shared" si="17"/>
        <v>0</v>
      </c>
      <c r="J156" s="15">
        <f>IF(CurrentMtgRatesDataTable8[[#This Row],[WA CC]]&lt;&gt;0,C155-CurrentMtgRatesDataTable8[[#This Row],[WA CC]],0)</f>
        <v>0</v>
      </c>
      <c r="K156" s="16">
        <f>IF(CurrentMtgRatesDataTable8[[#This Row],[Servicing Spread]]&lt;=0,K155,CurrentMtgRatesDataTable8[[#This Row],[Servicing Spread]])</f>
        <v>1.1417668460790016</v>
      </c>
      <c r="L156" s="16">
        <f>CurrentMtgRatesDataTable8[[#This Row],[Servicing Spread Non-Zero]]-K155</f>
        <v>0</v>
      </c>
      <c r="M156" s="16">
        <f>IF(I155&lt;&gt;0,CurrentMtgRatesDataTable8[[#This Row],[Rate]]-C155,M155)</f>
        <v>-6.0000000000000053E-2</v>
      </c>
    </row>
    <row r="157" spans="1:13">
      <c r="A157" s="8" t="s">
        <v>472</v>
      </c>
      <c r="B157" s="11">
        <v>2.0595956654124499</v>
      </c>
      <c r="C157" s="13">
        <v>3.2649999999999997</v>
      </c>
      <c r="D157" s="14">
        <f t="shared" si="12"/>
        <v>2</v>
      </c>
      <c r="E157" s="14">
        <f t="shared" si="13"/>
        <v>0.2</v>
      </c>
      <c r="F157" s="14">
        <f t="shared" si="14"/>
        <v>2</v>
      </c>
      <c r="G157" s="14">
        <f t="shared" si="15"/>
        <v>0.82183199715756405</v>
      </c>
      <c r="H157" s="14">
        <f t="shared" si="16"/>
        <v>0.4</v>
      </c>
      <c r="I157" s="14">
        <f t="shared" si="17"/>
        <v>0</v>
      </c>
      <c r="J157" s="15">
        <f>IF(CurrentMtgRatesDataTable8[[#This Row],[WA CC]]&lt;&gt;0,C156-CurrentMtgRatesDataTable8[[#This Row],[WA CC]],0)</f>
        <v>0</v>
      </c>
      <c r="K157" s="16">
        <f>IF(CurrentMtgRatesDataTable8[[#This Row],[Servicing Spread]]&lt;=0,K156,CurrentMtgRatesDataTable8[[#This Row],[Servicing Spread]])</f>
        <v>1.1417668460790016</v>
      </c>
      <c r="L157" s="16">
        <f>CurrentMtgRatesDataTable8[[#This Row],[Servicing Spread Non-Zero]]-K156</f>
        <v>0</v>
      </c>
      <c r="M157" s="16">
        <f>IF(I156&lt;&gt;0,CurrentMtgRatesDataTable8[[#This Row],[Rate]]-C156,M156)</f>
        <v>-6.0000000000000053E-2</v>
      </c>
    </row>
    <row r="158" spans="1:13">
      <c r="A158" s="8" t="s">
        <v>195</v>
      </c>
      <c r="B158" s="11">
        <v>2.0829778986268401</v>
      </c>
      <c r="C158" s="13">
        <v>3.2649999999999997</v>
      </c>
      <c r="D158" s="14">
        <f t="shared" si="12"/>
        <v>6</v>
      </c>
      <c r="E158" s="14">
        <f t="shared" si="13"/>
        <v>0.2</v>
      </c>
      <c r="F158" s="14">
        <f t="shared" si="14"/>
        <v>3</v>
      </c>
      <c r="G158" s="14">
        <f t="shared" si="15"/>
        <v>1.238427576882932</v>
      </c>
      <c r="H158" s="14">
        <f t="shared" si="16"/>
        <v>0.60000000000000009</v>
      </c>
      <c r="I158" s="14">
        <f t="shared" si="17"/>
        <v>0</v>
      </c>
      <c r="J158" s="15">
        <f>IF(CurrentMtgRatesDataTable8[[#This Row],[WA CC]]&lt;&gt;0,C157-CurrentMtgRatesDataTable8[[#This Row],[WA CC]],0)</f>
        <v>0</v>
      </c>
      <c r="K158" s="16">
        <f>IF(CurrentMtgRatesDataTable8[[#This Row],[Servicing Spread]]&lt;=0,K157,CurrentMtgRatesDataTable8[[#This Row],[Servicing Spread]])</f>
        <v>1.1417668460790016</v>
      </c>
      <c r="L158" s="16">
        <f>CurrentMtgRatesDataTable8[[#This Row],[Servicing Spread Non-Zero]]-K157</f>
        <v>0</v>
      </c>
      <c r="M158" s="16">
        <f>IF(I157&lt;&gt;0,CurrentMtgRatesDataTable8[[#This Row],[Rate]]-C157,M157)</f>
        <v>-6.0000000000000053E-2</v>
      </c>
    </row>
    <row r="159" spans="1:13">
      <c r="A159" s="8" t="s">
        <v>50</v>
      </c>
      <c r="B159" s="11">
        <v>2.1343540804519301</v>
      </c>
      <c r="C159" s="13">
        <v>3.2649999999999997</v>
      </c>
      <c r="D159" s="14">
        <f t="shared" si="12"/>
        <v>7</v>
      </c>
      <c r="E159" s="14">
        <f t="shared" si="13"/>
        <v>0.2</v>
      </c>
      <c r="F159" s="14">
        <f t="shared" si="14"/>
        <v>4</v>
      </c>
      <c r="G159" s="14">
        <f t="shared" si="15"/>
        <v>1.6652983929733181</v>
      </c>
      <c r="H159" s="14">
        <f t="shared" si="16"/>
        <v>0.8</v>
      </c>
      <c r="I159" s="14">
        <f t="shared" si="17"/>
        <v>2.0816229912166473</v>
      </c>
      <c r="J159" s="15">
        <f>IF(CurrentMtgRatesDataTable8[[#This Row],[WA CC]]&lt;&gt;0,C158-CurrentMtgRatesDataTable8[[#This Row],[WA CC]],0)</f>
        <v>1.1833770087833524</v>
      </c>
      <c r="K159" s="16">
        <f>IF(CurrentMtgRatesDataTable8[[#This Row],[Servicing Spread]]&lt;=0,K158,CurrentMtgRatesDataTable8[[#This Row],[Servicing Spread]])</f>
        <v>1.1833770087833524</v>
      </c>
      <c r="L159" s="16">
        <f>CurrentMtgRatesDataTable8[[#This Row],[Servicing Spread Non-Zero]]-K158</f>
        <v>4.1610162704350806E-2</v>
      </c>
      <c r="M159" s="16">
        <f>IF(I158&lt;&gt;0,CurrentMtgRatesDataTable8[[#This Row],[Rate]]-C158,M158)</f>
        <v>-6.0000000000000053E-2</v>
      </c>
    </row>
    <row r="160" spans="1:13">
      <c r="A160" s="8" t="s">
        <v>50</v>
      </c>
      <c r="B160" s="11">
        <v>2.1343540804519301</v>
      </c>
      <c r="C160" s="13">
        <v>3.2349999999999999</v>
      </c>
      <c r="D160" s="14">
        <f t="shared" si="12"/>
        <v>7</v>
      </c>
      <c r="E160" s="14">
        <f t="shared" si="13"/>
        <v>0.2</v>
      </c>
      <c r="F160" s="14">
        <f t="shared" si="14"/>
        <v>1</v>
      </c>
      <c r="G160" s="14">
        <f t="shared" si="15"/>
        <v>0.42687081609038602</v>
      </c>
      <c r="H160" s="14">
        <f t="shared" si="16"/>
        <v>0.2</v>
      </c>
      <c r="I160" s="14">
        <f t="shared" si="17"/>
        <v>0</v>
      </c>
      <c r="J160" s="15">
        <f>IF(CurrentMtgRatesDataTable8[[#This Row],[WA CC]]&lt;&gt;0,C159-CurrentMtgRatesDataTable8[[#This Row],[WA CC]],0)</f>
        <v>0</v>
      </c>
      <c r="K160" s="16">
        <f>IF(CurrentMtgRatesDataTable8[[#This Row],[Servicing Spread]]&lt;=0,K159,CurrentMtgRatesDataTable8[[#This Row],[Servicing Spread]])</f>
        <v>1.1833770087833524</v>
      </c>
      <c r="L160" s="16">
        <f>CurrentMtgRatesDataTable8[[#This Row],[Servicing Spread Non-Zero]]-K159</f>
        <v>0</v>
      </c>
      <c r="M160" s="16">
        <f>IF(I159&lt;&gt;0,CurrentMtgRatesDataTable8[[#This Row],[Rate]]-C159,M159)</f>
        <v>-2.9999999999999805E-2</v>
      </c>
    </row>
    <row r="161" spans="1:13">
      <c r="A161" s="8" t="s">
        <v>473</v>
      </c>
      <c r="B161" s="11">
        <v>2.0923386430292501</v>
      </c>
      <c r="C161" s="13">
        <v>3.2349999999999999</v>
      </c>
      <c r="D161" s="14">
        <f t="shared" si="12"/>
        <v>1</v>
      </c>
      <c r="E161" s="14">
        <f t="shared" si="13"/>
        <v>0.2</v>
      </c>
      <c r="F161" s="14">
        <f t="shared" si="14"/>
        <v>1</v>
      </c>
      <c r="G161" s="14">
        <f t="shared" si="15"/>
        <v>0.41846772860585002</v>
      </c>
      <c r="H161" s="14">
        <f t="shared" si="16"/>
        <v>0.2</v>
      </c>
      <c r="I161" s="14">
        <f t="shared" si="17"/>
        <v>0</v>
      </c>
      <c r="J161" s="15">
        <f>IF(CurrentMtgRatesDataTable8[[#This Row],[WA CC]]&lt;&gt;0,C160-CurrentMtgRatesDataTable8[[#This Row],[WA CC]],0)</f>
        <v>0</v>
      </c>
      <c r="K161" s="16">
        <f>IF(CurrentMtgRatesDataTable8[[#This Row],[Servicing Spread]]&lt;=0,K160,CurrentMtgRatesDataTable8[[#This Row],[Servicing Spread]])</f>
        <v>1.1833770087833524</v>
      </c>
      <c r="L161" s="16">
        <f>CurrentMtgRatesDataTable8[[#This Row],[Servicing Spread Non-Zero]]-K160</f>
        <v>0</v>
      </c>
      <c r="M161" s="16">
        <f>IF(I160&lt;&gt;0,CurrentMtgRatesDataTable8[[#This Row],[Rate]]-C160,M160)</f>
        <v>-2.9999999999999805E-2</v>
      </c>
    </row>
    <row r="162" spans="1:13">
      <c r="A162" s="8" t="s">
        <v>435</v>
      </c>
      <c r="B162" s="11">
        <v>2.0361071292777302</v>
      </c>
      <c r="C162" s="13">
        <v>3.2349999999999999</v>
      </c>
      <c r="D162" s="14">
        <f t="shared" si="12"/>
        <v>2</v>
      </c>
      <c r="E162" s="14">
        <f t="shared" si="13"/>
        <v>0.2</v>
      </c>
      <c r="F162" s="14">
        <f t="shared" si="14"/>
        <v>2</v>
      </c>
      <c r="G162" s="14">
        <f t="shared" si="15"/>
        <v>0.82568915446139601</v>
      </c>
      <c r="H162" s="14">
        <f t="shared" si="16"/>
        <v>0.4</v>
      </c>
      <c r="I162" s="14">
        <f t="shared" si="17"/>
        <v>0</v>
      </c>
      <c r="J162" s="15">
        <f>IF(CurrentMtgRatesDataTable8[[#This Row],[WA CC]]&lt;&gt;0,C161-CurrentMtgRatesDataTable8[[#This Row],[WA CC]],0)</f>
        <v>0</v>
      </c>
      <c r="K162" s="16">
        <f>IF(CurrentMtgRatesDataTable8[[#This Row],[Servicing Spread]]&lt;=0,K161,CurrentMtgRatesDataTable8[[#This Row],[Servicing Spread]])</f>
        <v>1.1833770087833524</v>
      </c>
      <c r="L162" s="16">
        <f>CurrentMtgRatesDataTable8[[#This Row],[Servicing Spread Non-Zero]]-K161</f>
        <v>0</v>
      </c>
      <c r="M162" s="16">
        <f>IF(I161&lt;&gt;0,CurrentMtgRatesDataTable8[[#This Row],[Rate]]-C161,M161)</f>
        <v>-2.9999999999999805E-2</v>
      </c>
    </row>
    <row r="163" spans="1:13">
      <c r="A163" s="8" t="s">
        <v>196</v>
      </c>
      <c r="B163" s="11">
        <v>2.0699676944682599</v>
      </c>
      <c r="C163" s="13">
        <v>3.2349999999999999</v>
      </c>
      <c r="D163" s="14">
        <f t="shared" si="12"/>
        <v>5</v>
      </c>
      <c r="E163" s="14">
        <f t="shared" si="13"/>
        <v>0.2</v>
      </c>
      <c r="F163" s="14">
        <f t="shared" si="14"/>
        <v>3</v>
      </c>
      <c r="G163" s="14">
        <f t="shared" si="15"/>
        <v>1.239682693355048</v>
      </c>
      <c r="H163" s="14">
        <f t="shared" si="16"/>
        <v>0.60000000000000009</v>
      </c>
      <c r="I163" s="14">
        <f t="shared" si="17"/>
        <v>0</v>
      </c>
      <c r="J163" s="15">
        <f>IF(CurrentMtgRatesDataTable8[[#This Row],[WA CC]]&lt;&gt;0,C162-CurrentMtgRatesDataTable8[[#This Row],[WA CC]],0)</f>
        <v>0</v>
      </c>
      <c r="K163" s="16">
        <f>IF(CurrentMtgRatesDataTable8[[#This Row],[Servicing Spread]]&lt;=0,K162,CurrentMtgRatesDataTable8[[#This Row],[Servicing Spread]])</f>
        <v>1.1833770087833524</v>
      </c>
      <c r="L163" s="16">
        <f>CurrentMtgRatesDataTable8[[#This Row],[Servicing Spread Non-Zero]]-K162</f>
        <v>0</v>
      </c>
      <c r="M163" s="16">
        <f>IF(I162&lt;&gt;0,CurrentMtgRatesDataTable8[[#This Row],[Rate]]-C162,M162)</f>
        <v>-2.9999999999999805E-2</v>
      </c>
    </row>
    <row r="164" spans="1:13">
      <c r="A164" s="8" t="s">
        <v>51</v>
      </c>
      <c r="B164" s="11">
        <v>2.1420411801194499</v>
      </c>
      <c r="C164" s="13">
        <v>3.2349999999999999</v>
      </c>
      <c r="D164" s="14">
        <f t="shared" si="12"/>
        <v>6</v>
      </c>
      <c r="E164" s="14">
        <f t="shared" si="13"/>
        <v>0.2</v>
      </c>
      <c r="F164" s="14">
        <f t="shared" si="14"/>
        <v>4</v>
      </c>
      <c r="G164" s="14">
        <f t="shared" si="15"/>
        <v>1.6680909293789381</v>
      </c>
      <c r="H164" s="14">
        <f t="shared" si="16"/>
        <v>0.8</v>
      </c>
      <c r="I164" s="14">
        <f t="shared" si="17"/>
        <v>2.0851136617236725</v>
      </c>
      <c r="J164" s="15">
        <f>IF(CurrentMtgRatesDataTable8[[#This Row],[WA CC]]&lt;&gt;0,C163-CurrentMtgRatesDataTable8[[#This Row],[WA CC]],0)</f>
        <v>1.1498863382763274</v>
      </c>
      <c r="K164" s="16">
        <f>IF(CurrentMtgRatesDataTable8[[#This Row],[Servicing Spread]]&lt;=0,K163,CurrentMtgRatesDataTable8[[#This Row],[Servicing Spread]])</f>
        <v>1.1498863382763274</v>
      </c>
      <c r="L164" s="16">
        <f>CurrentMtgRatesDataTable8[[#This Row],[Servicing Spread Non-Zero]]-K163</f>
        <v>-3.3490670507025033E-2</v>
      </c>
      <c r="M164" s="16">
        <f>IF(I163&lt;&gt;0,CurrentMtgRatesDataTable8[[#This Row],[Rate]]-C163,M163)</f>
        <v>-2.9999999999999805E-2</v>
      </c>
    </row>
    <row r="165" spans="1:13">
      <c r="A165" s="8" t="s">
        <v>474</v>
      </c>
      <c r="B165" s="11">
        <v>2.2012643194611901</v>
      </c>
      <c r="C165" s="13">
        <v>3.27</v>
      </c>
      <c r="D165" s="14">
        <f t="shared" si="12"/>
        <v>2</v>
      </c>
      <c r="E165" s="14">
        <f t="shared" si="13"/>
        <v>0.2</v>
      </c>
      <c r="F165" s="14">
        <f t="shared" si="14"/>
        <v>1</v>
      </c>
      <c r="G165" s="14">
        <f t="shared" si="15"/>
        <v>0.44025286389223806</v>
      </c>
      <c r="H165" s="14">
        <f t="shared" si="16"/>
        <v>0.2</v>
      </c>
      <c r="I165" s="14">
        <f t="shared" si="17"/>
        <v>0</v>
      </c>
      <c r="J165" s="15">
        <f>IF(CurrentMtgRatesDataTable8[[#This Row],[WA CC]]&lt;&gt;0,C164-CurrentMtgRatesDataTable8[[#This Row],[WA CC]],0)</f>
        <v>0</v>
      </c>
      <c r="K165" s="16">
        <f>IF(CurrentMtgRatesDataTable8[[#This Row],[Servicing Spread]]&lt;=0,K164,CurrentMtgRatesDataTable8[[#This Row],[Servicing Spread]])</f>
        <v>1.1498863382763274</v>
      </c>
      <c r="L165" s="16">
        <f>CurrentMtgRatesDataTable8[[#This Row],[Servicing Spread Non-Zero]]-K164</f>
        <v>0</v>
      </c>
      <c r="M165" s="16">
        <f>IF(I164&lt;&gt;0,CurrentMtgRatesDataTable8[[#This Row],[Rate]]-C164,M164)</f>
        <v>3.5000000000000142E-2</v>
      </c>
    </row>
    <row r="166" spans="1:13">
      <c r="A166" s="8" t="s">
        <v>337</v>
      </c>
      <c r="B166" s="11">
        <v>2.1328988734204701</v>
      </c>
      <c r="C166" s="13">
        <v>3.27</v>
      </c>
      <c r="D166" s="14">
        <f t="shared" si="12"/>
        <v>5</v>
      </c>
      <c r="E166" s="14">
        <f t="shared" si="13"/>
        <v>0.2</v>
      </c>
      <c r="F166" s="14">
        <f t="shared" si="14"/>
        <v>2</v>
      </c>
      <c r="G166" s="14">
        <f t="shared" si="15"/>
        <v>0.86683263857633208</v>
      </c>
      <c r="H166" s="14">
        <f t="shared" si="16"/>
        <v>0.4</v>
      </c>
      <c r="I166" s="14">
        <f t="shared" si="17"/>
        <v>0</v>
      </c>
      <c r="J166" s="15">
        <f>IF(CurrentMtgRatesDataTable8[[#This Row],[WA CC]]&lt;&gt;0,C165-CurrentMtgRatesDataTable8[[#This Row],[WA CC]],0)</f>
        <v>0</v>
      </c>
      <c r="K166" s="16">
        <f>IF(CurrentMtgRatesDataTable8[[#This Row],[Servicing Spread]]&lt;=0,K165,CurrentMtgRatesDataTable8[[#This Row],[Servicing Spread]])</f>
        <v>1.1498863382763274</v>
      </c>
      <c r="L166" s="16">
        <f>CurrentMtgRatesDataTable8[[#This Row],[Servicing Spread Non-Zero]]-K165</f>
        <v>0</v>
      </c>
      <c r="M166" s="16">
        <f>IF(I165&lt;&gt;0,CurrentMtgRatesDataTable8[[#This Row],[Rate]]-C165,M165)</f>
        <v>3.5000000000000142E-2</v>
      </c>
    </row>
    <row r="167" spans="1:13">
      <c r="A167" s="8" t="s">
        <v>197</v>
      </c>
      <c r="B167" s="11">
        <v>2.0440489527996202</v>
      </c>
      <c r="C167" s="13">
        <v>3.27</v>
      </c>
      <c r="D167" s="14">
        <f t="shared" si="12"/>
        <v>6</v>
      </c>
      <c r="E167" s="14">
        <f t="shared" si="13"/>
        <v>0.2</v>
      </c>
      <c r="F167" s="14">
        <f t="shared" si="14"/>
        <v>3</v>
      </c>
      <c r="G167" s="14">
        <f t="shared" si="15"/>
        <v>1.2756424291362563</v>
      </c>
      <c r="H167" s="14">
        <f t="shared" si="16"/>
        <v>0.60000000000000009</v>
      </c>
      <c r="I167" s="14">
        <f t="shared" si="17"/>
        <v>0</v>
      </c>
      <c r="J167" s="15">
        <f>IF(CurrentMtgRatesDataTable8[[#This Row],[WA CC]]&lt;&gt;0,C166-CurrentMtgRatesDataTable8[[#This Row],[WA CC]],0)</f>
        <v>0</v>
      </c>
      <c r="K167" s="16">
        <f>IF(CurrentMtgRatesDataTable8[[#This Row],[Servicing Spread]]&lt;=0,K166,CurrentMtgRatesDataTable8[[#This Row],[Servicing Spread]])</f>
        <v>1.1498863382763274</v>
      </c>
      <c r="L167" s="16">
        <f>CurrentMtgRatesDataTable8[[#This Row],[Servicing Spread Non-Zero]]-K166</f>
        <v>0</v>
      </c>
      <c r="M167" s="16">
        <f>IF(I166&lt;&gt;0,CurrentMtgRatesDataTable8[[#This Row],[Rate]]-C166,M166)</f>
        <v>3.5000000000000142E-2</v>
      </c>
    </row>
    <row r="168" spans="1:13">
      <c r="A168" s="8" t="s">
        <v>52</v>
      </c>
      <c r="B168" s="11">
        <v>2.0509742576327699</v>
      </c>
      <c r="C168" s="13">
        <v>3.27</v>
      </c>
      <c r="D168" s="14">
        <f t="shared" si="12"/>
        <v>7</v>
      </c>
      <c r="E168" s="14">
        <f t="shared" si="13"/>
        <v>0.2</v>
      </c>
      <c r="F168" s="14">
        <f t="shared" si="14"/>
        <v>4</v>
      </c>
      <c r="G168" s="14">
        <f t="shared" si="15"/>
        <v>1.6858372806628101</v>
      </c>
      <c r="H168" s="14">
        <f t="shared" si="16"/>
        <v>0.8</v>
      </c>
      <c r="I168" s="14">
        <f t="shared" si="17"/>
        <v>2.1072966008285126</v>
      </c>
      <c r="J168" s="15">
        <f>IF(CurrentMtgRatesDataTable8[[#This Row],[WA CC]]&lt;&gt;0,C167-CurrentMtgRatesDataTable8[[#This Row],[WA CC]],0)</f>
        <v>1.1627033991714875</v>
      </c>
      <c r="K168" s="16">
        <f>IF(CurrentMtgRatesDataTable8[[#This Row],[Servicing Spread]]&lt;=0,K167,CurrentMtgRatesDataTable8[[#This Row],[Servicing Spread]])</f>
        <v>1.1627033991714875</v>
      </c>
      <c r="L168" s="16">
        <f>CurrentMtgRatesDataTable8[[#This Row],[Servicing Spread Non-Zero]]-K167</f>
        <v>1.2817060895160104E-2</v>
      </c>
      <c r="M168" s="16">
        <f>IF(I167&lt;&gt;0,CurrentMtgRatesDataTable8[[#This Row],[Rate]]-C167,M167)</f>
        <v>3.5000000000000142E-2</v>
      </c>
    </row>
    <row r="169" spans="1:13">
      <c r="A169" s="8" t="s">
        <v>618</v>
      </c>
      <c r="B169" s="11">
        <v>2.0724438614292899</v>
      </c>
      <c r="C169" s="13">
        <v>3.2649999999999997</v>
      </c>
      <c r="D169" s="14">
        <f t="shared" si="12"/>
        <v>1</v>
      </c>
      <c r="E169" s="14">
        <f t="shared" si="13"/>
        <v>0.2</v>
      </c>
      <c r="F169" s="14">
        <f t="shared" si="14"/>
        <v>1</v>
      </c>
      <c r="G169" s="14">
        <f t="shared" si="15"/>
        <v>0.41448877228585801</v>
      </c>
      <c r="H169" s="14">
        <f t="shared" si="16"/>
        <v>0.2</v>
      </c>
      <c r="I169" s="14">
        <f t="shared" si="17"/>
        <v>0</v>
      </c>
      <c r="J169" s="15">
        <f>IF(CurrentMtgRatesDataTable8[[#This Row],[WA CC]]&lt;&gt;0,C168-CurrentMtgRatesDataTable8[[#This Row],[WA CC]],0)</f>
        <v>0</v>
      </c>
      <c r="K169" s="16">
        <f>IF(CurrentMtgRatesDataTable8[[#This Row],[Servicing Spread]]&lt;=0,K168,CurrentMtgRatesDataTable8[[#This Row],[Servicing Spread]])</f>
        <v>1.1627033991714875</v>
      </c>
      <c r="L169" s="16">
        <f>CurrentMtgRatesDataTable8[[#This Row],[Servicing Spread Non-Zero]]-K168</f>
        <v>0</v>
      </c>
      <c r="M169" s="16">
        <f>IF(I168&lt;&gt;0,CurrentMtgRatesDataTable8[[#This Row],[Rate]]-C168,M168)</f>
        <v>-5.0000000000003375E-3</v>
      </c>
    </row>
    <row r="170" spans="1:13">
      <c r="A170" s="8" t="s">
        <v>475</v>
      </c>
      <c r="B170" s="11">
        <v>2.0725335490580301</v>
      </c>
      <c r="C170" s="13">
        <v>3.2649999999999997</v>
      </c>
      <c r="D170" s="14">
        <f t="shared" si="12"/>
        <v>2</v>
      </c>
      <c r="E170" s="14">
        <f t="shared" si="13"/>
        <v>0.2</v>
      </c>
      <c r="F170" s="14">
        <f t="shared" si="14"/>
        <v>2</v>
      </c>
      <c r="G170" s="14">
        <f t="shared" si="15"/>
        <v>0.8289954820974641</v>
      </c>
      <c r="H170" s="14">
        <f t="shared" si="16"/>
        <v>0.4</v>
      </c>
      <c r="I170" s="14">
        <f t="shared" si="17"/>
        <v>0</v>
      </c>
      <c r="J170" s="15">
        <f>IF(CurrentMtgRatesDataTable8[[#This Row],[WA CC]]&lt;&gt;0,C169-CurrentMtgRatesDataTable8[[#This Row],[WA CC]],0)</f>
        <v>0</v>
      </c>
      <c r="K170" s="16">
        <f>IF(CurrentMtgRatesDataTable8[[#This Row],[Servicing Spread]]&lt;=0,K169,CurrentMtgRatesDataTable8[[#This Row],[Servicing Spread]])</f>
        <v>1.1627033991714875</v>
      </c>
      <c r="L170" s="16">
        <f>CurrentMtgRatesDataTable8[[#This Row],[Servicing Spread Non-Zero]]-K169</f>
        <v>0</v>
      </c>
      <c r="M170" s="16">
        <f>IF(I169&lt;&gt;0,CurrentMtgRatesDataTable8[[#This Row],[Rate]]-C169,M169)</f>
        <v>-5.0000000000003375E-3</v>
      </c>
    </row>
    <row r="171" spans="1:13">
      <c r="A171" s="8" t="s">
        <v>338</v>
      </c>
      <c r="B171" s="11">
        <v>2.0862225711456399</v>
      </c>
      <c r="C171" s="13">
        <v>3.2649999999999997</v>
      </c>
      <c r="D171" s="14">
        <f t="shared" si="12"/>
        <v>5</v>
      </c>
      <c r="E171" s="14">
        <f t="shared" si="13"/>
        <v>0.2</v>
      </c>
      <c r="F171" s="14">
        <f t="shared" si="14"/>
        <v>3</v>
      </c>
      <c r="G171" s="14">
        <f t="shared" si="15"/>
        <v>1.246239996326592</v>
      </c>
      <c r="H171" s="14">
        <f t="shared" si="16"/>
        <v>0.60000000000000009</v>
      </c>
      <c r="I171" s="14">
        <f t="shared" si="17"/>
        <v>0</v>
      </c>
      <c r="J171" s="15">
        <f>IF(CurrentMtgRatesDataTable8[[#This Row],[WA CC]]&lt;&gt;0,C170-CurrentMtgRatesDataTable8[[#This Row],[WA CC]],0)</f>
        <v>0</v>
      </c>
      <c r="K171" s="16">
        <f>IF(CurrentMtgRatesDataTable8[[#This Row],[Servicing Spread]]&lt;=0,K170,CurrentMtgRatesDataTable8[[#This Row],[Servicing Spread]])</f>
        <v>1.1627033991714875</v>
      </c>
      <c r="L171" s="16">
        <f>CurrentMtgRatesDataTable8[[#This Row],[Servicing Spread Non-Zero]]-K170</f>
        <v>0</v>
      </c>
      <c r="M171" s="16">
        <f>IF(I170&lt;&gt;0,CurrentMtgRatesDataTable8[[#This Row],[Rate]]-C170,M170)</f>
        <v>-5.0000000000003375E-3</v>
      </c>
    </row>
    <row r="172" spans="1:13">
      <c r="A172" s="8" t="s">
        <v>198</v>
      </c>
      <c r="B172" s="11">
        <v>2.0678302367394399</v>
      </c>
      <c r="C172" s="13">
        <v>3.2649999999999997</v>
      </c>
      <c r="D172" s="14">
        <f t="shared" si="12"/>
        <v>6</v>
      </c>
      <c r="E172" s="14">
        <f t="shared" si="13"/>
        <v>0.2</v>
      </c>
      <c r="F172" s="14">
        <f t="shared" si="14"/>
        <v>4</v>
      </c>
      <c r="G172" s="14">
        <f t="shared" si="15"/>
        <v>1.6598060436744799</v>
      </c>
      <c r="H172" s="14">
        <f t="shared" si="16"/>
        <v>0.8</v>
      </c>
      <c r="I172" s="14">
        <f t="shared" si="17"/>
        <v>0</v>
      </c>
      <c r="J172" s="15">
        <f>IF(CurrentMtgRatesDataTable8[[#This Row],[WA CC]]&lt;&gt;0,C171-CurrentMtgRatesDataTable8[[#This Row],[WA CC]],0)</f>
        <v>0</v>
      </c>
      <c r="K172" s="16">
        <f>IF(CurrentMtgRatesDataTable8[[#This Row],[Servicing Spread]]&lt;=0,K171,CurrentMtgRatesDataTable8[[#This Row],[Servicing Spread]])</f>
        <v>1.1627033991714875</v>
      </c>
      <c r="L172" s="16">
        <f>CurrentMtgRatesDataTable8[[#This Row],[Servicing Spread Non-Zero]]-K171</f>
        <v>0</v>
      </c>
      <c r="M172" s="16">
        <f>IF(I171&lt;&gt;0,CurrentMtgRatesDataTable8[[#This Row],[Rate]]-C171,M171)</f>
        <v>-5.0000000000003375E-3</v>
      </c>
    </row>
    <row r="173" spans="1:13">
      <c r="A173" s="8" t="s">
        <v>53</v>
      </c>
      <c r="B173" s="11">
        <v>2.0799414922025399</v>
      </c>
      <c r="C173" s="13">
        <v>3.2649999999999997</v>
      </c>
      <c r="D173" s="14">
        <f t="shared" si="12"/>
        <v>7</v>
      </c>
      <c r="E173" s="14">
        <f t="shared" si="13"/>
        <v>0.2</v>
      </c>
      <c r="F173" s="14">
        <f t="shared" si="14"/>
        <v>5</v>
      </c>
      <c r="G173" s="14">
        <f t="shared" si="15"/>
        <v>2.075794342114988</v>
      </c>
      <c r="H173" s="14">
        <f t="shared" si="16"/>
        <v>1</v>
      </c>
      <c r="I173" s="14">
        <f t="shared" si="17"/>
        <v>2.075794342114988</v>
      </c>
      <c r="J173" s="15">
        <f>IF(CurrentMtgRatesDataTable8[[#This Row],[WA CC]]&lt;&gt;0,C172-CurrentMtgRatesDataTable8[[#This Row],[WA CC]],0)</f>
        <v>1.1892056578850116</v>
      </c>
      <c r="K173" s="16">
        <f>IF(CurrentMtgRatesDataTable8[[#This Row],[Servicing Spread]]&lt;=0,K172,CurrentMtgRatesDataTable8[[#This Row],[Servicing Spread]])</f>
        <v>1.1892056578850116</v>
      </c>
      <c r="L173" s="16">
        <f>CurrentMtgRatesDataTable8[[#This Row],[Servicing Spread Non-Zero]]-K172</f>
        <v>2.6502258713524185E-2</v>
      </c>
      <c r="M173" s="16">
        <f>IF(I172&lt;&gt;0,CurrentMtgRatesDataTable8[[#This Row],[Rate]]-C172,M172)</f>
        <v>-5.0000000000003375E-3</v>
      </c>
    </row>
    <row r="174" spans="1:13">
      <c r="A174" s="8" t="s">
        <v>619</v>
      </c>
      <c r="B174" s="11">
        <v>2.1082736282319798</v>
      </c>
      <c r="C174" s="13">
        <v>3.2449999999999997</v>
      </c>
      <c r="D174" s="14">
        <f t="shared" si="12"/>
        <v>1</v>
      </c>
      <c r="E174" s="14">
        <f t="shared" si="13"/>
        <v>0.2</v>
      </c>
      <c r="F174" s="14">
        <f t="shared" si="14"/>
        <v>1</v>
      </c>
      <c r="G174" s="14">
        <f t="shared" si="15"/>
        <v>0.421654725646396</v>
      </c>
      <c r="H174" s="14">
        <f t="shared" si="16"/>
        <v>0.2</v>
      </c>
      <c r="I174" s="14">
        <f t="shared" si="17"/>
        <v>0</v>
      </c>
      <c r="J174" s="15">
        <f>IF(CurrentMtgRatesDataTable8[[#This Row],[WA CC]]&lt;&gt;0,C173-CurrentMtgRatesDataTable8[[#This Row],[WA CC]],0)</f>
        <v>0</v>
      </c>
      <c r="K174" s="16">
        <f>IF(CurrentMtgRatesDataTable8[[#This Row],[Servicing Spread]]&lt;=0,K173,CurrentMtgRatesDataTable8[[#This Row],[Servicing Spread]])</f>
        <v>1.1892056578850116</v>
      </c>
      <c r="L174" s="16">
        <f>CurrentMtgRatesDataTable8[[#This Row],[Servicing Spread Non-Zero]]-K173</f>
        <v>0</v>
      </c>
      <c r="M174" s="16">
        <f>IF(I173&lt;&gt;0,CurrentMtgRatesDataTable8[[#This Row],[Rate]]-C173,M173)</f>
        <v>-2.0000000000000018E-2</v>
      </c>
    </row>
    <row r="175" spans="1:13">
      <c r="A175" s="8" t="s">
        <v>476</v>
      </c>
      <c r="B175" s="11">
        <v>2.1663327490122799</v>
      </c>
      <c r="C175" s="13">
        <v>3.2449999999999997</v>
      </c>
      <c r="D175" s="14">
        <f t="shared" si="12"/>
        <v>2</v>
      </c>
      <c r="E175" s="14">
        <f t="shared" si="13"/>
        <v>0.2</v>
      </c>
      <c r="F175" s="14">
        <f t="shared" si="14"/>
        <v>2</v>
      </c>
      <c r="G175" s="14">
        <f t="shared" si="15"/>
        <v>0.85492127544885199</v>
      </c>
      <c r="H175" s="14">
        <f t="shared" si="16"/>
        <v>0.4</v>
      </c>
      <c r="I175" s="14">
        <f t="shared" si="17"/>
        <v>0</v>
      </c>
      <c r="J175" s="15">
        <f>IF(CurrentMtgRatesDataTable8[[#This Row],[WA CC]]&lt;&gt;0,C174-CurrentMtgRatesDataTable8[[#This Row],[WA CC]],0)</f>
        <v>0</v>
      </c>
      <c r="K175" s="16">
        <f>IF(CurrentMtgRatesDataTable8[[#This Row],[Servicing Spread]]&lt;=0,K174,CurrentMtgRatesDataTable8[[#This Row],[Servicing Spread]])</f>
        <v>1.1892056578850116</v>
      </c>
      <c r="L175" s="16">
        <f>CurrentMtgRatesDataTable8[[#This Row],[Servicing Spread Non-Zero]]-K174</f>
        <v>0</v>
      </c>
      <c r="M175" s="16">
        <f>IF(I174&lt;&gt;0,CurrentMtgRatesDataTable8[[#This Row],[Rate]]-C174,M174)</f>
        <v>-2.0000000000000018E-2</v>
      </c>
    </row>
    <row r="176" spans="1:13">
      <c r="A176" s="8" t="s">
        <v>339</v>
      </c>
      <c r="B176" s="11">
        <v>2.1263199579473602</v>
      </c>
      <c r="C176" s="13">
        <v>3.2449999999999997</v>
      </c>
      <c r="D176" s="14">
        <f t="shared" si="12"/>
        <v>5</v>
      </c>
      <c r="E176" s="14">
        <f t="shared" si="13"/>
        <v>0.2</v>
      </c>
      <c r="F176" s="14">
        <f t="shared" si="14"/>
        <v>3</v>
      </c>
      <c r="G176" s="14">
        <f t="shared" si="15"/>
        <v>1.280185267038324</v>
      </c>
      <c r="H176" s="14">
        <f t="shared" si="16"/>
        <v>0.60000000000000009</v>
      </c>
      <c r="I176" s="14">
        <f t="shared" si="17"/>
        <v>0</v>
      </c>
      <c r="J176" s="15">
        <f>IF(CurrentMtgRatesDataTable8[[#This Row],[WA CC]]&lt;&gt;0,C175-CurrentMtgRatesDataTable8[[#This Row],[WA CC]],0)</f>
        <v>0</v>
      </c>
      <c r="K176" s="16">
        <f>IF(CurrentMtgRatesDataTable8[[#This Row],[Servicing Spread]]&lt;=0,K175,CurrentMtgRatesDataTable8[[#This Row],[Servicing Spread]])</f>
        <v>1.1892056578850116</v>
      </c>
      <c r="L176" s="16">
        <f>CurrentMtgRatesDataTable8[[#This Row],[Servicing Spread Non-Zero]]-K175</f>
        <v>0</v>
      </c>
      <c r="M176" s="16">
        <f>IF(I175&lt;&gt;0,CurrentMtgRatesDataTable8[[#This Row],[Rate]]-C175,M175)</f>
        <v>-2.0000000000000018E-2</v>
      </c>
    </row>
    <row r="177" spans="1:13">
      <c r="A177" s="8" t="s">
        <v>199</v>
      </c>
      <c r="B177" s="11">
        <v>2.1257047070821802</v>
      </c>
      <c r="C177" s="13">
        <v>3.2449999999999997</v>
      </c>
      <c r="D177" s="14">
        <f t="shared" si="12"/>
        <v>6</v>
      </c>
      <c r="E177" s="14">
        <f t="shared" si="13"/>
        <v>0.2</v>
      </c>
      <c r="F177" s="14">
        <f t="shared" si="14"/>
        <v>4</v>
      </c>
      <c r="G177" s="14">
        <f t="shared" si="15"/>
        <v>1.70532620845476</v>
      </c>
      <c r="H177" s="14">
        <f t="shared" si="16"/>
        <v>0.8</v>
      </c>
      <c r="I177" s="14">
        <f t="shared" si="17"/>
        <v>0</v>
      </c>
      <c r="J177" s="15">
        <f>IF(CurrentMtgRatesDataTable8[[#This Row],[WA CC]]&lt;&gt;0,C176-CurrentMtgRatesDataTable8[[#This Row],[WA CC]],0)</f>
        <v>0</v>
      </c>
      <c r="K177" s="16">
        <f>IF(CurrentMtgRatesDataTable8[[#This Row],[Servicing Spread]]&lt;=0,K176,CurrentMtgRatesDataTable8[[#This Row],[Servicing Spread]])</f>
        <v>1.1892056578850116</v>
      </c>
      <c r="L177" s="16">
        <f>CurrentMtgRatesDataTable8[[#This Row],[Servicing Spread Non-Zero]]-K176</f>
        <v>0</v>
      </c>
      <c r="M177" s="16">
        <f>IF(I176&lt;&gt;0,CurrentMtgRatesDataTable8[[#This Row],[Rate]]-C176,M176)</f>
        <v>-2.0000000000000018E-2</v>
      </c>
    </row>
    <row r="178" spans="1:13">
      <c r="A178" s="8" t="s">
        <v>54</v>
      </c>
      <c r="B178" s="11">
        <v>2.1698452448822598</v>
      </c>
      <c r="C178" s="13">
        <v>3.2449999999999997</v>
      </c>
      <c r="D178" s="14">
        <f t="shared" si="12"/>
        <v>7</v>
      </c>
      <c r="E178" s="14">
        <f t="shared" si="13"/>
        <v>0.2</v>
      </c>
      <c r="F178" s="14">
        <f t="shared" si="14"/>
        <v>5</v>
      </c>
      <c r="G178" s="14">
        <f t="shared" si="15"/>
        <v>2.1392952574312121</v>
      </c>
      <c r="H178" s="14">
        <f t="shared" si="16"/>
        <v>1</v>
      </c>
      <c r="I178" s="14">
        <f t="shared" si="17"/>
        <v>2.1392952574312121</v>
      </c>
      <c r="J178" s="15">
        <f>IF(CurrentMtgRatesDataTable8[[#This Row],[WA CC]]&lt;&gt;0,C177-CurrentMtgRatesDataTable8[[#This Row],[WA CC]],0)</f>
        <v>1.1057047425687876</v>
      </c>
      <c r="K178" s="16">
        <f>IF(CurrentMtgRatesDataTable8[[#This Row],[Servicing Spread]]&lt;=0,K177,CurrentMtgRatesDataTable8[[#This Row],[Servicing Spread]])</f>
        <v>1.1057047425687876</v>
      </c>
      <c r="L178" s="16">
        <f>CurrentMtgRatesDataTable8[[#This Row],[Servicing Spread Non-Zero]]-K177</f>
        <v>-8.3500915316224056E-2</v>
      </c>
      <c r="M178" s="16">
        <f>IF(I177&lt;&gt;0,CurrentMtgRatesDataTable8[[#This Row],[Rate]]-C177,M177)</f>
        <v>-2.0000000000000018E-2</v>
      </c>
    </row>
    <row r="179" spans="1:13">
      <c r="A179" s="8" t="s">
        <v>620</v>
      </c>
      <c r="B179" s="11">
        <v>2.17954329599754</v>
      </c>
      <c r="C179" s="13">
        <v>3.2949999999999999</v>
      </c>
      <c r="D179" s="14">
        <f t="shared" si="12"/>
        <v>1</v>
      </c>
      <c r="E179" s="14">
        <f t="shared" si="13"/>
        <v>0.2</v>
      </c>
      <c r="F179" s="14">
        <f t="shared" si="14"/>
        <v>1</v>
      </c>
      <c r="G179" s="14">
        <f t="shared" si="15"/>
        <v>0.43590865919950805</v>
      </c>
      <c r="H179" s="14">
        <f t="shared" si="16"/>
        <v>0.2</v>
      </c>
      <c r="I179" s="14">
        <f t="shared" si="17"/>
        <v>0</v>
      </c>
      <c r="J179" s="15">
        <f>IF(CurrentMtgRatesDataTable8[[#This Row],[WA CC]]&lt;&gt;0,C178-CurrentMtgRatesDataTable8[[#This Row],[WA CC]],0)</f>
        <v>0</v>
      </c>
      <c r="K179" s="16">
        <f>IF(CurrentMtgRatesDataTable8[[#This Row],[Servicing Spread]]&lt;=0,K178,CurrentMtgRatesDataTable8[[#This Row],[Servicing Spread]])</f>
        <v>1.1057047425687876</v>
      </c>
      <c r="L179" s="16">
        <f>CurrentMtgRatesDataTable8[[#This Row],[Servicing Spread Non-Zero]]-K178</f>
        <v>0</v>
      </c>
      <c r="M179" s="16">
        <f>IF(I178&lt;&gt;0,CurrentMtgRatesDataTable8[[#This Row],[Rate]]-C178,M178)</f>
        <v>5.0000000000000266E-2</v>
      </c>
    </row>
    <row r="180" spans="1:13">
      <c r="A180" s="8" t="s">
        <v>477</v>
      </c>
      <c r="B180" s="11">
        <v>2.1747058079367898</v>
      </c>
      <c r="C180" s="13">
        <v>3.2949999999999999</v>
      </c>
      <c r="D180" s="14">
        <f t="shared" si="12"/>
        <v>2</v>
      </c>
      <c r="E180" s="14">
        <f t="shared" si="13"/>
        <v>0.2</v>
      </c>
      <c r="F180" s="14">
        <f t="shared" si="14"/>
        <v>2</v>
      </c>
      <c r="G180" s="14">
        <f t="shared" si="15"/>
        <v>0.87084982078686601</v>
      </c>
      <c r="H180" s="14">
        <f t="shared" si="16"/>
        <v>0.4</v>
      </c>
      <c r="I180" s="14">
        <f t="shared" si="17"/>
        <v>0</v>
      </c>
      <c r="J180" s="15">
        <f>IF(CurrentMtgRatesDataTable8[[#This Row],[WA CC]]&lt;&gt;0,C179-CurrentMtgRatesDataTable8[[#This Row],[WA CC]],0)</f>
        <v>0</v>
      </c>
      <c r="K180" s="16">
        <f>IF(CurrentMtgRatesDataTable8[[#This Row],[Servicing Spread]]&lt;=0,K179,CurrentMtgRatesDataTable8[[#This Row],[Servicing Spread]])</f>
        <v>1.1057047425687876</v>
      </c>
      <c r="L180" s="16">
        <f>CurrentMtgRatesDataTable8[[#This Row],[Servicing Spread Non-Zero]]-K179</f>
        <v>0</v>
      </c>
      <c r="M180" s="16">
        <f>IF(I179&lt;&gt;0,CurrentMtgRatesDataTable8[[#This Row],[Rate]]-C179,M179)</f>
        <v>5.0000000000000266E-2</v>
      </c>
    </row>
    <row r="181" spans="1:13">
      <c r="A181" s="8" t="s">
        <v>340</v>
      </c>
      <c r="B181" s="11">
        <v>2.1860869431888501</v>
      </c>
      <c r="C181" s="13">
        <v>3.2949999999999999</v>
      </c>
      <c r="D181" s="14">
        <f t="shared" si="12"/>
        <v>5</v>
      </c>
      <c r="E181" s="14">
        <f t="shared" si="13"/>
        <v>0.2</v>
      </c>
      <c r="F181" s="14">
        <f t="shared" si="14"/>
        <v>3</v>
      </c>
      <c r="G181" s="14">
        <f t="shared" si="15"/>
        <v>1.3080672094246362</v>
      </c>
      <c r="H181" s="14">
        <f t="shared" si="16"/>
        <v>0.60000000000000009</v>
      </c>
      <c r="I181" s="14">
        <f t="shared" si="17"/>
        <v>0</v>
      </c>
      <c r="J181" s="15">
        <f>IF(CurrentMtgRatesDataTable8[[#This Row],[WA CC]]&lt;&gt;0,C180-CurrentMtgRatesDataTable8[[#This Row],[WA CC]],0)</f>
        <v>0</v>
      </c>
      <c r="K181" s="16">
        <f>IF(CurrentMtgRatesDataTable8[[#This Row],[Servicing Spread]]&lt;=0,K180,CurrentMtgRatesDataTable8[[#This Row],[Servicing Spread]])</f>
        <v>1.1057047425687876</v>
      </c>
      <c r="L181" s="16">
        <f>CurrentMtgRatesDataTable8[[#This Row],[Servicing Spread Non-Zero]]-K180</f>
        <v>0</v>
      </c>
      <c r="M181" s="16">
        <f>IF(I180&lt;&gt;0,CurrentMtgRatesDataTable8[[#This Row],[Rate]]-C180,M180)</f>
        <v>5.0000000000000266E-2</v>
      </c>
    </row>
    <row r="182" spans="1:13">
      <c r="A182" s="8" t="s">
        <v>200</v>
      </c>
      <c r="B182" s="11">
        <v>2.2549632116225702</v>
      </c>
      <c r="C182" s="13">
        <v>3.2949999999999999</v>
      </c>
      <c r="D182" s="14">
        <f t="shared" si="12"/>
        <v>6</v>
      </c>
      <c r="E182" s="14">
        <f t="shared" si="13"/>
        <v>0.2</v>
      </c>
      <c r="F182" s="14">
        <f t="shared" si="14"/>
        <v>4</v>
      </c>
      <c r="G182" s="14">
        <f t="shared" si="15"/>
        <v>1.7590598517491502</v>
      </c>
      <c r="H182" s="14">
        <f t="shared" si="16"/>
        <v>0.8</v>
      </c>
      <c r="I182" s="14">
        <f t="shared" si="17"/>
        <v>0</v>
      </c>
      <c r="J182" s="15">
        <f>IF(CurrentMtgRatesDataTable8[[#This Row],[WA CC]]&lt;&gt;0,C181-CurrentMtgRatesDataTable8[[#This Row],[WA CC]],0)</f>
        <v>0</v>
      </c>
      <c r="K182" s="16">
        <f>IF(CurrentMtgRatesDataTable8[[#This Row],[Servicing Spread]]&lt;=0,K181,CurrentMtgRatesDataTable8[[#This Row],[Servicing Spread]])</f>
        <v>1.1057047425687876</v>
      </c>
      <c r="L182" s="16">
        <f>CurrentMtgRatesDataTable8[[#This Row],[Servicing Spread Non-Zero]]-K181</f>
        <v>0</v>
      </c>
      <c r="M182" s="16">
        <f>IF(I181&lt;&gt;0,CurrentMtgRatesDataTable8[[#This Row],[Rate]]-C181,M181)</f>
        <v>5.0000000000000266E-2</v>
      </c>
    </row>
    <row r="183" spans="1:13">
      <c r="A183" s="8" t="s">
        <v>55</v>
      </c>
      <c r="B183" s="11">
        <v>2.20825796099597</v>
      </c>
      <c r="C183" s="13">
        <v>3.2949999999999999</v>
      </c>
      <c r="D183" s="14">
        <f t="shared" si="12"/>
        <v>7</v>
      </c>
      <c r="E183" s="14">
        <f t="shared" si="13"/>
        <v>0.2</v>
      </c>
      <c r="F183" s="14">
        <f t="shared" si="14"/>
        <v>5</v>
      </c>
      <c r="G183" s="14">
        <f t="shared" si="15"/>
        <v>2.2007114439483444</v>
      </c>
      <c r="H183" s="14">
        <f t="shared" si="16"/>
        <v>1</v>
      </c>
      <c r="I183" s="14">
        <f t="shared" si="17"/>
        <v>2.2007114439483444</v>
      </c>
      <c r="J183" s="15">
        <f>IF(CurrentMtgRatesDataTable8[[#This Row],[WA CC]]&lt;&gt;0,C182-CurrentMtgRatesDataTable8[[#This Row],[WA CC]],0)</f>
        <v>1.0942885560516555</v>
      </c>
      <c r="K183" s="16">
        <f>IF(CurrentMtgRatesDataTable8[[#This Row],[Servicing Spread]]&lt;=0,K182,CurrentMtgRatesDataTable8[[#This Row],[Servicing Spread]])</f>
        <v>1.0942885560516555</v>
      </c>
      <c r="L183" s="16">
        <f>CurrentMtgRatesDataTable8[[#This Row],[Servicing Spread Non-Zero]]-K182</f>
        <v>-1.1416186517132054E-2</v>
      </c>
      <c r="M183" s="16">
        <f>IF(I182&lt;&gt;0,CurrentMtgRatesDataTable8[[#This Row],[Rate]]-C182,M182)</f>
        <v>5.0000000000000266E-2</v>
      </c>
    </row>
    <row r="184" spans="1:13">
      <c r="A184" s="8" t="s">
        <v>621</v>
      </c>
      <c r="B184" s="11">
        <v>2.18927927513684</v>
      </c>
      <c r="C184" s="13">
        <v>3.2749999999999999</v>
      </c>
      <c r="D184" s="14">
        <f t="shared" si="12"/>
        <v>1</v>
      </c>
      <c r="E184" s="14">
        <f t="shared" si="13"/>
        <v>0.2</v>
      </c>
      <c r="F184" s="14">
        <f t="shared" si="14"/>
        <v>1</v>
      </c>
      <c r="G184" s="14">
        <f t="shared" si="15"/>
        <v>0.43785585502736801</v>
      </c>
      <c r="H184" s="14">
        <f t="shared" si="16"/>
        <v>0.2</v>
      </c>
      <c r="I184" s="14">
        <f t="shared" si="17"/>
        <v>0</v>
      </c>
      <c r="J184" s="15">
        <f>IF(CurrentMtgRatesDataTable8[[#This Row],[WA CC]]&lt;&gt;0,C183-CurrentMtgRatesDataTable8[[#This Row],[WA CC]],0)</f>
        <v>0</v>
      </c>
      <c r="K184" s="16">
        <f>IF(CurrentMtgRatesDataTable8[[#This Row],[Servicing Spread]]&lt;=0,K183,CurrentMtgRatesDataTable8[[#This Row],[Servicing Spread]])</f>
        <v>1.0942885560516555</v>
      </c>
      <c r="L184" s="16">
        <f>CurrentMtgRatesDataTable8[[#This Row],[Servicing Spread Non-Zero]]-K183</f>
        <v>0</v>
      </c>
      <c r="M184" s="16">
        <f>IF(I183&lt;&gt;0,CurrentMtgRatesDataTable8[[#This Row],[Rate]]-C183,M183)</f>
        <v>-2.0000000000000018E-2</v>
      </c>
    </row>
    <row r="185" spans="1:13">
      <c r="A185" s="8" t="s">
        <v>478</v>
      </c>
      <c r="B185" s="11">
        <v>2.14957407921754</v>
      </c>
      <c r="C185" s="13">
        <v>3.2749999999999999</v>
      </c>
      <c r="D185" s="14">
        <f t="shared" si="12"/>
        <v>2</v>
      </c>
      <c r="E185" s="14">
        <f t="shared" si="13"/>
        <v>0.2</v>
      </c>
      <c r="F185" s="14">
        <f t="shared" si="14"/>
        <v>2</v>
      </c>
      <c r="G185" s="14">
        <f t="shared" si="15"/>
        <v>0.867770670870876</v>
      </c>
      <c r="H185" s="14">
        <f t="shared" si="16"/>
        <v>0.4</v>
      </c>
      <c r="I185" s="14">
        <f t="shared" si="17"/>
        <v>0</v>
      </c>
      <c r="J185" s="15">
        <f>IF(CurrentMtgRatesDataTable8[[#This Row],[WA CC]]&lt;&gt;0,C184-CurrentMtgRatesDataTable8[[#This Row],[WA CC]],0)</f>
        <v>0</v>
      </c>
      <c r="K185" s="16">
        <f>IF(CurrentMtgRatesDataTable8[[#This Row],[Servicing Spread]]&lt;=0,K184,CurrentMtgRatesDataTable8[[#This Row],[Servicing Spread]])</f>
        <v>1.0942885560516555</v>
      </c>
      <c r="L185" s="16">
        <f>CurrentMtgRatesDataTable8[[#This Row],[Servicing Spread Non-Zero]]-K184</f>
        <v>0</v>
      </c>
      <c r="M185" s="16">
        <f>IF(I184&lt;&gt;0,CurrentMtgRatesDataTable8[[#This Row],[Rate]]-C184,M184)</f>
        <v>-2.0000000000000018E-2</v>
      </c>
    </row>
    <row r="186" spans="1:13">
      <c r="A186" s="8" t="s">
        <v>341</v>
      </c>
      <c r="B186" s="11">
        <v>2.1781660184228402</v>
      </c>
      <c r="C186" s="13">
        <v>3.2749999999999999</v>
      </c>
      <c r="D186" s="14">
        <f t="shared" si="12"/>
        <v>5</v>
      </c>
      <c r="E186" s="14">
        <f t="shared" si="13"/>
        <v>0.2</v>
      </c>
      <c r="F186" s="14">
        <f t="shared" si="14"/>
        <v>3</v>
      </c>
      <c r="G186" s="14">
        <f t="shared" si="15"/>
        <v>1.3034038745554439</v>
      </c>
      <c r="H186" s="14">
        <f t="shared" si="16"/>
        <v>0.60000000000000009</v>
      </c>
      <c r="I186" s="14">
        <f t="shared" si="17"/>
        <v>0</v>
      </c>
      <c r="J186" s="15">
        <f>IF(CurrentMtgRatesDataTable8[[#This Row],[WA CC]]&lt;&gt;0,C185-CurrentMtgRatesDataTable8[[#This Row],[WA CC]],0)</f>
        <v>0</v>
      </c>
      <c r="K186" s="16">
        <f>IF(CurrentMtgRatesDataTable8[[#This Row],[Servicing Spread]]&lt;=0,K185,CurrentMtgRatesDataTable8[[#This Row],[Servicing Spread]])</f>
        <v>1.0942885560516555</v>
      </c>
      <c r="L186" s="16">
        <f>CurrentMtgRatesDataTable8[[#This Row],[Servicing Spread Non-Zero]]-K185</f>
        <v>0</v>
      </c>
      <c r="M186" s="16">
        <f>IF(I185&lt;&gt;0,CurrentMtgRatesDataTable8[[#This Row],[Rate]]-C185,M185)</f>
        <v>-2.0000000000000018E-2</v>
      </c>
    </row>
    <row r="187" spans="1:13">
      <c r="A187" s="8" t="s">
        <v>56</v>
      </c>
      <c r="B187" s="11">
        <v>2.1575085514306598</v>
      </c>
      <c r="C187" s="13">
        <v>3.2749999999999999</v>
      </c>
      <c r="D187" s="14">
        <f t="shared" si="12"/>
        <v>7</v>
      </c>
      <c r="E187" s="14">
        <f t="shared" si="13"/>
        <v>0.2</v>
      </c>
      <c r="F187" s="14">
        <f t="shared" si="14"/>
        <v>4</v>
      </c>
      <c r="G187" s="14">
        <f t="shared" si="15"/>
        <v>1.734905584841576</v>
      </c>
      <c r="H187" s="14">
        <f t="shared" si="16"/>
        <v>0.8</v>
      </c>
      <c r="I187" s="14">
        <f t="shared" si="17"/>
        <v>2.1686319810519699</v>
      </c>
      <c r="J187" s="15">
        <f>IF(CurrentMtgRatesDataTable8[[#This Row],[WA CC]]&lt;&gt;0,C186-CurrentMtgRatesDataTable8[[#This Row],[WA CC]],0)</f>
        <v>1.1063680189480301</v>
      </c>
      <c r="K187" s="16">
        <f>IF(CurrentMtgRatesDataTable8[[#This Row],[Servicing Spread]]&lt;=0,K186,CurrentMtgRatesDataTable8[[#This Row],[Servicing Spread]])</f>
        <v>1.1063680189480301</v>
      </c>
      <c r="L187" s="16">
        <f>CurrentMtgRatesDataTable8[[#This Row],[Servicing Spread Non-Zero]]-K186</f>
        <v>1.2079462896374515E-2</v>
      </c>
      <c r="M187" s="16">
        <f>IF(I186&lt;&gt;0,CurrentMtgRatesDataTable8[[#This Row],[Rate]]-C186,M186)</f>
        <v>-2.0000000000000018E-2</v>
      </c>
    </row>
    <row r="188" spans="1:13">
      <c r="A188" s="8" t="s">
        <v>622</v>
      </c>
      <c r="B188" s="11">
        <v>2.12227766952706</v>
      </c>
      <c r="C188" s="13">
        <v>3.2649999999999997</v>
      </c>
      <c r="D188" s="14">
        <f t="shared" si="12"/>
        <v>1</v>
      </c>
      <c r="E188" s="14">
        <f t="shared" si="13"/>
        <v>0.2</v>
      </c>
      <c r="F188" s="14">
        <f t="shared" si="14"/>
        <v>1</v>
      </c>
      <c r="G188" s="14">
        <f t="shared" si="15"/>
        <v>0.42445553390541202</v>
      </c>
      <c r="H188" s="14">
        <f t="shared" si="16"/>
        <v>0.2</v>
      </c>
      <c r="I188" s="14">
        <f t="shared" si="17"/>
        <v>0</v>
      </c>
      <c r="J188" s="15">
        <f>IF(CurrentMtgRatesDataTable8[[#This Row],[WA CC]]&lt;&gt;0,C187-CurrentMtgRatesDataTable8[[#This Row],[WA CC]],0)</f>
        <v>0</v>
      </c>
      <c r="K188" s="16">
        <f>IF(CurrentMtgRatesDataTable8[[#This Row],[Servicing Spread]]&lt;=0,K187,CurrentMtgRatesDataTable8[[#This Row],[Servicing Spread]])</f>
        <v>1.1063680189480301</v>
      </c>
      <c r="L188" s="16">
        <f>CurrentMtgRatesDataTable8[[#This Row],[Servicing Spread Non-Zero]]-K187</f>
        <v>0</v>
      </c>
      <c r="M188" s="16">
        <f>IF(I187&lt;&gt;0,CurrentMtgRatesDataTable8[[#This Row],[Rate]]-C187,M187)</f>
        <v>-1.0000000000000231E-2</v>
      </c>
    </row>
    <row r="189" spans="1:13">
      <c r="A189" s="8" t="s">
        <v>479</v>
      </c>
      <c r="B189" s="11">
        <v>2.1401763219910399</v>
      </c>
      <c r="C189" s="13">
        <v>3.2649999999999997</v>
      </c>
      <c r="D189" s="14">
        <f t="shared" si="12"/>
        <v>2</v>
      </c>
      <c r="E189" s="14">
        <f t="shared" si="13"/>
        <v>0.2</v>
      </c>
      <c r="F189" s="14">
        <f t="shared" si="14"/>
        <v>2</v>
      </c>
      <c r="G189" s="14">
        <f t="shared" si="15"/>
        <v>0.85249079830362007</v>
      </c>
      <c r="H189" s="14">
        <f t="shared" si="16"/>
        <v>0.4</v>
      </c>
      <c r="I189" s="14">
        <f t="shared" si="17"/>
        <v>0</v>
      </c>
      <c r="J189" s="15">
        <f>IF(CurrentMtgRatesDataTable8[[#This Row],[WA CC]]&lt;&gt;0,C188-CurrentMtgRatesDataTable8[[#This Row],[WA CC]],0)</f>
        <v>0</v>
      </c>
      <c r="K189" s="16">
        <f>IF(CurrentMtgRatesDataTable8[[#This Row],[Servicing Spread]]&lt;=0,K188,CurrentMtgRatesDataTable8[[#This Row],[Servicing Spread]])</f>
        <v>1.1063680189480301</v>
      </c>
      <c r="L189" s="16">
        <f>CurrentMtgRatesDataTable8[[#This Row],[Servicing Spread Non-Zero]]-K188</f>
        <v>0</v>
      </c>
      <c r="M189" s="16">
        <f>IF(I188&lt;&gt;0,CurrentMtgRatesDataTable8[[#This Row],[Rate]]-C188,M188)</f>
        <v>-1.0000000000000231E-2</v>
      </c>
    </row>
    <row r="190" spans="1:13">
      <c r="A190" s="8" t="s">
        <v>342</v>
      </c>
      <c r="B190" s="11">
        <v>2.1517307112587098</v>
      </c>
      <c r="C190" s="13">
        <v>3.2649999999999997</v>
      </c>
      <c r="D190" s="14">
        <f t="shared" si="12"/>
        <v>5</v>
      </c>
      <c r="E190" s="14">
        <f t="shared" si="13"/>
        <v>0.2</v>
      </c>
      <c r="F190" s="14">
        <f t="shared" si="14"/>
        <v>3</v>
      </c>
      <c r="G190" s="14">
        <f t="shared" si="15"/>
        <v>1.2828369405553621</v>
      </c>
      <c r="H190" s="14">
        <f t="shared" si="16"/>
        <v>0.60000000000000009</v>
      </c>
      <c r="I190" s="14">
        <f t="shared" si="17"/>
        <v>0</v>
      </c>
      <c r="J190" s="15">
        <f>IF(CurrentMtgRatesDataTable8[[#This Row],[WA CC]]&lt;&gt;0,C189-CurrentMtgRatesDataTable8[[#This Row],[WA CC]],0)</f>
        <v>0</v>
      </c>
      <c r="K190" s="16">
        <f>IF(CurrentMtgRatesDataTable8[[#This Row],[Servicing Spread]]&lt;=0,K189,CurrentMtgRatesDataTable8[[#This Row],[Servicing Spread]])</f>
        <v>1.1063680189480301</v>
      </c>
      <c r="L190" s="16">
        <f>CurrentMtgRatesDataTable8[[#This Row],[Servicing Spread Non-Zero]]-K189</f>
        <v>0</v>
      </c>
      <c r="M190" s="16">
        <f>IF(I189&lt;&gt;0,CurrentMtgRatesDataTable8[[#This Row],[Rate]]-C189,M189)</f>
        <v>-1.0000000000000231E-2</v>
      </c>
    </row>
    <row r="191" spans="1:13">
      <c r="A191" s="8" t="s">
        <v>57</v>
      </c>
      <c r="B191" s="11">
        <v>2.2179772298988301</v>
      </c>
      <c r="C191" s="13">
        <v>3.2649999999999997</v>
      </c>
      <c r="D191" s="14">
        <f t="shared" si="12"/>
        <v>7</v>
      </c>
      <c r="E191" s="14">
        <f t="shared" si="13"/>
        <v>0.2</v>
      </c>
      <c r="F191" s="14">
        <f t="shared" si="14"/>
        <v>4</v>
      </c>
      <c r="G191" s="14">
        <f t="shared" si="15"/>
        <v>1.7264323865351281</v>
      </c>
      <c r="H191" s="14">
        <f t="shared" si="16"/>
        <v>0.8</v>
      </c>
      <c r="I191" s="14">
        <f t="shared" si="17"/>
        <v>2.15804048316891</v>
      </c>
      <c r="J191" s="15">
        <f>IF(CurrentMtgRatesDataTable8[[#This Row],[WA CC]]&lt;&gt;0,C190-CurrentMtgRatesDataTable8[[#This Row],[WA CC]],0)</f>
        <v>1.1069595168310897</v>
      </c>
      <c r="K191" s="16">
        <f>IF(CurrentMtgRatesDataTable8[[#This Row],[Servicing Spread]]&lt;=0,K190,CurrentMtgRatesDataTable8[[#This Row],[Servicing Spread]])</f>
        <v>1.1069595168310897</v>
      </c>
      <c r="L191" s="16">
        <f>CurrentMtgRatesDataTable8[[#This Row],[Servicing Spread Non-Zero]]-K190</f>
        <v>5.9149788305967732E-4</v>
      </c>
      <c r="M191" s="16">
        <f>IF(I190&lt;&gt;0,CurrentMtgRatesDataTable8[[#This Row],[Rate]]-C190,M190)</f>
        <v>-1.0000000000000231E-2</v>
      </c>
    </row>
    <row r="192" spans="1:13">
      <c r="A192" s="8" t="s">
        <v>623</v>
      </c>
      <c r="B192" s="11">
        <v>2.33893527316877</v>
      </c>
      <c r="C192" s="13">
        <v>3.3249999999999997</v>
      </c>
      <c r="D192" s="14">
        <f t="shared" si="12"/>
        <v>1</v>
      </c>
      <c r="E192" s="14">
        <f t="shared" si="13"/>
        <v>0.2</v>
      </c>
      <c r="F192" s="14">
        <f t="shared" si="14"/>
        <v>1</v>
      </c>
      <c r="G192" s="14">
        <f t="shared" si="15"/>
        <v>0.46778705463375403</v>
      </c>
      <c r="H192" s="14">
        <f t="shared" si="16"/>
        <v>0.2</v>
      </c>
      <c r="I192" s="14">
        <f t="shared" si="17"/>
        <v>0</v>
      </c>
      <c r="J192" s="15">
        <f>IF(CurrentMtgRatesDataTable8[[#This Row],[WA CC]]&lt;&gt;0,C191-CurrentMtgRatesDataTable8[[#This Row],[WA CC]],0)</f>
        <v>0</v>
      </c>
      <c r="K192" s="16">
        <f>IF(CurrentMtgRatesDataTable8[[#This Row],[Servicing Spread]]&lt;=0,K191,CurrentMtgRatesDataTable8[[#This Row],[Servicing Spread]])</f>
        <v>1.1069595168310897</v>
      </c>
      <c r="L192" s="16">
        <f>CurrentMtgRatesDataTable8[[#This Row],[Servicing Spread Non-Zero]]-K191</f>
        <v>0</v>
      </c>
      <c r="M192" s="16">
        <f>IF(I191&lt;&gt;0,CurrentMtgRatesDataTable8[[#This Row],[Rate]]-C191,M191)</f>
        <v>6.0000000000000053E-2</v>
      </c>
    </row>
    <row r="193" spans="1:13">
      <c r="A193" s="8" t="s">
        <v>480</v>
      </c>
      <c r="B193" s="11">
        <v>2.3583903097049501</v>
      </c>
      <c r="C193" s="13">
        <v>3.3249999999999997</v>
      </c>
      <c r="D193" s="14">
        <f t="shared" si="12"/>
        <v>2</v>
      </c>
      <c r="E193" s="14">
        <f t="shared" si="13"/>
        <v>0.2</v>
      </c>
      <c r="F193" s="14">
        <f t="shared" si="14"/>
        <v>2</v>
      </c>
      <c r="G193" s="14">
        <f t="shared" si="15"/>
        <v>0.93946511657474407</v>
      </c>
      <c r="H193" s="14">
        <f t="shared" si="16"/>
        <v>0.4</v>
      </c>
      <c r="I193" s="14">
        <f t="shared" si="17"/>
        <v>0</v>
      </c>
      <c r="J193" s="15">
        <f>IF(CurrentMtgRatesDataTable8[[#This Row],[WA CC]]&lt;&gt;0,C192-CurrentMtgRatesDataTable8[[#This Row],[WA CC]],0)</f>
        <v>0</v>
      </c>
      <c r="K193" s="16">
        <f>IF(CurrentMtgRatesDataTable8[[#This Row],[Servicing Spread]]&lt;=0,K192,CurrentMtgRatesDataTable8[[#This Row],[Servicing Spread]])</f>
        <v>1.1069595168310897</v>
      </c>
      <c r="L193" s="16">
        <f>CurrentMtgRatesDataTable8[[#This Row],[Servicing Spread Non-Zero]]-K192</f>
        <v>0</v>
      </c>
      <c r="M193" s="16">
        <f>IF(I192&lt;&gt;0,CurrentMtgRatesDataTable8[[#This Row],[Rate]]-C192,M192)</f>
        <v>6.0000000000000053E-2</v>
      </c>
    </row>
    <row r="194" spans="1:13">
      <c r="A194" s="8" t="s">
        <v>343</v>
      </c>
      <c r="B194" s="11">
        <v>2.3132421541265802</v>
      </c>
      <c r="C194" s="13">
        <v>3.3249999999999997</v>
      </c>
      <c r="D194" s="14">
        <f t="shared" si="12"/>
        <v>5</v>
      </c>
      <c r="E194" s="14">
        <f t="shared" si="13"/>
        <v>0.2</v>
      </c>
      <c r="F194" s="14">
        <f t="shared" si="14"/>
        <v>3</v>
      </c>
      <c r="G194" s="14">
        <f t="shared" si="15"/>
        <v>1.4021135474000601</v>
      </c>
      <c r="H194" s="14">
        <f t="shared" si="16"/>
        <v>0.60000000000000009</v>
      </c>
      <c r="I194" s="14">
        <f t="shared" si="17"/>
        <v>0</v>
      </c>
      <c r="J194" s="15">
        <f>IF(CurrentMtgRatesDataTable8[[#This Row],[WA CC]]&lt;&gt;0,C193-CurrentMtgRatesDataTable8[[#This Row],[WA CC]],0)</f>
        <v>0</v>
      </c>
      <c r="K194" s="16">
        <f>IF(CurrentMtgRatesDataTable8[[#This Row],[Servicing Spread]]&lt;=0,K193,CurrentMtgRatesDataTable8[[#This Row],[Servicing Spread]])</f>
        <v>1.1069595168310897</v>
      </c>
      <c r="L194" s="16">
        <f>CurrentMtgRatesDataTable8[[#This Row],[Servicing Spread Non-Zero]]-K193</f>
        <v>0</v>
      </c>
      <c r="M194" s="16">
        <f>IF(I193&lt;&gt;0,CurrentMtgRatesDataTable8[[#This Row],[Rate]]-C193,M193)</f>
        <v>6.0000000000000053E-2</v>
      </c>
    </row>
    <row r="195" spans="1:13">
      <c r="A195" s="8" t="s">
        <v>201</v>
      </c>
      <c r="B195" s="11">
        <v>2.2872202205924901</v>
      </c>
      <c r="C195" s="13">
        <v>3.3249999999999997</v>
      </c>
      <c r="D195" s="14">
        <f t="shared" si="12"/>
        <v>6</v>
      </c>
      <c r="E195" s="14">
        <f t="shared" si="13"/>
        <v>0.2</v>
      </c>
      <c r="F195" s="14">
        <f t="shared" si="14"/>
        <v>4</v>
      </c>
      <c r="G195" s="14">
        <f t="shared" si="15"/>
        <v>1.8595575915185583</v>
      </c>
      <c r="H195" s="14">
        <f t="shared" si="16"/>
        <v>0.8</v>
      </c>
      <c r="I195" s="14">
        <f t="shared" si="17"/>
        <v>0</v>
      </c>
      <c r="J195" s="15">
        <f>IF(CurrentMtgRatesDataTable8[[#This Row],[WA CC]]&lt;&gt;0,C194-CurrentMtgRatesDataTable8[[#This Row],[WA CC]],0)</f>
        <v>0</v>
      </c>
      <c r="K195" s="16">
        <f>IF(CurrentMtgRatesDataTable8[[#This Row],[Servicing Spread]]&lt;=0,K194,CurrentMtgRatesDataTable8[[#This Row],[Servicing Spread]])</f>
        <v>1.1069595168310897</v>
      </c>
      <c r="L195" s="16">
        <f>CurrentMtgRatesDataTable8[[#This Row],[Servicing Spread Non-Zero]]-K194</f>
        <v>0</v>
      </c>
      <c r="M195" s="16">
        <f>IF(I194&lt;&gt;0,CurrentMtgRatesDataTable8[[#This Row],[Rate]]-C194,M194)</f>
        <v>6.0000000000000053E-2</v>
      </c>
    </row>
    <row r="196" spans="1:13">
      <c r="A196" s="8" t="s">
        <v>58</v>
      </c>
      <c r="B196" s="11">
        <v>2.2542377381479901</v>
      </c>
      <c r="C196" s="13">
        <v>3.3249999999999997</v>
      </c>
      <c r="D196" s="14">
        <f t="shared" si="12"/>
        <v>7</v>
      </c>
      <c r="E196" s="14">
        <f t="shared" si="13"/>
        <v>0.2</v>
      </c>
      <c r="F196" s="14">
        <f t="shared" si="14"/>
        <v>5</v>
      </c>
      <c r="G196" s="14">
        <f t="shared" si="15"/>
        <v>2.3104051391481564</v>
      </c>
      <c r="H196" s="14">
        <f t="shared" si="16"/>
        <v>1</v>
      </c>
      <c r="I196" s="14">
        <f t="shared" si="17"/>
        <v>2.3104051391481564</v>
      </c>
      <c r="J196" s="15">
        <f>IF(CurrentMtgRatesDataTable8[[#This Row],[WA CC]]&lt;&gt;0,C195-CurrentMtgRatesDataTable8[[#This Row],[WA CC]],0)</f>
        <v>1.0145948608518434</v>
      </c>
      <c r="K196" s="16">
        <f>IF(CurrentMtgRatesDataTable8[[#This Row],[Servicing Spread]]&lt;=0,K195,CurrentMtgRatesDataTable8[[#This Row],[Servicing Spread]])</f>
        <v>1.0145948608518434</v>
      </c>
      <c r="L196" s="16">
        <f>CurrentMtgRatesDataTable8[[#This Row],[Servicing Spread Non-Zero]]-K195</f>
        <v>-9.2364655979246368E-2</v>
      </c>
      <c r="M196" s="16">
        <f>IF(I195&lt;&gt;0,CurrentMtgRatesDataTable8[[#This Row],[Rate]]-C195,M195)</f>
        <v>6.0000000000000053E-2</v>
      </c>
    </row>
    <row r="197" spans="1:13">
      <c r="A197" s="8" t="s">
        <v>624</v>
      </c>
      <c r="B197" s="11">
        <v>2.3058062237430601</v>
      </c>
      <c r="C197" s="13">
        <v>3.3049999999999997</v>
      </c>
      <c r="D197" s="14">
        <f t="shared" ref="D197:D260" si="18">WEEKDAY(A197,14)</f>
        <v>1</v>
      </c>
      <c r="E197" s="14">
        <f t="shared" ref="E197:E260" si="19">VLOOKUP(D197,P$5:Q$11,2,FALSE)</f>
        <v>0.2</v>
      </c>
      <c r="F197" s="14">
        <f t="shared" ref="F197:F260" si="20">IF(AND(D197&gt;D196,F196&lt;6),F196+1,1)</f>
        <v>1</v>
      </c>
      <c r="G197" s="14">
        <f t="shared" ref="G197:G260" si="21">IF(F197&gt;F196,G196+B197*E197,B197*E197)</f>
        <v>0.46116124474861203</v>
      </c>
      <c r="H197" s="14">
        <f t="shared" ref="H197:H260" si="22">IF(AND(F197&lt;6,F197&gt;F196),E197+H196,E197)</f>
        <v>0.2</v>
      </c>
      <c r="I197" s="14">
        <f t="shared" ref="I197:I260" si="23">IF(F197&gt;F198,G197/H197,0)</f>
        <v>0</v>
      </c>
      <c r="J197" s="15">
        <f>IF(CurrentMtgRatesDataTable8[[#This Row],[WA CC]]&lt;&gt;0,C196-CurrentMtgRatesDataTable8[[#This Row],[WA CC]],0)</f>
        <v>0</v>
      </c>
      <c r="K197" s="16">
        <f>IF(CurrentMtgRatesDataTable8[[#This Row],[Servicing Spread]]&lt;=0,K196,CurrentMtgRatesDataTable8[[#This Row],[Servicing Spread]])</f>
        <v>1.0145948608518434</v>
      </c>
      <c r="L197" s="16">
        <f>CurrentMtgRatesDataTable8[[#This Row],[Servicing Spread Non-Zero]]-K196</f>
        <v>0</v>
      </c>
      <c r="M197" s="16">
        <f>IF(I196&lt;&gt;0,CurrentMtgRatesDataTable8[[#This Row],[Rate]]-C196,M196)</f>
        <v>-2.0000000000000018E-2</v>
      </c>
    </row>
    <row r="198" spans="1:13">
      <c r="A198" s="8" t="s">
        <v>481</v>
      </c>
      <c r="B198" s="11">
        <v>2.2816853967186499</v>
      </c>
      <c r="C198" s="13">
        <v>3.3049999999999997</v>
      </c>
      <c r="D198" s="14">
        <f t="shared" si="18"/>
        <v>2</v>
      </c>
      <c r="E198" s="14">
        <f t="shared" si="19"/>
        <v>0.2</v>
      </c>
      <c r="F198" s="14">
        <f t="shared" si="20"/>
        <v>2</v>
      </c>
      <c r="G198" s="14">
        <f t="shared" si="21"/>
        <v>0.917498324092342</v>
      </c>
      <c r="H198" s="14">
        <f t="shared" si="22"/>
        <v>0.4</v>
      </c>
      <c r="I198" s="14">
        <f t="shared" si="23"/>
        <v>0</v>
      </c>
      <c r="J198" s="15">
        <f>IF(CurrentMtgRatesDataTable8[[#This Row],[WA CC]]&lt;&gt;0,C197-CurrentMtgRatesDataTable8[[#This Row],[WA CC]],0)</f>
        <v>0</v>
      </c>
      <c r="K198" s="16">
        <f>IF(CurrentMtgRatesDataTable8[[#This Row],[Servicing Spread]]&lt;=0,K197,CurrentMtgRatesDataTable8[[#This Row],[Servicing Spread]])</f>
        <v>1.0145948608518434</v>
      </c>
      <c r="L198" s="16">
        <f>CurrentMtgRatesDataTable8[[#This Row],[Servicing Spread Non-Zero]]-K197</f>
        <v>0</v>
      </c>
      <c r="M198" s="16">
        <f>IF(I197&lt;&gt;0,CurrentMtgRatesDataTable8[[#This Row],[Rate]]-C197,M197)</f>
        <v>-2.0000000000000018E-2</v>
      </c>
    </row>
    <row r="199" spans="1:13">
      <c r="A199" s="8" t="s">
        <v>344</v>
      </c>
      <c r="B199" s="11">
        <v>2.2784009909774001</v>
      </c>
      <c r="C199" s="13">
        <v>3.3049999999999997</v>
      </c>
      <c r="D199" s="14">
        <f t="shared" si="18"/>
        <v>5</v>
      </c>
      <c r="E199" s="14">
        <f t="shared" si="19"/>
        <v>0.2</v>
      </c>
      <c r="F199" s="14">
        <f t="shared" si="20"/>
        <v>3</v>
      </c>
      <c r="G199" s="14">
        <f t="shared" si="21"/>
        <v>1.3731785222878221</v>
      </c>
      <c r="H199" s="14">
        <f t="shared" si="22"/>
        <v>0.60000000000000009</v>
      </c>
      <c r="I199" s="14">
        <f t="shared" si="23"/>
        <v>0</v>
      </c>
      <c r="J199" s="15">
        <f>IF(CurrentMtgRatesDataTable8[[#This Row],[WA CC]]&lt;&gt;0,C198-CurrentMtgRatesDataTable8[[#This Row],[WA CC]],0)</f>
        <v>0</v>
      </c>
      <c r="K199" s="16">
        <f>IF(CurrentMtgRatesDataTable8[[#This Row],[Servicing Spread]]&lt;=0,K198,CurrentMtgRatesDataTable8[[#This Row],[Servicing Spread]])</f>
        <v>1.0145948608518434</v>
      </c>
      <c r="L199" s="16">
        <f>CurrentMtgRatesDataTable8[[#This Row],[Servicing Spread Non-Zero]]-K198</f>
        <v>0</v>
      </c>
      <c r="M199" s="16">
        <f>IF(I198&lt;&gt;0,CurrentMtgRatesDataTable8[[#This Row],[Rate]]-C198,M198)</f>
        <v>-2.0000000000000018E-2</v>
      </c>
    </row>
    <row r="200" spans="1:13">
      <c r="A200" s="8" t="s">
        <v>202</v>
      </c>
      <c r="B200" s="11">
        <v>2.2938425272831502</v>
      </c>
      <c r="C200" s="13">
        <v>3.3049999999999997</v>
      </c>
      <c r="D200" s="14">
        <f t="shared" si="18"/>
        <v>6</v>
      </c>
      <c r="E200" s="14">
        <f t="shared" si="19"/>
        <v>0.2</v>
      </c>
      <c r="F200" s="14">
        <f t="shared" si="20"/>
        <v>4</v>
      </c>
      <c r="G200" s="14">
        <f t="shared" si="21"/>
        <v>1.8319470277444521</v>
      </c>
      <c r="H200" s="14">
        <f t="shared" si="22"/>
        <v>0.8</v>
      </c>
      <c r="I200" s="14">
        <f t="shared" si="23"/>
        <v>0</v>
      </c>
      <c r="J200" s="15">
        <f>IF(CurrentMtgRatesDataTable8[[#This Row],[WA CC]]&lt;&gt;0,C199-CurrentMtgRatesDataTable8[[#This Row],[WA CC]],0)</f>
        <v>0</v>
      </c>
      <c r="K200" s="16">
        <f>IF(CurrentMtgRatesDataTable8[[#This Row],[Servicing Spread]]&lt;=0,K199,CurrentMtgRatesDataTable8[[#This Row],[Servicing Spread]])</f>
        <v>1.0145948608518434</v>
      </c>
      <c r="L200" s="16">
        <f>CurrentMtgRatesDataTable8[[#This Row],[Servicing Spread Non-Zero]]-K199</f>
        <v>0</v>
      </c>
      <c r="M200" s="16">
        <f>IF(I199&lt;&gt;0,CurrentMtgRatesDataTable8[[#This Row],[Rate]]-C199,M199)</f>
        <v>-2.0000000000000018E-2</v>
      </c>
    </row>
    <row r="201" spans="1:13">
      <c r="A201" s="8" t="s">
        <v>59</v>
      </c>
      <c r="B201" s="11">
        <v>2.2944098288443899</v>
      </c>
      <c r="C201" s="13">
        <v>3.3049999999999997</v>
      </c>
      <c r="D201" s="14">
        <f t="shared" si="18"/>
        <v>7</v>
      </c>
      <c r="E201" s="14">
        <f t="shared" si="19"/>
        <v>0.2</v>
      </c>
      <c r="F201" s="14">
        <f t="shared" si="20"/>
        <v>5</v>
      </c>
      <c r="G201" s="14">
        <f t="shared" si="21"/>
        <v>2.2908289935133301</v>
      </c>
      <c r="H201" s="14">
        <f t="shared" si="22"/>
        <v>1</v>
      </c>
      <c r="I201" s="14">
        <f t="shared" si="23"/>
        <v>2.2908289935133301</v>
      </c>
      <c r="J201" s="15">
        <f>IF(CurrentMtgRatesDataTable8[[#This Row],[WA CC]]&lt;&gt;0,C200-CurrentMtgRatesDataTable8[[#This Row],[WA CC]],0)</f>
        <v>1.0141710064866696</v>
      </c>
      <c r="K201" s="16">
        <f>IF(CurrentMtgRatesDataTable8[[#This Row],[Servicing Spread]]&lt;=0,K200,CurrentMtgRatesDataTable8[[#This Row],[Servicing Spread]])</f>
        <v>1.0141710064866696</v>
      </c>
      <c r="L201" s="16">
        <f>CurrentMtgRatesDataTable8[[#This Row],[Servicing Spread Non-Zero]]-K200</f>
        <v>-4.2385436517378139E-4</v>
      </c>
      <c r="M201" s="16">
        <f>IF(I200&lt;&gt;0,CurrentMtgRatesDataTable8[[#This Row],[Rate]]-C200,M200)</f>
        <v>-2.0000000000000018E-2</v>
      </c>
    </row>
    <row r="202" spans="1:13">
      <c r="A202" s="8" t="s">
        <v>625</v>
      </c>
      <c r="B202" s="11">
        <v>2.3689111618910199</v>
      </c>
      <c r="C202" s="13">
        <v>3.3449999999999998</v>
      </c>
      <c r="D202" s="14">
        <f t="shared" si="18"/>
        <v>1</v>
      </c>
      <c r="E202" s="14">
        <f t="shared" si="19"/>
        <v>0.2</v>
      </c>
      <c r="F202" s="14">
        <f t="shared" si="20"/>
        <v>1</v>
      </c>
      <c r="G202" s="14">
        <f t="shared" si="21"/>
        <v>0.47378223237820399</v>
      </c>
      <c r="H202" s="14">
        <f t="shared" si="22"/>
        <v>0.2</v>
      </c>
      <c r="I202" s="14">
        <f t="shared" si="23"/>
        <v>0</v>
      </c>
      <c r="J202" s="15">
        <f>IF(CurrentMtgRatesDataTable8[[#This Row],[WA CC]]&lt;&gt;0,C201-CurrentMtgRatesDataTable8[[#This Row],[WA CC]],0)</f>
        <v>0</v>
      </c>
      <c r="K202" s="16">
        <f>IF(CurrentMtgRatesDataTable8[[#This Row],[Servicing Spread]]&lt;=0,K201,CurrentMtgRatesDataTable8[[#This Row],[Servicing Spread]])</f>
        <v>1.0141710064866696</v>
      </c>
      <c r="L202" s="16">
        <f>CurrentMtgRatesDataTable8[[#This Row],[Servicing Spread Non-Zero]]-K201</f>
        <v>0</v>
      </c>
      <c r="M202" s="16">
        <f>IF(I201&lt;&gt;0,CurrentMtgRatesDataTable8[[#This Row],[Rate]]-C201,M201)</f>
        <v>4.0000000000000036E-2</v>
      </c>
    </row>
    <row r="203" spans="1:13">
      <c r="A203" s="8" t="s">
        <v>482</v>
      </c>
      <c r="B203" s="11">
        <v>2.3502791672529901</v>
      </c>
      <c r="C203" s="13">
        <v>3.3449999999999998</v>
      </c>
      <c r="D203" s="14">
        <f t="shared" si="18"/>
        <v>2</v>
      </c>
      <c r="E203" s="14">
        <f t="shared" si="19"/>
        <v>0.2</v>
      </c>
      <c r="F203" s="14">
        <f t="shared" si="20"/>
        <v>2</v>
      </c>
      <c r="G203" s="14">
        <f t="shared" si="21"/>
        <v>0.94383806582880203</v>
      </c>
      <c r="H203" s="14">
        <f t="shared" si="22"/>
        <v>0.4</v>
      </c>
      <c r="I203" s="14">
        <f t="shared" si="23"/>
        <v>0</v>
      </c>
      <c r="J203" s="15">
        <f>IF(CurrentMtgRatesDataTable8[[#This Row],[WA CC]]&lt;&gt;0,C202-CurrentMtgRatesDataTable8[[#This Row],[WA CC]],0)</f>
        <v>0</v>
      </c>
      <c r="K203" s="16">
        <f>IF(CurrentMtgRatesDataTable8[[#This Row],[Servicing Spread]]&lt;=0,K202,CurrentMtgRatesDataTable8[[#This Row],[Servicing Spread]])</f>
        <v>1.0141710064866696</v>
      </c>
      <c r="L203" s="16">
        <f>CurrentMtgRatesDataTable8[[#This Row],[Servicing Spread Non-Zero]]-K202</f>
        <v>0</v>
      </c>
      <c r="M203" s="16">
        <f>IF(I202&lt;&gt;0,CurrentMtgRatesDataTable8[[#This Row],[Rate]]-C202,M202)</f>
        <v>4.0000000000000036E-2</v>
      </c>
    </row>
    <row r="204" spans="1:13">
      <c r="A204" s="8" t="s">
        <v>203</v>
      </c>
      <c r="B204" s="11">
        <v>2.35220774246172</v>
      </c>
      <c r="C204" s="13">
        <v>3.3449999999999998</v>
      </c>
      <c r="D204" s="14">
        <f t="shared" si="18"/>
        <v>6</v>
      </c>
      <c r="E204" s="14">
        <f t="shared" si="19"/>
        <v>0.2</v>
      </c>
      <c r="F204" s="14">
        <f t="shared" si="20"/>
        <v>3</v>
      </c>
      <c r="G204" s="14">
        <f t="shared" si="21"/>
        <v>1.414279614321146</v>
      </c>
      <c r="H204" s="14">
        <f t="shared" si="22"/>
        <v>0.60000000000000009</v>
      </c>
      <c r="I204" s="14">
        <f t="shared" si="23"/>
        <v>0</v>
      </c>
      <c r="J204" s="15">
        <f>IF(CurrentMtgRatesDataTable8[[#This Row],[WA CC]]&lt;&gt;0,C203-CurrentMtgRatesDataTable8[[#This Row],[WA CC]],0)</f>
        <v>0</v>
      </c>
      <c r="K204" s="16">
        <f>IF(CurrentMtgRatesDataTable8[[#This Row],[Servicing Spread]]&lt;=0,K203,CurrentMtgRatesDataTable8[[#This Row],[Servicing Spread]])</f>
        <v>1.0141710064866696</v>
      </c>
      <c r="L204" s="16">
        <f>CurrentMtgRatesDataTable8[[#This Row],[Servicing Spread Non-Zero]]-K203</f>
        <v>0</v>
      </c>
      <c r="M204" s="16">
        <f>IF(I203&lt;&gt;0,CurrentMtgRatesDataTable8[[#This Row],[Rate]]-C203,M203)</f>
        <v>4.0000000000000036E-2</v>
      </c>
    </row>
    <row r="205" spans="1:13">
      <c r="A205" s="8" t="s">
        <v>60</v>
      </c>
      <c r="B205" s="11">
        <v>2.3433125325998301</v>
      </c>
      <c r="C205" s="13">
        <v>3.3449999999999998</v>
      </c>
      <c r="D205" s="14">
        <f t="shared" si="18"/>
        <v>7</v>
      </c>
      <c r="E205" s="14">
        <f t="shared" si="19"/>
        <v>0.2</v>
      </c>
      <c r="F205" s="14">
        <f t="shared" si="20"/>
        <v>4</v>
      </c>
      <c r="G205" s="14">
        <f t="shared" si="21"/>
        <v>1.8829421208411121</v>
      </c>
      <c r="H205" s="14">
        <f t="shared" si="22"/>
        <v>0.8</v>
      </c>
      <c r="I205" s="14">
        <f t="shared" si="23"/>
        <v>2.3536776510513899</v>
      </c>
      <c r="J205" s="15">
        <f>IF(CurrentMtgRatesDataTable8[[#This Row],[WA CC]]&lt;&gt;0,C204-CurrentMtgRatesDataTable8[[#This Row],[WA CC]],0)</f>
        <v>0.99132234894860982</v>
      </c>
      <c r="K205" s="16">
        <f>IF(CurrentMtgRatesDataTable8[[#This Row],[Servicing Spread]]&lt;=0,K204,CurrentMtgRatesDataTable8[[#This Row],[Servicing Spread]])</f>
        <v>0.99132234894860982</v>
      </c>
      <c r="L205" s="16">
        <f>CurrentMtgRatesDataTable8[[#This Row],[Servicing Spread Non-Zero]]-K204</f>
        <v>-2.2848657538059758E-2</v>
      </c>
      <c r="M205" s="16">
        <f>IF(I204&lt;&gt;0,CurrentMtgRatesDataTable8[[#This Row],[Rate]]-C204,M204)</f>
        <v>4.0000000000000036E-2</v>
      </c>
    </row>
    <row r="206" spans="1:13">
      <c r="A206" s="8" t="s">
        <v>626</v>
      </c>
      <c r="B206" s="11">
        <v>2.3674188938348699</v>
      </c>
      <c r="C206" s="13">
        <v>3.4549999999999996</v>
      </c>
      <c r="D206" s="14">
        <f t="shared" si="18"/>
        <v>1</v>
      </c>
      <c r="E206" s="14">
        <f t="shared" si="19"/>
        <v>0.2</v>
      </c>
      <c r="F206" s="14">
        <f t="shared" si="20"/>
        <v>1</v>
      </c>
      <c r="G206" s="14">
        <f t="shared" si="21"/>
        <v>0.47348377876697401</v>
      </c>
      <c r="H206" s="14">
        <f t="shared" si="22"/>
        <v>0.2</v>
      </c>
      <c r="I206" s="14">
        <f t="shared" si="23"/>
        <v>0</v>
      </c>
      <c r="J206" s="15">
        <f>IF(CurrentMtgRatesDataTable8[[#This Row],[WA CC]]&lt;&gt;0,C205-CurrentMtgRatesDataTable8[[#This Row],[WA CC]],0)</f>
        <v>0</v>
      </c>
      <c r="K206" s="16">
        <f>IF(CurrentMtgRatesDataTable8[[#This Row],[Servicing Spread]]&lt;=0,K205,CurrentMtgRatesDataTable8[[#This Row],[Servicing Spread]])</f>
        <v>0.99132234894860982</v>
      </c>
      <c r="L206" s="16">
        <f>CurrentMtgRatesDataTable8[[#This Row],[Servicing Spread Non-Zero]]-K205</f>
        <v>0</v>
      </c>
      <c r="M206" s="16">
        <f>IF(I205&lt;&gt;0,CurrentMtgRatesDataTable8[[#This Row],[Rate]]-C205,M205)</f>
        <v>0.10999999999999988</v>
      </c>
    </row>
    <row r="207" spans="1:13">
      <c r="A207" s="8" t="s">
        <v>483</v>
      </c>
      <c r="B207" s="11">
        <v>2.50531849536197</v>
      </c>
      <c r="C207" s="13">
        <v>3.4549999999999996</v>
      </c>
      <c r="D207" s="14">
        <f t="shared" si="18"/>
        <v>2</v>
      </c>
      <c r="E207" s="14">
        <f t="shared" si="19"/>
        <v>0.2</v>
      </c>
      <c r="F207" s="14">
        <f t="shared" si="20"/>
        <v>2</v>
      </c>
      <c r="G207" s="14">
        <f t="shared" si="21"/>
        <v>0.97454747783936801</v>
      </c>
      <c r="H207" s="14">
        <f t="shared" si="22"/>
        <v>0.4</v>
      </c>
      <c r="I207" s="14">
        <f t="shared" si="23"/>
        <v>0</v>
      </c>
      <c r="J207" s="15">
        <f>IF(CurrentMtgRatesDataTable8[[#This Row],[WA CC]]&lt;&gt;0,C206-CurrentMtgRatesDataTable8[[#This Row],[WA CC]],0)</f>
        <v>0</v>
      </c>
      <c r="K207" s="16">
        <f>IF(CurrentMtgRatesDataTable8[[#This Row],[Servicing Spread]]&lt;=0,K206,CurrentMtgRatesDataTable8[[#This Row],[Servicing Spread]])</f>
        <v>0.99132234894860982</v>
      </c>
      <c r="L207" s="16">
        <f>CurrentMtgRatesDataTable8[[#This Row],[Servicing Spread Non-Zero]]-K206</f>
        <v>0</v>
      </c>
      <c r="M207" s="16">
        <f>IF(I206&lt;&gt;0,CurrentMtgRatesDataTable8[[#This Row],[Rate]]-C206,M206)</f>
        <v>0.10999999999999988</v>
      </c>
    </row>
    <row r="208" spans="1:13">
      <c r="A208" s="8" t="s">
        <v>345</v>
      </c>
      <c r="B208" s="11">
        <v>2.5393282304868099</v>
      </c>
      <c r="C208" s="13">
        <v>3.4549999999999996</v>
      </c>
      <c r="D208" s="14">
        <f t="shared" si="18"/>
        <v>5</v>
      </c>
      <c r="E208" s="14">
        <f t="shared" si="19"/>
        <v>0.2</v>
      </c>
      <c r="F208" s="14">
        <f t="shared" si="20"/>
        <v>3</v>
      </c>
      <c r="G208" s="14">
        <f t="shared" si="21"/>
        <v>1.48241312393673</v>
      </c>
      <c r="H208" s="14">
        <f t="shared" si="22"/>
        <v>0.60000000000000009</v>
      </c>
      <c r="I208" s="14">
        <f t="shared" si="23"/>
        <v>0</v>
      </c>
      <c r="J208" s="15">
        <f>IF(CurrentMtgRatesDataTable8[[#This Row],[WA CC]]&lt;&gt;0,C207-CurrentMtgRatesDataTable8[[#This Row],[WA CC]],0)</f>
        <v>0</v>
      </c>
      <c r="K208" s="16">
        <f>IF(CurrentMtgRatesDataTable8[[#This Row],[Servicing Spread]]&lt;=0,K207,CurrentMtgRatesDataTable8[[#This Row],[Servicing Spread]])</f>
        <v>0.99132234894860982</v>
      </c>
      <c r="L208" s="16">
        <f>CurrentMtgRatesDataTable8[[#This Row],[Servicing Spread Non-Zero]]-K207</f>
        <v>0</v>
      </c>
      <c r="M208" s="16">
        <f>IF(I207&lt;&gt;0,CurrentMtgRatesDataTable8[[#This Row],[Rate]]-C207,M207)</f>
        <v>0.10999999999999988</v>
      </c>
    </row>
    <row r="209" spans="1:13">
      <c r="A209" s="8" t="s">
        <v>204</v>
      </c>
      <c r="B209" s="11">
        <v>2.5598092537420398</v>
      </c>
      <c r="C209" s="13">
        <v>3.4549999999999996</v>
      </c>
      <c r="D209" s="14">
        <f t="shared" si="18"/>
        <v>6</v>
      </c>
      <c r="E209" s="14">
        <f t="shared" si="19"/>
        <v>0.2</v>
      </c>
      <c r="F209" s="14">
        <f t="shared" si="20"/>
        <v>4</v>
      </c>
      <c r="G209" s="14">
        <f t="shared" si="21"/>
        <v>1.994374974685138</v>
      </c>
      <c r="H209" s="14">
        <f t="shared" si="22"/>
        <v>0.8</v>
      </c>
      <c r="I209" s="14">
        <f t="shared" si="23"/>
        <v>0</v>
      </c>
      <c r="J209" s="15">
        <f>IF(CurrentMtgRatesDataTable8[[#This Row],[WA CC]]&lt;&gt;0,C208-CurrentMtgRatesDataTable8[[#This Row],[WA CC]],0)</f>
        <v>0</v>
      </c>
      <c r="K209" s="16">
        <f>IF(CurrentMtgRatesDataTable8[[#This Row],[Servicing Spread]]&lt;=0,K208,CurrentMtgRatesDataTable8[[#This Row],[Servicing Spread]])</f>
        <v>0.99132234894860982</v>
      </c>
      <c r="L209" s="16">
        <f>CurrentMtgRatesDataTable8[[#This Row],[Servicing Spread Non-Zero]]-K208</f>
        <v>0</v>
      </c>
      <c r="M209" s="16">
        <f>IF(I208&lt;&gt;0,CurrentMtgRatesDataTable8[[#This Row],[Rate]]-C208,M208)</f>
        <v>0.10999999999999988</v>
      </c>
    </row>
    <row r="210" spans="1:13">
      <c r="A210" s="8" t="s">
        <v>61</v>
      </c>
      <c r="B210" s="11">
        <v>2.5772925233697599</v>
      </c>
      <c r="C210" s="13">
        <v>3.4549999999999996</v>
      </c>
      <c r="D210" s="14">
        <f t="shared" si="18"/>
        <v>7</v>
      </c>
      <c r="E210" s="14">
        <f t="shared" si="19"/>
        <v>0.2</v>
      </c>
      <c r="F210" s="14">
        <f t="shared" si="20"/>
        <v>5</v>
      </c>
      <c r="G210" s="14">
        <f t="shared" si="21"/>
        <v>2.5098334793590902</v>
      </c>
      <c r="H210" s="14">
        <f t="shared" si="22"/>
        <v>1</v>
      </c>
      <c r="I210" s="14">
        <f t="shared" si="23"/>
        <v>2.5098334793590902</v>
      </c>
      <c r="J210" s="15">
        <f>IF(CurrentMtgRatesDataTable8[[#This Row],[WA CC]]&lt;&gt;0,C209-CurrentMtgRatesDataTable8[[#This Row],[WA CC]],0)</f>
        <v>0.94516652064090945</v>
      </c>
      <c r="K210" s="16">
        <f>IF(CurrentMtgRatesDataTable8[[#This Row],[Servicing Spread]]&lt;=0,K209,CurrentMtgRatesDataTable8[[#This Row],[Servicing Spread]])</f>
        <v>0.94516652064090945</v>
      </c>
      <c r="L210" s="16">
        <f>CurrentMtgRatesDataTable8[[#This Row],[Servicing Spread Non-Zero]]-K209</f>
        <v>-4.6155828307700375E-2</v>
      </c>
      <c r="M210" s="16">
        <f>IF(I209&lt;&gt;0,CurrentMtgRatesDataTable8[[#This Row],[Rate]]-C209,M209)</f>
        <v>0.10999999999999988</v>
      </c>
    </row>
    <row r="211" spans="1:13">
      <c r="A211" s="8" t="s">
        <v>627</v>
      </c>
      <c r="B211" s="11">
        <v>2.57376759097352</v>
      </c>
      <c r="C211" s="13">
        <v>3.48</v>
      </c>
      <c r="D211" s="14">
        <f t="shared" si="18"/>
        <v>1</v>
      </c>
      <c r="E211" s="14">
        <f t="shared" si="19"/>
        <v>0.2</v>
      </c>
      <c r="F211" s="14">
        <f t="shared" si="20"/>
        <v>1</v>
      </c>
      <c r="G211" s="14">
        <f t="shared" si="21"/>
        <v>0.51475351819470405</v>
      </c>
      <c r="H211" s="14">
        <f t="shared" si="22"/>
        <v>0.2</v>
      </c>
      <c r="I211" s="14">
        <f t="shared" si="23"/>
        <v>0</v>
      </c>
      <c r="J211" s="15">
        <f>IF(CurrentMtgRatesDataTable8[[#This Row],[WA CC]]&lt;&gt;0,C210-CurrentMtgRatesDataTable8[[#This Row],[WA CC]],0)</f>
        <v>0</v>
      </c>
      <c r="K211" s="16">
        <f>IF(CurrentMtgRatesDataTable8[[#This Row],[Servicing Spread]]&lt;=0,K210,CurrentMtgRatesDataTable8[[#This Row],[Servicing Spread]])</f>
        <v>0.94516652064090945</v>
      </c>
      <c r="L211" s="16">
        <f>CurrentMtgRatesDataTable8[[#This Row],[Servicing Spread Non-Zero]]-K210</f>
        <v>0</v>
      </c>
      <c r="M211" s="16">
        <f>IF(I210&lt;&gt;0,CurrentMtgRatesDataTable8[[#This Row],[Rate]]-C210,M210)</f>
        <v>2.5000000000000355E-2</v>
      </c>
    </row>
    <row r="212" spans="1:13">
      <c r="A212" s="8" t="s">
        <v>484</v>
      </c>
      <c r="B212" s="11">
        <v>2.5914055356862402</v>
      </c>
      <c r="C212" s="13">
        <v>3.48</v>
      </c>
      <c r="D212" s="14">
        <f t="shared" si="18"/>
        <v>2</v>
      </c>
      <c r="E212" s="14">
        <f t="shared" si="19"/>
        <v>0.2</v>
      </c>
      <c r="F212" s="14">
        <f t="shared" si="20"/>
        <v>2</v>
      </c>
      <c r="G212" s="14">
        <f t="shared" si="21"/>
        <v>1.0330346253319522</v>
      </c>
      <c r="H212" s="14">
        <f t="shared" si="22"/>
        <v>0.4</v>
      </c>
      <c r="I212" s="14">
        <f t="shared" si="23"/>
        <v>0</v>
      </c>
      <c r="J212" s="15">
        <f>IF(CurrentMtgRatesDataTable8[[#This Row],[WA CC]]&lt;&gt;0,C211-CurrentMtgRatesDataTable8[[#This Row],[WA CC]],0)</f>
        <v>0</v>
      </c>
      <c r="K212" s="16">
        <f>IF(CurrentMtgRatesDataTable8[[#This Row],[Servicing Spread]]&lt;=0,K211,CurrentMtgRatesDataTable8[[#This Row],[Servicing Spread]])</f>
        <v>0.94516652064090945</v>
      </c>
      <c r="L212" s="16">
        <f>CurrentMtgRatesDataTable8[[#This Row],[Servicing Spread Non-Zero]]-K211</f>
        <v>0</v>
      </c>
      <c r="M212" s="16">
        <f>IF(I211&lt;&gt;0,CurrentMtgRatesDataTable8[[#This Row],[Rate]]-C211,M211)</f>
        <v>2.5000000000000355E-2</v>
      </c>
    </row>
    <row r="213" spans="1:13">
      <c r="A213" s="8" t="s">
        <v>346</v>
      </c>
      <c r="B213" s="11">
        <v>2.5556270132589098</v>
      </c>
      <c r="C213" s="13">
        <v>3.48</v>
      </c>
      <c r="D213" s="14">
        <f t="shared" si="18"/>
        <v>5</v>
      </c>
      <c r="E213" s="14">
        <f t="shared" si="19"/>
        <v>0.2</v>
      </c>
      <c r="F213" s="14">
        <f t="shared" si="20"/>
        <v>3</v>
      </c>
      <c r="G213" s="14">
        <f t="shared" si="21"/>
        <v>1.5441600279837342</v>
      </c>
      <c r="H213" s="14">
        <f t="shared" si="22"/>
        <v>0.60000000000000009</v>
      </c>
      <c r="I213" s="14">
        <f t="shared" si="23"/>
        <v>0</v>
      </c>
      <c r="J213" s="15">
        <f>IF(CurrentMtgRatesDataTable8[[#This Row],[WA CC]]&lt;&gt;0,C212-CurrentMtgRatesDataTable8[[#This Row],[WA CC]],0)</f>
        <v>0</v>
      </c>
      <c r="K213" s="16">
        <f>IF(CurrentMtgRatesDataTable8[[#This Row],[Servicing Spread]]&lt;=0,K212,CurrentMtgRatesDataTable8[[#This Row],[Servicing Spread]])</f>
        <v>0.94516652064090945</v>
      </c>
      <c r="L213" s="16">
        <f>CurrentMtgRatesDataTable8[[#This Row],[Servicing Spread Non-Zero]]-K212</f>
        <v>0</v>
      </c>
      <c r="M213" s="16">
        <f>IF(I212&lt;&gt;0,CurrentMtgRatesDataTable8[[#This Row],[Rate]]-C212,M212)</f>
        <v>2.5000000000000355E-2</v>
      </c>
    </row>
    <row r="214" spans="1:13">
      <c r="A214" s="8" t="s">
        <v>205</v>
      </c>
      <c r="B214" s="11">
        <v>2.6005196496782901</v>
      </c>
      <c r="C214" s="13">
        <v>3.48</v>
      </c>
      <c r="D214" s="14">
        <f t="shared" si="18"/>
        <v>6</v>
      </c>
      <c r="E214" s="14">
        <f t="shared" si="19"/>
        <v>0.2</v>
      </c>
      <c r="F214" s="14">
        <f t="shared" si="20"/>
        <v>4</v>
      </c>
      <c r="G214" s="14">
        <f t="shared" si="21"/>
        <v>2.0642639579193922</v>
      </c>
      <c r="H214" s="14">
        <f t="shared" si="22"/>
        <v>0.8</v>
      </c>
      <c r="I214" s="14">
        <f t="shared" si="23"/>
        <v>0</v>
      </c>
      <c r="J214" s="15">
        <f>IF(CurrentMtgRatesDataTable8[[#This Row],[WA CC]]&lt;&gt;0,C213-CurrentMtgRatesDataTable8[[#This Row],[WA CC]],0)</f>
        <v>0</v>
      </c>
      <c r="K214" s="16">
        <f>IF(CurrentMtgRatesDataTable8[[#This Row],[Servicing Spread]]&lt;=0,K213,CurrentMtgRatesDataTable8[[#This Row],[Servicing Spread]])</f>
        <v>0.94516652064090945</v>
      </c>
      <c r="L214" s="16">
        <f>CurrentMtgRatesDataTable8[[#This Row],[Servicing Spread Non-Zero]]-K213</f>
        <v>0</v>
      </c>
      <c r="M214" s="16">
        <f>IF(I213&lt;&gt;0,CurrentMtgRatesDataTable8[[#This Row],[Rate]]-C213,M213)</f>
        <v>2.5000000000000355E-2</v>
      </c>
    </row>
    <row r="215" spans="1:13">
      <c r="A215" s="8" t="s">
        <v>62</v>
      </c>
      <c r="B215" s="11">
        <v>2.55943207517402</v>
      </c>
      <c r="C215" s="13">
        <v>3.48</v>
      </c>
      <c r="D215" s="14">
        <f t="shared" si="18"/>
        <v>7</v>
      </c>
      <c r="E215" s="14">
        <f t="shared" si="19"/>
        <v>0.2</v>
      </c>
      <c r="F215" s="14">
        <f t="shared" si="20"/>
        <v>5</v>
      </c>
      <c r="G215" s="14">
        <f t="shared" si="21"/>
        <v>2.5761503729541961</v>
      </c>
      <c r="H215" s="14">
        <f t="shared" si="22"/>
        <v>1</v>
      </c>
      <c r="I215" s="14">
        <f t="shared" si="23"/>
        <v>2.5761503729541961</v>
      </c>
      <c r="J215" s="15">
        <f>IF(CurrentMtgRatesDataTable8[[#This Row],[WA CC]]&lt;&gt;0,C214-CurrentMtgRatesDataTable8[[#This Row],[WA CC]],0)</f>
        <v>0.90384962704580385</v>
      </c>
      <c r="K215" s="16">
        <f>IF(CurrentMtgRatesDataTable8[[#This Row],[Servicing Spread]]&lt;=0,K214,CurrentMtgRatesDataTable8[[#This Row],[Servicing Spread]])</f>
        <v>0.90384962704580385</v>
      </c>
      <c r="L215" s="16">
        <f>CurrentMtgRatesDataTable8[[#This Row],[Servicing Spread Non-Zero]]-K214</f>
        <v>-4.1316893595105597E-2</v>
      </c>
      <c r="M215" s="16">
        <f>IF(I214&lt;&gt;0,CurrentMtgRatesDataTable8[[#This Row],[Rate]]-C214,M214)</f>
        <v>2.5000000000000355E-2</v>
      </c>
    </row>
    <row r="216" spans="1:13">
      <c r="A216" s="8" t="s">
        <v>628</v>
      </c>
      <c r="B216" s="11">
        <v>2.5513624904448799</v>
      </c>
      <c r="C216" s="13">
        <v>3.48</v>
      </c>
      <c r="D216" s="14">
        <f t="shared" si="18"/>
        <v>1</v>
      </c>
      <c r="E216" s="14">
        <f t="shared" si="19"/>
        <v>0.2</v>
      </c>
      <c r="F216" s="14">
        <f t="shared" si="20"/>
        <v>1</v>
      </c>
      <c r="G216" s="14">
        <f t="shared" si="21"/>
        <v>0.51027249808897601</v>
      </c>
      <c r="H216" s="14">
        <f t="shared" si="22"/>
        <v>0.2</v>
      </c>
      <c r="I216" s="14">
        <f t="shared" si="23"/>
        <v>0</v>
      </c>
      <c r="J216" s="15">
        <f>IF(CurrentMtgRatesDataTable8[[#This Row],[WA CC]]&lt;&gt;0,C215-CurrentMtgRatesDataTable8[[#This Row],[WA CC]],0)</f>
        <v>0</v>
      </c>
      <c r="K216" s="16">
        <f>IF(CurrentMtgRatesDataTable8[[#This Row],[Servicing Spread]]&lt;=0,K215,CurrentMtgRatesDataTable8[[#This Row],[Servicing Spread]])</f>
        <v>0.90384962704580385</v>
      </c>
      <c r="L216" s="16">
        <f>CurrentMtgRatesDataTable8[[#This Row],[Servicing Spread Non-Zero]]-K215</f>
        <v>0</v>
      </c>
      <c r="M216" s="16">
        <f>IF(I215&lt;&gt;0,CurrentMtgRatesDataTable8[[#This Row],[Rate]]-C215,M215)</f>
        <v>0</v>
      </c>
    </row>
    <row r="217" spans="1:13">
      <c r="A217" s="8" t="s">
        <v>485</v>
      </c>
      <c r="B217" s="11">
        <v>2.5731755488249699</v>
      </c>
      <c r="C217" s="13">
        <v>3.48</v>
      </c>
      <c r="D217" s="14">
        <f t="shared" si="18"/>
        <v>2</v>
      </c>
      <c r="E217" s="14">
        <f t="shared" si="19"/>
        <v>0.2</v>
      </c>
      <c r="F217" s="14">
        <f t="shared" si="20"/>
        <v>2</v>
      </c>
      <c r="G217" s="14">
        <f t="shared" si="21"/>
        <v>1.0249076078539701</v>
      </c>
      <c r="H217" s="14">
        <f t="shared" si="22"/>
        <v>0.4</v>
      </c>
      <c r="I217" s="14">
        <f t="shared" si="23"/>
        <v>0</v>
      </c>
      <c r="J217" s="15">
        <f>IF(CurrentMtgRatesDataTable8[[#This Row],[WA CC]]&lt;&gt;0,C216-CurrentMtgRatesDataTable8[[#This Row],[WA CC]],0)</f>
        <v>0</v>
      </c>
      <c r="K217" s="16">
        <f>IF(CurrentMtgRatesDataTable8[[#This Row],[Servicing Spread]]&lt;=0,K216,CurrentMtgRatesDataTable8[[#This Row],[Servicing Spread]])</f>
        <v>0.90384962704580385</v>
      </c>
      <c r="L217" s="16">
        <f>CurrentMtgRatesDataTable8[[#This Row],[Servicing Spread Non-Zero]]-K216</f>
        <v>0</v>
      </c>
      <c r="M217" s="16">
        <f>IF(I216&lt;&gt;0,CurrentMtgRatesDataTable8[[#This Row],[Rate]]-C216,M216)</f>
        <v>0</v>
      </c>
    </row>
    <row r="218" spans="1:13">
      <c r="A218" s="8" t="s">
        <v>347</v>
      </c>
      <c r="B218" s="11">
        <v>2.56530846465939</v>
      </c>
      <c r="C218" s="13">
        <v>3.48</v>
      </c>
      <c r="D218" s="14">
        <f t="shared" si="18"/>
        <v>5</v>
      </c>
      <c r="E218" s="14">
        <f t="shared" si="19"/>
        <v>0.2</v>
      </c>
      <c r="F218" s="14">
        <f t="shared" si="20"/>
        <v>3</v>
      </c>
      <c r="G218" s="14">
        <f t="shared" si="21"/>
        <v>1.5379693007858481</v>
      </c>
      <c r="H218" s="14">
        <f t="shared" si="22"/>
        <v>0.60000000000000009</v>
      </c>
      <c r="I218" s="14">
        <f t="shared" si="23"/>
        <v>0</v>
      </c>
      <c r="J218" s="15">
        <f>IF(CurrentMtgRatesDataTable8[[#This Row],[WA CC]]&lt;&gt;0,C217-CurrentMtgRatesDataTable8[[#This Row],[WA CC]],0)</f>
        <v>0</v>
      </c>
      <c r="K218" s="16">
        <f>IF(CurrentMtgRatesDataTable8[[#This Row],[Servicing Spread]]&lt;=0,K217,CurrentMtgRatesDataTable8[[#This Row],[Servicing Spread]])</f>
        <v>0.90384962704580385</v>
      </c>
      <c r="L218" s="16">
        <f>CurrentMtgRatesDataTable8[[#This Row],[Servicing Spread Non-Zero]]-K217</f>
        <v>0</v>
      </c>
      <c r="M218" s="16">
        <f>IF(I217&lt;&gt;0,CurrentMtgRatesDataTable8[[#This Row],[Rate]]-C217,M217)</f>
        <v>0</v>
      </c>
    </row>
    <row r="219" spans="1:13">
      <c r="A219" s="8" t="s">
        <v>206</v>
      </c>
      <c r="B219" s="11">
        <v>2.6070118411689598</v>
      </c>
      <c r="C219" s="13">
        <v>3.48</v>
      </c>
      <c r="D219" s="14">
        <f t="shared" si="18"/>
        <v>6</v>
      </c>
      <c r="E219" s="14">
        <f t="shared" si="19"/>
        <v>0.2</v>
      </c>
      <c r="F219" s="14">
        <f t="shared" si="20"/>
        <v>4</v>
      </c>
      <c r="G219" s="14">
        <f t="shared" si="21"/>
        <v>2.0593716690196402</v>
      </c>
      <c r="H219" s="14">
        <f t="shared" si="22"/>
        <v>0.8</v>
      </c>
      <c r="I219" s="14">
        <f t="shared" si="23"/>
        <v>0</v>
      </c>
      <c r="J219" s="15">
        <f>IF(CurrentMtgRatesDataTable8[[#This Row],[WA CC]]&lt;&gt;0,C218-CurrentMtgRatesDataTable8[[#This Row],[WA CC]],0)</f>
        <v>0</v>
      </c>
      <c r="K219" s="16">
        <f>IF(CurrentMtgRatesDataTable8[[#This Row],[Servicing Spread]]&lt;=0,K218,CurrentMtgRatesDataTable8[[#This Row],[Servicing Spread]])</f>
        <v>0.90384962704580385</v>
      </c>
      <c r="L219" s="16">
        <f>CurrentMtgRatesDataTable8[[#This Row],[Servicing Spread Non-Zero]]-K218</f>
        <v>0</v>
      </c>
      <c r="M219" s="16">
        <f>IF(I218&lt;&gt;0,CurrentMtgRatesDataTable8[[#This Row],[Rate]]-C218,M218)</f>
        <v>0</v>
      </c>
    </row>
    <row r="220" spans="1:13">
      <c r="A220" s="8" t="s">
        <v>63</v>
      </c>
      <c r="B220" s="11">
        <v>2.6537197373142098</v>
      </c>
      <c r="C220" s="13">
        <v>3.48</v>
      </c>
      <c r="D220" s="14">
        <f t="shared" si="18"/>
        <v>7</v>
      </c>
      <c r="E220" s="14">
        <f t="shared" si="19"/>
        <v>0.2</v>
      </c>
      <c r="F220" s="14">
        <f t="shared" si="20"/>
        <v>5</v>
      </c>
      <c r="G220" s="14">
        <f t="shared" si="21"/>
        <v>2.5901156164824823</v>
      </c>
      <c r="H220" s="14">
        <f t="shared" si="22"/>
        <v>1</v>
      </c>
      <c r="I220" s="14">
        <f t="shared" si="23"/>
        <v>2.5901156164824823</v>
      </c>
      <c r="J220" s="15">
        <f>IF(CurrentMtgRatesDataTable8[[#This Row],[WA CC]]&lt;&gt;0,C219-CurrentMtgRatesDataTable8[[#This Row],[WA CC]],0)</f>
        <v>0.88988438351751764</v>
      </c>
      <c r="K220" s="16">
        <f>IF(CurrentMtgRatesDataTable8[[#This Row],[Servicing Spread]]&lt;=0,K219,CurrentMtgRatesDataTable8[[#This Row],[Servicing Spread]])</f>
        <v>0.88988438351751764</v>
      </c>
      <c r="L220" s="16">
        <f>CurrentMtgRatesDataTable8[[#This Row],[Servicing Spread Non-Zero]]-K219</f>
        <v>-1.3965243528286209E-2</v>
      </c>
      <c r="M220" s="16">
        <f>IF(I219&lt;&gt;0,CurrentMtgRatesDataTable8[[#This Row],[Rate]]-C219,M219)</f>
        <v>0</v>
      </c>
    </row>
    <row r="221" spans="1:13">
      <c r="A221" s="8" t="s">
        <v>629</v>
      </c>
      <c r="B221" s="11">
        <v>2.6085491789438602</v>
      </c>
      <c r="C221" s="13">
        <v>3.5100000000000002</v>
      </c>
      <c r="D221" s="14">
        <f t="shared" si="18"/>
        <v>1</v>
      </c>
      <c r="E221" s="14">
        <f t="shared" si="19"/>
        <v>0.2</v>
      </c>
      <c r="F221" s="14">
        <f t="shared" si="20"/>
        <v>1</v>
      </c>
      <c r="G221" s="14">
        <f t="shared" si="21"/>
        <v>0.52170983578877206</v>
      </c>
      <c r="H221" s="14">
        <f t="shared" si="22"/>
        <v>0.2</v>
      </c>
      <c r="I221" s="14">
        <f t="shared" si="23"/>
        <v>0</v>
      </c>
      <c r="J221" s="15">
        <f>IF(CurrentMtgRatesDataTable8[[#This Row],[WA CC]]&lt;&gt;0,C220-CurrentMtgRatesDataTable8[[#This Row],[WA CC]],0)</f>
        <v>0</v>
      </c>
      <c r="K221" s="16">
        <f>IF(CurrentMtgRatesDataTable8[[#This Row],[Servicing Spread]]&lt;=0,K220,CurrentMtgRatesDataTable8[[#This Row],[Servicing Spread]])</f>
        <v>0.88988438351751764</v>
      </c>
      <c r="L221" s="16">
        <f>CurrentMtgRatesDataTable8[[#This Row],[Servicing Spread Non-Zero]]-K220</f>
        <v>0</v>
      </c>
      <c r="M221" s="16">
        <f>IF(I220&lt;&gt;0,CurrentMtgRatesDataTable8[[#This Row],[Rate]]-C220,M220)</f>
        <v>3.0000000000000249E-2</v>
      </c>
    </row>
    <row r="222" spans="1:13">
      <c r="A222" s="8" t="s">
        <v>486</v>
      </c>
      <c r="B222" s="11">
        <v>2.6207856725732901</v>
      </c>
      <c r="C222" s="13">
        <v>3.5100000000000002</v>
      </c>
      <c r="D222" s="14">
        <f t="shared" si="18"/>
        <v>2</v>
      </c>
      <c r="E222" s="14">
        <f t="shared" si="19"/>
        <v>0.2</v>
      </c>
      <c r="F222" s="14">
        <f t="shared" si="20"/>
        <v>2</v>
      </c>
      <c r="G222" s="14">
        <f t="shared" si="21"/>
        <v>1.0458669703034302</v>
      </c>
      <c r="H222" s="14">
        <f t="shared" si="22"/>
        <v>0.4</v>
      </c>
      <c r="I222" s="14">
        <f t="shared" si="23"/>
        <v>0</v>
      </c>
      <c r="J222" s="15">
        <f>IF(CurrentMtgRatesDataTable8[[#This Row],[WA CC]]&lt;&gt;0,C221-CurrentMtgRatesDataTable8[[#This Row],[WA CC]],0)</f>
        <v>0</v>
      </c>
      <c r="K222" s="16">
        <f>IF(CurrentMtgRatesDataTable8[[#This Row],[Servicing Spread]]&lt;=0,K221,CurrentMtgRatesDataTable8[[#This Row],[Servicing Spread]])</f>
        <v>0.88988438351751764</v>
      </c>
      <c r="L222" s="16">
        <f>CurrentMtgRatesDataTable8[[#This Row],[Servicing Spread Non-Zero]]-K221</f>
        <v>0</v>
      </c>
      <c r="M222" s="16">
        <f>IF(I221&lt;&gt;0,CurrentMtgRatesDataTable8[[#This Row],[Rate]]-C221,M221)</f>
        <v>3.0000000000000249E-2</v>
      </c>
    </row>
    <row r="223" spans="1:13">
      <c r="A223" s="8" t="s">
        <v>207</v>
      </c>
      <c r="B223" s="11">
        <v>2.6380211947179002</v>
      </c>
      <c r="C223" s="13">
        <v>3.5100000000000002</v>
      </c>
      <c r="D223" s="14">
        <f t="shared" si="18"/>
        <v>6</v>
      </c>
      <c r="E223" s="14">
        <f t="shared" si="19"/>
        <v>0.2</v>
      </c>
      <c r="F223" s="14">
        <f t="shared" si="20"/>
        <v>3</v>
      </c>
      <c r="G223" s="14">
        <f t="shared" si="21"/>
        <v>1.5734712092470104</v>
      </c>
      <c r="H223" s="14">
        <f t="shared" si="22"/>
        <v>0.60000000000000009</v>
      </c>
      <c r="I223" s="14">
        <f t="shared" si="23"/>
        <v>0</v>
      </c>
      <c r="J223" s="15">
        <f>IF(CurrentMtgRatesDataTable8[[#This Row],[WA CC]]&lt;&gt;0,C222-CurrentMtgRatesDataTable8[[#This Row],[WA CC]],0)</f>
        <v>0</v>
      </c>
      <c r="K223" s="16">
        <f>IF(CurrentMtgRatesDataTable8[[#This Row],[Servicing Spread]]&lt;=0,K222,CurrentMtgRatesDataTable8[[#This Row],[Servicing Spread]])</f>
        <v>0.88988438351751764</v>
      </c>
      <c r="L223" s="16">
        <f>CurrentMtgRatesDataTable8[[#This Row],[Servicing Spread Non-Zero]]-K222</f>
        <v>0</v>
      </c>
      <c r="M223" s="16">
        <f>IF(I222&lt;&gt;0,CurrentMtgRatesDataTable8[[#This Row],[Rate]]-C222,M222)</f>
        <v>3.0000000000000249E-2</v>
      </c>
    </row>
    <row r="224" spans="1:13">
      <c r="A224" s="8" t="s">
        <v>64</v>
      </c>
      <c r="B224" s="11">
        <v>2.63796949913782</v>
      </c>
      <c r="C224" s="13">
        <v>3.5100000000000002</v>
      </c>
      <c r="D224" s="14">
        <f t="shared" si="18"/>
        <v>7</v>
      </c>
      <c r="E224" s="14">
        <f t="shared" si="19"/>
        <v>0.2</v>
      </c>
      <c r="F224" s="14">
        <f t="shared" si="20"/>
        <v>4</v>
      </c>
      <c r="G224" s="14">
        <f t="shared" si="21"/>
        <v>2.1010651090745744</v>
      </c>
      <c r="H224" s="14">
        <f t="shared" si="22"/>
        <v>0.8</v>
      </c>
      <c r="I224" s="14">
        <f t="shared" si="23"/>
        <v>2.6263313863432178</v>
      </c>
      <c r="J224" s="15">
        <f>IF(CurrentMtgRatesDataTable8[[#This Row],[WA CC]]&lt;&gt;0,C223-CurrentMtgRatesDataTable8[[#This Row],[WA CC]],0)</f>
        <v>0.8836686136567824</v>
      </c>
      <c r="K224" s="16">
        <f>IF(CurrentMtgRatesDataTable8[[#This Row],[Servicing Spread]]&lt;=0,K223,CurrentMtgRatesDataTable8[[#This Row],[Servicing Spread]])</f>
        <v>0.8836686136567824</v>
      </c>
      <c r="L224" s="16">
        <f>CurrentMtgRatesDataTable8[[#This Row],[Servicing Spread Non-Zero]]-K223</f>
        <v>-6.215769860735243E-3</v>
      </c>
      <c r="M224" s="16">
        <f>IF(I223&lt;&gt;0,CurrentMtgRatesDataTable8[[#This Row],[Rate]]-C223,M223)</f>
        <v>3.0000000000000249E-2</v>
      </c>
    </row>
    <row r="225" spans="1:13">
      <c r="A225" s="8" t="s">
        <v>630</v>
      </c>
      <c r="B225" s="11">
        <v>2.6257405351132901</v>
      </c>
      <c r="C225" s="13">
        <v>3.46</v>
      </c>
      <c r="D225" s="14">
        <f t="shared" si="18"/>
        <v>1</v>
      </c>
      <c r="E225" s="14">
        <f t="shared" si="19"/>
        <v>0.2</v>
      </c>
      <c r="F225" s="14">
        <f t="shared" si="20"/>
        <v>1</v>
      </c>
      <c r="G225" s="14">
        <f t="shared" si="21"/>
        <v>0.52514810702265802</v>
      </c>
      <c r="H225" s="14">
        <f t="shared" si="22"/>
        <v>0.2</v>
      </c>
      <c r="I225" s="14">
        <f t="shared" si="23"/>
        <v>0</v>
      </c>
      <c r="J225" s="15">
        <f>IF(CurrentMtgRatesDataTable8[[#This Row],[WA CC]]&lt;&gt;0,C224-CurrentMtgRatesDataTable8[[#This Row],[WA CC]],0)</f>
        <v>0</v>
      </c>
      <c r="K225" s="16">
        <f>IF(CurrentMtgRatesDataTable8[[#This Row],[Servicing Spread]]&lt;=0,K224,CurrentMtgRatesDataTable8[[#This Row],[Servicing Spread]])</f>
        <v>0.8836686136567824</v>
      </c>
      <c r="L225" s="16">
        <f>CurrentMtgRatesDataTable8[[#This Row],[Servicing Spread Non-Zero]]-K224</f>
        <v>0</v>
      </c>
      <c r="M225" s="16">
        <f>IF(I224&lt;&gt;0,CurrentMtgRatesDataTable8[[#This Row],[Rate]]-C224,M224)</f>
        <v>-5.0000000000000266E-2</v>
      </c>
    </row>
    <row r="226" spans="1:13">
      <c r="A226" s="8" t="s">
        <v>487</v>
      </c>
      <c r="B226" s="11">
        <v>2.6251399034844098</v>
      </c>
      <c r="C226" s="13">
        <v>3.46</v>
      </c>
      <c r="D226" s="14">
        <f t="shared" si="18"/>
        <v>2</v>
      </c>
      <c r="E226" s="14">
        <f t="shared" si="19"/>
        <v>0.2</v>
      </c>
      <c r="F226" s="14">
        <f t="shared" si="20"/>
        <v>2</v>
      </c>
      <c r="G226" s="14">
        <f t="shared" si="21"/>
        <v>1.0501760877195401</v>
      </c>
      <c r="H226" s="14">
        <f t="shared" si="22"/>
        <v>0.4</v>
      </c>
      <c r="I226" s="14">
        <f t="shared" si="23"/>
        <v>0</v>
      </c>
      <c r="J226" s="15">
        <f>IF(CurrentMtgRatesDataTable8[[#This Row],[WA CC]]&lt;&gt;0,C225-CurrentMtgRatesDataTable8[[#This Row],[WA CC]],0)</f>
        <v>0</v>
      </c>
      <c r="K226" s="16">
        <f>IF(CurrentMtgRatesDataTable8[[#This Row],[Servicing Spread]]&lt;=0,K225,CurrentMtgRatesDataTable8[[#This Row],[Servicing Spread]])</f>
        <v>0.8836686136567824</v>
      </c>
      <c r="L226" s="16">
        <f>CurrentMtgRatesDataTable8[[#This Row],[Servicing Spread Non-Zero]]-K225</f>
        <v>0</v>
      </c>
      <c r="M226" s="16">
        <f>IF(I225&lt;&gt;0,CurrentMtgRatesDataTable8[[#This Row],[Rate]]-C225,M225)</f>
        <v>-5.0000000000000266E-2</v>
      </c>
    </row>
    <row r="227" spans="1:13">
      <c r="A227" s="8" t="s">
        <v>348</v>
      </c>
      <c r="B227" s="11">
        <v>2.5578588429933502</v>
      </c>
      <c r="C227" s="13">
        <v>3.46</v>
      </c>
      <c r="D227" s="14">
        <f t="shared" si="18"/>
        <v>5</v>
      </c>
      <c r="E227" s="14">
        <f t="shared" si="19"/>
        <v>0.2</v>
      </c>
      <c r="F227" s="14">
        <f t="shared" si="20"/>
        <v>3</v>
      </c>
      <c r="G227" s="14">
        <f t="shared" si="21"/>
        <v>1.5617478563182101</v>
      </c>
      <c r="H227" s="14">
        <f t="shared" si="22"/>
        <v>0.60000000000000009</v>
      </c>
      <c r="I227" s="14">
        <f t="shared" si="23"/>
        <v>0</v>
      </c>
      <c r="J227" s="15">
        <f>IF(CurrentMtgRatesDataTable8[[#This Row],[WA CC]]&lt;&gt;0,C226-CurrentMtgRatesDataTable8[[#This Row],[WA CC]],0)</f>
        <v>0</v>
      </c>
      <c r="K227" s="16">
        <f>IF(CurrentMtgRatesDataTable8[[#This Row],[Servicing Spread]]&lt;=0,K226,CurrentMtgRatesDataTable8[[#This Row],[Servicing Spread]])</f>
        <v>0.8836686136567824</v>
      </c>
      <c r="L227" s="16">
        <f>CurrentMtgRatesDataTable8[[#This Row],[Servicing Spread Non-Zero]]-K226</f>
        <v>0</v>
      </c>
      <c r="M227" s="16">
        <f>IF(I226&lt;&gt;0,CurrentMtgRatesDataTable8[[#This Row],[Rate]]-C226,M226)</f>
        <v>-5.0000000000000266E-2</v>
      </c>
    </row>
    <row r="228" spans="1:13">
      <c r="A228" s="8" t="s">
        <v>208</v>
      </c>
      <c r="B228" s="11">
        <v>2.5389569445759999</v>
      </c>
      <c r="C228" s="13">
        <v>3.46</v>
      </c>
      <c r="D228" s="14">
        <f t="shared" si="18"/>
        <v>6</v>
      </c>
      <c r="E228" s="14">
        <f t="shared" si="19"/>
        <v>0.2</v>
      </c>
      <c r="F228" s="14">
        <f t="shared" si="20"/>
        <v>4</v>
      </c>
      <c r="G228" s="14">
        <f t="shared" si="21"/>
        <v>2.0695392452334103</v>
      </c>
      <c r="H228" s="14">
        <f t="shared" si="22"/>
        <v>0.8</v>
      </c>
      <c r="I228" s="14">
        <f t="shared" si="23"/>
        <v>0</v>
      </c>
      <c r="J228" s="15">
        <f>IF(CurrentMtgRatesDataTable8[[#This Row],[WA CC]]&lt;&gt;0,C227-CurrentMtgRatesDataTable8[[#This Row],[WA CC]],0)</f>
        <v>0</v>
      </c>
      <c r="K228" s="16">
        <f>IF(CurrentMtgRatesDataTable8[[#This Row],[Servicing Spread]]&lt;=0,K227,CurrentMtgRatesDataTable8[[#This Row],[Servicing Spread]])</f>
        <v>0.8836686136567824</v>
      </c>
      <c r="L228" s="16">
        <f>CurrentMtgRatesDataTable8[[#This Row],[Servicing Spread Non-Zero]]-K227</f>
        <v>0</v>
      </c>
      <c r="M228" s="16">
        <f>IF(I227&lt;&gt;0,CurrentMtgRatesDataTable8[[#This Row],[Rate]]-C227,M227)</f>
        <v>-5.0000000000000266E-2</v>
      </c>
    </row>
    <row r="229" spans="1:13">
      <c r="A229" s="8" t="s">
        <v>65</v>
      </c>
      <c r="B229" s="11">
        <v>2.5732198821136101</v>
      </c>
      <c r="C229" s="13">
        <v>3.46</v>
      </c>
      <c r="D229" s="14">
        <f t="shared" si="18"/>
        <v>7</v>
      </c>
      <c r="E229" s="14">
        <f t="shared" si="19"/>
        <v>0.2</v>
      </c>
      <c r="F229" s="14">
        <f t="shared" si="20"/>
        <v>5</v>
      </c>
      <c r="G229" s="14">
        <f t="shared" si="21"/>
        <v>2.5841832216561325</v>
      </c>
      <c r="H229" s="14">
        <f t="shared" si="22"/>
        <v>1</v>
      </c>
      <c r="I229" s="14">
        <f t="shared" si="23"/>
        <v>2.5841832216561325</v>
      </c>
      <c r="J229" s="15">
        <f>IF(CurrentMtgRatesDataTable8[[#This Row],[WA CC]]&lt;&gt;0,C228-CurrentMtgRatesDataTable8[[#This Row],[WA CC]],0)</f>
        <v>0.87581677834386751</v>
      </c>
      <c r="K229" s="16">
        <f>IF(CurrentMtgRatesDataTable8[[#This Row],[Servicing Spread]]&lt;=0,K228,CurrentMtgRatesDataTable8[[#This Row],[Servicing Spread]])</f>
        <v>0.87581677834386751</v>
      </c>
      <c r="L229" s="16">
        <f>CurrentMtgRatesDataTable8[[#This Row],[Servicing Spread Non-Zero]]-K228</f>
        <v>-7.8518353129148899E-3</v>
      </c>
      <c r="M229" s="16">
        <f>IF(I228&lt;&gt;0,CurrentMtgRatesDataTable8[[#This Row],[Rate]]-C228,M228)</f>
        <v>-5.0000000000000266E-2</v>
      </c>
    </row>
    <row r="230" spans="1:13">
      <c r="A230" s="8" t="s">
        <v>631</v>
      </c>
      <c r="B230" s="11">
        <v>2.5448374323223399</v>
      </c>
      <c r="C230" s="13">
        <v>3.4449999999999998</v>
      </c>
      <c r="D230" s="14">
        <f t="shared" si="18"/>
        <v>1</v>
      </c>
      <c r="E230" s="14">
        <f t="shared" si="19"/>
        <v>0.2</v>
      </c>
      <c r="F230" s="14">
        <f t="shared" si="20"/>
        <v>1</v>
      </c>
      <c r="G230" s="14">
        <f t="shared" si="21"/>
        <v>0.50896748646446799</v>
      </c>
      <c r="H230" s="14">
        <f t="shared" si="22"/>
        <v>0.2</v>
      </c>
      <c r="I230" s="14">
        <f t="shared" si="23"/>
        <v>0</v>
      </c>
      <c r="J230" s="15">
        <f>IF(CurrentMtgRatesDataTable8[[#This Row],[WA CC]]&lt;&gt;0,C229-CurrentMtgRatesDataTable8[[#This Row],[WA CC]],0)</f>
        <v>0</v>
      </c>
      <c r="K230" s="16">
        <f>IF(CurrentMtgRatesDataTable8[[#This Row],[Servicing Spread]]&lt;=0,K229,CurrentMtgRatesDataTable8[[#This Row],[Servicing Spread]])</f>
        <v>0.87581677834386751</v>
      </c>
      <c r="L230" s="16">
        <f>CurrentMtgRatesDataTable8[[#This Row],[Servicing Spread Non-Zero]]-K229</f>
        <v>0</v>
      </c>
      <c r="M230" s="16">
        <f>IF(I229&lt;&gt;0,CurrentMtgRatesDataTable8[[#This Row],[Rate]]-C229,M229)</f>
        <v>-1.5000000000000124E-2</v>
      </c>
    </row>
    <row r="231" spans="1:13">
      <c r="A231" s="8" t="s">
        <v>488</v>
      </c>
      <c r="B231" s="11">
        <v>2.5299300395983999</v>
      </c>
      <c r="C231" s="13">
        <v>3.4449999999999998</v>
      </c>
      <c r="D231" s="14">
        <f t="shared" si="18"/>
        <v>2</v>
      </c>
      <c r="E231" s="14">
        <f t="shared" si="19"/>
        <v>0.2</v>
      </c>
      <c r="F231" s="14">
        <f t="shared" si="20"/>
        <v>2</v>
      </c>
      <c r="G231" s="14">
        <f t="shared" si="21"/>
        <v>1.0149534943841481</v>
      </c>
      <c r="H231" s="14">
        <f t="shared" si="22"/>
        <v>0.4</v>
      </c>
      <c r="I231" s="14">
        <f t="shared" si="23"/>
        <v>0</v>
      </c>
      <c r="J231" s="15">
        <f>IF(CurrentMtgRatesDataTable8[[#This Row],[WA CC]]&lt;&gt;0,C230-CurrentMtgRatesDataTable8[[#This Row],[WA CC]],0)</f>
        <v>0</v>
      </c>
      <c r="K231" s="16">
        <f>IF(CurrentMtgRatesDataTable8[[#This Row],[Servicing Spread]]&lt;=0,K230,CurrentMtgRatesDataTable8[[#This Row],[Servicing Spread]])</f>
        <v>0.87581677834386751</v>
      </c>
      <c r="L231" s="16">
        <f>CurrentMtgRatesDataTable8[[#This Row],[Servicing Spread Non-Zero]]-K230</f>
        <v>0</v>
      </c>
      <c r="M231" s="16">
        <f>IF(I230&lt;&gt;0,CurrentMtgRatesDataTable8[[#This Row],[Rate]]-C230,M230)</f>
        <v>-1.5000000000000124E-2</v>
      </c>
    </row>
    <row r="232" spans="1:13">
      <c r="A232" s="8" t="s">
        <v>349</v>
      </c>
      <c r="B232" s="11">
        <v>2.5457760046441602</v>
      </c>
      <c r="C232" s="13">
        <v>3.4449999999999998</v>
      </c>
      <c r="D232" s="14">
        <f t="shared" si="18"/>
        <v>5</v>
      </c>
      <c r="E232" s="14">
        <f t="shared" si="19"/>
        <v>0.2</v>
      </c>
      <c r="F232" s="14">
        <f t="shared" si="20"/>
        <v>3</v>
      </c>
      <c r="G232" s="14">
        <f t="shared" si="21"/>
        <v>1.5241086953129801</v>
      </c>
      <c r="H232" s="14">
        <f t="shared" si="22"/>
        <v>0.60000000000000009</v>
      </c>
      <c r="I232" s="14">
        <f t="shared" si="23"/>
        <v>0</v>
      </c>
      <c r="J232" s="15">
        <f>IF(CurrentMtgRatesDataTable8[[#This Row],[WA CC]]&lt;&gt;0,C231-CurrentMtgRatesDataTable8[[#This Row],[WA CC]],0)</f>
        <v>0</v>
      </c>
      <c r="K232" s="16">
        <f>IF(CurrentMtgRatesDataTable8[[#This Row],[Servicing Spread]]&lt;=0,K231,CurrentMtgRatesDataTable8[[#This Row],[Servicing Spread]])</f>
        <v>0.87581677834386751</v>
      </c>
      <c r="L232" s="16">
        <f>CurrentMtgRatesDataTable8[[#This Row],[Servicing Spread Non-Zero]]-K231</f>
        <v>0</v>
      </c>
      <c r="M232" s="16">
        <f>IF(I231&lt;&gt;0,CurrentMtgRatesDataTable8[[#This Row],[Rate]]-C231,M231)</f>
        <v>-1.5000000000000124E-2</v>
      </c>
    </row>
    <row r="233" spans="1:13">
      <c r="A233" s="8" t="s">
        <v>209</v>
      </c>
      <c r="B233" s="11">
        <v>2.56075645776348</v>
      </c>
      <c r="C233" s="13">
        <v>3.4449999999999998</v>
      </c>
      <c r="D233" s="14">
        <f t="shared" si="18"/>
        <v>6</v>
      </c>
      <c r="E233" s="14">
        <f t="shared" si="19"/>
        <v>0.2</v>
      </c>
      <c r="F233" s="14">
        <f t="shared" si="20"/>
        <v>4</v>
      </c>
      <c r="G233" s="14">
        <f t="shared" si="21"/>
        <v>2.0362599868656761</v>
      </c>
      <c r="H233" s="14">
        <f t="shared" si="22"/>
        <v>0.8</v>
      </c>
      <c r="I233" s="14">
        <f t="shared" si="23"/>
        <v>0</v>
      </c>
      <c r="J233" s="15">
        <f>IF(CurrentMtgRatesDataTable8[[#This Row],[WA CC]]&lt;&gt;0,C232-CurrentMtgRatesDataTable8[[#This Row],[WA CC]],0)</f>
        <v>0</v>
      </c>
      <c r="K233" s="16">
        <f>IF(CurrentMtgRatesDataTable8[[#This Row],[Servicing Spread]]&lt;=0,K232,CurrentMtgRatesDataTable8[[#This Row],[Servicing Spread]])</f>
        <v>0.87581677834386751</v>
      </c>
      <c r="L233" s="16">
        <f>CurrentMtgRatesDataTable8[[#This Row],[Servicing Spread Non-Zero]]-K232</f>
        <v>0</v>
      </c>
      <c r="M233" s="16">
        <f>IF(I232&lt;&gt;0,CurrentMtgRatesDataTable8[[#This Row],[Rate]]-C232,M232)</f>
        <v>-1.5000000000000124E-2</v>
      </c>
    </row>
    <row r="234" spans="1:13">
      <c r="A234" s="8" t="s">
        <v>66</v>
      </c>
      <c r="B234" s="11">
        <v>2.6125524232747801</v>
      </c>
      <c r="C234" s="13">
        <v>3.4449999999999998</v>
      </c>
      <c r="D234" s="14">
        <f t="shared" si="18"/>
        <v>7</v>
      </c>
      <c r="E234" s="14">
        <f t="shared" si="19"/>
        <v>0.2</v>
      </c>
      <c r="F234" s="14">
        <f t="shared" si="20"/>
        <v>5</v>
      </c>
      <c r="G234" s="14">
        <f t="shared" si="21"/>
        <v>2.5587704715206323</v>
      </c>
      <c r="H234" s="14">
        <f t="shared" si="22"/>
        <v>1</v>
      </c>
      <c r="I234" s="14">
        <f t="shared" si="23"/>
        <v>2.5587704715206323</v>
      </c>
      <c r="J234" s="15">
        <f>IF(CurrentMtgRatesDataTable8[[#This Row],[WA CC]]&lt;&gt;0,C233-CurrentMtgRatesDataTable8[[#This Row],[WA CC]],0)</f>
        <v>0.88622952847936753</v>
      </c>
      <c r="K234" s="16">
        <f>IF(CurrentMtgRatesDataTable8[[#This Row],[Servicing Spread]]&lt;=0,K233,CurrentMtgRatesDataTable8[[#This Row],[Servicing Spread]])</f>
        <v>0.88622952847936753</v>
      </c>
      <c r="L234" s="16">
        <f>CurrentMtgRatesDataTable8[[#This Row],[Servicing Spread Non-Zero]]-K233</f>
        <v>1.0412750135500026E-2</v>
      </c>
      <c r="M234" s="16">
        <f>IF(I233&lt;&gt;0,CurrentMtgRatesDataTable8[[#This Row],[Rate]]-C233,M233)</f>
        <v>-1.5000000000000124E-2</v>
      </c>
    </row>
    <row r="235" spans="1:13">
      <c r="A235" s="8" t="s">
        <v>632</v>
      </c>
      <c r="B235" s="11">
        <v>2.6733074908689098</v>
      </c>
      <c r="C235" s="13">
        <v>3.58</v>
      </c>
      <c r="D235" s="14">
        <f t="shared" si="18"/>
        <v>1</v>
      </c>
      <c r="E235" s="14">
        <f t="shared" si="19"/>
        <v>0.2</v>
      </c>
      <c r="F235" s="14">
        <f t="shared" si="20"/>
        <v>1</v>
      </c>
      <c r="G235" s="14">
        <f t="shared" si="21"/>
        <v>0.53466149817378195</v>
      </c>
      <c r="H235" s="14">
        <f t="shared" si="22"/>
        <v>0.2</v>
      </c>
      <c r="I235" s="14">
        <f t="shared" si="23"/>
        <v>0</v>
      </c>
      <c r="J235" s="15">
        <f>IF(CurrentMtgRatesDataTable8[[#This Row],[WA CC]]&lt;&gt;0,C234-CurrentMtgRatesDataTable8[[#This Row],[WA CC]],0)</f>
        <v>0</v>
      </c>
      <c r="K235" s="16">
        <f>IF(CurrentMtgRatesDataTable8[[#This Row],[Servicing Spread]]&lt;=0,K234,CurrentMtgRatesDataTable8[[#This Row],[Servicing Spread]])</f>
        <v>0.88622952847936753</v>
      </c>
      <c r="L235" s="16">
        <f>CurrentMtgRatesDataTable8[[#This Row],[Servicing Spread Non-Zero]]-K234</f>
        <v>0</v>
      </c>
      <c r="M235" s="16">
        <f>IF(I234&lt;&gt;0,CurrentMtgRatesDataTable8[[#This Row],[Rate]]-C234,M234)</f>
        <v>0.13500000000000023</v>
      </c>
    </row>
    <row r="236" spans="1:13">
      <c r="A236" s="8" t="s">
        <v>489</v>
      </c>
      <c r="B236" s="11">
        <v>2.7519155244705402</v>
      </c>
      <c r="C236" s="13">
        <v>3.58</v>
      </c>
      <c r="D236" s="14">
        <f t="shared" si="18"/>
        <v>2</v>
      </c>
      <c r="E236" s="14">
        <f t="shared" si="19"/>
        <v>0.2</v>
      </c>
      <c r="F236" s="14">
        <f t="shared" si="20"/>
        <v>2</v>
      </c>
      <c r="G236" s="14">
        <f t="shared" si="21"/>
        <v>1.08504460306789</v>
      </c>
      <c r="H236" s="14">
        <f t="shared" si="22"/>
        <v>0.4</v>
      </c>
      <c r="I236" s="14">
        <f t="shared" si="23"/>
        <v>0</v>
      </c>
      <c r="J236" s="15">
        <f>IF(CurrentMtgRatesDataTable8[[#This Row],[WA CC]]&lt;&gt;0,C235-CurrentMtgRatesDataTable8[[#This Row],[WA CC]],0)</f>
        <v>0</v>
      </c>
      <c r="K236" s="16">
        <f>IF(CurrentMtgRatesDataTable8[[#This Row],[Servicing Spread]]&lt;=0,K235,CurrentMtgRatesDataTable8[[#This Row],[Servicing Spread]])</f>
        <v>0.88622952847936753</v>
      </c>
      <c r="L236" s="16">
        <f>CurrentMtgRatesDataTable8[[#This Row],[Servicing Spread Non-Zero]]-K235</f>
        <v>0</v>
      </c>
      <c r="M236" s="16">
        <f>IF(I235&lt;&gt;0,CurrentMtgRatesDataTable8[[#This Row],[Rate]]-C235,M235)</f>
        <v>0.13500000000000023</v>
      </c>
    </row>
    <row r="237" spans="1:13">
      <c r="A237" s="8" t="s">
        <v>350</v>
      </c>
      <c r="B237" s="11">
        <v>2.7399845789483299</v>
      </c>
      <c r="C237" s="13">
        <v>3.58</v>
      </c>
      <c r="D237" s="14">
        <f t="shared" si="18"/>
        <v>5</v>
      </c>
      <c r="E237" s="14">
        <f t="shared" si="19"/>
        <v>0.2</v>
      </c>
      <c r="F237" s="14">
        <f t="shared" si="20"/>
        <v>3</v>
      </c>
      <c r="G237" s="14">
        <f t="shared" si="21"/>
        <v>1.633041518857556</v>
      </c>
      <c r="H237" s="14">
        <f t="shared" si="22"/>
        <v>0.60000000000000009</v>
      </c>
      <c r="I237" s="14">
        <f t="shared" si="23"/>
        <v>0</v>
      </c>
      <c r="J237" s="15">
        <f>IF(CurrentMtgRatesDataTable8[[#This Row],[WA CC]]&lt;&gt;0,C236-CurrentMtgRatesDataTable8[[#This Row],[WA CC]],0)</f>
        <v>0</v>
      </c>
      <c r="K237" s="16">
        <f>IF(CurrentMtgRatesDataTable8[[#This Row],[Servicing Spread]]&lt;=0,K236,CurrentMtgRatesDataTable8[[#This Row],[Servicing Spread]])</f>
        <v>0.88622952847936753</v>
      </c>
      <c r="L237" s="16">
        <f>CurrentMtgRatesDataTable8[[#This Row],[Servicing Spread Non-Zero]]-K236</f>
        <v>0</v>
      </c>
      <c r="M237" s="16">
        <f>IF(I236&lt;&gt;0,CurrentMtgRatesDataTable8[[#This Row],[Rate]]-C236,M236)</f>
        <v>0.13500000000000023</v>
      </c>
    </row>
    <row r="238" spans="1:13">
      <c r="A238" s="8" t="s">
        <v>210</v>
      </c>
      <c r="B238" s="11">
        <v>2.7064552884836801</v>
      </c>
      <c r="C238" s="13">
        <v>3.58</v>
      </c>
      <c r="D238" s="14">
        <f t="shared" si="18"/>
        <v>6</v>
      </c>
      <c r="E238" s="14">
        <f t="shared" si="19"/>
        <v>0.2</v>
      </c>
      <c r="F238" s="14">
        <f t="shared" si="20"/>
        <v>4</v>
      </c>
      <c r="G238" s="14">
        <f t="shared" si="21"/>
        <v>2.174332576554292</v>
      </c>
      <c r="H238" s="14">
        <f t="shared" si="22"/>
        <v>0.8</v>
      </c>
      <c r="I238" s="14">
        <f t="shared" si="23"/>
        <v>0</v>
      </c>
      <c r="J238" s="15">
        <f>IF(CurrentMtgRatesDataTable8[[#This Row],[WA CC]]&lt;&gt;0,C237-CurrentMtgRatesDataTable8[[#This Row],[WA CC]],0)</f>
        <v>0</v>
      </c>
      <c r="K238" s="16">
        <f>IF(CurrentMtgRatesDataTable8[[#This Row],[Servicing Spread]]&lt;=0,K237,CurrentMtgRatesDataTable8[[#This Row],[Servicing Spread]])</f>
        <v>0.88622952847936753</v>
      </c>
      <c r="L238" s="16">
        <f>CurrentMtgRatesDataTable8[[#This Row],[Servicing Spread Non-Zero]]-K237</f>
        <v>0</v>
      </c>
      <c r="M238" s="16">
        <f>IF(I237&lt;&gt;0,CurrentMtgRatesDataTable8[[#This Row],[Rate]]-C237,M237)</f>
        <v>0.13500000000000023</v>
      </c>
    </row>
    <row r="239" spans="1:13">
      <c r="A239" s="8" t="s">
        <v>67</v>
      </c>
      <c r="B239" s="11">
        <v>2.70043867478531</v>
      </c>
      <c r="C239" s="13">
        <v>3.58</v>
      </c>
      <c r="D239" s="14">
        <f t="shared" si="18"/>
        <v>7</v>
      </c>
      <c r="E239" s="14">
        <f t="shared" si="19"/>
        <v>0.2</v>
      </c>
      <c r="F239" s="14">
        <f t="shared" si="20"/>
        <v>5</v>
      </c>
      <c r="G239" s="14">
        <f t="shared" si="21"/>
        <v>2.7144203115113541</v>
      </c>
      <c r="H239" s="14">
        <f t="shared" si="22"/>
        <v>1</v>
      </c>
      <c r="I239" s="14">
        <f t="shared" si="23"/>
        <v>2.7144203115113541</v>
      </c>
      <c r="J239" s="15">
        <f>IF(CurrentMtgRatesDataTable8[[#This Row],[WA CC]]&lt;&gt;0,C238-CurrentMtgRatesDataTable8[[#This Row],[WA CC]],0)</f>
        <v>0.86557968848864597</v>
      </c>
      <c r="K239" s="16">
        <f>IF(CurrentMtgRatesDataTable8[[#This Row],[Servicing Spread]]&lt;=0,K238,CurrentMtgRatesDataTable8[[#This Row],[Servicing Spread]])</f>
        <v>0.86557968848864597</v>
      </c>
      <c r="L239" s="16">
        <f>CurrentMtgRatesDataTable8[[#This Row],[Servicing Spread Non-Zero]]-K238</f>
        <v>-2.0649839990721564E-2</v>
      </c>
      <c r="M239" s="16">
        <f>IF(I238&lt;&gt;0,CurrentMtgRatesDataTable8[[#This Row],[Rate]]-C238,M238)</f>
        <v>0.13500000000000023</v>
      </c>
    </row>
    <row r="240" spans="1:13">
      <c r="A240" s="8" t="s">
        <v>633</v>
      </c>
      <c r="B240" s="11">
        <v>2.7054585787984</v>
      </c>
      <c r="C240" s="13">
        <v>3.49</v>
      </c>
      <c r="D240" s="14">
        <f t="shared" si="18"/>
        <v>1</v>
      </c>
      <c r="E240" s="14">
        <f t="shared" si="19"/>
        <v>0.2</v>
      </c>
      <c r="F240" s="14">
        <f t="shared" si="20"/>
        <v>1</v>
      </c>
      <c r="G240" s="14">
        <f t="shared" si="21"/>
        <v>0.54109171575968007</v>
      </c>
      <c r="H240" s="14">
        <f t="shared" si="22"/>
        <v>0.2</v>
      </c>
      <c r="I240" s="14">
        <f t="shared" si="23"/>
        <v>0</v>
      </c>
      <c r="J240" s="15">
        <f>IF(CurrentMtgRatesDataTable8[[#This Row],[WA CC]]&lt;&gt;0,C239-CurrentMtgRatesDataTable8[[#This Row],[WA CC]],0)</f>
        <v>0</v>
      </c>
      <c r="K240" s="16">
        <f>IF(CurrentMtgRatesDataTable8[[#This Row],[Servicing Spread]]&lt;=0,K239,CurrentMtgRatesDataTable8[[#This Row],[Servicing Spread]])</f>
        <v>0.86557968848864597</v>
      </c>
      <c r="L240" s="16">
        <f>CurrentMtgRatesDataTable8[[#This Row],[Servicing Spread Non-Zero]]-K239</f>
        <v>0</v>
      </c>
      <c r="M240" s="16">
        <f>IF(I239&lt;&gt;0,CurrentMtgRatesDataTable8[[#This Row],[Rate]]-C239,M239)</f>
        <v>-8.9999999999999858E-2</v>
      </c>
    </row>
    <row r="241" spans="1:13">
      <c r="A241" s="8" t="s">
        <v>490</v>
      </c>
      <c r="B241" s="11">
        <v>2.6643363272696798</v>
      </c>
      <c r="C241" s="13">
        <v>3.49</v>
      </c>
      <c r="D241" s="14">
        <f t="shared" si="18"/>
        <v>2</v>
      </c>
      <c r="E241" s="14">
        <f t="shared" si="19"/>
        <v>0.2</v>
      </c>
      <c r="F241" s="14">
        <f t="shared" si="20"/>
        <v>2</v>
      </c>
      <c r="G241" s="14">
        <f t="shared" si="21"/>
        <v>1.0739589812136161</v>
      </c>
      <c r="H241" s="14">
        <f t="shared" si="22"/>
        <v>0.4</v>
      </c>
      <c r="I241" s="14">
        <f t="shared" si="23"/>
        <v>0</v>
      </c>
      <c r="J241" s="15">
        <f>IF(CurrentMtgRatesDataTable8[[#This Row],[WA CC]]&lt;&gt;0,C240-CurrentMtgRatesDataTable8[[#This Row],[WA CC]],0)</f>
        <v>0</v>
      </c>
      <c r="K241" s="16">
        <f>IF(CurrentMtgRatesDataTable8[[#This Row],[Servicing Spread]]&lt;=0,K240,CurrentMtgRatesDataTable8[[#This Row],[Servicing Spread]])</f>
        <v>0.86557968848864597</v>
      </c>
      <c r="L241" s="16">
        <f>CurrentMtgRatesDataTable8[[#This Row],[Servicing Spread Non-Zero]]-K240</f>
        <v>0</v>
      </c>
      <c r="M241" s="16">
        <f>IF(I240&lt;&gt;0,CurrentMtgRatesDataTable8[[#This Row],[Rate]]-C240,M240)</f>
        <v>-8.9999999999999858E-2</v>
      </c>
    </row>
    <row r="242" spans="1:13">
      <c r="A242" s="8" t="s">
        <v>351</v>
      </c>
      <c r="B242" s="11">
        <v>2.6296268135310301</v>
      </c>
      <c r="C242" s="13">
        <v>3.49</v>
      </c>
      <c r="D242" s="14">
        <f t="shared" si="18"/>
        <v>5</v>
      </c>
      <c r="E242" s="14">
        <f t="shared" si="19"/>
        <v>0.2</v>
      </c>
      <c r="F242" s="14">
        <f t="shared" si="20"/>
        <v>3</v>
      </c>
      <c r="G242" s="14">
        <f t="shared" si="21"/>
        <v>1.5998843439198223</v>
      </c>
      <c r="H242" s="14">
        <f t="shared" si="22"/>
        <v>0.60000000000000009</v>
      </c>
      <c r="I242" s="14">
        <f t="shared" si="23"/>
        <v>0</v>
      </c>
      <c r="J242" s="15">
        <f>IF(CurrentMtgRatesDataTable8[[#This Row],[WA CC]]&lt;&gt;0,C241-CurrentMtgRatesDataTable8[[#This Row],[WA CC]],0)</f>
        <v>0</v>
      </c>
      <c r="K242" s="16">
        <f>IF(CurrentMtgRatesDataTable8[[#This Row],[Servicing Spread]]&lt;=0,K241,CurrentMtgRatesDataTable8[[#This Row],[Servicing Spread]])</f>
        <v>0.86557968848864597</v>
      </c>
      <c r="L242" s="16">
        <f>CurrentMtgRatesDataTable8[[#This Row],[Servicing Spread Non-Zero]]-K241</f>
        <v>0</v>
      </c>
      <c r="M242" s="16">
        <f>IF(I241&lt;&gt;0,CurrentMtgRatesDataTable8[[#This Row],[Rate]]-C241,M241)</f>
        <v>-8.9999999999999858E-2</v>
      </c>
    </row>
    <row r="243" spans="1:13">
      <c r="A243" s="8" t="s">
        <v>211</v>
      </c>
      <c r="B243" s="11">
        <v>2.6068633017671599</v>
      </c>
      <c r="C243" s="13">
        <v>3.49</v>
      </c>
      <c r="D243" s="14">
        <f t="shared" si="18"/>
        <v>6</v>
      </c>
      <c r="E243" s="14">
        <f t="shared" si="19"/>
        <v>0.2</v>
      </c>
      <c r="F243" s="14">
        <f t="shared" si="20"/>
        <v>4</v>
      </c>
      <c r="G243" s="14">
        <f t="shared" si="21"/>
        <v>2.1212570042732541</v>
      </c>
      <c r="H243" s="14">
        <f t="shared" si="22"/>
        <v>0.8</v>
      </c>
      <c r="I243" s="14">
        <f t="shared" si="23"/>
        <v>0</v>
      </c>
      <c r="J243" s="15">
        <f>IF(CurrentMtgRatesDataTable8[[#This Row],[WA CC]]&lt;&gt;0,C242-CurrentMtgRatesDataTable8[[#This Row],[WA CC]],0)</f>
        <v>0</v>
      </c>
      <c r="K243" s="16">
        <f>IF(CurrentMtgRatesDataTable8[[#This Row],[Servicing Spread]]&lt;=0,K242,CurrentMtgRatesDataTable8[[#This Row],[Servicing Spread]])</f>
        <v>0.86557968848864597</v>
      </c>
      <c r="L243" s="16">
        <f>CurrentMtgRatesDataTable8[[#This Row],[Servicing Spread Non-Zero]]-K242</f>
        <v>0</v>
      </c>
      <c r="M243" s="16">
        <f>IF(I242&lt;&gt;0,CurrentMtgRatesDataTable8[[#This Row],[Rate]]-C242,M242)</f>
        <v>-8.9999999999999858E-2</v>
      </c>
    </row>
    <row r="244" spans="1:13">
      <c r="A244" s="8" t="s">
        <v>68</v>
      </c>
      <c r="B244" s="11">
        <v>2.6469827013594598</v>
      </c>
      <c r="C244" s="13">
        <v>3.49</v>
      </c>
      <c r="D244" s="14">
        <f t="shared" si="18"/>
        <v>7</v>
      </c>
      <c r="E244" s="14">
        <f t="shared" si="19"/>
        <v>0.2</v>
      </c>
      <c r="F244" s="14">
        <f t="shared" si="20"/>
        <v>5</v>
      </c>
      <c r="G244" s="14">
        <f t="shared" si="21"/>
        <v>2.650653544545146</v>
      </c>
      <c r="H244" s="14">
        <f t="shared" si="22"/>
        <v>1</v>
      </c>
      <c r="I244" s="14">
        <f t="shared" si="23"/>
        <v>2.650653544545146</v>
      </c>
      <c r="J244" s="15">
        <f>IF(CurrentMtgRatesDataTable8[[#This Row],[WA CC]]&lt;&gt;0,C243-CurrentMtgRatesDataTable8[[#This Row],[WA CC]],0)</f>
        <v>0.8393464554548542</v>
      </c>
      <c r="K244" s="16">
        <f>IF(CurrentMtgRatesDataTable8[[#This Row],[Servicing Spread]]&lt;=0,K243,CurrentMtgRatesDataTable8[[#This Row],[Servicing Spread]])</f>
        <v>0.8393464554548542</v>
      </c>
      <c r="L244" s="16">
        <f>CurrentMtgRatesDataTable8[[#This Row],[Servicing Spread Non-Zero]]-K243</f>
        <v>-2.623323303379177E-2</v>
      </c>
      <c r="M244" s="16">
        <f>IF(I243&lt;&gt;0,CurrentMtgRatesDataTable8[[#This Row],[Rate]]-C243,M243)</f>
        <v>-8.9999999999999858E-2</v>
      </c>
    </row>
    <row r="245" spans="1:13">
      <c r="A245" s="8" t="s">
        <v>634</v>
      </c>
      <c r="B245" s="11">
        <v>2.6762749111600002</v>
      </c>
      <c r="C245" s="13">
        <v>3.52</v>
      </c>
      <c r="D245" s="14">
        <f t="shared" si="18"/>
        <v>1</v>
      </c>
      <c r="E245" s="14">
        <f t="shared" si="19"/>
        <v>0.2</v>
      </c>
      <c r="F245" s="14">
        <f t="shared" si="20"/>
        <v>1</v>
      </c>
      <c r="G245" s="14">
        <f t="shared" si="21"/>
        <v>0.53525498223200008</v>
      </c>
      <c r="H245" s="14">
        <f t="shared" si="22"/>
        <v>0.2</v>
      </c>
      <c r="I245" s="14">
        <f t="shared" si="23"/>
        <v>0</v>
      </c>
      <c r="J245" s="15">
        <f>IF(CurrentMtgRatesDataTable8[[#This Row],[WA CC]]&lt;&gt;0,C244-CurrentMtgRatesDataTable8[[#This Row],[WA CC]],0)</f>
        <v>0</v>
      </c>
      <c r="K245" s="16">
        <f>IF(CurrentMtgRatesDataTable8[[#This Row],[Servicing Spread]]&lt;=0,K244,CurrentMtgRatesDataTable8[[#This Row],[Servicing Spread]])</f>
        <v>0.8393464554548542</v>
      </c>
      <c r="L245" s="16">
        <f>CurrentMtgRatesDataTable8[[#This Row],[Servicing Spread Non-Zero]]-K244</f>
        <v>0</v>
      </c>
      <c r="M245" s="16">
        <f>IF(I244&lt;&gt;0,CurrentMtgRatesDataTable8[[#This Row],[Rate]]-C244,M244)</f>
        <v>2.9999999999999805E-2</v>
      </c>
    </row>
    <row r="246" spans="1:13">
      <c r="A246" s="8" t="s">
        <v>491</v>
      </c>
      <c r="B246" s="11">
        <v>2.6414844586182298</v>
      </c>
      <c r="C246" s="13">
        <v>3.52</v>
      </c>
      <c r="D246" s="14">
        <f t="shared" si="18"/>
        <v>2</v>
      </c>
      <c r="E246" s="14">
        <f t="shared" si="19"/>
        <v>0.2</v>
      </c>
      <c r="F246" s="14">
        <f t="shared" si="20"/>
        <v>2</v>
      </c>
      <c r="G246" s="14">
        <f t="shared" si="21"/>
        <v>1.063551873955646</v>
      </c>
      <c r="H246" s="14">
        <f t="shared" si="22"/>
        <v>0.4</v>
      </c>
      <c r="I246" s="14">
        <f t="shared" si="23"/>
        <v>0</v>
      </c>
      <c r="J246" s="15">
        <f>IF(CurrentMtgRatesDataTable8[[#This Row],[WA CC]]&lt;&gt;0,C245-CurrentMtgRatesDataTable8[[#This Row],[WA CC]],0)</f>
        <v>0</v>
      </c>
      <c r="K246" s="16">
        <f>IF(CurrentMtgRatesDataTable8[[#This Row],[Servicing Spread]]&lt;=0,K245,CurrentMtgRatesDataTable8[[#This Row],[Servicing Spread]])</f>
        <v>0.8393464554548542</v>
      </c>
      <c r="L246" s="16">
        <f>CurrentMtgRatesDataTable8[[#This Row],[Servicing Spread Non-Zero]]-K245</f>
        <v>0</v>
      </c>
      <c r="M246" s="16">
        <f>IF(I245&lt;&gt;0,CurrentMtgRatesDataTable8[[#This Row],[Rate]]-C245,M245)</f>
        <v>2.9999999999999805E-2</v>
      </c>
    </row>
    <row r="247" spans="1:13">
      <c r="A247" s="8" t="s">
        <v>352</v>
      </c>
      <c r="B247" s="11">
        <v>2.6394759315969498</v>
      </c>
      <c r="C247" s="13">
        <v>3.52</v>
      </c>
      <c r="D247" s="14">
        <f t="shared" si="18"/>
        <v>5</v>
      </c>
      <c r="E247" s="14">
        <f t="shared" si="19"/>
        <v>0.2</v>
      </c>
      <c r="F247" s="14">
        <f t="shared" si="20"/>
        <v>3</v>
      </c>
      <c r="G247" s="14">
        <f t="shared" si="21"/>
        <v>1.5914470602750361</v>
      </c>
      <c r="H247" s="14">
        <f t="shared" si="22"/>
        <v>0.60000000000000009</v>
      </c>
      <c r="I247" s="14">
        <f t="shared" si="23"/>
        <v>0</v>
      </c>
      <c r="J247" s="15">
        <f>IF(CurrentMtgRatesDataTable8[[#This Row],[WA CC]]&lt;&gt;0,C246-CurrentMtgRatesDataTable8[[#This Row],[WA CC]],0)</f>
        <v>0</v>
      </c>
      <c r="K247" s="16">
        <f>IF(CurrentMtgRatesDataTable8[[#This Row],[Servicing Spread]]&lt;=0,K246,CurrentMtgRatesDataTable8[[#This Row],[Servicing Spread]])</f>
        <v>0.8393464554548542</v>
      </c>
      <c r="L247" s="16">
        <f>CurrentMtgRatesDataTable8[[#This Row],[Servicing Spread Non-Zero]]-K246</f>
        <v>0</v>
      </c>
      <c r="M247" s="16">
        <f>IF(I246&lt;&gt;0,CurrentMtgRatesDataTable8[[#This Row],[Rate]]-C246,M246)</f>
        <v>2.9999999999999805E-2</v>
      </c>
    </row>
    <row r="248" spans="1:13">
      <c r="A248" s="8" t="s">
        <v>212</v>
      </c>
      <c r="B248" s="11">
        <v>2.6425583507311501</v>
      </c>
      <c r="C248" s="13">
        <v>3.52</v>
      </c>
      <c r="D248" s="14">
        <f t="shared" si="18"/>
        <v>6</v>
      </c>
      <c r="E248" s="14">
        <f t="shared" si="19"/>
        <v>0.2</v>
      </c>
      <c r="F248" s="14">
        <f t="shared" si="20"/>
        <v>4</v>
      </c>
      <c r="G248" s="14">
        <f t="shared" si="21"/>
        <v>2.1199587304212661</v>
      </c>
      <c r="H248" s="14">
        <f t="shared" si="22"/>
        <v>0.8</v>
      </c>
      <c r="I248" s="14">
        <f t="shared" si="23"/>
        <v>0</v>
      </c>
      <c r="J248" s="15">
        <f>IF(CurrentMtgRatesDataTable8[[#This Row],[WA CC]]&lt;&gt;0,C247-CurrentMtgRatesDataTable8[[#This Row],[WA CC]],0)</f>
        <v>0</v>
      </c>
      <c r="K248" s="16">
        <f>IF(CurrentMtgRatesDataTable8[[#This Row],[Servicing Spread]]&lt;=0,K247,CurrentMtgRatesDataTable8[[#This Row],[Servicing Spread]])</f>
        <v>0.8393464554548542</v>
      </c>
      <c r="L248" s="16">
        <f>CurrentMtgRatesDataTable8[[#This Row],[Servicing Spread Non-Zero]]-K247</f>
        <v>0</v>
      </c>
      <c r="M248" s="16">
        <f>IF(I247&lt;&gt;0,CurrentMtgRatesDataTable8[[#This Row],[Rate]]-C247,M247)</f>
        <v>2.9999999999999805E-2</v>
      </c>
    </row>
    <row r="249" spans="1:13">
      <c r="A249" s="8" t="s">
        <v>69</v>
      </c>
      <c r="B249" s="11">
        <v>2.6080685310037901</v>
      </c>
      <c r="C249" s="13">
        <v>3.52</v>
      </c>
      <c r="D249" s="14">
        <f t="shared" si="18"/>
        <v>7</v>
      </c>
      <c r="E249" s="14">
        <f t="shared" si="19"/>
        <v>0.2</v>
      </c>
      <c r="F249" s="14">
        <f t="shared" si="20"/>
        <v>5</v>
      </c>
      <c r="G249" s="14">
        <f t="shared" si="21"/>
        <v>2.6415724366220243</v>
      </c>
      <c r="H249" s="14">
        <f t="shared" si="22"/>
        <v>1</v>
      </c>
      <c r="I249" s="14">
        <f t="shared" si="23"/>
        <v>2.6415724366220243</v>
      </c>
      <c r="J249" s="15">
        <f>IF(CurrentMtgRatesDataTable8[[#This Row],[WA CC]]&lt;&gt;0,C248-CurrentMtgRatesDataTable8[[#This Row],[WA CC]],0)</f>
        <v>0.87842756337797567</v>
      </c>
      <c r="K249" s="16">
        <f>IF(CurrentMtgRatesDataTable8[[#This Row],[Servicing Spread]]&lt;=0,K248,CurrentMtgRatesDataTable8[[#This Row],[Servicing Spread]])</f>
        <v>0.87842756337797567</v>
      </c>
      <c r="L249" s="16">
        <f>CurrentMtgRatesDataTable8[[#This Row],[Servicing Spread Non-Zero]]-K248</f>
        <v>3.9081107923121472E-2</v>
      </c>
      <c r="M249" s="16">
        <f>IF(I248&lt;&gt;0,CurrentMtgRatesDataTable8[[#This Row],[Rate]]-C248,M248)</f>
        <v>2.9999999999999805E-2</v>
      </c>
    </row>
    <row r="250" spans="1:13">
      <c r="A250" s="8" t="s">
        <v>635</v>
      </c>
      <c r="B250" s="11">
        <v>2.6143335780898398</v>
      </c>
      <c r="C250" s="13">
        <v>3.49</v>
      </c>
      <c r="D250" s="14">
        <f t="shared" si="18"/>
        <v>1</v>
      </c>
      <c r="E250" s="14">
        <f t="shared" si="19"/>
        <v>0.2</v>
      </c>
      <c r="F250" s="14">
        <f t="shared" si="20"/>
        <v>1</v>
      </c>
      <c r="G250" s="14">
        <f t="shared" si="21"/>
        <v>0.52286671561796794</v>
      </c>
      <c r="H250" s="14">
        <f t="shared" si="22"/>
        <v>0.2</v>
      </c>
      <c r="I250" s="14">
        <f t="shared" si="23"/>
        <v>0</v>
      </c>
      <c r="J250" s="15">
        <f>IF(CurrentMtgRatesDataTable8[[#This Row],[WA CC]]&lt;&gt;0,C249-CurrentMtgRatesDataTable8[[#This Row],[WA CC]],0)</f>
        <v>0</v>
      </c>
      <c r="K250" s="16">
        <f>IF(CurrentMtgRatesDataTable8[[#This Row],[Servicing Spread]]&lt;=0,K249,CurrentMtgRatesDataTable8[[#This Row],[Servicing Spread]])</f>
        <v>0.87842756337797567</v>
      </c>
      <c r="L250" s="16">
        <f>CurrentMtgRatesDataTable8[[#This Row],[Servicing Spread Non-Zero]]-K249</f>
        <v>0</v>
      </c>
      <c r="M250" s="16">
        <f>IF(I249&lt;&gt;0,CurrentMtgRatesDataTable8[[#This Row],[Rate]]-C249,M249)</f>
        <v>-2.9999999999999805E-2</v>
      </c>
    </row>
    <row r="251" spans="1:13">
      <c r="A251" s="8" t="s">
        <v>353</v>
      </c>
      <c r="B251" s="11">
        <v>2.5951295555522802</v>
      </c>
      <c r="C251" s="13">
        <v>3.49</v>
      </c>
      <c r="D251" s="14">
        <f t="shared" si="18"/>
        <v>5</v>
      </c>
      <c r="E251" s="14">
        <f t="shared" si="19"/>
        <v>0.2</v>
      </c>
      <c r="F251" s="14">
        <f t="shared" si="20"/>
        <v>2</v>
      </c>
      <c r="G251" s="14">
        <f t="shared" si="21"/>
        <v>1.0418926267284241</v>
      </c>
      <c r="H251" s="14">
        <f t="shared" si="22"/>
        <v>0.4</v>
      </c>
      <c r="I251" s="14">
        <f t="shared" si="23"/>
        <v>0</v>
      </c>
      <c r="J251" s="15">
        <f>IF(CurrentMtgRatesDataTable8[[#This Row],[WA CC]]&lt;&gt;0,C250-CurrentMtgRatesDataTable8[[#This Row],[WA CC]],0)</f>
        <v>0</v>
      </c>
      <c r="K251" s="16">
        <f>IF(CurrentMtgRatesDataTable8[[#This Row],[Servicing Spread]]&lt;=0,K250,CurrentMtgRatesDataTable8[[#This Row],[Servicing Spread]])</f>
        <v>0.87842756337797567</v>
      </c>
      <c r="L251" s="16">
        <f>CurrentMtgRatesDataTable8[[#This Row],[Servicing Spread Non-Zero]]-K250</f>
        <v>0</v>
      </c>
      <c r="M251" s="16">
        <f>IF(I250&lt;&gt;0,CurrentMtgRatesDataTable8[[#This Row],[Rate]]-C250,M250)</f>
        <v>-2.9999999999999805E-2</v>
      </c>
    </row>
    <row r="252" spans="1:13">
      <c r="A252" s="8" t="s">
        <v>213</v>
      </c>
      <c r="B252" s="11">
        <v>2.6101991222676499</v>
      </c>
      <c r="C252" s="13">
        <v>3.49</v>
      </c>
      <c r="D252" s="14">
        <f t="shared" si="18"/>
        <v>6</v>
      </c>
      <c r="E252" s="14">
        <f t="shared" si="19"/>
        <v>0.2</v>
      </c>
      <c r="F252" s="14">
        <f t="shared" si="20"/>
        <v>3</v>
      </c>
      <c r="G252" s="14">
        <f t="shared" si="21"/>
        <v>1.5639324511819541</v>
      </c>
      <c r="H252" s="14">
        <f t="shared" si="22"/>
        <v>0.60000000000000009</v>
      </c>
      <c r="I252" s="14">
        <f t="shared" si="23"/>
        <v>0</v>
      </c>
      <c r="J252" s="15">
        <f>IF(CurrentMtgRatesDataTable8[[#This Row],[WA CC]]&lt;&gt;0,C251-CurrentMtgRatesDataTable8[[#This Row],[WA CC]],0)</f>
        <v>0</v>
      </c>
      <c r="K252" s="16">
        <f>IF(CurrentMtgRatesDataTable8[[#This Row],[Servicing Spread]]&lt;=0,K251,CurrentMtgRatesDataTable8[[#This Row],[Servicing Spread]])</f>
        <v>0.87842756337797567</v>
      </c>
      <c r="L252" s="16">
        <f>CurrentMtgRatesDataTable8[[#This Row],[Servicing Spread Non-Zero]]-K251</f>
        <v>0</v>
      </c>
      <c r="M252" s="16">
        <f>IF(I251&lt;&gt;0,CurrentMtgRatesDataTable8[[#This Row],[Rate]]-C251,M251)</f>
        <v>-2.9999999999999805E-2</v>
      </c>
    </row>
    <row r="253" spans="1:13">
      <c r="A253" s="8" t="s">
        <v>70</v>
      </c>
      <c r="B253" s="11">
        <v>2.5647186741288901</v>
      </c>
      <c r="C253" s="13">
        <v>3.49</v>
      </c>
      <c r="D253" s="14">
        <f t="shared" si="18"/>
        <v>7</v>
      </c>
      <c r="E253" s="14">
        <f t="shared" si="19"/>
        <v>0.2</v>
      </c>
      <c r="F253" s="14">
        <f t="shared" si="20"/>
        <v>4</v>
      </c>
      <c r="G253" s="14">
        <f t="shared" si="21"/>
        <v>2.0768761860077323</v>
      </c>
      <c r="H253" s="14">
        <f t="shared" si="22"/>
        <v>0.8</v>
      </c>
      <c r="I253" s="14">
        <f t="shared" si="23"/>
        <v>2.5960952325096653</v>
      </c>
      <c r="J253" s="15">
        <f>IF(CurrentMtgRatesDataTable8[[#This Row],[WA CC]]&lt;&gt;0,C252-CurrentMtgRatesDataTable8[[#This Row],[WA CC]],0)</f>
        <v>0.89390476749033487</v>
      </c>
      <c r="K253" s="16">
        <f>IF(CurrentMtgRatesDataTable8[[#This Row],[Servicing Spread]]&lt;=0,K252,CurrentMtgRatesDataTable8[[#This Row],[Servicing Spread]])</f>
        <v>0.89390476749033487</v>
      </c>
      <c r="L253" s="16">
        <f>CurrentMtgRatesDataTable8[[#This Row],[Servicing Spread Non-Zero]]-K252</f>
        <v>1.54772041123592E-2</v>
      </c>
      <c r="M253" s="16">
        <f>IF(I252&lt;&gt;0,CurrentMtgRatesDataTable8[[#This Row],[Rate]]-C252,M252)</f>
        <v>-2.9999999999999805E-2</v>
      </c>
    </row>
    <row r="254" spans="1:13">
      <c r="A254" s="8" t="s">
        <v>636</v>
      </c>
      <c r="B254" s="11">
        <v>2.4858730996264899</v>
      </c>
      <c r="C254" s="13">
        <v>3.3800000000000003</v>
      </c>
      <c r="D254" s="14">
        <f t="shared" si="18"/>
        <v>1</v>
      </c>
      <c r="E254" s="14">
        <f t="shared" si="19"/>
        <v>0.2</v>
      </c>
      <c r="F254" s="14">
        <f t="shared" si="20"/>
        <v>1</v>
      </c>
      <c r="G254" s="14">
        <f t="shared" si="21"/>
        <v>0.49717461992529799</v>
      </c>
      <c r="H254" s="14">
        <f t="shared" si="22"/>
        <v>0.2</v>
      </c>
      <c r="I254" s="14">
        <f t="shared" si="23"/>
        <v>0</v>
      </c>
      <c r="J254" s="15">
        <f>IF(CurrentMtgRatesDataTable8[[#This Row],[WA CC]]&lt;&gt;0,C253-CurrentMtgRatesDataTable8[[#This Row],[WA CC]],0)</f>
        <v>0</v>
      </c>
      <c r="K254" s="16">
        <f>IF(CurrentMtgRatesDataTable8[[#This Row],[Servicing Spread]]&lt;=0,K253,CurrentMtgRatesDataTable8[[#This Row],[Servicing Spread]])</f>
        <v>0.89390476749033487</v>
      </c>
      <c r="L254" s="16">
        <f>CurrentMtgRatesDataTable8[[#This Row],[Servicing Spread Non-Zero]]-K253</f>
        <v>0</v>
      </c>
      <c r="M254" s="16">
        <f>IF(I253&lt;&gt;0,CurrentMtgRatesDataTable8[[#This Row],[Rate]]-C253,M253)</f>
        <v>-0.10999999999999988</v>
      </c>
    </row>
    <row r="255" spans="1:13">
      <c r="A255" s="8" t="s">
        <v>492</v>
      </c>
      <c r="B255" s="11">
        <v>2.4173832768427301</v>
      </c>
      <c r="C255" s="13">
        <v>3.3800000000000003</v>
      </c>
      <c r="D255" s="14">
        <f t="shared" si="18"/>
        <v>2</v>
      </c>
      <c r="E255" s="14">
        <f t="shared" si="19"/>
        <v>0.2</v>
      </c>
      <c r="F255" s="14">
        <f t="shared" si="20"/>
        <v>2</v>
      </c>
      <c r="G255" s="14">
        <f t="shared" si="21"/>
        <v>0.9806512752938441</v>
      </c>
      <c r="H255" s="14">
        <f t="shared" si="22"/>
        <v>0.4</v>
      </c>
      <c r="I255" s="14">
        <f t="shared" si="23"/>
        <v>0</v>
      </c>
      <c r="J255" s="15">
        <f>IF(CurrentMtgRatesDataTable8[[#This Row],[WA CC]]&lt;&gt;0,C254-CurrentMtgRatesDataTable8[[#This Row],[WA CC]],0)</f>
        <v>0</v>
      </c>
      <c r="K255" s="16">
        <f>IF(CurrentMtgRatesDataTable8[[#This Row],[Servicing Spread]]&lt;=0,K254,CurrentMtgRatesDataTable8[[#This Row],[Servicing Spread]])</f>
        <v>0.89390476749033487</v>
      </c>
      <c r="L255" s="16">
        <f>CurrentMtgRatesDataTable8[[#This Row],[Servicing Spread Non-Zero]]-K254</f>
        <v>0</v>
      </c>
      <c r="M255" s="16">
        <f>IF(I254&lt;&gt;0,CurrentMtgRatesDataTable8[[#This Row],[Rate]]-C254,M254)</f>
        <v>-0.10999999999999988</v>
      </c>
    </row>
    <row r="256" spans="1:13">
      <c r="A256" s="8" t="s">
        <v>354</v>
      </c>
      <c r="B256" s="11">
        <v>2.4769497822755899</v>
      </c>
      <c r="C256" s="13">
        <v>3.3800000000000003</v>
      </c>
      <c r="D256" s="14">
        <f t="shared" si="18"/>
        <v>5</v>
      </c>
      <c r="E256" s="14">
        <f t="shared" si="19"/>
        <v>0.2</v>
      </c>
      <c r="F256" s="14">
        <f t="shared" si="20"/>
        <v>3</v>
      </c>
      <c r="G256" s="14">
        <f t="shared" si="21"/>
        <v>1.4760412317489622</v>
      </c>
      <c r="H256" s="14">
        <f t="shared" si="22"/>
        <v>0.60000000000000009</v>
      </c>
      <c r="I256" s="14">
        <f t="shared" si="23"/>
        <v>0</v>
      </c>
      <c r="J256" s="15">
        <f>IF(CurrentMtgRatesDataTable8[[#This Row],[WA CC]]&lt;&gt;0,C255-CurrentMtgRatesDataTable8[[#This Row],[WA CC]],0)</f>
        <v>0</v>
      </c>
      <c r="K256" s="16">
        <f>IF(CurrentMtgRatesDataTable8[[#This Row],[Servicing Spread]]&lt;=0,K255,CurrentMtgRatesDataTable8[[#This Row],[Servicing Spread]])</f>
        <v>0.89390476749033487</v>
      </c>
      <c r="L256" s="16">
        <f>CurrentMtgRatesDataTable8[[#This Row],[Servicing Spread Non-Zero]]-K255</f>
        <v>0</v>
      </c>
      <c r="M256" s="16">
        <f>IF(I255&lt;&gt;0,CurrentMtgRatesDataTable8[[#This Row],[Rate]]-C255,M255)</f>
        <v>-0.10999999999999988</v>
      </c>
    </row>
    <row r="257" spans="1:13">
      <c r="A257" s="8" t="s">
        <v>214</v>
      </c>
      <c r="B257" s="11">
        <v>2.4893778182677</v>
      </c>
      <c r="C257" s="13">
        <v>3.3800000000000003</v>
      </c>
      <c r="D257" s="14">
        <f t="shared" si="18"/>
        <v>6</v>
      </c>
      <c r="E257" s="14">
        <f t="shared" si="19"/>
        <v>0.2</v>
      </c>
      <c r="F257" s="14">
        <f t="shared" si="20"/>
        <v>4</v>
      </c>
      <c r="G257" s="14">
        <f t="shared" si="21"/>
        <v>1.9739167954025021</v>
      </c>
      <c r="H257" s="14">
        <f t="shared" si="22"/>
        <v>0.8</v>
      </c>
      <c r="I257" s="14">
        <f t="shared" si="23"/>
        <v>0</v>
      </c>
      <c r="J257" s="15">
        <f>IF(CurrentMtgRatesDataTable8[[#This Row],[WA CC]]&lt;&gt;0,C256-CurrentMtgRatesDataTable8[[#This Row],[WA CC]],0)</f>
        <v>0</v>
      </c>
      <c r="K257" s="16">
        <f>IF(CurrentMtgRatesDataTable8[[#This Row],[Servicing Spread]]&lt;=0,K256,CurrentMtgRatesDataTable8[[#This Row],[Servicing Spread]])</f>
        <v>0.89390476749033487</v>
      </c>
      <c r="L257" s="16">
        <f>CurrentMtgRatesDataTable8[[#This Row],[Servicing Spread Non-Zero]]-K256</f>
        <v>0</v>
      </c>
      <c r="M257" s="16">
        <f>IF(I256&lt;&gt;0,CurrentMtgRatesDataTable8[[#This Row],[Rate]]-C256,M256)</f>
        <v>-0.10999999999999988</v>
      </c>
    </row>
    <row r="258" spans="1:13">
      <c r="A258" s="8" t="s">
        <v>71</v>
      </c>
      <c r="B258" s="11">
        <v>2.54479183649527</v>
      </c>
      <c r="C258" s="13">
        <v>3.3800000000000003</v>
      </c>
      <c r="D258" s="14">
        <f t="shared" si="18"/>
        <v>7</v>
      </c>
      <c r="E258" s="14">
        <f t="shared" si="19"/>
        <v>0.2</v>
      </c>
      <c r="F258" s="14">
        <f t="shared" si="20"/>
        <v>5</v>
      </c>
      <c r="G258" s="14">
        <f t="shared" si="21"/>
        <v>2.4828751627015562</v>
      </c>
      <c r="H258" s="14">
        <f t="shared" si="22"/>
        <v>1</v>
      </c>
      <c r="I258" s="14">
        <f t="shared" si="23"/>
        <v>2.4828751627015562</v>
      </c>
      <c r="J258" s="15">
        <f>IF(CurrentMtgRatesDataTable8[[#This Row],[WA CC]]&lt;&gt;0,C257-CurrentMtgRatesDataTable8[[#This Row],[WA CC]],0)</f>
        <v>0.89712483729844417</v>
      </c>
      <c r="K258" s="16">
        <f>IF(CurrentMtgRatesDataTable8[[#This Row],[Servicing Spread]]&lt;=0,K257,CurrentMtgRatesDataTable8[[#This Row],[Servicing Spread]])</f>
        <v>0.89712483729844417</v>
      </c>
      <c r="L258" s="16">
        <f>CurrentMtgRatesDataTable8[[#This Row],[Servicing Spread Non-Zero]]-K257</f>
        <v>3.2200698081092938E-3</v>
      </c>
      <c r="M258" s="16">
        <f>IF(I257&lt;&gt;0,CurrentMtgRatesDataTable8[[#This Row],[Rate]]-C257,M257)</f>
        <v>-0.10999999999999988</v>
      </c>
    </row>
    <row r="259" spans="1:13">
      <c r="A259" s="8" t="s">
        <v>637</v>
      </c>
      <c r="B259" s="11">
        <v>2.5180760618821498</v>
      </c>
      <c r="C259" s="13">
        <v>3.335</v>
      </c>
      <c r="D259" s="14">
        <f t="shared" si="18"/>
        <v>1</v>
      </c>
      <c r="E259" s="14">
        <f t="shared" si="19"/>
        <v>0.2</v>
      </c>
      <c r="F259" s="14">
        <f t="shared" si="20"/>
        <v>1</v>
      </c>
      <c r="G259" s="14">
        <f t="shared" si="21"/>
        <v>0.50361521237643003</v>
      </c>
      <c r="H259" s="14">
        <f t="shared" si="22"/>
        <v>0.2</v>
      </c>
      <c r="I259" s="14">
        <f t="shared" si="23"/>
        <v>0</v>
      </c>
      <c r="J259" s="15">
        <f>IF(CurrentMtgRatesDataTable8[[#This Row],[WA CC]]&lt;&gt;0,C258-CurrentMtgRatesDataTable8[[#This Row],[WA CC]],0)</f>
        <v>0</v>
      </c>
      <c r="K259" s="16">
        <f>IF(CurrentMtgRatesDataTable8[[#This Row],[Servicing Spread]]&lt;=0,K258,CurrentMtgRatesDataTable8[[#This Row],[Servicing Spread]])</f>
        <v>0.89712483729844417</v>
      </c>
      <c r="L259" s="16">
        <f>CurrentMtgRatesDataTable8[[#This Row],[Servicing Spread Non-Zero]]-K258</f>
        <v>0</v>
      </c>
      <c r="M259" s="16">
        <f>IF(I258&lt;&gt;0,CurrentMtgRatesDataTable8[[#This Row],[Rate]]-C258,M258)</f>
        <v>-4.5000000000000373E-2</v>
      </c>
    </row>
    <row r="260" spans="1:13">
      <c r="A260" s="8" t="s">
        <v>493</v>
      </c>
      <c r="B260" s="11">
        <v>2.4532379481842601</v>
      </c>
      <c r="C260" s="13">
        <v>3.335</v>
      </c>
      <c r="D260" s="14">
        <f t="shared" si="18"/>
        <v>2</v>
      </c>
      <c r="E260" s="14">
        <f t="shared" si="19"/>
        <v>0.2</v>
      </c>
      <c r="F260" s="14">
        <f t="shared" si="20"/>
        <v>2</v>
      </c>
      <c r="G260" s="14">
        <f t="shared" si="21"/>
        <v>0.9942628020132821</v>
      </c>
      <c r="H260" s="14">
        <f t="shared" si="22"/>
        <v>0.4</v>
      </c>
      <c r="I260" s="14">
        <f t="shared" si="23"/>
        <v>0</v>
      </c>
      <c r="J260" s="15">
        <f>IF(CurrentMtgRatesDataTable8[[#This Row],[WA CC]]&lt;&gt;0,C259-CurrentMtgRatesDataTable8[[#This Row],[WA CC]],0)</f>
        <v>0</v>
      </c>
      <c r="K260" s="16">
        <f>IF(CurrentMtgRatesDataTable8[[#This Row],[Servicing Spread]]&lt;=0,K259,CurrentMtgRatesDataTable8[[#This Row],[Servicing Spread]])</f>
        <v>0.89712483729844417</v>
      </c>
      <c r="L260" s="16">
        <f>CurrentMtgRatesDataTable8[[#This Row],[Servicing Spread Non-Zero]]-K259</f>
        <v>0</v>
      </c>
      <c r="M260" s="16">
        <f>IF(I259&lt;&gt;0,CurrentMtgRatesDataTable8[[#This Row],[Rate]]-C259,M259)</f>
        <v>-4.5000000000000373E-2</v>
      </c>
    </row>
    <row r="261" spans="1:13">
      <c r="A261" s="8" t="s">
        <v>355</v>
      </c>
      <c r="B261" s="11">
        <v>2.4306597894947899</v>
      </c>
      <c r="C261" s="13">
        <v>3.335</v>
      </c>
      <c r="D261" s="14">
        <f t="shared" ref="D261:D324" si="24">WEEKDAY(A261,14)</f>
        <v>5</v>
      </c>
      <c r="E261" s="14">
        <f t="shared" ref="E261:E324" si="25">VLOOKUP(D261,P$5:Q$11,2,FALSE)</f>
        <v>0.2</v>
      </c>
      <c r="F261" s="14">
        <f t="shared" ref="F261:F324" si="26">IF(AND(D261&gt;D260,F260&lt;6),F260+1,1)</f>
        <v>3</v>
      </c>
      <c r="G261" s="14">
        <f t="shared" ref="G261:G324" si="27">IF(F261&gt;F260,G260+B261*E261,B261*E261)</f>
        <v>1.4803947599122402</v>
      </c>
      <c r="H261" s="14">
        <f t="shared" ref="H261:H324" si="28">IF(AND(F261&lt;6,F261&gt;F260),E261+H260,E261)</f>
        <v>0.60000000000000009</v>
      </c>
      <c r="I261" s="14">
        <f t="shared" ref="I261:I324" si="29">IF(F261&gt;F262,G261/H261,0)</f>
        <v>0</v>
      </c>
      <c r="J261" s="15">
        <f>IF(CurrentMtgRatesDataTable8[[#This Row],[WA CC]]&lt;&gt;0,C260-CurrentMtgRatesDataTable8[[#This Row],[WA CC]],0)</f>
        <v>0</v>
      </c>
      <c r="K261" s="16">
        <f>IF(CurrentMtgRatesDataTable8[[#This Row],[Servicing Spread]]&lt;=0,K260,CurrentMtgRatesDataTable8[[#This Row],[Servicing Spread]])</f>
        <v>0.89712483729844417</v>
      </c>
      <c r="L261" s="16">
        <f>CurrentMtgRatesDataTable8[[#This Row],[Servicing Spread Non-Zero]]-K260</f>
        <v>0</v>
      </c>
      <c r="M261" s="16">
        <f>IF(I260&lt;&gt;0,CurrentMtgRatesDataTable8[[#This Row],[Rate]]-C260,M260)</f>
        <v>-4.5000000000000373E-2</v>
      </c>
    </row>
    <row r="262" spans="1:13">
      <c r="A262" s="8" t="s">
        <v>215</v>
      </c>
      <c r="B262" s="11">
        <v>2.45465029105896</v>
      </c>
      <c r="C262" s="13">
        <v>3.335</v>
      </c>
      <c r="D262" s="14">
        <f t="shared" si="24"/>
        <v>6</v>
      </c>
      <c r="E262" s="14">
        <f t="shared" si="25"/>
        <v>0.2</v>
      </c>
      <c r="F262" s="14">
        <f t="shared" si="26"/>
        <v>4</v>
      </c>
      <c r="G262" s="14">
        <f t="shared" si="27"/>
        <v>1.9713248181240322</v>
      </c>
      <c r="H262" s="14">
        <f t="shared" si="28"/>
        <v>0.8</v>
      </c>
      <c r="I262" s="14">
        <f t="shared" si="29"/>
        <v>0</v>
      </c>
      <c r="J262" s="15">
        <f>IF(CurrentMtgRatesDataTable8[[#This Row],[WA CC]]&lt;&gt;0,C261-CurrentMtgRatesDataTable8[[#This Row],[WA CC]],0)</f>
        <v>0</v>
      </c>
      <c r="K262" s="16">
        <f>IF(CurrentMtgRatesDataTable8[[#This Row],[Servicing Spread]]&lt;=0,K261,CurrentMtgRatesDataTable8[[#This Row],[Servicing Spread]])</f>
        <v>0.89712483729844417</v>
      </c>
      <c r="L262" s="16">
        <f>CurrentMtgRatesDataTable8[[#This Row],[Servicing Spread Non-Zero]]-K261</f>
        <v>0</v>
      </c>
      <c r="M262" s="16">
        <f>IF(I261&lt;&gt;0,CurrentMtgRatesDataTable8[[#This Row],[Rate]]-C261,M261)</f>
        <v>-4.5000000000000373E-2</v>
      </c>
    </row>
    <row r="263" spans="1:13">
      <c r="A263" s="8" t="s">
        <v>72</v>
      </c>
      <c r="B263" s="11">
        <v>2.4500518771238999</v>
      </c>
      <c r="C263" s="13">
        <v>3.335</v>
      </c>
      <c r="D263" s="14">
        <f t="shared" si="24"/>
        <v>7</v>
      </c>
      <c r="E263" s="14">
        <f t="shared" si="25"/>
        <v>0.2</v>
      </c>
      <c r="F263" s="14">
        <f t="shared" si="26"/>
        <v>5</v>
      </c>
      <c r="G263" s="14">
        <f t="shared" si="27"/>
        <v>2.4613351935488121</v>
      </c>
      <c r="H263" s="14">
        <f t="shared" si="28"/>
        <v>1</v>
      </c>
      <c r="I263" s="14">
        <f t="shared" si="29"/>
        <v>2.4613351935488121</v>
      </c>
      <c r="J263" s="15">
        <f>IF(CurrentMtgRatesDataTable8[[#This Row],[WA CC]]&lt;&gt;0,C262-CurrentMtgRatesDataTable8[[#This Row],[WA CC]],0)</f>
        <v>0.87366480645118783</v>
      </c>
      <c r="K263" s="16">
        <f>IF(CurrentMtgRatesDataTable8[[#This Row],[Servicing Spread]]&lt;=0,K262,CurrentMtgRatesDataTable8[[#This Row],[Servicing Spread]])</f>
        <v>0.87366480645118783</v>
      </c>
      <c r="L263" s="16">
        <f>CurrentMtgRatesDataTable8[[#This Row],[Servicing Spread Non-Zero]]-K262</f>
        <v>-2.3460030847256341E-2</v>
      </c>
      <c r="M263" s="16">
        <f>IF(I262&lt;&gt;0,CurrentMtgRatesDataTable8[[#This Row],[Rate]]-C262,M262)</f>
        <v>-4.5000000000000373E-2</v>
      </c>
    </row>
    <row r="264" spans="1:13">
      <c r="A264" s="8" t="s">
        <v>638</v>
      </c>
      <c r="B264" s="11">
        <v>2.43192110209089</v>
      </c>
      <c r="C264" s="13">
        <v>3.35</v>
      </c>
      <c r="D264" s="14">
        <f t="shared" si="24"/>
        <v>1</v>
      </c>
      <c r="E264" s="14">
        <f t="shared" si="25"/>
        <v>0.2</v>
      </c>
      <c r="F264" s="14">
        <f t="shared" si="26"/>
        <v>1</v>
      </c>
      <c r="G264" s="14">
        <f t="shared" si="27"/>
        <v>0.48638422041817803</v>
      </c>
      <c r="H264" s="14">
        <f t="shared" si="28"/>
        <v>0.2</v>
      </c>
      <c r="I264" s="14">
        <f t="shared" si="29"/>
        <v>0</v>
      </c>
      <c r="J264" s="15">
        <f>IF(CurrentMtgRatesDataTable8[[#This Row],[WA CC]]&lt;&gt;0,C263-CurrentMtgRatesDataTable8[[#This Row],[WA CC]],0)</f>
        <v>0</v>
      </c>
      <c r="K264" s="16">
        <f>IF(CurrentMtgRatesDataTable8[[#This Row],[Servicing Spread]]&lt;=0,K263,CurrentMtgRatesDataTable8[[#This Row],[Servicing Spread]])</f>
        <v>0.87366480645118783</v>
      </c>
      <c r="L264" s="16">
        <f>CurrentMtgRatesDataTable8[[#This Row],[Servicing Spread Non-Zero]]-K263</f>
        <v>0</v>
      </c>
      <c r="M264" s="16">
        <f>IF(I263&lt;&gt;0,CurrentMtgRatesDataTable8[[#This Row],[Rate]]-C263,M263)</f>
        <v>1.5000000000000124E-2</v>
      </c>
    </row>
    <row r="265" spans="1:13">
      <c r="A265" s="8" t="s">
        <v>494</v>
      </c>
      <c r="B265" s="11">
        <v>2.4478292625910401</v>
      </c>
      <c r="C265" s="13">
        <v>3.35</v>
      </c>
      <c r="D265" s="14">
        <f t="shared" si="24"/>
        <v>2</v>
      </c>
      <c r="E265" s="14">
        <f t="shared" si="25"/>
        <v>0.2</v>
      </c>
      <c r="F265" s="14">
        <f t="shared" si="26"/>
        <v>2</v>
      </c>
      <c r="G265" s="14">
        <f t="shared" si="27"/>
        <v>0.97595007293638614</v>
      </c>
      <c r="H265" s="14">
        <f t="shared" si="28"/>
        <v>0.4</v>
      </c>
      <c r="I265" s="14">
        <f t="shared" si="29"/>
        <v>0</v>
      </c>
      <c r="J265" s="15">
        <f>IF(CurrentMtgRatesDataTable8[[#This Row],[WA CC]]&lt;&gt;0,C264-CurrentMtgRatesDataTable8[[#This Row],[WA CC]],0)</f>
        <v>0</v>
      </c>
      <c r="K265" s="16">
        <f>IF(CurrentMtgRatesDataTable8[[#This Row],[Servicing Spread]]&lt;=0,K264,CurrentMtgRatesDataTable8[[#This Row],[Servicing Spread]])</f>
        <v>0.87366480645118783</v>
      </c>
      <c r="L265" s="16">
        <f>CurrentMtgRatesDataTable8[[#This Row],[Servicing Spread Non-Zero]]-K264</f>
        <v>0</v>
      </c>
      <c r="M265" s="16">
        <f>IF(I264&lt;&gt;0,CurrentMtgRatesDataTable8[[#This Row],[Rate]]-C264,M264)</f>
        <v>1.5000000000000124E-2</v>
      </c>
    </row>
    <row r="266" spans="1:13">
      <c r="A266" s="8" t="s">
        <v>356</v>
      </c>
      <c r="B266" s="11">
        <v>2.4460987781161698</v>
      </c>
      <c r="C266" s="13">
        <v>3.35</v>
      </c>
      <c r="D266" s="14">
        <f t="shared" si="24"/>
        <v>5</v>
      </c>
      <c r="E266" s="14">
        <f t="shared" si="25"/>
        <v>0.2</v>
      </c>
      <c r="F266" s="14">
        <f t="shared" si="26"/>
        <v>3</v>
      </c>
      <c r="G266" s="14">
        <f t="shared" si="27"/>
        <v>1.4651698285596202</v>
      </c>
      <c r="H266" s="14">
        <f t="shared" si="28"/>
        <v>0.60000000000000009</v>
      </c>
      <c r="I266" s="14">
        <f t="shared" si="29"/>
        <v>0</v>
      </c>
      <c r="J266" s="15">
        <f>IF(CurrentMtgRatesDataTable8[[#This Row],[WA CC]]&lt;&gt;0,C265-CurrentMtgRatesDataTable8[[#This Row],[WA CC]],0)</f>
        <v>0</v>
      </c>
      <c r="K266" s="16">
        <f>IF(CurrentMtgRatesDataTable8[[#This Row],[Servicing Spread]]&lt;=0,K265,CurrentMtgRatesDataTable8[[#This Row],[Servicing Spread]])</f>
        <v>0.87366480645118783</v>
      </c>
      <c r="L266" s="16">
        <f>CurrentMtgRatesDataTable8[[#This Row],[Servicing Spread Non-Zero]]-K265</f>
        <v>0</v>
      </c>
      <c r="M266" s="16">
        <f>IF(I265&lt;&gt;0,CurrentMtgRatesDataTable8[[#This Row],[Rate]]-C265,M265)</f>
        <v>1.5000000000000124E-2</v>
      </c>
    </row>
    <row r="267" spans="1:13">
      <c r="A267" s="8" t="s">
        <v>216</v>
      </c>
      <c r="B267" s="11">
        <v>2.4375323431689502</v>
      </c>
      <c r="C267" s="13">
        <v>3.35</v>
      </c>
      <c r="D267" s="14">
        <f t="shared" si="24"/>
        <v>6</v>
      </c>
      <c r="E267" s="14">
        <f t="shared" si="25"/>
        <v>0.2</v>
      </c>
      <c r="F267" s="14">
        <f t="shared" si="26"/>
        <v>4</v>
      </c>
      <c r="G267" s="14">
        <f t="shared" si="27"/>
        <v>1.9526762971934102</v>
      </c>
      <c r="H267" s="14">
        <f t="shared" si="28"/>
        <v>0.8</v>
      </c>
      <c r="I267" s="14">
        <f t="shared" si="29"/>
        <v>0</v>
      </c>
      <c r="J267" s="15">
        <f>IF(CurrentMtgRatesDataTable8[[#This Row],[WA CC]]&lt;&gt;0,C266-CurrentMtgRatesDataTable8[[#This Row],[WA CC]],0)</f>
        <v>0</v>
      </c>
      <c r="K267" s="16">
        <f>IF(CurrentMtgRatesDataTable8[[#This Row],[Servicing Spread]]&lt;=0,K266,CurrentMtgRatesDataTable8[[#This Row],[Servicing Spread]])</f>
        <v>0.87366480645118783</v>
      </c>
      <c r="L267" s="16">
        <f>CurrentMtgRatesDataTable8[[#This Row],[Servicing Spread Non-Zero]]-K266</f>
        <v>0</v>
      </c>
      <c r="M267" s="16">
        <f>IF(I266&lt;&gt;0,CurrentMtgRatesDataTable8[[#This Row],[Rate]]-C266,M266)</f>
        <v>1.5000000000000124E-2</v>
      </c>
    </row>
    <row r="268" spans="1:13">
      <c r="A268" s="8" t="s">
        <v>73</v>
      </c>
      <c r="B268" s="11">
        <v>2.4323883653727401</v>
      </c>
      <c r="C268" s="13">
        <v>3.35</v>
      </c>
      <c r="D268" s="14">
        <f t="shared" si="24"/>
        <v>7</v>
      </c>
      <c r="E268" s="14">
        <f t="shared" si="25"/>
        <v>0.2</v>
      </c>
      <c r="F268" s="14">
        <f t="shared" si="26"/>
        <v>5</v>
      </c>
      <c r="G268" s="14">
        <f t="shared" si="27"/>
        <v>2.4391539702679581</v>
      </c>
      <c r="H268" s="14">
        <f t="shared" si="28"/>
        <v>1</v>
      </c>
      <c r="I268" s="14">
        <f t="shared" si="29"/>
        <v>2.4391539702679581</v>
      </c>
      <c r="J268" s="15">
        <f>IF(CurrentMtgRatesDataTable8[[#This Row],[WA CC]]&lt;&gt;0,C267-CurrentMtgRatesDataTable8[[#This Row],[WA CC]],0)</f>
        <v>0.91084602973204198</v>
      </c>
      <c r="K268" s="16">
        <f>IF(CurrentMtgRatesDataTable8[[#This Row],[Servicing Spread]]&lt;=0,K267,CurrentMtgRatesDataTable8[[#This Row],[Servicing Spread]])</f>
        <v>0.91084602973204198</v>
      </c>
      <c r="L268" s="16">
        <f>CurrentMtgRatesDataTable8[[#This Row],[Servicing Spread Non-Zero]]-K267</f>
        <v>3.7181223280854159E-2</v>
      </c>
      <c r="M268" s="16">
        <f>IF(I267&lt;&gt;0,CurrentMtgRatesDataTable8[[#This Row],[Rate]]-C267,M267)</f>
        <v>1.5000000000000124E-2</v>
      </c>
    </row>
    <row r="269" spans="1:13">
      <c r="A269" s="8" t="s">
        <v>639</v>
      </c>
      <c r="B269" s="11">
        <v>2.4323453281375</v>
      </c>
      <c r="C269" s="13">
        <v>3.2749999999999999</v>
      </c>
      <c r="D269" s="14">
        <f t="shared" si="24"/>
        <v>1</v>
      </c>
      <c r="E269" s="14">
        <f t="shared" si="25"/>
        <v>0.2</v>
      </c>
      <c r="F269" s="14">
        <f t="shared" si="26"/>
        <v>1</v>
      </c>
      <c r="G269" s="14">
        <f t="shared" si="27"/>
        <v>0.48646906562750003</v>
      </c>
      <c r="H269" s="14">
        <f t="shared" si="28"/>
        <v>0.2</v>
      </c>
      <c r="I269" s="14">
        <f t="shared" si="29"/>
        <v>0</v>
      </c>
      <c r="J269" s="15">
        <f>IF(CurrentMtgRatesDataTable8[[#This Row],[WA CC]]&lt;&gt;0,C268-CurrentMtgRatesDataTable8[[#This Row],[WA CC]],0)</f>
        <v>0</v>
      </c>
      <c r="K269" s="16">
        <f>IF(CurrentMtgRatesDataTable8[[#This Row],[Servicing Spread]]&lt;=0,K268,CurrentMtgRatesDataTable8[[#This Row],[Servicing Spread]])</f>
        <v>0.91084602973204198</v>
      </c>
      <c r="L269" s="16">
        <f>CurrentMtgRatesDataTable8[[#This Row],[Servicing Spread Non-Zero]]-K268</f>
        <v>0</v>
      </c>
      <c r="M269" s="16">
        <f>IF(I268&lt;&gt;0,CurrentMtgRatesDataTable8[[#This Row],[Rate]]-C268,M268)</f>
        <v>-7.5000000000000178E-2</v>
      </c>
    </row>
    <row r="270" spans="1:13">
      <c r="A270" s="8" t="s">
        <v>495</v>
      </c>
      <c r="B270" s="11">
        <v>2.3795080679074299</v>
      </c>
      <c r="C270" s="13">
        <v>3.2749999999999999</v>
      </c>
      <c r="D270" s="14">
        <f t="shared" si="24"/>
        <v>2</v>
      </c>
      <c r="E270" s="14">
        <f t="shared" si="25"/>
        <v>0.2</v>
      </c>
      <c r="F270" s="14">
        <f t="shared" si="26"/>
        <v>2</v>
      </c>
      <c r="G270" s="14">
        <f t="shared" si="27"/>
        <v>0.962370679208986</v>
      </c>
      <c r="H270" s="14">
        <f t="shared" si="28"/>
        <v>0.4</v>
      </c>
      <c r="I270" s="14">
        <f t="shared" si="29"/>
        <v>0</v>
      </c>
      <c r="J270" s="15">
        <f>IF(CurrentMtgRatesDataTable8[[#This Row],[WA CC]]&lt;&gt;0,C269-CurrentMtgRatesDataTable8[[#This Row],[WA CC]],0)</f>
        <v>0</v>
      </c>
      <c r="K270" s="16">
        <f>IF(CurrentMtgRatesDataTable8[[#This Row],[Servicing Spread]]&lt;=0,K269,CurrentMtgRatesDataTable8[[#This Row],[Servicing Spread]])</f>
        <v>0.91084602973204198</v>
      </c>
      <c r="L270" s="16">
        <f>CurrentMtgRatesDataTable8[[#This Row],[Servicing Spread Non-Zero]]-K269</f>
        <v>0</v>
      </c>
      <c r="M270" s="16">
        <f>IF(I269&lt;&gt;0,CurrentMtgRatesDataTable8[[#This Row],[Rate]]-C269,M269)</f>
        <v>-7.5000000000000178E-2</v>
      </c>
    </row>
    <row r="271" spans="1:13">
      <c r="A271" s="8" t="s">
        <v>357</v>
      </c>
      <c r="B271" s="11">
        <v>2.37447920783596</v>
      </c>
      <c r="C271" s="13">
        <v>3.2749999999999999</v>
      </c>
      <c r="D271" s="14">
        <f t="shared" si="24"/>
        <v>5</v>
      </c>
      <c r="E271" s="14">
        <f t="shared" si="25"/>
        <v>0.2</v>
      </c>
      <c r="F271" s="14">
        <f t="shared" si="26"/>
        <v>3</v>
      </c>
      <c r="G271" s="14">
        <f t="shared" si="27"/>
        <v>1.4372665207761779</v>
      </c>
      <c r="H271" s="14">
        <f t="shared" si="28"/>
        <v>0.60000000000000009</v>
      </c>
      <c r="I271" s="14">
        <f t="shared" si="29"/>
        <v>0</v>
      </c>
      <c r="J271" s="15">
        <f>IF(CurrentMtgRatesDataTable8[[#This Row],[WA CC]]&lt;&gt;0,C270-CurrentMtgRatesDataTable8[[#This Row],[WA CC]],0)</f>
        <v>0</v>
      </c>
      <c r="K271" s="16">
        <f>IF(CurrentMtgRatesDataTable8[[#This Row],[Servicing Spread]]&lt;=0,K270,CurrentMtgRatesDataTable8[[#This Row],[Servicing Spread]])</f>
        <v>0.91084602973204198</v>
      </c>
      <c r="L271" s="16">
        <f>CurrentMtgRatesDataTable8[[#This Row],[Servicing Spread Non-Zero]]-K270</f>
        <v>0</v>
      </c>
      <c r="M271" s="16">
        <f>IF(I270&lt;&gt;0,CurrentMtgRatesDataTable8[[#This Row],[Rate]]-C270,M270)</f>
        <v>-7.5000000000000178E-2</v>
      </c>
    </row>
    <row r="272" spans="1:13">
      <c r="A272" s="8" t="s">
        <v>217</v>
      </c>
      <c r="B272" s="11">
        <v>2.3535373905486399</v>
      </c>
      <c r="C272" s="13">
        <v>3.2749999999999999</v>
      </c>
      <c r="D272" s="14">
        <f t="shared" si="24"/>
        <v>6</v>
      </c>
      <c r="E272" s="14">
        <f t="shared" si="25"/>
        <v>0.2</v>
      </c>
      <c r="F272" s="14">
        <f t="shared" si="26"/>
        <v>4</v>
      </c>
      <c r="G272" s="14">
        <f t="shared" si="27"/>
        <v>1.9079739988859059</v>
      </c>
      <c r="H272" s="14">
        <f t="shared" si="28"/>
        <v>0.8</v>
      </c>
      <c r="I272" s="14">
        <f t="shared" si="29"/>
        <v>0</v>
      </c>
      <c r="J272" s="15">
        <f>IF(CurrentMtgRatesDataTable8[[#This Row],[WA CC]]&lt;&gt;0,C271-CurrentMtgRatesDataTable8[[#This Row],[WA CC]],0)</f>
        <v>0</v>
      </c>
      <c r="K272" s="16">
        <f>IF(CurrentMtgRatesDataTable8[[#This Row],[Servicing Spread]]&lt;=0,K271,CurrentMtgRatesDataTable8[[#This Row],[Servicing Spread]])</f>
        <v>0.91084602973204198</v>
      </c>
      <c r="L272" s="16">
        <f>CurrentMtgRatesDataTable8[[#This Row],[Servicing Spread Non-Zero]]-K271</f>
        <v>0</v>
      </c>
      <c r="M272" s="16">
        <f>IF(I271&lt;&gt;0,CurrentMtgRatesDataTable8[[#This Row],[Rate]]-C271,M271)</f>
        <v>-7.5000000000000178E-2</v>
      </c>
    </row>
    <row r="273" spans="1:13">
      <c r="A273" s="8" t="s">
        <v>74</v>
      </c>
      <c r="B273" s="11">
        <v>2.31035596660836</v>
      </c>
      <c r="C273" s="13">
        <v>3.2749999999999999</v>
      </c>
      <c r="D273" s="14">
        <f t="shared" si="24"/>
        <v>7</v>
      </c>
      <c r="E273" s="14">
        <f t="shared" si="25"/>
        <v>0.2</v>
      </c>
      <c r="F273" s="14">
        <f t="shared" si="26"/>
        <v>5</v>
      </c>
      <c r="G273" s="14">
        <f t="shared" si="27"/>
        <v>2.370045192207578</v>
      </c>
      <c r="H273" s="14">
        <f t="shared" si="28"/>
        <v>1</v>
      </c>
      <c r="I273" s="14">
        <f t="shared" si="29"/>
        <v>2.370045192207578</v>
      </c>
      <c r="J273" s="15">
        <f>IF(CurrentMtgRatesDataTable8[[#This Row],[WA CC]]&lt;&gt;0,C272-CurrentMtgRatesDataTable8[[#This Row],[WA CC]],0)</f>
        <v>0.90495480779242188</v>
      </c>
      <c r="K273" s="16">
        <f>IF(CurrentMtgRatesDataTable8[[#This Row],[Servicing Spread]]&lt;=0,K272,CurrentMtgRatesDataTable8[[#This Row],[Servicing Spread]])</f>
        <v>0.90495480779242188</v>
      </c>
      <c r="L273" s="16">
        <f>CurrentMtgRatesDataTable8[[#This Row],[Servicing Spread Non-Zero]]-K272</f>
        <v>-5.891221939620106E-3</v>
      </c>
      <c r="M273" s="16">
        <f>IF(I272&lt;&gt;0,CurrentMtgRatesDataTable8[[#This Row],[Rate]]-C272,M272)</f>
        <v>-7.5000000000000178E-2</v>
      </c>
    </row>
    <row r="274" spans="1:13">
      <c r="A274" s="8" t="s">
        <v>640</v>
      </c>
      <c r="B274" s="11">
        <v>2.3421036791460899</v>
      </c>
      <c r="C274" s="13">
        <v>3.3449999999999998</v>
      </c>
      <c r="D274" s="14">
        <f t="shared" si="24"/>
        <v>1</v>
      </c>
      <c r="E274" s="14">
        <f t="shared" si="25"/>
        <v>0.2</v>
      </c>
      <c r="F274" s="14">
        <f t="shared" si="26"/>
        <v>1</v>
      </c>
      <c r="G274" s="14">
        <f t="shared" si="27"/>
        <v>0.468420735829218</v>
      </c>
      <c r="H274" s="14">
        <f t="shared" si="28"/>
        <v>0.2</v>
      </c>
      <c r="I274" s="14">
        <f t="shared" si="29"/>
        <v>0</v>
      </c>
      <c r="J274" s="15">
        <f>IF(CurrentMtgRatesDataTable8[[#This Row],[WA CC]]&lt;&gt;0,C273-CurrentMtgRatesDataTable8[[#This Row],[WA CC]],0)</f>
        <v>0</v>
      </c>
      <c r="K274" s="16">
        <f>IF(CurrentMtgRatesDataTable8[[#This Row],[Servicing Spread]]&lt;=0,K273,CurrentMtgRatesDataTable8[[#This Row],[Servicing Spread]])</f>
        <v>0.90495480779242188</v>
      </c>
      <c r="L274" s="16">
        <f>CurrentMtgRatesDataTable8[[#This Row],[Servicing Spread Non-Zero]]-K273</f>
        <v>0</v>
      </c>
      <c r="M274" s="16">
        <f>IF(I273&lt;&gt;0,CurrentMtgRatesDataTable8[[#This Row],[Rate]]-C273,M273)</f>
        <v>6.999999999999984E-2</v>
      </c>
    </row>
    <row r="275" spans="1:13">
      <c r="A275" s="8" t="s">
        <v>496</v>
      </c>
      <c r="B275" s="11">
        <v>2.4561501214153099</v>
      </c>
      <c r="C275" s="13">
        <v>3.3449999999999998</v>
      </c>
      <c r="D275" s="14">
        <f t="shared" si="24"/>
        <v>2</v>
      </c>
      <c r="E275" s="14">
        <f t="shared" si="25"/>
        <v>0.2</v>
      </c>
      <c r="F275" s="14">
        <f t="shared" si="26"/>
        <v>2</v>
      </c>
      <c r="G275" s="14">
        <f t="shared" si="27"/>
        <v>0.95965076011228001</v>
      </c>
      <c r="H275" s="14">
        <f t="shared" si="28"/>
        <v>0.4</v>
      </c>
      <c r="I275" s="14">
        <f t="shared" si="29"/>
        <v>0</v>
      </c>
      <c r="J275" s="15">
        <f>IF(CurrentMtgRatesDataTable8[[#This Row],[WA CC]]&lt;&gt;0,C274-CurrentMtgRatesDataTable8[[#This Row],[WA CC]],0)</f>
        <v>0</v>
      </c>
      <c r="K275" s="16">
        <f>IF(CurrentMtgRatesDataTable8[[#This Row],[Servicing Spread]]&lt;=0,K274,CurrentMtgRatesDataTable8[[#This Row],[Servicing Spread]])</f>
        <v>0.90495480779242188</v>
      </c>
      <c r="L275" s="16">
        <f>CurrentMtgRatesDataTable8[[#This Row],[Servicing Spread Non-Zero]]-K274</f>
        <v>0</v>
      </c>
      <c r="M275" s="16">
        <f>IF(I274&lt;&gt;0,CurrentMtgRatesDataTable8[[#This Row],[Rate]]-C274,M274)</f>
        <v>6.999999999999984E-2</v>
      </c>
    </row>
    <row r="276" spans="1:13">
      <c r="A276" s="8" t="s">
        <v>358</v>
      </c>
      <c r="B276" s="11">
        <v>2.4724031733010898</v>
      </c>
      <c r="C276" s="13">
        <v>3.3449999999999998</v>
      </c>
      <c r="D276" s="14">
        <f t="shared" si="24"/>
        <v>5</v>
      </c>
      <c r="E276" s="14">
        <f t="shared" si="25"/>
        <v>0.2</v>
      </c>
      <c r="F276" s="14">
        <f t="shared" si="26"/>
        <v>3</v>
      </c>
      <c r="G276" s="14">
        <f t="shared" si="27"/>
        <v>1.4541313947724981</v>
      </c>
      <c r="H276" s="14">
        <f t="shared" si="28"/>
        <v>0.60000000000000009</v>
      </c>
      <c r="I276" s="14">
        <f t="shared" si="29"/>
        <v>0</v>
      </c>
      <c r="J276" s="15">
        <f>IF(CurrentMtgRatesDataTable8[[#This Row],[WA CC]]&lt;&gt;0,C275-CurrentMtgRatesDataTable8[[#This Row],[WA CC]],0)</f>
        <v>0</v>
      </c>
      <c r="K276" s="16">
        <f>IF(CurrentMtgRatesDataTable8[[#This Row],[Servicing Spread]]&lt;=0,K275,CurrentMtgRatesDataTable8[[#This Row],[Servicing Spread]])</f>
        <v>0.90495480779242188</v>
      </c>
      <c r="L276" s="16">
        <f>CurrentMtgRatesDataTable8[[#This Row],[Servicing Spread Non-Zero]]-K275</f>
        <v>0</v>
      </c>
      <c r="M276" s="16">
        <f>IF(I275&lt;&gt;0,CurrentMtgRatesDataTable8[[#This Row],[Rate]]-C275,M275)</f>
        <v>6.999999999999984E-2</v>
      </c>
    </row>
    <row r="277" spans="1:13">
      <c r="A277" s="8" t="s">
        <v>218</v>
      </c>
      <c r="B277" s="11">
        <v>2.48894298716524</v>
      </c>
      <c r="C277" s="13">
        <v>3.3449999999999998</v>
      </c>
      <c r="D277" s="14">
        <f t="shared" si="24"/>
        <v>6</v>
      </c>
      <c r="E277" s="14">
        <f t="shared" si="25"/>
        <v>0.2</v>
      </c>
      <c r="F277" s="14">
        <f t="shared" si="26"/>
        <v>4</v>
      </c>
      <c r="G277" s="14">
        <f t="shared" si="27"/>
        <v>1.9519199922055461</v>
      </c>
      <c r="H277" s="14">
        <f t="shared" si="28"/>
        <v>0.8</v>
      </c>
      <c r="I277" s="14">
        <f t="shared" si="29"/>
        <v>0</v>
      </c>
      <c r="J277" s="15">
        <f>IF(CurrentMtgRatesDataTable8[[#This Row],[WA CC]]&lt;&gt;0,C276-CurrentMtgRatesDataTable8[[#This Row],[WA CC]],0)</f>
        <v>0</v>
      </c>
      <c r="K277" s="16">
        <f>IF(CurrentMtgRatesDataTable8[[#This Row],[Servicing Spread]]&lt;=0,K276,CurrentMtgRatesDataTable8[[#This Row],[Servicing Spread]])</f>
        <v>0.90495480779242188</v>
      </c>
      <c r="L277" s="16">
        <f>CurrentMtgRatesDataTable8[[#This Row],[Servicing Spread Non-Zero]]-K276</f>
        <v>0</v>
      </c>
      <c r="M277" s="16">
        <f>IF(I276&lt;&gt;0,CurrentMtgRatesDataTable8[[#This Row],[Rate]]-C276,M276)</f>
        <v>6.999999999999984E-2</v>
      </c>
    </row>
    <row r="278" spans="1:13">
      <c r="A278" s="8" t="s">
        <v>75</v>
      </c>
      <c r="B278" s="11">
        <v>2.4724453435903899</v>
      </c>
      <c r="C278" s="13">
        <v>3.3449999999999998</v>
      </c>
      <c r="D278" s="14">
        <f t="shared" si="24"/>
        <v>7</v>
      </c>
      <c r="E278" s="14">
        <f t="shared" si="25"/>
        <v>0.2</v>
      </c>
      <c r="F278" s="14">
        <f t="shared" si="26"/>
        <v>5</v>
      </c>
      <c r="G278" s="14">
        <f t="shared" si="27"/>
        <v>2.446409060923624</v>
      </c>
      <c r="H278" s="14">
        <f t="shared" si="28"/>
        <v>1</v>
      </c>
      <c r="I278" s="14">
        <f t="shared" si="29"/>
        <v>2.446409060923624</v>
      </c>
      <c r="J278" s="15">
        <f>IF(CurrentMtgRatesDataTable8[[#This Row],[WA CC]]&lt;&gt;0,C277-CurrentMtgRatesDataTable8[[#This Row],[WA CC]],0)</f>
        <v>0.89859093907637577</v>
      </c>
      <c r="K278" s="16">
        <f>IF(CurrentMtgRatesDataTable8[[#This Row],[Servicing Spread]]&lt;=0,K277,CurrentMtgRatesDataTable8[[#This Row],[Servicing Spread]])</f>
        <v>0.89859093907637577</v>
      </c>
      <c r="L278" s="16">
        <f>CurrentMtgRatesDataTable8[[#This Row],[Servicing Spread Non-Zero]]-K277</f>
        <v>-6.363868716046106E-3</v>
      </c>
      <c r="M278" s="16">
        <f>IF(I277&lt;&gt;0,CurrentMtgRatesDataTable8[[#This Row],[Rate]]-C277,M277)</f>
        <v>6.999999999999984E-2</v>
      </c>
    </row>
    <row r="279" spans="1:13">
      <c r="A279" s="8" t="s">
        <v>641</v>
      </c>
      <c r="B279" s="11">
        <v>2.49665490312618</v>
      </c>
      <c r="C279" s="13">
        <v>3.4349999999999996</v>
      </c>
      <c r="D279" s="14">
        <f t="shared" si="24"/>
        <v>1</v>
      </c>
      <c r="E279" s="14">
        <f t="shared" si="25"/>
        <v>0.2</v>
      </c>
      <c r="F279" s="14">
        <f t="shared" si="26"/>
        <v>1</v>
      </c>
      <c r="G279" s="14">
        <f t="shared" si="27"/>
        <v>0.49933098062523601</v>
      </c>
      <c r="H279" s="14">
        <f t="shared" si="28"/>
        <v>0.2</v>
      </c>
      <c r="I279" s="14">
        <f t="shared" si="29"/>
        <v>0</v>
      </c>
      <c r="J279" s="15">
        <f>IF(CurrentMtgRatesDataTable8[[#This Row],[WA CC]]&lt;&gt;0,C278-CurrentMtgRatesDataTable8[[#This Row],[WA CC]],0)</f>
        <v>0</v>
      </c>
      <c r="K279" s="16">
        <f>IF(CurrentMtgRatesDataTable8[[#This Row],[Servicing Spread]]&lt;=0,K278,CurrentMtgRatesDataTable8[[#This Row],[Servicing Spread]])</f>
        <v>0.89859093907637577</v>
      </c>
      <c r="L279" s="16">
        <f>CurrentMtgRatesDataTable8[[#This Row],[Servicing Spread Non-Zero]]-K278</f>
        <v>0</v>
      </c>
      <c r="M279" s="16">
        <f>IF(I278&lt;&gt;0,CurrentMtgRatesDataTable8[[#This Row],[Rate]]-C278,M278)</f>
        <v>8.9999999999999858E-2</v>
      </c>
    </row>
    <row r="280" spans="1:13">
      <c r="A280" s="8" t="s">
        <v>497</v>
      </c>
      <c r="B280" s="11">
        <v>2.5868571182044802</v>
      </c>
      <c r="C280" s="13">
        <v>3.4349999999999996</v>
      </c>
      <c r="D280" s="14">
        <f t="shared" si="24"/>
        <v>2</v>
      </c>
      <c r="E280" s="14">
        <f t="shared" si="25"/>
        <v>0.2</v>
      </c>
      <c r="F280" s="14">
        <f t="shared" si="26"/>
        <v>2</v>
      </c>
      <c r="G280" s="14">
        <f t="shared" si="27"/>
        <v>1.0167024042661321</v>
      </c>
      <c r="H280" s="14">
        <f t="shared" si="28"/>
        <v>0.4</v>
      </c>
      <c r="I280" s="14">
        <f t="shared" si="29"/>
        <v>0</v>
      </c>
      <c r="J280" s="15">
        <f>IF(CurrentMtgRatesDataTable8[[#This Row],[WA CC]]&lt;&gt;0,C279-CurrentMtgRatesDataTable8[[#This Row],[WA CC]],0)</f>
        <v>0</v>
      </c>
      <c r="K280" s="16">
        <f>IF(CurrentMtgRatesDataTable8[[#This Row],[Servicing Spread]]&lt;=0,K279,CurrentMtgRatesDataTable8[[#This Row],[Servicing Spread]])</f>
        <v>0.89859093907637577</v>
      </c>
      <c r="L280" s="16">
        <f>CurrentMtgRatesDataTable8[[#This Row],[Servicing Spread Non-Zero]]-K279</f>
        <v>0</v>
      </c>
      <c r="M280" s="16">
        <f>IF(I279&lt;&gt;0,CurrentMtgRatesDataTable8[[#This Row],[Rate]]-C279,M279)</f>
        <v>8.9999999999999858E-2</v>
      </c>
    </row>
    <row r="281" spans="1:13">
      <c r="A281" s="8" t="s">
        <v>359</v>
      </c>
      <c r="B281" s="11">
        <v>2.6209995675214</v>
      </c>
      <c r="C281" s="13">
        <v>3.4349999999999996</v>
      </c>
      <c r="D281" s="14">
        <f t="shared" si="24"/>
        <v>5</v>
      </c>
      <c r="E281" s="14">
        <f t="shared" si="25"/>
        <v>0.2</v>
      </c>
      <c r="F281" s="14">
        <f t="shared" si="26"/>
        <v>3</v>
      </c>
      <c r="G281" s="14">
        <f t="shared" si="27"/>
        <v>1.5409023177704122</v>
      </c>
      <c r="H281" s="14">
        <f t="shared" si="28"/>
        <v>0.60000000000000009</v>
      </c>
      <c r="I281" s="14">
        <f t="shared" si="29"/>
        <v>0</v>
      </c>
      <c r="J281" s="15">
        <f>IF(CurrentMtgRatesDataTable8[[#This Row],[WA CC]]&lt;&gt;0,C280-CurrentMtgRatesDataTable8[[#This Row],[WA CC]],0)</f>
        <v>0</v>
      </c>
      <c r="K281" s="16">
        <f>IF(CurrentMtgRatesDataTable8[[#This Row],[Servicing Spread]]&lt;=0,K280,CurrentMtgRatesDataTable8[[#This Row],[Servicing Spread]])</f>
        <v>0.89859093907637577</v>
      </c>
      <c r="L281" s="16">
        <f>CurrentMtgRatesDataTable8[[#This Row],[Servicing Spread Non-Zero]]-K280</f>
        <v>0</v>
      </c>
      <c r="M281" s="16">
        <f>IF(I280&lt;&gt;0,CurrentMtgRatesDataTable8[[#This Row],[Rate]]-C280,M280)</f>
        <v>8.9999999999999858E-2</v>
      </c>
    </row>
    <row r="282" spans="1:13">
      <c r="A282" s="8" t="s">
        <v>219</v>
      </c>
      <c r="B282" s="11">
        <v>2.6627244928863401</v>
      </c>
      <c r="C282" s="13">
        <v>3.4349999999999996</v>
      </c>
      <c r="D282" s="14">
        <f t="shared" si="24"/>
        <v>6</v>
      </c>
      <c r="E282" s="14">
        <f t="shared" si="25"/>
        <v>0.2</v>
      </c>
      <c r="F282" s="14">
        <f t="shared" si="26"/>
        <v>4</v>
      </c>
      <c r="G282" s="14">
        <f t="shared" si="27"/>
        <v>2.07344721634768</v>
      </c>
      <c r="H282" s="14">
        <f t="shared" si="28"/>
        <v>0.8</v>
      </c>
      <c r="I282" s="14">
        <f t="shared" si="29"/>
        <v>0</v>
      </c>
      <c r="J282" s="15">
        <f>IF(CurrentMtgRatesDataTable8[[#This Row],[WA CC]]&lt;&gt;0,C281-CurrentMtgRatesDataTable8[[#This Row],[WA CC]],0)</f>
        <v>0</v>
      </c>
      <c r="K282" s="16">
        <f>IF(CurrentMtgRatesDataTable8[[#This Row],[Servicing Spread]]&lt;=0,K281,CurrentMtgRatesDataTable8[[#This Row],[Servicing Spread]])</f>
        <v>0.89859093907637577</v>
      </c>
      <c r="L282" s="16">
        <f>CurrentMtgRatesDataTable8[[#This Row],[Servicing Spread Non-Zero]]-K281</f>
        <v>0</v>
      </c>
      <c r="M282" s="16">
        <f>IF(I281&lt;&gt;0,CurrentMtgRatesDataTable8[[#This Row],[Rate]]-C281,M281)</f>
        <v>8.9999999999999858E-2</v>
      </c>
    </row>
    <row r="283" spans="1:13">
      <c r="A283" s="8" t="s">
        <v>76</v>
      </c>
      <c r="B283" s="11">
        <v>2.6618664133932302</v>
      </c>
      <c r="C283" s="13">
        <v>3.4349999999999996</v>
      </c>
      <c r="D283" s="14">
        <f t="shared" si="24"/>
        <v>7</v>
      </c>
      <c r="E283" s="14">
        <f t="shared" si="25"/>
        <v>0.2</v>
      </c>
      <c r="F283" s="14">
        <f t="shared" si="26"/>
        <v>5</v>
      </c>
      <c r="G283" s="14">
        <f t="shared" si="27"/>
        <v>2.6058204990263261</v>
      </c>
      <c r="H283" s="14">
        <f t="shared" si="28"/>
        <v>1</v>
      </c>
      <c r="I283" s="14">
        <f t="shared" si="29"/>
        <v>2.6058204990263261</v>
      </c>
      <c r="J283" s="15">
        <f>IF(CurrentMtgRatesDataTable8[[#This Row],[WA CC]]&lt;&gt;0,C282-CurrentMtgRatesDataTable8[[#This Row],[WA CC]],0)</f>
        <v>0.82917950097367354</v>
      </c>
      <c r="K283" s="16">
        <f>IF(CurrentMtgRatesDataTable8[[#This Row],[Servicing Spread]]&lt;=0,K282,CurrentMtgRatesDataTable8[[#This Row],[Servicing Spread]])</f>
        <v>0.82917950097367354</v>
      </c>
      <c r="L283" s="16">
        <f>CurrentMtgRatesDataTable8[[#This Row],[Servicing Spread Non-Zero]]-K282</f>
        <v>-6.9411438102702228E-2</v>
      </c>
      <c r="M283" s="16">
        <f>IF(I282&lt;&gt;0,CurrentMtgRatesDataTable8[[#This Row],[Rate]]-C282,M282)</f>
        <v>8.9999999999999858E-2</v>
      </c>
    </row>
    <row r="284" spans="1:13">
      <c r="A284" s="8" t="s">
        <v>642</v>
      </c>
      <c r="B284" s="11">
        <v>2.5638774739999999</v>
      </c>
      <c r="C284" s="13">
        <v>3.5149999999999997</v>
      </c>
      <c r="D284" s="14">
        <f t="shared" si="24"/>
        <v>1</v>
      </c>
      <c r="E284" s="14">
        <f t="shared" si="25"/>
        <v>0.2</v>
      </c>
      <c r="F284" s="14">
        <f t="shared" si="26"/>
        <v>1</v>
      </c>
      <c r="G284" s="14">
        <f t="shared" si="27"/>
        <v>0.51277549479999995</v>
      </c>
      <c r="H284" s="14">
        <f t="shared" si="28"/>
        <v>0.2</v>
      </c>
      <c r="I284" s="14">
        <f t="shared" si="29"/>
        <v>0</v>
      </c>
      <c r="J284" s="15">
        <f>IF(CurrentMtgRatesDataTable8[[#This Row],[WA CC]]&lt;&gt;0,C283-CurrentMtgRatesDataTable8[[#This Row],[WA CC]],0)</f>
        <v>0</v>
      </c>
      <c r="K284" s="16">
        <f>IF(CurrentMtgRatesDataTable8[[#This Row],[Servicing Spread]]&lt;=0,K283,CurrentMtgRatesDataTable8[[#This Row],[Servicing Spread]])</f>
        <v>0.82917950097367354</v>
      </c>
      <c r="L284" s="16">
        <f>CurrentMtgRatesDataTable8[[#This Row],[Servicing Spread Non-Zero]]-K283</f>
        <v>0</v>
      </c>
      <c r="M284" s="16">
        <f>IF(I283&lt;&gt;0,CurrentMtgRatesDataTable8[[#This Row],[Rate]]-C283,M283)</f>
        <v>8.0000000000000071E-2</v>
      </c>
    </row>
    <row r="285" spans="1:13">
      <c r="A285" s="8" t="s">
        <v>498</v>
      </c>
      <c r="B285" s="11">
        <v>2.6858134280305799</v>
      </c>
      <c r="C285" s="13">
        <v>3.5149999999999997</v>
      </c>
      <c r="D285" s="14">
        <f t="shared" si="24"/>
        <v>2</v>
      </c>
      <c r="E285" s="14">
        <f t="shared" si="25"/>
        <v>0.2</v>
      </c>
      <c r="F285" s="14">
        <f t="shared" si="26"/>
        <v>2</v>
      </c>
      <c r="G285" s="14">
        <f t="shared" si="27"/>
        <v>1.0499381804061159</v>
      </c>
      <c r="H285" s="14">
        <f t="shared" si="28"/>
        <v>0.4</v>
      </c>
      <c r="I285" s="14">
        <f t="shared" si="29"/>
        <v>0</v>
      </c>
      <c r="J285" s="15">
        <f>IF(CurrentMtgRatesDataTable8[[#This Row],[WA CC]]&lt;&gt;0,C284-CurrentMtgRatesDataTable8[[#This Row],[WA CC]],0)</f>
        <v>0</v>
      </c>
      <c r="K285" s="16">
        <f>IF(CurrentMtgRatesDataTable8[[#This Row],[Servicing Spread]]&lt;=0,K284,CurrentMtgRatesDataTable8[[#This Row],[Servicing Spread]])</f>
        <v>0.82917950097367354</v>
      </c>
      <c r="L285" s="16">
        <f>CurrentMtgRatesDataTable8[[#This Row],[Servicing Spread Non-Zero]]-K284</f>
        <v>0</v>
      </c>
      <c r="M285" s="16">
        <f>IF(I284&lt;&gt;0,CurrentMtgRatesDataTable8[[#This Row],[Rate]]-C284,M284)</f>
        <v>8.0000000000000071E-2</v>
      </c>
    </row>
    <row r="286" spans="1:13">
      <c r="A286" s="8" t="s">
        <v>360</v>
      </c>
      <c r="B286" s="11">
        <v>2.7128835423314301</v>
      </c>
      <c r="C286" s="13">
        <v>3.5149999999999997</v>
      </c>
      <c r="D286" s="14">
        <f t="shared" si="24"/>
        <v>5</v>
      </c>
      <c r="E286" s="14">
        <f t="shared" si="25"/>
        <v>0.2</v>
      </c>
      <c r="F286" s="14">
        <f t="shared" si="26"/>
        <v>3</v>
      </c>
      <c r="G286" s="14">
        <f t="shared" si="27"/>
        <v>1.5925148888724019</v>
      </c>
      <c r="H286" s="14">
        <f t="shared" si="28"/>
        <v>0.60000000000000009</v>
      </c>
      <c r="I286" s="14">
        <f t="shared" si="29"/>
        <v>0</v>
      </c>
      <c r="J286" s="15">
        <f>IF(CurrentMtgRatesDataTable8[[#This Row],[WA CC]]&lt;&gt;0,C285-CurrentMtgRatesDataTable8[[#This Row],[WA CC]],0)</f>
        <v>0</v>
      </c>
      <c r="K286" s="16">
        <f>IF(CurrentMtgRatesDataTable8[[#This Row],[Servicing Spread]]&lt;=0,K285,CurrentMtgRatesDataTable8[[#This Row],[Servicing Spread]])</f>
        <v>0.82917950097367354</v>
      </c>
      <c r="L286" s="16">
        <f>CurrentMtgRatesDataTable8[[#This Row],[Servicing Spread Non-Zero]]-K285</f>
        <v>0</v>
      </c>
      <c r="M286" s="16">
        <f>IF(I285&lt;&gt;0,CurrentMtgRatesDataTable8[[#This Row],[Rate]]-C285,M285)</f>
        <v>8.0000000000000071E-2</v>
      </c>
    </row>
    <row r="287" spans="1:13">
      <c r="A287" s="8" t="s">
        <v>220</v>
      </c>
      <c r="B287" s="11">
        <v>2.6645260639550199</v>
      </c>
      <c r="C287" s="13">
        <v>3.5149999999999997</v>
      </c>
      <c r="D287" s="14">
        <f t="shared" si="24"/>
        <v>6</v>
      </c>
      <c r="E287" s="14">
        <f t="shared" si="25"/>
        <v>0.2</v>
      </c>
      <c r="F287" s="14">
        <f t="shared" si="26"/>
        <v>4</v>
      </c>
      <c r="G287" s="14">
        <f t="shared" si="27"/>
        <v>2.1254201016634058</v>
      </c>
      <c r="H287" s="14">
        <f t="shared" si="28"/>
        <v>0.8</v>
      </c>
      <c r="I287" s="14">
        <f t="shared" si="29"/>
        <v>0</v>
      </c>
      <c r="J287" s="15">
        <f>IF(CurrentMtgRatesDataTable8[[#This Row],[WA CC]]&lt;&gt;0,C286-CurrentMtgRatesDataTable8[[#This Row],[WA CC]],0)</f>
        <v>0</v>
      </c>
      <c r="K287" s="16">
        <f>IF(CurrentMtgRatesDataTable8[[#This Row],[Servicing Spread]]&lt;=0,K286,CurrentMtgRatesDataTable8[[#This Row],[Servicing Spread]])</f>
        <v>0.82917950097367354</v>
      </c>
      <c r="L287" s="16">
        <f>CurrentMtgRatesDataTable8[[#This Row],[Servicing Spread Non-Zero]]-K286</f>
        <v>0</v>
      </c>
      <c r="M287" s="16">
        <f>IF(I286&lt;&gt;0,CurrentMtgRatesDataTable8[[#This Row],[Rate]]-C286,M286)</f>
        <v>8.0000000000000071E-2</v>
      </c>
    </row>
    <row r="288" spans="1:13">
      <c r="A288" s="8" t="s">
        <v>77</v>
      </c>
      <c r="B288" s="11">
        <v>2.78843998218461</v>
      </c>
      <c r="C288" s="13">
        <v>3.5149999999999997</v>
      </c>
      <c r="D288" s="14">
        <f t="shared" si="24"/>
        <v>7</v>
      </c>
      <c r="E288" s="14">
        <f t="shared" si="25"/>
        <v>0.2</v>
      </c>
      <c r="F288" s="14">
        <f t="shared" si="26"/>
        <v>5</v>
      </c>
      <c r="G288" s="14">
        <f t="shared" si="27"/>
        <v>2.6831080981003277</v>
      </c>
      <c r="H288" s="14">
        <f t="shared" si="28"/>
        <v>1</v>
      </c>
      <c r="I288" s="14">
        <f t="shared" si="29"/>
        <v>2.6831080981003277</v>
      </c>
      <c r="J288" s="15">
        <f>IF(CurrentMtgRatesDataTable8[[#This Row],[WA CC]]&lt;&gt;0,C287-CurrentMtgRatesDataTable8[[#This Row],[WA CC]],0)</f>
        <v>0.83189190189967199</v>
      </c>
      <c r="K288" s="16">
        <f>IF(CurrentMtgRatesDataTable8[[#This Row],[Servicing Spread]]&lt;=0,K287,CurrentMtgRatesDataTable8[[#This Row],[Servicing Spread]])</f>
        <v>0.83189190189967199</v>
      </c>
      <c r="L288" s="16">
        <f>CurrentMtgRatesDataTable8[[#This Row],[Servicing Spread Non-Zero]]-K287</f>
        <v>2.7124009259984483E-3</v>
      </c>
      <c r="M288" s="16">
        <f>IF(I287&lt;&gt;0,CurrentMtgRatesDataTable8[[#This Row],[Rate]]-C287,M287)</f>
        <v>8.0000000000000071E-2</v>
      </c>
    </row>
    <row r="289" spans="1:13">
      <c r="A289" s="8" t="s">
        <v>643</v>
      </c>
      <c r="B289" s="11">
        <v>2.8219074459123799</v>
      </c>
      <c r="C289" s="13">
        <v>3.7600000000000002</v>
      </c>
      <c r="D289" s="14">
        <f t="shared" si="24"/>
        <v>1</v>
      </c>
      <c r="E289" s="14">
        <f t="shared" si="25"/>
        <v>0.2</v>
      </c>
      <c r="F289" s="14">
        <f t="shared" si="26"/>
        <v>1</v>
      </c>
      <c r="G289" s="14">
        <f t="shared" si="27"/>
        <v>0.56438148918247599</v>
      </c>
      <c r="H289" s="14">
        <f t="shared" si="28"/>
        <v>0.2</v>
      </c>
      <c r="I289" s="14">
        <f t="shared" si="29"/>
        <v>0</v>
      </c>
      <c r="J289" s="15">
        <f>IF(CurrentMtgRatesDataTable8[[#This Row],[WA CC]]&lt;&gt;0,C288-CurrentMtgRatesDataTable8[[#This Row],[WA CC]],0)</f>
        <v>0</v>
      </c>
      <c r="K289" s="16">
        <f>IF(CurrentMtgRatesDataTable8[[#This Row],[Servicing Spread]]&lt;=0,K288,CurrentMtgRatesDataTable8[[#This Row],[Servicing Spread]])</f>
        <v>0.83189190189967199</v>
      </c>
      <c r="L289" s="16">
        <f>CurrentMtgRatesDataTable8[[#This Row],[Servicing Spread Non-Zero]]-K288</f>
        <v>0</v>
      </c>
      <c r="M289" s="16">
        <f>IF(I288&lt;&gt;0,CurrentMtgRatesDataTable8[[#This Row],[Rate]]-C288,M288)</f>
        <v>0.24500000000000055</v>
      </c>
    </row>
    <row r="290" spans="1:13">
      <c r="A290" s="8" t="s">
        <v>499</v>
      </c>
      <c r="B290" s="11">
        <v>2.8149731764108399</v>
      </c>
      <c r="C290" s="13">
        <v>3.7600000000000002</v>
      </c>
      <c r="D290" s="14">
        <f t="shared" si="24"/>
        <v>2</v>
      </c>
      <c r="E290" s="14">
        <f t="shared" si="25"/>
        <v>0.2</v>
      </c>
      <c r="F290" s="14">
        <f t="shared" si="26"/>
        <v>2</v>
      </c>
      <c r="G290" s="14">
        <f t="shared" si="27"/>
        <v>1.1273761244646439</v>
      </c>
      <c r="H290" s="14">
        <f t="shared" si="28"/>
        <v>0.4</v>
      </c>
      <c r="I290" s="14">
        <f t="shared" si="29"/>
        <v>0</v>
      </c>
      <c r="J290" s="15">
        <f>IF(CurrentMtgRatesDataTable8[[#This Row],[WA CC]]&lt;&gt;0,C289-CurrentMtgRatesDataTable8[[#This Row],[WA CC]],0)</f>
        <v>0</v>
      </c>
      <c r="K290" s="16">
        <f>IF(CurrentMtgRatesDataTable8[[#This Row],[Servicing Spread]]&lt;=0,K289,CurrentMtgRatesDataTable8[[#This Row],[Servicing Spread]])</f>
        <v>0.83189190189967199</v>
      </c>
      <c r="L290" s="16">
        <f>CurrentMtgRatesDataTable8[[#This Row],[Servicing Spread Non-Zero]]-K289</f>
        <v>0</v>
      </c>
      <c r="M290" s="16">
        <f>IF(I289&lt;&gt;0,CurrentMtgRatesDataTable8[[#This Row],[Rate]]-C289,M289)</f>
        <v>0.24500000000000055</v>
      </c>
    </row>
    <row r="291" spans="1:13">
      <c r="A291" s="8" t="s">
        <v>221</v>
      </c>
      <c r="B291" s="11">
        <v>2.9439593784478002</v>
      </c>
      <c r="C291" s="13">
        <v>3.7600000000000002</v>
      </c>
      <c r="D291" s="14">
        <f t="shared" si="24"/>
        <v>6</v>
      </c>
      <c r="E291" s="14">
        <f t="shared" si="25"/>
        <v>0.2</v>
      </c>
      <c r="F291" s="14">
        <f t="shared" si="26"/>
        <v>3</v>
      </c>
      <c r="G291" s="14">
        <f t="shared" si="27"/>
        <v>1.7161680001542039</v>
      </c>
      <c r="H291" s="14">
        <f t="shared" si="28"/>
        <v>0.60000000000000009</v>
      </c>
      <c r="I291" s="14">
        <f t="shared" si="29"/>
        <v>0</v>
      </c>
      <c r="J291" s="15">
        <f>IF(CurrentMtgRatesDataTable8[[#This Row],[WA CC]]&lt;&gt;0,C290-CurrentMtgRatesDataTable8[[#This Row],[WA CC]],0)</f>
        <v>0</v>
      </c>
      <c r="K291" s="16">
        <f>IF(CurrentMtgRatesDataTable8[[#This Row],[Servicing Spread]]&lt;=0,K290,CurrentMtgRatesDataTable8[[#This Row],[Servicing Spread]])</f>
        <v>0.83189190189967199</v>
      </c>
      <c r="L291" s="16">
        <f>CurrentMtgRatesDataTable8[[#This Row],[Servicing Spread Non-Zero]]-K290</f>
        <v>0</v>
      </c>
      <c r="M291" s="16">
        <f>IF(I290&lt;&gt;0,CurrentMtgRatesDataTable8[[#This Row],[Rate]]-C290,M290)</f>
        <v>0.24500000000000055</v>
      </c>
    </row>
    <row r="292" spans="1:13">
      <c r="A292" s="8" t="s">
        <v>78</v>
      </c>
      <c r="B292" s="11">
        <v>2.9196928046626902</v>
      </c>
      <c r="C292" s="13">
        <v>3.7600000000000002</v>
      </c>
      <c r="D292" s="14">
        <f t="shared" si="24"/>
        <v>7</v>
      </c>
      <c r="E292" s="14">
        <f t="shared" si="25"/>
        <v>0.2</v>
      </c>
      <c r="F292" s="14">
        <f t="shared" si="26"/>
        <v>4</v>
      </c>
      <c r="G292" s="14">
        <f t="shared" si="27"/>
        <v>2.3001065610867419</v>
      </c>
      <c r="H292" s="14">
        <f t="shared" si="28"/>
        <v>0.8</v>
      </c>
      <c r="I292" s="14">
        <f t="shared" si="29"/>
        <v>2.8751332013584272</v>
      </c>
      <c r="J292" s="15">
        <f>IF(CurrentMtgRatesDataTable8[[#This Row],[WA CC]]&lt;&gt;0,C291-CurrentMtgRatesDataTable8[[#This Row],[WA CC]],0)</f>
        <v>0.88486679864157303</v>
      </c>
      <c r="K292" s="16">
        <f>IF(CurrentMtgRatesDataTable8[[#This Row],[Servicing Spread]]&lt;=0,K291,CurrentMtgRatesDataTable8[[#This Row],[Servicing Spread]])</f>
        <v>0.88486679864157303</v>
      </c>
      <c r="L292" s="16">
        <f>CurrentMtgRatesDataTable8[[#This Row],[Servicing Spread Non-Zero]]-K291</f>
        <v>5.2974896741901034E-2</v>
      </c>
      <c r="M292" s="16">
        <f>IF(I291&lt;&gt;0,CurrentMtgRatesDataTable8[[#This Row],[Rate]]-C291,M291)</f>
        <v>0.24500000000000055</v>
      </c>
    </row>
    <row r="293" spans="1:13">
      <c r="A293" s="8" t="s">
        <v>644</v>
      </c>
      <c r="B293" s="11">
        <v>2.9046454407398898</v>
      </c>
      <c r="C293" s="13">
        <v>3.835</v>
      </c>
      <c r="D293" s="14">
        <f t="shared" si="24"/>
        <v>1</v>
      </c>
      <c r="E293" s="14">
        <f t="shared" si="25"/>
        <v>0.2</v>
      </c>
      <c r="F293" s="14">
        <f t="shared" si="26"/>
        <v>1</v>
      </c>
      <c r="G293" s="14">
        <f t="shared" si="27"/>
        <v>0.58092908814797795</v>
      </c>
      <c r="H293" s="14">
        <f t="shared" si="28"/>
        <v>0.2</v>
      </c>
      <c r="I293" s="14">
        <f t="shared" si="29"/>
        <v>0</v>
      </c>
      <c r="J293" s="15">
        <f>IF(CurrentMtgRatesDataTable8[[#This Row],[WA CC]]&lt;&gt;0,C292-CurrentMtgRatesDataTable8[[#This Row],[WA CC]],0)</f>
        <v>0</v>
      </c>
      <c r="K293" s="16">
        <f>IF(CurrentMtgRatesDataTable8[[#This Row],[Servicing Spread]]&lt;=0,K292,CurrentMtgRatesDataTable8[[#This Row],[Servicing Spread]])</f>
        <v>0.88486679864157303</v>
      </c>
      <c r="L293" s="16">
        <f>CurrentMtgRatesDataTable8[[#This Row],[Servicing Spread Non-Zero]]-K292</f>
        <v>0</v>
      </c>
      <c r="M293" s="16">
        <f>IF(I292&lt;&gt;0,CurrentMtgRatesDataTable8[[#This Row],[Rate]]-C292,M292)</f>
        <v>7.4999999999999734E-2</v>
      </c>
    </row>
    <row r="294" spans="1:13">
      <c r="A294" s="8" t="s">
        <v>500</v>
      </c>
      <c r="B294" s="11">
        <v>2.95731349620652</v>
      </c>
      <c r="C294" s="13">
        <v>3.835</v>
      </c>
      <c r="D294" s="14">
        <f t="shared" si="24"/>
        <v>2</v>
      </c>
      <c r="E294" s="14">
        <f t="shared" si="25"/>
        <v>0.2</v>
      </c>
      <c r="F294" s="14">
        <f t="shared" si="26"/>
        <v>2</v>
      </c>
      <c r="G294" s="14">
        <f t="shared" si="27"/>
        <v>1.172391787389282</v>
      </c>
      <c r="H294" s="14">
        <f t="shared" si="28"/>
        <v>0.4</v>
      </c>
      <c r="I294" s="14">
        <f t="shared" si="29"/>
        <v>0</v>
      </c>
      <c r="J294" s="15">
        <f>IF(CurrentMtgRatesDataTable8[[#This Row],[WA CC]]&lt;&gt;0,C293-CurrentMtgRatesDataTable8[[#This Row],[WA CC]],0)</f>
        <v>0</v>
      </c>
      <c r="K294" s="16">
        <f>IF(CurrentMtgRatesDataTable8[[#This Row],[Servicing Spread]]&lt;=0,K293,CurrentMtgRatesDataTable8[[#This Row],[Servicing Spread]])</f>
        <v>0.88486679864157303</v>
      </c>
      <c r="L294" s="16">
        <f>CurrentMtgRatesDataTable8[[#This Row],[Servicing Spread Non-Zero]]-K293</f>
        <v>0</v>
      </c>
      <c r="M294" s="16">
        <f>IF(I293&lt;&gt;0,CurrentMtgRatesDataTable8[[#This Row],[Rate]]-C293,M293)</f>
        <v>7.4999999999999734E-2</v>
      </c>
    </row>
    <row r="295" spans="1:13">
      <c r="A295" s="8" t="s">
        <v>361</v>
      </c>
      <c r="B295" s="11">
        <v>2.9603245306419401</v>
      </c>
      <c r="C295" s="13">
        <v>3.835</v>
      </c>
      <c r="D295" s="14">
        <f t="shared" si="24"/>
        <v>5</v>
      </c>
      <c r="E295" s="14">
        <f t="shared" si="25"/>
        <v>0.2</v>
      </c>
      <c r="F295" s="14">
        <f t="shared" si="26"/>
        <v>3</v>
      </c>
      <c r="G295" s="14">
        <f t="shared" si="27"/>
        <v>1.76445669351767</v>
      </c>
      <c r="H295" s="14">
        <f t="shared" si="28"/>
        <v>0.60000000000000009</v>
      </c>
      <c r="I295" s="14">
        <f t="shared" si="29"/>
        <v>0</v>
      </c>
      <c r="J295" s="15">
        <f>IF(CurrentMtgRatesDataTable8[[#This Row],[WA CC]]&lt;&gt;0,C294-CurrentMtgRatesDataTable8[[#This Row],[WA CC]],0)</f>
        <v>0</v>
      </c>
      <c r="K295" s="16">
        <f>IF(CurrentMtgRatesDataTable8[[#This Row],[Servicing Spread]]&lt;=0,K294,CurrentMtgRatesDataTable8[[#This Row],[Servicing Spread]])</f>
        <v>0.88486679864157303</v>
      </c>
      <c r="L295" s="16">
        <f>CurrentMtgRatesDataTable8[[#This Row],[Servicing Spread Non-Zero]]-K294</f>
        <v>0</v>
      </c>
      <c r="M295" s="16">
        <f>IF(I294&lt;&gt;0,CurrentMtgRatesDataTable8[[#This Row],[Rate]]-C294,M294)</f>
        <v>7.4999999999999734E-2</v>
      </c>
    </row>
    <row r="296" spans="1:13">
      <c r="A296" s="8" t="s">
        <v>222</v>
      </c>
      <c r="B296" s="11">
        <v>2.9897357672895799</v>
      </c>
      <c r="C296" s="13">
        <v>3.835</v>
      </c>
      <c r="D296" s="14">
        <f t="shared" si="24"/>
        <v>6</v>
      </c>
      <c r="E296" s="14">
        <f t="shared" si="25"/>
        <v>0.2</v>
      </c>
      <c r="F296" s="14">
        <f t="shared" si="26"/>
        <v>4</v>
      </c>
      <c r="G296" s="14">
        <f t="shared" si="27"/>
        <v>2.3624038469755861</v>
      </c>
      <c r="H296" s="14">
        <f t="shared" si="28"/>
        <v>0.8</v>
      </c>
      <c r="I296" s="14">
        <f t="shared" si="29"/>
        <v>0</v>
      </c>
      <c r="J296" s="15">
        <f>IF(CurrentMtgRatesDataTable8[[#This Row],[WA CC]]&lt;&gt;0,C295-CurrentMtgRatesDataTable8[[#This Row],[WA CC]],0)</f>
        <v>0</v>
      </c>
      <c r="K296" s="16">
        <f>IF(CurrentMtgRatesDataTable8[[#This Row],[Servicing Spread]]&lt;=0,K295,CurrentMtgRatesDataTable8[[#This Row],[Servicing Spread]])</f>
        <v>0.88486679864157303</v>
      </c>
      <c r="L296" s="16">
        <f>CurrentMtgRatesDataTable8[[#This Row],[Servicing Spread Non-Zero]]-K295</f>
        <v>0</v>
      </c>
      <c r="M296" s="16">
        <f>IF(I295&lt;&gt;0,CurrentMtgRatesDataTable8[[#This Row],[Rate]]-C295,M295)</f>
        <v>7.4999999999999734E-2</v>
      </c>
    </row>
    <row r="297" spans="1:13">
      <c r="A297" s="8" t="s">
        <v>79</v>
      </c>
      <c r="B297" s="11">
        <v>2.9737219853978498</v>
      </c>
      <c r="C297" s="13">
        <v>3.835</v>
      </c>
      <c r="D297" s="14">
        <f t="shared" si="24"/>
        <v>7</v>
      </c>
      <c r="E297" s="14">
        <f t="shared" si="25"/>
        <v>0.2</v>
      </c>
      <c r="F297" s="14">
        <f t="shared" si="26"/>
        <v>5</v>
      </c>
      <c r="G297" s="14">
        <f t="shared" si="27"/>
        <v>2.9571482440551562</v>
      </c>
      <c r="H297" s="14">
        <f t="shared" si="28"/>
        <v>1</v>
      </c>
      <c r="I297" s="14">
        <f t="shared" si="29"/>
        <v>2.9571482440551562</v>
      </c>
      <c r="J297" s="15">
        <f>IF(CurrentMtgRatesDataTable8[[#This Row],[WA CC]]&lt;&gt;0,C296-CurrentMtgRatesDataTable8[[#This Row],[WA CC]],0)</f>
        <v>0.87785175594484377</v>
      </c>
      <c r="K297" s="16">
        <f>IF(CurrentMtgRatesDataTable8[[#This Row],[Servicing Spread]]&lt;=0,K296,CurrentMtgRatesDataTable8[[#This Row],[Servicing Spread]])</f>
        <v>0.87785175594484377</v>
      </c>
      <c r="L297" s="16">
        <f>CurrentMtgRatesDataTable8[[#This Row],[Servicing Spread Non-Zero]]-K296</f>
        <v>-7.0150426967292567E-3</v>
      </c>
      <c r="M297" s="16">
        <f>IF(I296&lt;&gt;0,CurrentMtgRatesDataTable8[[#This Row],[Rate]]-C296,M296)</f>
        <v>7.4999999999999734E-2</v>
      </c>
    </row>
    <row r="298" spans="1:13">
      <c r="A298" s="8" t="s">
        <v>645</v>
      </c>
      <c r="B298" s="11">
        <v>2.9363931746100702</v>
      </c>
      <c r="C298" s="13">
        <v>3.9049999999999998</v>
      </c>
      <c r="D298" s="14">
        <f t="shared" si="24"/>
        <v>1</v>
      </c>
      <c r="E298" s="14">
        <f t="shared" si="25"/>
        <v>0.2</v>
      </c>
      <c r="F298" s="14">
        <f t="shared" si="26"/>
        <v>1</v>
      </c>
      <c r="G298" s="14">
        <f t="shared" si="27"/>
        <v>0.58727863492201404</v>
      </c>
      <c r="H298" s="14">
        <f t="shared" si="28"/>
        <v>0.2</v>
      </c>
      <c r="I298" s="14">
        <f t="shared" si="29"/>
        <v>0</v>
      </c>
      <c r="J298" s="15">
        <f>IF(CurrentMtgRatesDataTable8[[#This Row],[WA CC]]&lt;&gt;0,C297-CurrentMtgRatesDataTable8[[#This Row],[WA CC]],0)</f>
        <v>0</v>
      </c>
      <c r="K298" s="16">
        <f>IF(CurrentMtgRatesDataTable8[[#This Row],[Servicing Spread]]&lt;=0,K297,CurrentMtgRatesDataTable8[[#This Row],[Servicing Spread]])</f>
        <v>0.87785175594484377</v>
      </c>
      <c r="L298" s="16">
        <f>CurrentMtgRatesDataTable8[[#This Row],[Servicing Spread Non-Zero]]-K297</f>
        <v>0</v>
      </c>
      <c r="M298" s="16">
        <f>IF(I297&lt;&gt;0,CurrentMtgRatesDataTable8[[#This Row],[Rate]]-C297,M297)</f>
        <v>6.999999999999984E-2</v>
      </c>
    </row>
    <row r="299" spans="1:13">
      <c r="A299" s="8" t="s">
        <v>501</v>
      </c>
      <c r="B299" s="11">
        <v>2.9931159990094902</v>
      </c>
      <c r="C299" s="13">
        <v>3.9049999999999998</v>
      </c>
      <c r="D299" s="14">
        <f t="shared" si="24"/>
        <v>2</v>
      </c>
      <c r="E299" s="14">
        <f t="shared" si="25"/>
        <v>0.2</v>
      </c>
      <c r="F299" s="14">
        <f t="shared" si="26"/>
        <v>2</v>
      </c>
      <c r="G299" s="14">
        <f t="shared" si="27"/>
        <v>1.1859018347239121</v>
      </c>
      <c r="H299" s="14">
        <f t="shared" si="28"/>
        <v>0.4</v>
      </c>
      <c r="I299" s="14">
        <f t="shared" si="29"/>
        <v>0</v>
      </c>
      <c r="J299" s="15">
        <f>IF(CurrentMtgRatesDataTable8[[#This Row],[WA CC]]&lt;&gt;0,C298-CurrentMtgRatesDataTable8[[#This Row],[WA CC]],0)</f>
        <v>0</v>
      </c>
      <c r="K299" s="16">
        <f>IF(CurrentMtgRatesDataTable8[[#This Row],[Servicing Spread]]&lt;=0,K298,CurrentMtgRatesDataTable8[[#This Row],[Servicing Spread]])</f>
        <v>0.87785175594484377</v>
      </c>
      <c r="L299" s="16">
        <f>CurrentMtgRatesDataTable8[[#This Row],[Servicing Spread Non-Zero]]-K298</f>
        <v>0</v>
      </c>
      <c r="M299" s="16">
        <f>IF(I298&lt;&gt;0,CurrentMtgRatesDataTable8[[#This Row],[Rate]]-C298,M298)</f>
        <v>6.999999999999984E-2</v>
      </c>
    </row>
    <row r="300" spans="1:13">
      <c r="A300" s="8" t="s">
        <v>362</v>
      </c>
      <c r="B300" s="11">
        <v>3.0187503286824402</v>
      </c>
      <c r="C300" s="13">
        <v>3.9049999999999998</v>
      </c>
      <c r="D300" s="14">
        <f t="shared" si="24"/>
        <v>5</v>
      </c>
      <c r="E300" s="14">
        <f t="shared" si="25"/>
        <v>0.2</v>
      </c>
      <c r="F300" s="14">
        <f t="shared" si="26"/>
        <v>3</v>
      </c>
      <c r="G300" s="14">
        <f t="shared" si="27"/>
        <v>1.7896519004604001</v>
      </c>
      <c r="H300" s="14">
        <f t="shared" si="28"/>
        <v>0.60000000000000009</v>
      </c>
      <c r="I300" s="14">
        <f t="shared" si="29"/>
        <v>0</v>
      </c>
      <c r="J300" s="15">
        <f>IF(CurrentMtgRatesDataTable8[[#This Row],[WA CC]]&lt;&gt;0,C299-CurrentMtgRatesDataTable8[[#This Row],[WA CC]],0)</f>
        <v>0</v>
      </c>
      <c r="K300" s="16">
        <f>IF(CurrentMtgRatesDataTable8[[#This Row],[Servicing Spread]]&lt;=0,K299,CurrentMtgRatesDataTable8[[#This Row],[Servicing Spread]])</f>
        <v>0.87785175594484377</v>
      </c>
      <c r="L300" s="16">
        <f>CurrentMtgRatesDataTable8[[#This Row],[Servicing Spread Non-Zero]]-K299</f>
        <v>0</v>
      </c>
      <c r="M300" s="16">
        <f>IF(I299&lt;&gt;0,CurrentMtgRatesDataTable8[[#This Row],[Rate]]-C299,M299)</f>
        <v>6.999999999999984E-2</v>
      </c>
    </row>
    <row r="301" spans="1:13">
      <c r="A301" s="8" t="s">
        <v>223</v>
      </c>
      <c r="B301" s="11">
        <v>2.9886237940572</v>
      </c>
      <c r="C301" s="13">
        <v>3.9049999999999998</v>
      </c>
      <c r="D301" s="14">
        <f t="shared" si="24"/>
        <v>6</v>
      </c>
      <c r="E301" s="14">
        <f t="shared" si="25"/>
        <v>0.2</v>
      </c>
      <c r="F301" s="14">
        <f t="shared" si="26"/>
        <v>4</v>
      </c>
      <c r="G301" s="14">
        <f t="shared" si="27"/>
        <v>2.3873766592718404</v>
      </c>
      <c r="H301" s="14">
        <f t="shared" si="28"/>
        <v>0.8</v>
      </c>
      <c r="I301" s="14">
        <f t="shared" si="29"/>
        <v>0</v>
      </c>
      <c r="J301" s="15">
        <f>IF(CurrentMtgRatesDataTable8[[#This Row],[WA CC]]&lt;&gt;0,C300-CurrentMtgRatesDataTable8[[#This Row],[WA CC]],0)</f>
        <v>0</v>
      </c>
      <c r="K301" s="16">
        <f>IF(CurrentMtgRatesDataTable8[[#This Row],[Servicing Spread]]&lt;=0,K300,CurrentMtgRatesDataTable8[[#This Row],[Servicing Spread]])</f>
        <v>0.87785175594484377</v>
      </c>
      <c r="L301" s="16">
        <f>CurrentMtgRatesDataTable8[[#This Row],[Servicing Spread Non-Zero]]-K300</f>
        <v>0</v>
      </c>
      <c r="M301" s="16">
        <f>IF(I300&lt;&gt;0,CurrentMtgRatesDataTable8[[#This Row],[Rate]]-C300,M300)</f>
        <v>6.999999999999984E-2</v>
      </c>
    </row>
    <row r="302" spans="1:13">
      <c r="A302" s="8" t="s">
        <v>80</v>
      </c>
      <c r="B302" s="11">
        <v>3.0172986003180302</v>
      </c>
      <c r="C302" s="13">
        <v>3.9049999999999998</v>
      </c>
      <c r="D302" s="14">
        <f t="shared" si="24"/>
        <v>7</v>
      </c>
      <c r="E302" s="14">
        <f t="shared" si="25"/>
        <v>0.2</v>
      </c>
      <c r="F302" s="14">
        <f t="shared" si="26"/>
        <v>5</v>
      </c>
      <c r="G302" s="14">
        <f t="shared" si="27"/>
        <v>2.9908363793354464</v>
      </c>
      <c r="H302" s="14">
        <f t="shared" si="28"/>
        <v>1</v>
      </c>
      <c r="I302" s="14">
        <f t="shared" si="29"/>
        <v>2.9908363793354464</v>
      </c>
      <c r="J302" s="15">
        <f>IF(CurrentMtgRatesDataTable8[[#This Row],[WA CC]]&lt;&gt;0,C301-CurrentMtgRatesDataTable8[[#This Row],[WA CC]],0)</f>
        <v>0.91416362066455337</v>
      </c>
      <c r="K302" s="16">
        <f>IF(CurrentMtgRatesDataTable8[[#This Row],[Servicing Spread]]&lt;=0,K301,CurrentMtgRatesDataTable8[[#This Row],[Servicing Spread]])</f>
        <v>0.91416362066455337</v>
      </c>
      <c r="L302" s="16">
        <f>CurrentMtgRatesDataTable8[[#This Row],[Servicing Spread Non-Zero]]-K301</f>
        <v>3.6311864719709597E-2</v>
      </c>
      <c r="M302" s="16">
        <f>IF(I301&lt;&gt;0,CurrentMtgRatesDataTable8[[#This Row],[Rate]]-C301,M301)</f>
        <v>6.999999999999984E-2</v>
      </c>
    </row>
    <row r="303" spans="1:13">
      <c r="A303" s="8" t="s">
        <v>646</v>
      </c>
      <c r="B303" s="11">
        <v>2.97051771574304</v>
      </c>
      <c r="C303" s="13">
        <v>3.8800000000000003</v>
      </c>
      <c r="D303" s="14">
        <f t="shared" si="24"/>
        <v>1</v>
      </c>
      <c r="E303" s="14">
        <f t="shared" si="25"/>
        <v>0.2</v>
      </c>
      <c r="F303" s="14">
        <f t="shared" si="26"/>
        <v>1</v>
      </c>
      <c r="G303" s="14">
        <f t="shared" si="27"/>
        <v>0.59410354314860803</v>
      </c>
      <c r="H303" s="14">
        <f t="shared" si="28"/>
        <v>0.2</v>
      </c>
      <c r="I303" s="14">
        <f t="shared" si="29"/>
        <v>0</v>
      </c>
      <c r="J303" s="15">
        <f>IF(CurrentMtgRatesDataTable8[[#This Row],[WA CC]]&lt;&gt;0,C302-CurrentMtgRatesDataTable8[[#This Row],[WA CC]],0)</f>
        <v>0</v>
      </c>
      <c r="K303" s="16">
        <f>IF(CurrentMtgRatesDataTable8[[#This Row],[Servicing Spread]]&lt;=0,K302,CurrentMtgRatesDataTable8[[#This Row],[Servicing Spread]])</f>
        <v>0.91416362066455337</v>
      </c>
      <c r="L303" s="16">
        <f>CurrentMtgRatesDataTable8[[#This Row],[Servicing Spread Non-Zero]]-K302</f>
        <v>0</v>
      </c>
      <c r="M303" s="16">
        <f>IF(I302&lt;&gt;0,CurrentMtgRatesDataTable8[[#This Row],[Rate]]-C302,M302)</f>
        <v>-2.4999999999999467E-2</v>
      </c>
    </row>
    <row r="304" spans="1:13">
      <c r="A304" s="8" t="s">
        <v>502</v>
      </c>
      <c r="B304" s="11">
        <v>2.93282407442446</v>
      </c>
      <c r="C304" s="13">
        <v>3.8800000000000003</v>
      </c>
      <c r="D304" s="14">
        <f t="shared" si="24"/>
        <v>2</v>
      </c>
      <c r="E304" s="14">
        <f t="shared" si="25"/>
        <v>0.2</v>
      </c>
      <c r="F304" s="14">
        <f t="shared" si="26"/>
        <v>2</v>
      </c>
      <c r="G304" s="14">
        <f t="shared" si="27"/>
        <v>1.1806683580335</v>
      </c>
      <c r="H304" s="14">
        <f t="shared" si="28"/>
        <v>0.4</v>
      </c>
      <c r="I304" s="14">
        <f t="shared" si="29"/>
        <v>0</v>
      </c>
      <c r="J304" s="15">
        <f>IF(CurrentMtgRatesDataTable8[[#This Row],[WA CC]]&lt;&gt;0,C303-CurrentMtgRatesDataTable8[[#This Row],[WA CC]],0)</f>
        <v>0</v>
      </c>
      <c r="K304" s="16">
        <f>IF(CurrentMtgRatesDataTable8[[#This Row],[Servicing Spread]]&lt;=0,K303,CurrentMtgRatesDataTable8[[#This Row],[Servicing Spread]])</f>
        <v>0.91416362066455337</v>
      </c>
      <c r="L304" s="16">
        <f>CurrentMtgRatesDataTable8[[#This Row],[Servicing Spread Non-Zero]]-K303</f>
        <v>0</v>
      </c>
      <c r="M304" s="16">
        <f>IF(I303&lt;&gt;0,CurrentMtgRatesDataTable8[[#This Row],[Rate]]-C303,M303)</f>
        <v>-2.4999999999999467E-2</v>
      </c>
    </row>
    <row r="305" spans="1:13">
      <c r="A305" s="8" t="s">
        <v>363</v>
      </c>
      <c r="B305" s="11">
        <v>2.9838518305616502</v>
      </c>
      <c r="C305" s="13">
        <v>3.8800000000000003</v>
      </c>
      <c r="D305" s="14">
        <f t="shared" si="24"/>
        <v>5</v>
      </c>
      <c r="E305" s="14">
        <f t="shared" si="25"/>
        <v>0.2</v>
      </c>
      <c r="F305" s="14">
        <f t="shared" si="26"/>
        <v>3</v>
      </c>
      <c r="G305" s="14">
        <f t="shared" si="27"/>
        <v>1.77743872414583</v>
      </c>
      <c r="H305" s="14">
        <f t="shared" si="28"/>
        <v>0.60000000000000009</v>
      </c>
      <c r="I305" s="14">
        <f t="shared" si="29"/>
        <v>0</v>
      </c>
      <c r="J305" s="15">
        <f>IF(CurrentMtgRatesDataTable8[[#This Row],[WA CC]]&lt;&gt;0,C304-CurrentMtgRatesDataTable8[[#This Row],[WA CC]],0)</f>
        <v>0</v>
      </c>
      <c r="K305" s="16">
        <f>IF(CurrentMtgRatesDataTable8[[#This Row],[Servicing Spread]]&lt;=0,K304,CurrentMtgRatesDataTable8[[#This Row],[Servicing Spread]])</f>
        <v>0.91416362066455337</v>
      </c>
      <c r="L305" s="16">
        <f>CurrentMtgRatesDataTable8[[#This Row],[Servicing Spread Non-Zero]]-K304</f>
        <v>0</v>
      </c>
      <c r="M305" s="16">
        <f>IF(I304&lt;&gt;0,CurrentMtgRatesDataTable8[[#This Row],[Rate]]-C304,M304)</f>
        <v>-2.4999999999999467E-2</v>
      </c>
    </row>
    <row r="306" spans="1:13">
      <c r="A306" s="8" t="s">
        <v>224</v>
      </c>
      <c r="B306" s="11">
        <v>2.9821306488123902</v>
      </c>
      <c r="C306" s="13">
        <v>3.8800000000000003</v>
      </c>
      <c r="D306" s="14">
        <f t="shared" si="24"/>
        <v>6</v>
      </c>
      <c r="E306" s="14">
        <f t="shared" si="25"/>
        <v>0.2</v>
      </c>
      <c r="F306" s="14">
        <f t="shared" si="26"/>
        <v>4</v>
      </c>
      <c r="G306" s="14">
        <f t="shared" si="27"/>
        <v>2.3738648539083083</v>
      </c>
      <c r="H306" s="14">
        <f t="shared" si="28"/>
        <v>0.8</v>
      </c>
      <c r="I306" s="14">
        <f t="shared" si="29"/>
        <v>0</v>
      </c>
      <c r="J306" s="15">
        <f>IF(CurrentMtgRatesDataTable8[[#This Row],[WA CC]]&lt;&gt;0,C305-CurrentMtgRatesDataTable8[[#This Row],[WA CC]],0)</f>
        <v>0</v>
      </c>
      <c r="K306" s="16">
        <f>IF(CurrentMtgRatesDataTable8[[#This Row],[Servicing Spread]]&lt;=0,K305,CurrentMtgRatesDataTable8[[#This Row],[Servicing Spread]])</f>
        <v>0.91416362066455337</v>
      </c>
      <c r="L306" s="16">
        <f>CurrentMtgRatesDataTable8[[#This Row],[Servicing Spread Non-Zero]]-K305</f>
        <v>0</v>
      </c>
      <c r="M306" s="16">
        <f>IF(I305&lt;&gt;0,CurrentMtgRatesDataTable8[[#This Row],[Rate]]-C305,M305)</f>
        <v>-2.4999999999999467E-2</v>
      </c>
    </row>
    <row r="307" spans="1:13">
      <c r="A307" s="8" t="s">
        <v>81</v>
      </c>
      <c r="B307" s="11">
        <v>3.1273804098375502</v>
      </c>
      <c r="C307" s="13">
        <v>3.8800000000000003</v>
      </c>
      <c r="D307" s="14">
        <f t="shared" si="24"/>
        <v>7</v>
      </c>
      <c r="E307" s="14">
        <f t="shared" si="25"/>
        <v>0.2</v>
      </c>
      <c r="F307" s="14">
        <f t="shared" si="26"/>
        <v>5</v>
      </c>
      <c r="G307" s="14">
        <f t="shared" si="27"/>
        <v>2.9993409358758183</v>
      </c>
      <c r="H307" s="14">
        <f t="shared" si="28"/>
        <v>1</v>
      </c>
      <c r="I307" s="14">
        <f t="shared" si="29"/>
        <v>2.9993409358758183</v>
      </c>
      <c r="J307" s="15">
        <f>IF(CurrentMtgRatesDataTable8[[#This Row],[WA CC]]&lt;&gt;0,C306-CurrentMtgRatesDataTable8[[#This Row],[WA CC]],0)</f>
        <v>0.88065906412418204</v>
      </c>
      <c r="K307" s="16">
        <f>IF(CurrentMtgRatesDataTable8[[#This Row],[Servicing Spread]]&lt;=0,K306,CurrentMtgRatesDataTable8[[#This Row],[Servicing Spread]])</f>
        <v>0.88065906412418204</v>
      </c>
      <c r="L307" s="16">
        <f>CurrentMtgRatesDataTable8[[#This Row],[Servicing Spread Non-Zero]]-K306</f>
        <v>-3.3504556540371322E-2</v>
      </c>
      <c r="M307" s="16">
        <f>IF(I306&lt;&gt;0,CurrentMtgRatesDataTable8[[#This Row],[Rate]]-C306,M306)</f>
        <v>-2.4999999999999467E-2</v>
      </c>
    </row>
    <row r="308" spans="1:13">
      <c r="A308" s="8" t="s">
        <v>647</v>
      </c>
      <c r="B308" s="11">
        <v>3.2731873242540099</v>
      </c>
      <c r="C308" s="13">
        <v>4.41</v>
      </c>
      <c r="D308" s="14">
        <f t="shared" si="24"/>
        <v>1</v>
      </c>
      <c r="E308" s="14">
        <f t="shared" si="25"/>
        <v>0.2</v>
      </c>
      <c r="F308" s="14">
        <f t="shared" si="26"/>
        <v>1</v>
      </c>
      <c r="G308" s="14">
        <f t="shared" si="27"/>
        <v>0.65463746485080199</v>
      </c>
      <c r="H308" s="14">
        <f t="shared" si="28"/>
        <v>0.2</v>
      </c>
      <c r="I308" s="14">
        <f t="shared" si="29"/>
        <v>0</v>
      </c>
      <c r="J308" s="15">
        <f>IF(CurrentMtgRatesDataTable8[[#This Row],[WA CC]]&lt;&gt;0,C307-CurrentMtgRatesDataTable8[[#This Row],[WA CC]],0)</f>
        <v>0</v>
      </c>
      <c r="K308" s="16">
        <f>IF(CurrentMtgRatesDataTable8[[#This Row],[Servicing Spread]]&lt;=0,K307,CurrentMtgRatesDataTable8[[#This Row],[Servicing Spread]])</f>
        <v>0.88065906412418204</v>
      </c>
      <c r="L308" s="16">
        <f>CurrentMtgRatesDataTable8[[#This Row],[Servicing Spread Non-Zero]]-K307</f>
        <v>0</v>
      </c>
      <c r="M308" s="16">
        <f>IF(I307&lt;&gt;0,CurrentMtgRatesDataTable8[[#This Row],[Rate]]-C307,M307)</f>
        <v>0.5299999999999998</v>
      </c>
    </row>
    <row r="309" spans="1:13">
      <c r="A309" s="8" t="s">
        <v>503</v>
      </c>
      <c r="B309" s="11">
        <v>3.4290560333253501</v>
      </c>
      <c r="C309" s="13">
        <v>4.41</v>
      </c>
      <c r="D309" s="14">
        <f t="shared" si="24"/>
        <v>2</v>
      </c>
      <c r="E309" s="14">
        <f t="shared" si="25"/>
        <v>0.2</v>
      </c>
      <c r="F309" s="14">
        <f t="shared" si="26"/>
        <v>2</v>
      </c>
      <c r="G309" s="14">
        <f t="shared" si="27"/>
        <v>1.3404486715158721</v>
      </c>
      <c r="H309" s="14">
        <f t="shared" si="28"/>
        <v>0.4</v>
      </c>
      <c r="I309" s="14">
        <f t="shared" si="29"/>
        <v>0</v>
      </c>
      <c r="J309" s="15">
        <f>IF(CurrentMtgRatesDataTable8[[#This Row],[WA CC]]&lt;&gt;0,C308-CurrentMtgRatesDataTable8[[#This Row],[WA CC]],0)</f>
        <v>0</v>
      </c>
      <c r="K309" s="16">
        <f>IF(CurrentMtgRatesDataTable8[[#This Row],[Servicing Spread]]&lt;=0,K308,CurrentMtgRatesDataTable8[[#This Row],[Servicing Spread]])</f>
        <v>0.88065906412418204</v>
      </c>
      <c r="L309" s="16">
        <f>CurrentMtgRatesDataTable8[[#This Row],[Servicing Spread Non-Zero]]-K308</f>
        <v>0</v>
      </c>
      <c r="M309" s="16">
        <f>IF(I308&lt;&gt;0,CurrentMtgRatesDataTable8[[#This Row],[Rate]]-C308,M308)</f>
        <v>0.5299999999999998</v>
      </c>
    </row>
    <row r="310" spans="1:13">
      <c r="A310" s="8" t="s">
        <v>364</v>
      </c>
      <c r="B310" s="11">
        <v>3.4842821250923999</v>
      </c>
      <c r="C310" s="13">
        <v>4.41</v>
      </c>
      <c r="D310" s="14">
        <f t="shared" si="24"/>
        <v>5</v>
      </c>
      <c r="E310" s="14">
        <f t="shared" si="25"/>
        <v>0.2</v>
      </c>
      <c r="F310" s="14">
        <f t="shared" si="26"/>
        <v>3</v>
      </c>
      <c r="G310" s="14">
        <f t="shared" si="27"/>
        <v>2.037305096534352</v>
      </c>
      <c r="H310" s="14">
        <f t="shared" si="28"/>
        <v>0.60000000000000009</v>
      </c>
      <c r="I310" s="14">
        <f t="shared" si="29"/>
        <v>0</v>
      </c>
      <c r="J310" s="15">
        <f>IF(CurrentMtgRatesDataTable8[[#This Row],[WA CC]]&lt;&gt;0,C309-CurrentMtgRatesDataTable8[[#This Row],[WA CC]],0)</f>
        <v>0</v>
      </c>
      <c r="K310" s="16">
        <f>IF(CurrentMtgRatesDataTable8[[#This Row],[Servicing Spread]]&lt;=0,K309,CurrentMtgRatesDataTable8[[#This Row],[Servicing Spread]])</f>
        <v>0.88065906412418204</v>
      </c>
      <c r="L310" s="16">
        <f>CurrentMtgRatesDataTable8[[#This Row],[Servicing Spread Non-Zero]]-K309</f>
        <v>0</v>
      </c>
      <c r="M310" s="16">
        <f>IF(I309&lt;&gt;0,CurrentMtgRatesDataTable8[[#This Row],[Rate]]-C309,M309)</f>
        <v>0.5299999999999998</v>
      </c>
    </row>
    <row r="311" spans="1:13">
      <c r="A311" s="8" t="s">
        <v>225</v>
      </c>
      <c r="B311" s="11">
        <v>3.4979073592115801</v>
      </c>
      <c r="C311" s="13">
        <v>4.41</v>
      </c>
      <c r="D311" s="14">
        <f t="shared" si="24"/>
        <v>6</v>
      </c>
      <c r="E311" s="14">
        <f t="shared" si="25"/>
        <v>0.2</v>
      </c>
      <c r="F311" s="14">
        <f t="shared" si="26"/>
        <v>4</v>
      </c>
      <c r="G311" s="14">
        <f t="shared" si="27"/>
        <v>2.7368865683766681</v>
      </c>
      <c r="H311" s="14">
        <f t="shared" si="28"/>
        <v>0.8</v>
      </c>
      <c r="I311" s="14">
        <f t="shared" si="29"/>
        <v>0</v>
      </c>
      <c r="J311" s="15">
        <f>IF(CurrentMtgRatesDataTable8[[#This Row],[WA CC]]&lt;&gt;0,C310-CurrentMtgRatesDataTable8[[#This Row],[WA CC]],0)</f>
        <v>0</v>
      </c>
      <c r="K311" s="16">
        <f>IF(CurrentMtgRatesDataTable8[[#This Row],[Servicing Spread]]&lt;=0,K310,CurrentMtgRatesDataTable8[[#This Row],[Servicing Spread]])</f>
        <v>0.88065906412418204</v>
      </c>
      <c r="L311" s="16">
        <f>CurrentMtgRatesDataTable8[[#This Row],[Servicing Spread Non-Zero]]-K310</f>
        <v>0</v>
      </c>
      <c r="M311" s="16">
        <f>IF(I310&lt;&gt;0,CurrentMtgRatesDataTable8[[#This Row],[Rate]]-C310,M310)</f>
        <v>0.5299999999999998</v>
      </c>
    </row>
    <row r="312" spans="1:13">
      <c r="A312" s="8" t="s">
        <v>82</v>
      </c>
      <c r="B312" s="11">
        <v>3.44274839511578</v>
      </c>
      <c r="C312" s="13">
        <v>4.41</v>
      </c>
      <c r="D312" s="14">
        <f t="shared" si="24"/>
        <v>7</v>
      </c>
      <c r="E312" s="14">
        <f t="shared" si="25"/>
        <v>0.2</v>
      </c>
      <c r="F312" s="14">
        <f t="shared" si="26"/>
        <v>5</v>
      </c>
      <c r="G312" s="14">
        <f t="shared" si="27"/>
        <v>3.4254362473998241</v>
      </c>
      <c r="H312" s="14">
        <f t="shared" si="28"/>
        <v>1</v>
      </c>
      <c r="I312" s="14">
        <f t="shared" si="29"/>
        <v>3.4254362473998241</v>
      </c>
      <c r="J312" s="15">
        <f>IF(CurrentMtgRatesDataTable8[[#This Row],[WA CC]]&lt;&gt;0,C311-CurrentMtgRatesDataTable8[[#This Row],[WA CC]],0)</f>
        <v>0.98456375260017603</v>
      </c>
      <c r="K312" s="16">
        <f>IF(CurrentMtgRatesDataTable8[[#This Row],[Servicing Spread]]&lt;=0,K311,CurrentMtgRatesDataTable8[[#This Row],[Servicing Spread]])</f>
        <v>0.98456375260017603</v>
      </c>
      <c r="L312" s="16">
        <f>CurrentMtgRatesDataTable8[[#This Row],[Servicing Spread Non-Zero]]-K311</f>
        <v>0.10390468847599399</v>
      </c>
      <c r="M312" s="16">
        <f>IF(I311&lt;&gt;0,CurrentMtgRatesDataTable8[[#This Row],[Rate]]-C311,M311)</f>
        <v>0.5299999999999998</v>
      </c>
    </row>
    <row r="313" spans="1:13">
      <c r="A313" s="8" t="s">
        <v>82</v>
      </c>
      <c r="B313" s="11">
        <v>3.44274839511578</v>
      </c>
      <c r="C313" s="13">
        <v>4.2149999999999999</v>
      </c>
      <c r="D313" s="14">
        <f t="shared" si="24"/>
        <v>7</v>
      </c>
      <c r="E313" s="14">
        <f t="shared" si="25"/>
        <v>0.2</v>
      </c>
      <c r="F313" s="14">
        <f t="shared" si="26"/>
        <v>1</v>
      </c>
      <c r="G313" s="14">
        <f t="shared" si="27"/>
        <v>0.688549679023156</v>
      </c>
      <c r="H313" s="14">
        <f t="shared" si="28"/>
        <v>0.2</v>
      </c>
      <c r="I313" s="14">
        <f t="shared" si="29"/>
        <v>0</v>
      </c>
      <c r="J313" s="15">
        <f>IF(CurrentMtgRatesDataTable8[[#This Row],[WA CC]]&lt;&gt;0,C312-CurrentMtgRatesDataTable8[[#This Row],[WA CC]],0)</f>
        <v>0</v>
      </c>
      <c r="K313" s="16">
        <f>IF(CurrentMtgRatesDataTable8[[#This Row],[Servicing Spread]]&lt;=0,K312,CurrentMtgRatesDataTable8[[#This Row],[Servicing Spread]])</f>
        <v>0.98456375260017603</v>
      </c>
      <c r="L313" s="16">
        <f>CurrentMtgRatesDataTable8[[#This Row],[Servicing Spread Non-Zero]]-K312</f>
        <v>0</v>
      </c>
      <c r="M313" s="16">
        <f>IF(I312&lt;&gt;0,CurrentMtgRatesDataTable8[[#This Row],[Rate]]-C312,M312)</f>
        <v>-0.19500000000000028</v>
      </c>
    </row>
    <row r="314" spans="1:13">
      <c r="A314" s="8" t="s">
        <v>504</v>
      </c>
      <c r="B314" s="11">
        <v>3.3206581307608101</v>
      </c>
      <c r="C314" s="13">
        <v>4.2149999999999999</v>
      </c>
      <c r="D314" s="14">
        <f t="shared" si="24"/>
        <v>1</v>
      </c>
      <c r="E314" s="14">
        <f t="shared" si="25"/>
        <v>0.2</v>
      </c>
      <c r="F314" s="14">
        <f t="shared" si="26"/>
        <v>1</v>
      </c>
      <c r="G314" s="14">
        <f t="shared" si="27"/>
        <v>0.66413162615216204</v>
      </c>
      <c r="H314" s="14">
        <f t="shared" si="28"/>
        <v>0.2</v>
      </c>
      <c r="I314" s="14">
        <f t="shared" si="29"/>
        <v>0</v>
      </c>
      <c r="J314" s="15">
        <f>IF(CurrentMtgRatesDataTable8[[#This Row],[WA CC]]&lt;&gt;0,C313-CurrentMtgRatesDataTable8[[#This Row],[WA CC]],0)</f>
        <v>0</v>
      </c>
      <c r="K314" s="16">
        <f>IF(CurrentMtgRatesDataTable8[[#This Row],[Servicing Spread]]&lt;=0,K313,CurrentMtgRatesDataTable8[[#This Row],[Servicing Spread]])</f>
        <v>0.98456375260017603</v>
      </c>
      <c r="L314" s="16">
        <f>CurrentMtgRatesDataTable8[[#This Row],[Servicing Spread Non-Zero]]-K313</f>
        <v>0</v>
      </c>
      <c r="M314" s="16">
        <f>IF(I313&lt;&gt;0,CurrentMtgRatesDataTable8[[#This Row],[Rate]]-C313,M313)</f>
        <v>-0.19500000000000028</v>
      </c>
    </row>
    <row r="315" spans="1:13">
      <c r="A315" s="8" t="s">
        <v>436</v>
      </c>
      <c r="B315" s="11">
        <v>3.3094496735702101</v>
      </c>
      <c r="C315" s="13">
        <v>4.2149999999999999</v>
      </c>
      <c r="D315" s="14">
        <f t="shared" si="24"/>
        <v>2</v>
      </c>
      <c r="E315" s="14">
        <f t="shared" si="25"/>
        <v>0.2</v>
      </c>
      <c r="F315" s="14">
        <f t="shared" si="26"/>
        <v>2</v>
      </c>
      <c r="G315" s="14">
        <f t="shared" si="27"/>
        <v>1.326021560866204</v>
      </c>
      <c r="H315" s="14">
        <f t="shared" si="28"/>
        <v>0.4</v>
      </c>
      <c r="I315" s="14">
        <f t="shared" si="29"/>
        <v>0</v>
      </c>
      <c r="J315" s="15">
        <f>IF(CurrentMtgRatesDataTable8[[#This Row],[WA CC]]&lt;&gt;0,C314-CurrentMtgRatesDataTable8[[#This Row],[WA CC]],0)</f>
        <v>0</v>
      </c>
      <c r="K315" s="16">
        <f>IF(CurrentMtgRatesDataTable8[[#This Row],[Servicing Spread]]&lt;=0,K314,CurrentMtgRatesDataTable8[[#This Row],[Servicing Spread]])</f>
        <v>0.98456375260017603</v>
      </c>
      <c r="L315" s="16">
        <f>CurrentMtgRatesDataTable8[[#This Row],[Servicing Spread Non-Zero]]-K314</f>
        <v>0</v>
      </c>
      <c r="M315" s="16">
        <f>IF(I314&lt;&gt;0,CurrentMtgRatesDataTable8[[#This Row],[Rate]]-C314,M314)</f>
        <v>-0.19500000000000028</v>
      </c>
    </row>
    <row r="316" spans="1:13">
      <c r="A316" s="8" t="s">
        <v>226</v>
      </c>
      <c r="B316" s="11">
        <v>3.2979461773808199</v>
      </c>
      <c r="C316" s="13">
        <v>4.2149999999999999</v>
      </c>
      <c r="D316" s="14">
        <f t="shared" si="24"/>
        <v>5</v>
      </c>
      <c r="E316" s="14">
        <f t="shared" si="25"/>
        <v>0.2</v>
      </c>
      <c r="F316" s="14">
        <f t="shared" si="26"/>
        <v>3</v>
      </c>
      <c r="G316" s="14">
        <f t="shared" si="27"/>
        <v>1.9856107963423679</v>
      </c>
      <c r="H316" s="14">
        <f t="shared" si="28"/>
        <v>0.60000000000000009</v>
      </c>
      <c r="I316" s="14">
        <f t="shared" si="29"/>
        <v>0</v>
      </c>
      <c r="J316" s="15">
        <f>IF(CurrentMtgRatesDataTable8[[#This Row],[WA CC]]&lt;&gt;0,C315-CurrentMtgRatesDataTable8[[#This Row],[WA CC]],0)</f>
        <v>0</v>
      </c>
      <c r="K316" s="16">
        <f>IF(CurrentMtgRatesDataTable8[[#This Row],[Servicing Spread]]&lt;=0,K315,CurrentMtgRatesDataTable8[[#This Row],[Servicing Spread]])</f>
        <v>0.98456375260017603</v>
      </c>
      <c r="L316" s="16">
        <f>CurrentMtgRatesDataTable8[[#This Row],[Servicing Spread Non-Zero]]-K315</f>
        <v>0</v>
      </c>
      <c r="M316" s="16">
        <f>IF(I315&lt;&gt;0,CurrentMtgRatesDataTable8[[#This Row],[Rate]]-C315,M315)</f>
        <v>-0.19500000000000028</v>
      </c>
    </row>
    <row r="317" spans="1:13">
      <c r="A317" s="8" t="s">
        <v>83</v>
      </c>
      <c r="B317" s="11">
        <v>3.3118182496923301</v>
      </c>
      <c r="C317" s="13">
        <v>4.2149999999999999</v>
      </c>
      <c r="D317" s="14">
        <f t="shared" si="24"/>
        <v>6</v>
      </c>
      <c r="E317" s="14">
        <f t="shared" si="25"/>
        <v>0.2</v>
      </c>
      <c r="F317" s="14">
        <f t="shared" si="26"/>
        <v>4</v>
      </c>
      <c r="G317" s="14">
        <f t="shared" si="27"/>
        <v>2.6479744462808341</v>
      </c>
      <c r="H317" s="14">
        <f t="shared" si="28"/>
        <v>0.8</v>
      </c>
      <c r="I317" s="14">
        <f t="shared" si="29"/>
        <v>3.3099680578510426</v>
      </c>
      <c r="J317" s="15">
        <f>IF(CurrentMtgRatesDataTable8[[#This Row],[WA CC]]&lt;&gt;0,C316-CurrentMtgRatesDataTable8[[#This Row],[WA CC]],0)</f>
        <v>0.90503194214895721</v>
      </c>
      <c r="K317" s="16">
        <f>IF(CurrentMtgRatesDataTable8[[#This Row],[Servicing Spread]]&lt;=0,K316,CurrentMtgRatesDataTable8[[#This Row],[Servicing Spread]])</f>
        <v>0.90503194214895721</v>
      </c>
      <c r="L317" s="16">
        <f>CurrentMtgRatesDataTable8[[#This Row],[Servicing Spread Non-Zero]]-K316</f>
        <v>-7.9531810451218821E-2</v>
      </c>
      <c r="M317" s="16">
        <f>IF(I316&lt;&gt;0,CurrentMtgRatesDataTable8[[#This Row],[Rate]]-C316,M316)</f>
        <v>-0.19500000000000028</v>
      </c>
    </row>
    <row r="318" spans="1:13">
      <c r="A318" s="8" t="s">
        <v>505</v>
      </c>
      <c r="B318" s="11">
        <v>3.6732513531495798</v>
      </c>
      <c r="C318" s="13">
        <v>4.46</v>
      </c>
      <c r="D318" s="14">
        <f t="shared" si="24"/>
        <v>2</v>
      </c>
      <c r="E318" s="14">
        <f t="shared" si="25"/>
        <v>0.2</v>
      </c>
      <c r="F318" s="14">
        <f t="shared" si="26"/>
        <v>1</v>
      </c>
      <c r="G318" s="14">
        <f t="shared" si="27"/>
        <v>0.73465027062991606</v>
      </c>
      <c r="H318" s="14">
        <f t="shared" si="28"/>
        <v>0.2</v>
      </c>
      <c r="I318" s="14">
        <f t="shared" si="29"/>
        <v>0</v>
      </c>
      <c r="J318" s="15">
        <f>IF(CurrentMtgRatesDataTable8[[#This Row],[WA CC]]&lt;&gt;0,C317-CurrentMtgRatesDataTable8[[#This Row],[WA CC]],0)</f>
        <v>0</v>
      </c>
      <c r="K318" s="16">
        <f>IF(CurrentMtgRatesDataTable8[[#This Row],[Servicing Spread]]&lt;=0,K317,CurrentMtgRatesDataTable8[[#This Row],[Servicing Spread]])</f>
        <v>0.90503194214895721</v>
      </c>
      <c r="L318" s="16">
        <f>CurrentMtgRatesDataTable8[[#This Row],[Servicing Spread Non-Zero]]-K317</f>
        <v>0</v>
      </c>
      <c r="M318" s="16">
        <f>IF(I317&lt;&gt;0,CurrentMtgRatesDataTable8[[#This Row],[Rate]]-C317,M317)</f>
        <v>0.24500000000000011</v>
      </c>
    </row>
    <row r="319" spans="1:13">
      <c r="A319" s="8" t="s">
        <v>365</v>
      </c>
      <c r="B319" s="11">
        <v>3.5446391609564598</v>
      </c>
      <c r="C319" s="13">
        <v>4.46</v>
      </c>
      <c r="D319" s="14">
        <f t="shared" si="24"/>
        <v>5</v>
      </c>
      <c r="E319" s="14">
        <f t="shared" si="25"/>
        <v>0.2</v>
      </c>
      <c r="F319" s="14">
        <f t="shared" si="26"/>
        <v>2</v>
      </c>
      <c r="G319" s="14">
        <f t="shared" si="27"/>
        <v>1.443578102821208</v>
      </c>
      <c r="H319" s="14">
        <f t="shared" si="28"/>
        <v>0.4</v>
      </c>
      <c r="I319" s="14">
        <f t="shared" si="29"/>
        <v>0</v>
      </c>
      <c r="J319" s="15">
        <f>IF(CurrentMtgRatesDataTable8[[#This Row],[WA CC]]&lt;&gt;0,C318-CurrentMtgRatesDataTable8[[#This Row],[WA CC]],0)</f>
        <v>0</v>
      </c>
      <c r="K319" s="16">
        <f>IF(CurrentMtgRatesDataTable8[[#This Row],[Servicing Spread]]&lt;=0,K318,CurrentMtgRatesDataTable8[[#This Row],[Servicing Spread]])</f>
        <v>0.90503194214895721</v>
      </c>
      <c r="L319" s="16">
        <f>CurrentMtgRatesDataTable8[[#This Row],[Servicing Spread Non-Zero]]-K318</f>
        <v>0</v>
      </c>
      <c r="M319" s="16">
        <f>IF(I318&lt;&gt;0,CurrentMtgRatesDataTable8[[#This Row],[Rate]]-C318,M318)</f>
        <v>0.24500000000000011</v>
      </c>
    </row>
    <row r="320" spans="1:13">
      <c r="A320" s="8" t="s">
        <v>227</v>
      </c>
      <c r="B320" s="11">
        <v>3.4880159980232399</v>
      </c>
      <c r="C320" s="13">
        <v>4.46</v>
      </c>
      <c r="D320" s="14">
        <f t="shared" si="24"/>
        <v>6</v>
      </c>
      <c r="E320" s="14">
        <f t="shared" si="25"/>
        <v>0.2</v>
      </c>
      <c r="F320" s="14">
        <f t="shared" si="26"/>
        <v>3</v>
      </c>
      <c r="G320" s="14">
        <f t="shared" si="27"/>
        <v>2.1411813024258559</v>
      </c>
      <c r="H320" s="14">
        <f t="shared" si="28"/>
        <v>0.60000000000000009</v>
      </c>
      <c r="I320" s="14">
        <f t="shared" si="29"/>
        <v>0</v>
      </c>
      <c r="J320" s="15">
        <f>IF(CurrentMtgRatesDataTable8[[#This Row],[WA CC]]&lt;&gt;0,C319-CurrentMtgRatesDataTable8[[#This Row],[WA CC]],0)</f>
        <v>0</v>
      </c>
      <c r="K320" s="16">
        <f>IF(CurrentMtgRatesDataTable8[[#This Row],[Servicing Spread]]&lt;=0,K319,CurrentMtgRatesDataTable8[[#This Row],[Servicing Spread]])</f>
        <v>0.90503194214895721</v>
      </c>
      <c r="L320" s="16">
        <f>CurrentMtgRatesDataTable8[[#This Row],[Servicing Spread Non-Zero]]-K319</f>
        <v>0</v>
      </c>
      <c r="M320" s="16">
        <f>IF(I319&lt;&gt;0,CurrentMtgRatesDataTable8[[#This Row],[Rate]]-C319,M319)</f>
        <v>0.24500000000000011</v>
      </c>
    </row>
    <row r="321" spans="1:13">
      <c r="A321" s="8" t="s">
        <v>84</v>
      </c>
      <c r="B321" s="11">
        <v>3.58537205832996</v>
      </c>
      <c r="C321" s="13">
        <v>4.46</v>
      </c>
      <c r="D321" s="14">
        <f t="shared" si="24"/>
        <v>7</v>
      </c>
      <c r="E321" s="14">
        <f t="shared" si="25"/>
        <v>0.2</v>
      </c>
      <c r="F321" s="14">
        <f t="shared" si="26"/>
        <v>4</v>
      </c>
      <c r="G321" s="14">
        <f t="shared" si="27"/>
        <v>2.8582557140918481</v>
      </c>
      <c r="H321" s="14">
        <f t="shared" si="28"/>
        <v>0.8</v>
      </c>
      <c r="I321" s="14">
        <f t="shared" si="29"/>
        <v>3.5728196426148098</v>
      </c>
      <c r="J321" s="15">
        <f>IF(CurrentMtgRatesDataTable8[[#This Row],[WA CC]]&lt;&gt;0,C320-CurrentMtgRatesDataTable8[[#This Row],[WA CC]],0)</f>
        <v>0.88718035738519019</v>
      </c>
      <c r="K321" s="16">
        <f>IF(CurrentMtgRatesDataTable8[[#This Row],[Servicing Spread]]&lt;=0,K320,CurrentMtgRatesDataTable8[[#This Row],[Servicing Spread]])</f>
        <v>0.88718035738519019</v>
      </c>
      <c r="L321" s="16">
        <f>CurrentMtgRatesDataTable8[[#This Row],[Servicing Spread Non-Zero]]-K320</f>
        <v>-1.7851584763767026E-2</v>
      </c>
      <c r="M321" s="16">
        <f>IF(I320&lt;&gt;0,CurrentMtgRatesDataTable8[[#This Row],[Rate]]-C320,M320)</f>
        <v>0.24500000000000011</v>
      </c>
    </row>
    <row r="322" spans="1:13">
      <c r="A322" s="8" t="s">
        <v>648</v>
      </c>
      <c r="B322" s="11">
        <v>3.4679725505405199</v>
      </c>
      <c r="C322" s="13">
        <v>4.2949999999999999</v>
      </c>
      <c r="D322" s="14">
        <f t="shared" si="24"/>
        <v>1</v>
      </c>
      <c r="E322" s="14">
        <f t="shared" si="25"/>
        <v>0.2</v>
      </c>
      <c r="F322" s="14">
        <f t="shared" si="26"/>
        <v>1</v>
      </c>
      <c r="G322" s="14">
        <f t="shared" si="27"/>
        <v>0.69359451010810402</v>
      </c>
      <c r="H322" s="14">
        <f t="shared" si="28"/>
        <v>0.2</v>
      </c>
      <c r="I322" s="14">
        <f t="shared" si="29"/>
        <v>0</v>
      </c>
      <c r="J322" s="15">
        <f>IF(CurrentMtgRatesDataTable8[[#This Row],[WA CC]]&lt;&gt;0,C321-CurrentMtgRatesDataTable8[[#This Row],[WA CC]],0)</f>
        <v>0</v>
      </c>
      <c r="K322" s="16">
        <f>IF(CurrentMtgRatesDataTable8[[#This Row],[Servicing Spread]]&lt;=0,K321,CurrentMtgRatesDataTable8[[#This Row],[Servicing Spread]])</f>
        <v>0.88718035738519019</v>
      </c>
      <c r="L322" s="16">
        <f>CurrentMtgRatesDataTable8[[#This Row],[Servicing Spread Non-Zero]]-K321</f>
        <v>0</v>
      </c>
      <c r="M322" s="16">
        <f>IF(I321&lt;&gt;0,CurrentMtgRatesDataTable8[[#This Row],[Rate]]-C321,M321)</f>
        <v>-0.16500000000000004</v>
      </c>
    </row>
    <row r="323" spans="1:13">
      <c r="A323" s="8" t="s">
        <v>506</v>
      </c>
      <c r="B323" s="11">
        <v>3.4748173662638</v>
      </c>
      <c r="C323" s="13">
        <v>4.2949999999999999</v>
      </c>
      <c r="D323" s="14">
        <f t="shared" si="24"/>
        <v>2</v>
      </c>
      <c r="E323" s="14">
        <f t="shared" si="25"/>
        <v>0.2</v>
      </c>
      <c r="F323" s="14">
        <f t="shared" si="26"/>
        <v>2</v>
      </c>
      <c r="G323" s="14">
        <f t="shared" si="27"/>
        <v>1.3885579833608641</v>
      </c>
      <c r="H323" s="14">
        <f t="shared" si="28"/>
        <v>0.4</v>
      </c>
      <c r="I323" s="14">
        <f t="shared" si="29"/>
        <v>0</v>
      </c>
      <c r="J323" s="15">
        <f>IF(CurrentMtgRatesDataTable8[[#This Row],[WA CC]]&lt;&gt;0,C322-CurrentMtgRatesDataTable8[[#This Row],[WA CC]],0)</f>
        <v>0</v>
      </c>
      <c r="K323" s="16">
        <f>IF(CurrentMtgRatesDataTable8[[#This Row],[Servicing Spread]]&lt;=0,K322,CurrentMtgRatesDataTable8[[#This Row],[Servicing Spread]])</f>
        <v>0.88718035738519019</v>
      </c>
      <c r="L323" s="16">
        <f>CurrentMtgRatesDataTable8[[#This Row],[Servicing Spread Non-Zero]]-K322</f>
        <v>0</v>
      </c>
      <c r="M323" s="16">
        <f>IF(I322&lt;&gt;0,CurrentMtgRatesDataTable8[[#This Row],[Rate]]-C322,M322)</f>
        <v>-0.16500000000000004</v>
      </c>
    </row>
    <row r="324" spans="1:13">
      <c r="A324" s="8" t="s">
        <v>366</v>
      </c>
      <c r="B324" s="11">
        <v>3.40503285889704</v>
      </c>
      <c r="C324" s="13">
        <v>4.2949999999999999</v>
      </c>
      <c r="D324" s="14">
        <f t="shared" si="24"/>
        <v>5</v>
      </c>
      <c r="E324" s="14">
        <f t="shared" si="25"/>
        <v>0.2</v>
      </c>
      <c r="F324" s="14">
        <f t="shared" si="26"/>
        <v>3</v>
      </c>
      <c r="G324" s="14">
        <f t="shared" si="27"/>
        <v>2.0695645551402722</v>
      </c>
      <c r="H324" s="14">
        <f t="shared" si="28"/>
        <v>0.60000000000000009</v>
      </c>
      <c r="I324" s="14">
        <f t="shared" si="29"/>
        <v>0</v>
      </c>
      <c r="J324" s="15">
        <f>IF(CurrentMtgRatesDataTable8[[#This Row],[WA CC]]&lt;&gt;0,C323-CurrentMtgRatesDataTable8[[#This Row],[WA CC]],0)</f>
        <v>0</v>
      </c>
      <c r="K324" s="16">
        <f>IF(CurrentMtgRatesDataTable8[[#This Row],[Servicing Spread]]&lt;=0,K323,CurrentMtgRatesDataTable8[[#This Row],[Servicing Spread]])</f>
        <v>0.88718035738519019</v>
      </c>
      <c r="L324" s="16">
        <f>CurrentMtgRatesDataTable8[[#This Row],[Servicing Spread Non-Zero]]-K323</f>
        <v>0</v>
      </c>
      <c r="M324" s="16">
        <f>IF(I323&lt;&gt;0,CurrentMtgRatesDataTable8[[#This Row],[Rate]]-C323,M323)</f>
        <v>-0.16500000000000004</v>
      </c>
    </row>
    <row r="325" spans="1:13">
      <c r="A325" s="8" t="s">
        <v>228</v>
      </c>
      <c r="B325" s="11">
        <v>3.3914708524147601</v>
      </c>
      <c r="C325" s="13">
        <v>4.2949999999999999</v>
      </c>
      <c r="D325" s="14">
        <f t="shared" ref="D325:D388" si="30">WEEKDAY(A325,14)</f>
        <v>6</v>
      </c>
      <c r="E325" s="14">
        <f t="shared" ref="E325:E388" si="31">VLOOKUP(D325,P$5:Q$11,2,FALSE)</f>
        <v>0.2</v>
      </c>
      <c r="F325" s="14">
        <f t="shared" ref="F325:F388" si="32">IF(AND(D325&gt;D324,F324&lt;6),F324+1,1)</f>
        <v>4</v>
      </c>
      <c r="G325" s="14">
        <f t="shared" ref="G325:G388" si="33">IF(F325&gt;F324,G324+B325*E325,B325*E325)</f>
        <v>2.7478587256232241</v>
      </c>
      <c r="H325" s="14">
        <f t="shared" ref="H325:H388" si="34">IF(AND(F325&lt;6,F325&gt;F324),E325+H324,E325)</f>
        <v>0.8</v>
      </c>
      <c r="I325" s="14">
        <f t="shared" ref="I325:I388" si="35">IF(F325&gt;F326,G325/H325,0)</f>
        <v>0</v>
      </c>
      <c r="J325" s="15">
        <f>IF(CurrentMtgRatesDataTable8[[#This Row],[WA CC]]&lt;&gt;0,C324-CurrentMtgRatesDataTable8[[#This Row],[WA CC]],0)</f>
        <v>0</v>
      </c>
      <c r="K325" s="16">
        <f>IF(CurrentMtgRatesDataTable8[[#This Row],[Servicing Spread]]&lt;=0,K324,CurrentMtgRatesDataTable8[[#This Row],[Servicing Spread]])</f>
        <v>0.88718035738519019</v>
      </c>
      <c r="L325" s="16">
        <f>CurrentMtgRatesDataTable8[[#This Row],[Servicing Spread Non-Zero]]-K324</f>
        <v>0</v>
      </c>
      <c r="M325" s="16">
        <f>IF(I324&lt;&gt;0,CurrentMtgRatesDataTable8[[#This Row],[Rate]]-C324,M324)</f>
        <v>-0.16500000000000004</v>
      </c>
    </row>
    <row r="326" spans="1:13">
      <c r="A326" s="8" t="s">
        <v>85</v>
      </c>
      <c r="B326" s="11">
        <v>3.34386583598301</v>
      </c>
      <c r="C326" s="13">
        <v>4.2949999999999999</v>
      </c>
      <c r="D326" s="14">
        <f t="shared" si="30"/>
        <v>7</v>
      </c>
      <c r="E326" s="14">
        <f t="shared" si="31"/>
        <v>0.2</v>
      </c>
      <c r="F326" s="14">
        <f t="shared" si="32"/>
        <v>5</v>
      </c>
      <c r="G326" s="14">
        <f t="shared" si="33"/>
        <v>3.4166318928198263</v>
      </c>
      <c r="H326" s="14">
        <f t="shared" si="34"/>
        <v>1</v>
      </c>
      <c r="I326" s="14">
        <f t="shared" si="35"/>
        <v>3.4166318928198263</v>
      </c>
      <c r="J326" s="15">
        <f>IF(CurrentMtgRatesDataTable8[[#This Row],[WA CC]]&lt;&gt;0,C325-CurrentMtgRatesDataTable8[[#This Row],[WA CC]],0)</f>
        <v>0.87836810718017366</v>
      </c>
      <c r="K326" s="16">
        <f>IF(CurrentMtgRatesDataTable8[[#This Row],[Servicing Spread]]&lt;=0,K325,CurrentMtgRatesDataTable8[[#This Row],[Servicing Spread]])</f>
        <v>0.87836810718017366</v>
      </c>
      <c r="L326" s="16">
        <f>CurrentMtgRatesDataTable8[[#This Row],[Servicing Spread Non-Zero]]-K325</f>
        <v>-8.8122502050165252E-3</v>
      </c>
      <c r="M326" s="16">
        <f>IF(I325&lt;&gt;0,CurrentMtgRatesDataTable8[[#This Row],[Rate]]-C325,M325)</f>
        <v>-0.16500000000000004</v>
      </c>
    </row>
    <row r="327" spans="1:13">
      <c r="A327" s="8" t="s">
        <v>649</v>
      </c>
      <c r="B327" s="11">
        <v>3.38884755763491</v>
      </c>
      <c r="C327" s="13">
        <v>4.26</v>
      </c>
      <c r="D327" s="14">
        <f t="shared" si="30"/>
        <v>1</v>
      </c>
      <c r="E327" s="14">
        <f t="shared" si="31"/>
        <v>0.2</v>
      </c>
      <c r="F327" s="14">
        <f t="shared" si="32"/>
        <v>1</v>
      </c>
      <c r="G327" s="14">
        <f t="shared" si="33"/>
        <v>0.67776951152698206</v>
      </c>
      <c r="H327" s="14">
        <f t="shared" si="34"/>
        <v>0.2</v>
      </c>
      <c r="I327" s="14">
        <f t="shared" si="35"/>
        <v>0</v>
      </c>
      <c r="J327" s="15">
        <f>IF(CurrentMtgRatesDataTable8[[#This Row],[WA CC]]&lt;&gt;0,C326-CurrentMtgRatesDataTable8[[#This Row],[WA CC]],0)</f>
        <v>0</v>
      </c>
      <c r="K327" s="16">
        <f>IF(CurrentMtgRatesDataTable8[[#This Row],[Servicing Spread]]&lt;=0,K326,CurrentMtgRatesDataTable8[[#This Row],[Servicing Spread]])</f>
        <v>0.87836810718017366</v>
      </c>
      <c r="L327" s="16">
        <f>CurrentMtgRatesDataTable8[[#This Row],[Servicing Spread Non-Zero]]-K326</f>
        <v>0</v>
      </c>
      <c r="M327" s="16">
        <f>IF(I326&lt;&gt;0,CurrentMtgRatesDataTable8[[#This Row],[Rate]]-C326,M326)</f>
        <v>-3.5000000000000142E-2</v>
      </c>
    </row>
    <row r="328" spans="1:13">
      <c r="A328" s="8" t="s">
        <v>507</v>
      </c>
      <c r="B328" s="11">
        <v>3.3313912756576198</v>
      </c>
      <c r="C328" s="13">
        <v>4.26</v>
      </c>
      <c r="D328" s="14">
        <f t="shared" si="30"/>
        <v>2</v>
      </c>
      <c r="E328" s="14">
        <f t="shared" si="31"/>
        <v>0.2</v>
      </c>
      <c r="F328" s="14">
        <f t="shared" si="32"/>
        <v>2</v>
      </c>
      <c r="G328" s="14">
        <f t="shared" si="33"/>
        <v>1.3440477666585062</v>
      </c>
      <c r="H328" s="14">
        <f t="shared" si="34"/>
        <v>0.4</v>
      </c>
      <c r="I328" s="14">
        <f t="shared" si="35"/>
        <v>0</v>
      </c>
      <c r="J328" s="15">
        <f>IF(CurrentMtgRatesDataTable8[[#This Row],[WA CC]]&lt;&gt;0,C327-CurrentMtgRatesDataTable8[[#This Row],[WA CC]],0)</f>
        <v>0</v>
      </c>
      <c r="K328" s="16">
        <f>IF(CurrentMtgRatesDataTable8[[#This Row],[Servicing Spread]]&lt;=0,K327,CurrentMtgRatesDataTable8[[#This Row],[Servicing Spread]])</f>
        <v>0.87836810718017366</v>
      </c>
      <c r="L328" s="16">
        <f>CurrentMtgRatesDataTable8[[#This Row],[Servicing Spread Non-Zero]]-K327</f>
        <v>0</v>
      </c>
      <c r="M328" s="16">
        <f>IF(I327&lt;&gt;0,CurrentMtgRatesDataTable8[[#This Row],[Rate]]-C327,M327)</f>
        <v>-3.5000000000000142E-2</v>
      </c>
    </row>
    <row r="329" spans="1:13">
      <c r="A329" s="8" t="s">
        <v>367</v>
      </c>
      <c r="B329" s="11">
        <v>3.3220828709767098</v>
      </c>
      <c r="C329" s="13">
        <v>4.26</v>
      </c>
      <c r="D329" s="14">
        <f t="shared" si="30"/>
        <v>5</v>
      </c>
      <c r="E329" s="14">
        <f t="shared" si="31"/>
        <v>0.2</v>
      </c>
      <c r="F329" s="14">
        <f t="shared" si="32"/>
        <v>3</v>
      </c>
      <c r="G329" s="14">
        <f t="shared" si="33"/>
        <v>2.0084643408538483</v>
      </c>
      <c r="H329" s="14">
        <f t="shared" si="34"/>
        <v>0.60000000000000009</v>
      </c>
      <c r="I329" s="14">
        <f t="shared" si="35"/>
        <v>0</v>
      </c>
      <c r="J329" s="15">
        <f>IF(CurrentMtgRatesDataTable8[[#This Row],[WA CC]]&lt;&gt;0,C328-CurrentMtgRatesDataTable8[[#This Row],[WA CC]],0)</f>
        <v>0</v>
      </c>
      <c r="K329" s="16">
        <f>IF(CurrentMtgRatesDataTable8[[#This Row],[Servicing Spread]]&lt;=0,K328,CurrentMtgRatesDataTable8[[#This Row],[Servicing Spread]])</f>
        <v>0.87836810718017366</v>
      </c>
      <c r="L329" s="16">
        <f>CurrentMtgRatesDataTable8[[#This Row],[Servicing Spread Non-Zero]]-K328</f>
        <v>0</v>
      </c>
      <c r="M329" s="16">
        <f>IF(I328&lt;&gt;0,CurrentMtgRatesDataTable8[[#This Row],[Rate]]-C328,M328)</f>
        <v>-3.5000000000000142E-2</v>
      </c>
    </row>
    <row r="330" spans="1:13">
      <c r="A330" s="8" t="s">
        <v>229</v>
      </c>
      <c r="B330" s="11">
        <v>3.3639050543487601</v>
      </c>
      <c r="C330" s="13">
        <v>4.26</v>
      </c>
      <c r="D330" s="14">
        <f t="shared" si="30"/>
        <v>6</v>
      </c>
      <c r="E330" s="14">
        <f t="shared" si="31"/>
        <v>0.2</v>
      </c>
      <c r="F330" s="14">
        <f t="shared" si="32"/>
        <v>4</v>
      </c>
      <c r="G330" s="14">
        <f t="shared" si="33"/>
        <v>2.6812453517236001</v>
      </c>
      <c r="H330" s="14">
        <f t="shared" si="34"/>
        <v>0.8</v>
      </c>
      <c r="I330" s="14">
        <f t="shared" si="35"/>
        <v>0</v>
      </c>
      <c r="J330" s="15">
        <f>IF(CurrentMtgRatesDataTable8[[#This Row],[WA CC]]&lt;&gt;0,C329-CurrentMtgRatesDataTable8[[#This Row],[WA CC]],0)</f>
        <v>0</v>
      </c>
      <c r="K330" s="16">
        <f>IF(CurrentMtgRatesDataTable8[[#This Row],[Servicing Spread]]&lt;=0,K329,CurrentMtgRatesDataTable8[[#This Row],[Servicing Spread]])</f>
        <v>0.87836810718017366</v>
      </c>
      <c r="L330" s="16">
        <f>CurrentMtgRatesDataTable8[[#This Row],[Servicing Spread Non-Zero]]-K329</f>
        <v>0</v>
      </c>
      <c r="M330" s="16">
        <f>IF(I329&lt;&gt;0,CurrentMtgRatesDataTable8[[#This Row],[Rate]]-C329,M329)</f>
        <v>-3.5000000000000142E-2</v>
      </c>
    </row>
    <row r="331" spans="1:13">
      <c r="A331" s="8" t="s">
        <v>86</v>
      </c>
      <c r="B331" s="11">
        <v>3.4296755954575699</v>
      </c>
      <c r="C331" s="13">
        <v>4.26</v>
      </c>
      <c r="D331" s="14">
        <f t="shared" si="30"/>
        <v>7</v>
      </c>
      <c r="E331" s="14">
        <f t="shared" si="31"/>
        <v>0.2</v>
      </c>
      <c r="F331" s="14">
        <f t="shared" si="32"/>
        <v>5</v>
      </c>
      <c r="G331" s="14">
        <f t="shared" si="33"/>
        <v>3.3671804708151143</v>
      </c>
      <c r="H331" s="14">
        <f t="shared" si="34"/>
        <v>1</v>
      </c>
      <c r="I331" s="14">
        <f t="shared" si="35"/>
        <v>3.3671804708151143</v>
      </c>
      <c r="J331" s="15">
        <f>IF(CurrentMtgRatesDataTable8[[#This Row],[WA CC]]&lt;&gt;0,C330-CurrentMtgRatesDataTable8[[#This Row],[WA CC]],0)</f>
        <v>0.8928195291848855</v>
      </c>
      <c r="K331" s="16">
        <f>IF(CurrentMtgRatesDataTable8[[#This Row],[Servicing Spread]]&lt;=0,K330,CurrentMtgRatesDataTable8[[#This Row],[Servicing Spread]])</f>
        <v>0.8928195291848855</v>
      </c>
      <c r="L331" s="16">
        <f>CurrentMtgRatesDataTable8[[#This Row],[Servicing Spread Non-Zero]]-K330</f>
        <v>1.4451422004711834E-2</v>
      </c>
      <c r="M331" s="16">
        <f>IF(I330&lt;&gt;0,CurrentMtgRatesDataTable8[[#This Row],[Rate]]-C330,M330)</f>
        <v>-3.5000000000000142E-2</v>
      </c>
    </row>
    <row r="332" spans="1:13">
      <c r="A332" s="8" t="s">
        <v>650</v>
      </c>
      <c r="B332" s="11">
        <v>3.4407863915877401</v>
      </c>
      <c r="C332" s="13">
        <v>4.3149999999999995</v>
      </c>
      <c r="D332" s="14">
        <f t="shared" si="30"/>
        <v>1</v>
      </c>
      <c r="E332" s="14">
        <f t="shared" si="31"/>
        <v>0.2</v>
      </c>
      <c r="F332" s="14">
        <f t="shared" si="32"/>
        <v>1</v>
      </c>
      <c r="G332" s="14">
        <f t="shared" si="33"/>
        <v>0.68815727831754803</v>
      </c>
      <c r="H332" s="14">
        <f t="shared" si="34"/>
        <v>0.2</v>
      </c>
      <c r="I332" s="14">
        <f t="shared" si="35"/>
        <v>0</v>
      </c>
      <c r="J332" s="15">
        <f>IF(CurrentMtgRatesDataTable8[[#This Row],[WA CC]]&lt;&gt;0,C331-CurrentMtgRatesDataTable8[[#This Row],[WA CC]],0)</f>
        <v>0</v>
      </c>
      <c r="K332" s="16">
        <f>IF(CurrentMtgRatesDataTable8[[#This Row],[Servicing Spread]]&lt;=0,K331,CurrentMtgRatesDataTable8[[#This Row],[Servicing Spread]])</f>
        <v>0.8928195291848855</v>
      </c>
      <c r="L332" s="16">
        <f>CurrentMtgRatesDataTable8[[#This Row],[Servicing Spread Non-Zero]]-K331</f>
        <v>0</v>
      </c>
      <c r="M332" s="16">
        <f>IF(I331&lt;&gt;0,CurrentMtgRatesDataTable8[[#This Row],[Rate]]-C331,M331)</f>
        <v>5.4999999999999716E-2</v>
      </c>
    </row>
    <row r="333" spans="1:13">
      <c r="A333" s="8" t="s">
        <v>508</v>
      </c>
      <c r="B333" s="11">
        <v>3.3953206082541598</v>
      </c>
      <c r="C333" s="13">
        <v>4.3149999999999995</v>
      </c>
      <c r="D333" s="14">
        <f t="shared" si="30"/>
        <v>2</v>
      </c>
      <c r="E333" s="14">
        <f t="shared" si="31"/>
        <v>0.2</v>
      </c>
      <c r="F333" s="14">
        <f t="shared" si="32"/>
        <v>2</v>
      </c>
      <c r="G333" s="14">
        <f t="shared" si="33"/>
        <v>1.36722139996838</v>
      </c>
      <c r="H333" s="14">
        <f t="shared" si="34"/>
        <v>0.4</v>
      </c>
      <c r="I333" s="14">
        <f t="shared" si="35"/>
        <v>0</v>
      </c>
      <c r="J333" s="15">
        <f>IF(CurrentMtgRatesDataTable8[[#This Row],[WA CC]]&lt;&gt;0,C332-CurrentMtgRatesDataTable8[[#This Row],[WA CC]],0)</f>
        <v>0</v>
      </c>
      <c r="K333" s="16">
        <f>IF(CurrentMtgRatesDataTable8[[#This Row],[Servicing Spread]]&lt;=0,K332,CurrentMtgRatesDataTable8[[#This Row],[Servicing Spread]])</f>
        <v>0.8928195291848855</v>
      </c>
      <c r="L333" s="16">
        <f>CurrentMtgRatesDataTable8[[#This Row],[Servicing Spread Non-Zero]]-K332</f>
        <v>0</v>
      </c>
      <c r="M333" s="16">
        <f>IF(I332&lt;&gt;0,CurrentMtgRatesDataTable8[[#This Row],[Rate]]-C332,M332)</f>
        <v>5.4999999999999716E-2</v>
      </c>
    </row>
    <row r="334" spans="1:13">
      <c r="A334" s="8" t="s">
        <v>368</v>
      </c>
      <c r="B334" s="11">
        <v>3.4061464314062202</v>
      </c>
      <c r="C334" s="13">
        <v>4.3149999999999995</v>
      </c>
      <c r="D334" s="14">
        <f t="shared" si="30"/>
        <v>5</v>
      </c>
      <c r="E334" s="14">
        <f t="shared" si="31"/>
        <v>0.2</v>
      </c>
      <c r="F334" s="14">
        <f t="shared" si="32"/>
        <v>3</v>
      </c>
      <c r="G334" s="14">
        <f t="shared" si="33"/>
        <v>2.0484506862496241</v>
      </c>
      <c r="H334" s="14">
        <f t="shared" si="34"/>
        <v>0.60000000000000009</v>
      </c>
      <c r="I334" s="14">
        <f t="shared" si="35"/>
        <v>0</v>
      </c>
      <c r="J334" s="15">
        <f>IF(CurrentMtgRatesDataTable8[[#This Row],[WA CC]]&lt;&gt;0,C333-CurrentMtgRatesDataTable8[[#This Row],[WA CC]],0)</f>
        <v>0</v>
      </c>
      <c r="K334" s="16">
        <f>IF(CurrentMtgRatesDataTable8[[#This Row],[Servicing Spread]]&lt;=0,K333,CurrentMtgRatesDataTable8[[#This Row],[Servicing Spread]])</f>
        <v>0.8928195291848855</v>
      </c>
      <c r="L334" s="16">
        <f>CurrentMtgRatesDataTable8[[#This Row],[Servicing Spread Non-Zero]]-K333</f>
        <v>0</v>
      </c>
      <c r="M334" s="16">
        <f>IF(I333&lt;&gt;0,CurrentMtgRatesDataTable8[[#This Row],[Rate]]-C333,M333)</f>
        <v>5.4999999999999716E-2</v>
      </c>
    </row>
    <row r="335" spans="1:13">
      <c r="A335" s="8" t="s">
        <v>230</v>
      </c>
      <c r="B335" s="11">
        <v>3.4285967572115399</v>
      </c>
      <c r="C335" s="13">
        <v>4.3149999999999995</v>
      </c>
      <c r="D335" s="14">
        <f t="shared" si="30"/>
        <v>6</v>
      </c>
      <c r="E335" s="14">
        <f t="shared" si="31"/>
        <v>0.2</v>
      </c>
      <c r="F335" s="14">
        <f t="shared" si="32"/>
        <v>4</v>
      </c>
      <c r="G335" s="14">
        <f t="shared" si="33"/>
        <v>2.734170037691932</v>
      </c>
      <c r="H335" s="14">
        <f t="shared" si="34"/>
        <v>0.8</v>
      </c>
      <c r="I335" s="14">
        <f t="shared" si="35"/>
        <v>0</v>
      </c>
      <c r="J335" s="15">
        <f>IF(CurrentMtgRatesDataTable8[[#This Row],[WA CC]]&lt;&gt;0,C334-CurrentMtgRatesDataTable8[[#This Row],[WA CC]],0)</f>
        <v>0</v>
      </c>
      <c r="K335" s="16">
        <f>IF(CurrentMtgRatesDataTable8[[#This Row],[Servicing Spread]]&lt;=0,K334,CurrentMtgRatesDataTable8[[#This Row],[Servicing Spread]])</f>
        <v>0.8928195291848855</v>
      </c>
      <c r="L335" s="16">
        <f>CurrentMtgRatesDataTable8[[#This Row],[Servicing Spread Non-Zero]]-K334</f>
        <v>0</v>
      </c>
      <c r="M335" s="16">
        <f>IF(I334&lt;&gt;0,CurrentMtgRatesDataTable8[[#This Row],[Rate]]-C334,M334)</f>
        <v>5.4999999999999716E-2</v>
      </c>
    </row>
    <row r="336" spans="1:13">
      <c r="A336" s="8" t="s">
        <v>87</v>
      </c>
      <c r="B336" s="11">
        <v>3.4095392657433901</v>
      </c>
      <c r="C336" s="13">
        <v>4.3149999999999995</v>
      </c>
      <c r="D336" s="14">
        <f t="shared" si="30"/>
        <v>7</v>
      </c>
      <c r="E336" s="14">
        <f t="shared" si="31"/>
        <v>0.2</v>
      </c>
      <c r="F336" s="14">
        <f t="shared" si="32"/>
        <v>5</v>
      </c>
      <c r="G336" s="14">
        <f t="shared" si="33"/>
        <v>3.4160778908406102</v>
      </c>
      <c r="H336" s="14">
        <f t="shared" si="34"/>
        <v>1</v>
      </c>
      <c r="I336" s="14">
        <f t="shared" si="35"/>
        <v>3.4160778908406102</v>
      </c>
      <c r="J336" s="15">
        <f>IF(CurrentMtgRatesDataTable8[[#This Row],[WA CC]]&lt;&gt;0,C335-CurrentMtgRatesDataTable8[[#This Row],[WA CC]],0)</f>
        <v>0.8989221091593893</v>
      </c>
      <c r="K336" s="16">
        <f>IF(CurrentMtgRatesDataTable8[[#This Row],[Servicing Spread]]&lt;=0,K335,CurrentMtgRatesDataTable8[[#This Row],[Servicing Spread]])</f>
        <v>0.8989221091593893</v>
      </c>
      <c r="L336" s="16">
        <f>CurrentMtgRatesDataTable8[[#This Row],[Servicing Spread Non-Zero]]-K335</f>
        <v>6.1025799745038078E-3</v>
      </c>
      <c r="M336" s="16">
        <f>IF(I335&lt;&gt;0,CurrentMtgRatesDataTable8[[#This Row],[Rate]]-C335,M335)</f>
        <v>5.4999999999999716E-2</v>
      </c>
    </row>
    <row r="337" spans="1:13">
      <c r="A337" s="8" t="s">
        <v>651</v>
      </c>
      <c r="B337" s="11">
        <v>3.5328707550914098</v>
      </c>
      <c r="C337" s="13">
        <v>4.3250000000000002</v>
      </c>
      <c r="D337" s="14">
        <f t="shared" si="30"/>
        <v>1</v>
      </c>
      <c r="E337" s="14">
        <f t="shared" si="31"/>
        <v>0.2</v>
      </c>
      <c r="F337" s="14">
        <f t="shared" si="32"/>
        <v>1</v>
      </c>
      <c r="G337" s="14">
        <f t="shared" si="33"/>
        <v>0.70657415101828203</v>
      </c>
      <c r="H337" s="14">
        <f t="shared" si="34"/>
        <v>0.2</v>
      </c>
      <c r="I337" s="14">
        <f t="shared" si="35"/>
        <v>0</v>
      </c>
      <c r="J337" s="15">
        <f>IF(CurrentMtgRatesDataTable8[[#This Row],[WA CC]]&lt;&gt;0,C336-CurrentMtgRatesDataTable8[[#This Row],[WA CC]],0)</f>
        <v>0</v>
      </c>
      <c r="K337" s="16">
        <f>IF(CurrentMtgRatesDataTable8[[#This Row],[Servicing Spread]]&lt;=0,K336,CurrentMtgRatesDataTable8[[#This Row],[Servicing Spread]])</f>
        <v>0.8989221091593893</v>
      </c>
      <c r="L337" s="16">
        <f>CurrentMtgRatesDataTable8[[#This Row],[Servicing Spread Non-Zero]]-K336</f>
        <v>0</v>
      </c>
      <c r="M337" s="16">
        <f>IF(I336&lt;&gt;0,CurrentMtgRatesDataTable8[[#This Row],[Rate]]-C336,M336)</f>
        <v>1.0000000000000675E-2</v>
      </c>
    </row>
    <row r="338" spans="1:13">
      <c r="A338" s="8" t="s">
        <v>509</v>
      </c>
      <c r="B338" s="11">
        <v>3.4035662511479701</v>
      </c>
      <c r="C338" s="13">
        <v>4.3250000000000002</v>
      </c>
      <c r="D338" s="14">
        <f t="shared" si="30"/>
        <v>2</v>
      </c>
      <c r="E338" s="14">
        <f t="shared" si="31"/>
        <v>0.2</v>
      </c>
      <c r="F338" s="14">
        <f t="shared" si="32"/>
        <v>2</v>
      </c>
      <c r="G338" s="14">
        <f t="shared" si="33"/>
        <v>1.387287401247876</v>
      </c>
      <c r="H338" s="14">
        <f t="shared" si="34"/>
        <v>0.4</v>
      </c>
      <c r="I338" s="14">
        <f t="shared" si="35"/>
        <v>0</v>
      </c>
      <c r="J338" s="15">
        <f>IF(CurrentMtgRatesDataTable8[[#This Row],[WA CC]]&lt;&gt;0,C337-CurrentMtgRatesDataTable8[[#This Row],[WA CC]],0)</f>
        <v>0</v>
      </c>
      <c r="K338" s="16">
        <f>IF(CurrentMtgRatesDataTable8[[#This Row],[Servicing Spread]]&lt;=0,K337,CurrentMtgRatesDataTable8[[#This Row],[Servicing Spread]])</f>
        <v>0.8989221091593893</v>
      </c>
      <c r="L338" s="16">
        <f>CurrentMtgRatesDataTable8[[#This Row],[Servicing Spread Non-Zero]]-K337</f>
        <v>0</v>
      </c>
      <c r="M338" s="16">
        <f>IF(I337&lt;&gt;0,CurrentMtgRatesDataTable8[[#This Row],[Rate]]-C337,M337)</f>
        <v>1.0000000000000675E-2</v>
      </c>
    </row>
    <row r="339" spans="1:13">
      <c r="A339" s="8" t="s">
        <v>369</v>
      </c>
      <c r="B339" s="11">
        <v>3.4178117990662802</v>
      </c>
      <c r="C339" s="13">
        <v>4.3250000000000002</v>
      </c>
      <c r="D339" s="14">
        <f t="shared" si="30"/>
        <v>5</v>
      </c>
      <c r="E339" s="14">
        <f t="shared" si="31"/>
        <v>0.2</v>
      </c>
      <c r="F339" s="14">
        <f t="shared" si="32"/>
        <v>3</v>
      </c>
      <c r="G339" s="14">
        <f t="shared" si="33"/>
        <v>2.0708497610611323</v>
      </c>
      <c r="H339" s="14">
        <f t="shared" si="34"/>
        <v>0.60000000000000009</v>
      </c>
      <c r="I339" s="14">
        <f t="shared" si="35"/>
        <v>0</v>
      </c>
      <c r="J339" s="15">
        <f>IF(CurrentMtgRatesDataTable8[[#This Row],[WA CC]]&lt;&gt;0,C338-CurrentMtgRatesDataTable8[[#This Row],[WA CC]],0)</f>
        <v>0</v>
      </c>
      <c r="K339" s="16">
        <f>IF(CurrentMtgRatesDataTable8[[#This Row],[Servicing Spread]]&lt;=0,K338,CurrentMtgRatesDataTable8[[#This Row],[Servicing Spread]])</f>
        <v>0.8989221091593893</v>
      </c>
      <c r="L339" s="16">
        <f>CurrentMtgRatesDataTable8[[#This Row],[Servicing Spread Non-Zero]]-K338</f>
        <v>0</v>
      </c>
      <c r="M339" s="16">
        <f>IF(I338&lt;&gt;0,CurrentMtgRatesDataTable8[[#This Row],[Rate]]-C338,M338)</f>
        <v>1.0000000000000675E-2</v>
      </c>
    </row>
    <row r="340" spans="1:13">
      <c r="A340" s="8" t="s">
        <v>231</v>
      </c>
      <c r="B340" s="11">
        <v>3.44308693748463</v>
      </c>
      <c r="C340" s="13">
        <v>4.3250000000000002</v>
      </c>
      <c r="D340" s="14">
        <f t="shared" si="30"/>
        <v>6</v>
      </c>
      <c r="E340" s="14">
        <f t="shared" si="31"/>
        <v>0.2</v>
      </c>
      <c r="F340" s="14">
        <f t="shared" si="32"/>
        <v>4</v>
      </c>
      <c r="G340" s="14">
        <f t="shared" si="33"/>
        <v>2.7594671485580582</v>
      </c>
      <c r="H340" s="14">
        <f t="shared" si="34"/>
        <v>0.8</v>
      </c>
      <c r="I340" s="14">
        <f t="shared" si="35"/>
        <v>0</v>
      </c>
      <c r="J340" s="15">
        <f>IF(CurrentMtgRatesDataTable8[[#This Row],[WA CC]]&lt;&gt;0,C339-CurrentMtgRatesDataTable8[[#This Row],[WA CC]],0)</f>
        <v>0</v>
      </c>
      <c r="K340" s="16">
        <f>IF(CurrentMtgRatesDataTable8[[#This Row],[Servicing Spread]]&lt;=0,K339,CurrentMtgRatesDataTable8[[#This Row],[Servicing Spread]])</f>
        <v>0.8989221091593893</v>
      </c>
      <c r="L340" s="16">
        <f>CurrentMtgRatesDataTable8[[#This Row],[Servicing Spread Non-Zero]]-K339</f>
        <v>0</v>
      </c>
      <c r="M340" s="16">
        <f>IF(I339&lt;&gt;0,CurrentMtgRatesDataTable8[[#This Row],[Rate]]-C339,M339)</f>
        <v>1.0000000000000675E-2</v>
      </c>
    </row>
    <row r="341" spans="1:13">
      <c r="A341" s="8" t="s">
        <v>88</v>
      </c>
      <c r="B341" s="11">
        <v>3.40952934683791</v>
      </c>
      <c r="C341" s="13">
        <v>4.3250000000000002</v>
      </c>
      <c r="D341" s="14">
        <f t="shared" si="30"/>
        <v>7</v>
      </c>
      <c r="E341" s="14">
        <f t="shared" si="31"/>
        <v>0.2</v>
      </c>
      <c r="F341" s="14">
        <f t="shared" si="32"/>
        <v>5</v>
      </c>
      <c r="G341" s="14">
        <f t="shared" si="33"/>
        <v>3.4413730179256401</v>
      </c>
      <c r="H341" s="14">
        <f t="shared" si="34"/>
        <v>1</v>
      </c>
      <c r="I341" s="14">
        <f t="shared" si="35"/>
        <v>3.4413730179256401</v>
      </c>
      <c r="J341" s="15">
        <f>IF(CurrentMtgRatesDataTable8[[#This Row],[WA CC]]&lt;&gt;0,C340-CurrentMtgRatesDataTable8[[#This Row],[WA CC]],0)</f>
        <v>0.88362698207436008</v>
      </c>
      <c r="K341" s="16">
        <f>IF(CurrentMtgRatesDataTable8[[#This Row],[Servicing Spread]]&lt;=0,K340,CurrentMtgRatesDataTable8[[#This Row],[Servicing Spread]])</f>
        <v>0.88362698207436008</v>
      </c>
      <c r="L341" s="16">
        <f>CurrentMtgRatesDataTable8[[#This Row],[Servicing Spread Non-Zero]]-K340</f>
        <v>-1.5295127085029225E-2</v>
      </c>
      <c r="M341" s="16">
        <f>IF(I340&lt;&gt;0,CurrentMtgRatesDataTable8[[#This Row],[Rate]]-C340,M340)</f>
        <v>1.0000000000000675E-2</v>
      </c>
    </row>
    <row r="342" spans="1:13">
      <c r="A342" s="8" t="s">
        <v>652</v>
      </c>
      <c r="B342" s="11">
        <v>3.3814879030485301</v>
      </c>
      <c r="C342" s="13">
        <v>4.3250000000000002</v>
      </c>
      <c r="D342" s="14">
        <f t="shared" si="30"/>
        <v>1</v>
      </c>
      <c r="E342" s="14">
        <f t="shared" si="31"/>
        <v>0.2</v>
      </c>
      <c r="F342" s="14">
        <f t="shared" si="32"/>
        <v>1</v>
      </c>
      <c r="G342" s="14">
        <f t="shared" si="33"/>
        <v>0.67629758060970602</v>
      </c>
      <c r="H342" s="14">
        <f t="shared" si="34"/>
        <v>0.2</v>
      </c>
      <c r="I342" s="14">
        <f t="shared" si="35"/>
        <v>0</v>
      </c>
      <c r="J342" s="15">
        <f>IF(CurrentMtgRatesDataTable8[[#This Row],[WA CC]]&lt;&gt;0,C341-CurrentMtgRatesDataTable8[[#This Row],[WA CC]],0)</f>
        <v>0</v>
      </c>
      <c r="K342" s="16">
        <f>IF(CurrentMtgRatesDataTable8[[#This Row],[Servicing Spread]]&lt;=0,K341,CurrentMtgRatesDataTable8[[#This Row],[Servicing Spread]])</f>
        <v>0.88362698207436008</v>
      </c>
      <c r="L342" s="16">
        <f>CurrentMtgRatesDataTable8[[#This Row],[Servicing Spread Non-Zero]]-K341</f>
        <v>0</v>
      </c>
      <c r="M342" s="16">
        <f>IF(I341&lt;&gt;0,CurrentMtgRatesDataTable8[[#This Row],[Rate]]-C341,M341)</f>
        <v>0</v>
      </c>
    </row>
    <row r="343" spans="1:13">
      <c r="A343" s="8" t="s">
        <v>510</v>
      </c>
      <c r="B343" s="11">
        <v>3.3639509131930398</v>
      </c>
      <c r="C343" s="13">
        <v>4.3250000000000002</v>
      </c>
      <c r="D343" s="14">
        <f t="shared" si="30"/>
        <v>2</v>
      </c>
      <c r="E343" s="14">
        <f t="shared" si="31"/>
        <v>0.2</v>
      </c>
      <c r="F343" s="14">
        <f t="shared" si="32"/>
        <v>2</v>
      </c>
      <c r="G343" s="14">
        <f t="shared" si="33"/>
        <v>1.349087763248314</v>
      </c>
      <c r="H343" s="14">
        <f t="shared" si="34"/>
        <v>0.4</v>
      </c>
      <c r="I343" s="14">
        <f t="shared" si="35"/>
        <v>0</v>
      </c>
      <c r="J343" s="15">
        <f>IF(CurrentMtgRatesDataTable8[[#This Row],[WA CC]]&lt;&gt;0,C342-CurrentMtgRatesDataTable8[[#This Row],[WA CC]],0)</f>
        <v>0</v>
      </c>
      <c r="K343" s="16">
        <f>IF(CurrentMtgRatesDataTable8[[#This Row],[Servicing Spread]]&lt;=0,K342,CurrentMtgRatesDataTable8[[#This Row],[Servicing Spread]])</f>
        <v>0.88362698207436008</v>
      </c>
      <c r="L343" s="16">
        <f>CurrentMtgRatesDataTable8[[#This Row],[Servicing Spread Non-Zero]]-K342</f>
        <v>0</v>
      </c>
      <c r="M343" s="16">
        <f>IF(I342&lt;&gt;0,CurrentMtgRatesDataTable8[[#This Row],[Rate]]-C342,M342)</f>
        <v>0</v>
      </c>
    </row>
    <row r="344" spans="1:13">
      <c r="A344" s="8" t="s">
        <v>370</v>
      </c>
      <c r="B344" s="11">
        <v>3.38388390000057</v>
      </c>
      <c r="C344" s="13">
        <v>4.3250000000000002</v>
      </c>
      <c r="D344" s="14">
        <f t="shared" si="30"/>
        <v>5</v>
      </c>
      <c r="E344" s="14">
        <f t="shared" si="31"/>
        <v>0.2</v>
      </c>
      <c r="F344" s="14">
        <f t="shared" si="32"/>
        <v>3</v>
      </c>
      <c r="G344" s="14">
        <f t="shared" si="33"/>
        <v>2.0258645432484279</v>
      </c>
      <c r="H344" s="14">
        <f t="shared" si="34"/>
        <v>0.60000000000000009</v>
      </c>
      <c r="I344" s="14">
        <f t="shared" si="35"/>
        <v>0</v>
      </c>
      <c r="J344" s="15">
        <f>IF(CurrentMtgRatesDataTable8[[#This Row],[WA CC]]&lt;&gt;0,C343-CurrentMtgRatesDataTable8[[#This Row],[WA CC]],0)</f>
        <v>0</v>
      </c>
      <c r="K344" s="16">
        <f>IF(CurrentMtgRatesDataTable8[[#This Row],[Servicing Spread]]&lt;=0,K343,CurrentMtgRatesDataTable8[[#This Row],[Servicing Spread]])</f>
        <v>0.88362698207436008</v>
      </c>
      <c r="L344" s="16">
        <f>CurrentMtgRatesDataTable8[[#This Row],[Servicing Spread Non-Zero]]-K343</f>
        <v>0</v>
      </c>
      <c r="M344" s="16">
        <f>IF(I343&lt;&gt;0,CurrentMtgRatesDataTable8[[#This Row],[Rate]]-C343,M343)</f>
        <v>0</v>
      </c>
    </row>
    <row r="345" spans="1:13">
      <c r="A345" s="8" t="s">
        <v>232</v>
      </c>
      <c r="B345" s="11">
        <v>3.48659769885389</v>
      </c>
      <c r="C345" s="13">
        <v>4.3250000000000002</v>
      </c>
      <c r="D345" s="14">
        <f t="shared" si="30"/>
        <v>6</v>
      </c>
      <c r="E345" s="14">
        <f t="shared" si="31"/>
        <v>0.2</v>
      </c>
      <c r="F345" s="14">
        <f t="shared" si="32"/>
        <v>4</v>
      </c>
      <c r="G345" s="14">
        <f t="shared" si="33"/>
        <v>2.723184083019206</v>
      </c>
      <c r="H345" s="14">
        <f t="shared" si="34"/>
        <v>0.8</v>
      </c>
      <c r="I345" s="14">
        <f t="shared" si="35"/>
        <v>0</v>
      </c>
      <c r="J345" s="15">
        <f>IF(CurrentMtgRatesDataTable8[[#This Row],[WA CC]]&lt;&gt;0,C344-CurrentMtgRatesDataTable8[[#This Row],[WA CC]],0)</f>
        <v>0</v>
      </c>
      <c r="K345" s="16">
        <f>IF(CurrentMtgRatesDataTable8[[#This Row],[Servicing Spread]]&lt;=0,K344,CurrentMtgRatesDataTable8[[#This Row],[Servicing Spread]])</f>
        <v>0.88362698207436008</v>
      </c>
      <c r="L345" s="16">
        <f>CurrentMtgRatesDataTable8[[#This Row],[Servicing Spread Non-Zero]]-K344</f>
        <v>0</v>
      </c>
      <c r="M345" s="16">
        <f>IF(I344&lt;&gt;0,CurrentMtgRatesDataTable8[[#This Row],[Rate]]-C344,M344)</f>
        <v>0</v>
      </c>
    </row>
    <row r="346" spans="1:13">
      <c r="A346" s="8" t="s">
        <v>89</v>
      </c>
      <c r="B346" s="11">
        <v>3.48408848788866</v>
      </c>
      <c r="C346" s="13">
        <v>4.3250000000000002</v>
      </c>
      <c r="D346" s="14">
        <f t="shared" si="30"/>
        <v>7</v>
      </c>
      <c r="E346" s="14">
        <f t="shared" si="31"/>
        <v>0.2</v>
      </c>
      <c r="F346" s="14">
        <f t="shared" si="32"/>
        <v>5</v>
      </c>
      <c r="G346" s="14">
        <f t="shared" si="33"/>
        <v>3.4200017805969383</v>
      </c>
      <c r="H346" s="14">
        <f t="shared" si="34"/>
        <v>1</v>
      </c>
      <c r="I346" s="14">
        <f t="shared" si="35"/>
        <v>3.4200017805969383</v>
      </c>
      <c r="J346" s="15">
        <f>IF(CurrentMtgRatesDataTable8[[#This Row],[WA CC]]&lt;&gt;0,C345-CurrentMtgRatesDataTable8[[#This Row],[WA CC]],0)</f>
        <v>0.90499821940306191</v>
      </c>
      <c r="K346" s="16">
        <f>IF(CurrentMtgRatesDataTable8[[#This Row],[Servicing Spread]]&lt;=0,K345,CurrentMtgRatesDataTable8[[#This Row],[Servicing Spread]])</f>
        <v>0.90499821940306191</v>
      </c>
      <c r="L346" s="16">
        <f>CurrentMtgRatesDataTable8[[#This Row],[Servicing Spread Non-Zero]]-K345</f>
        <v>2.1371237328701831E-2</v>
      </c>
      <c r="M346" s="16">
        <f>IF(I345&lt;&gt;0,CurrentMtgRatesDataTable8[[#This Row],[Rate]]-C345,M345)</f>
        <v>0</v>
      </c>
    </row>
    <row r="347" spans="1:13">
      <c r="A347" s="8" t="s">
        <v>653</v>
      </c>
      <c r="B347" s="11">
        <v>3.5424603238556802</v>
      </c>
      <c r="C347" s="13">
        <v>4.53</v>
      </c>
      <c r="D347" s="14">
        <f t="shared" si="30"/>
        <v>1</v>
      </c>
      <c r="E347" s="14">
        <f t="shared" si="31"/>
        <v>0.2</v>
      </c>
      <c r="F347" s="14">
        <f t="shared" si="32"/>
        <v>1</v>
      </c>
      <c r="G347" s="14">
        <f t="shared" si="33"/>
        <v>0.70849206477113613</v>
      </c>
      <c r="H347" s="14">
        <f t="shared" si="34"/>
        <v>0.2</v>
      </c>
      <c r="I347" s="14">
        <f t="shared" si="35"/>
        <v>0</v>
      </c>
      <c r="J347" s="15">
        <f>IF(CurrentMtgRatesDataTable8[[#This Row],[WA CC]]&lt;&gt;0,C346-CurrentMtgRatesDataTable8[[#This Row],[WA CC]],0)</f>
        <v>0</v>
      </c>
      <c r="K347" s="16">
        <f>IF(CurrentMtgRatesDataTable8[[#This Row],[Servicing Spread]]&lt;=0,K346,CurrentMtgRatesDataTable8[[#This Row],[Servicing Spread]])</f>
        <v>0.90499821940306191</v>
      </c>
      <c r="L347" s="16">
        <f>CurrentMtgRatesDataTable8[[#This Row],[Servicing Spread Non-Zero]]-K346</f>
        <v>0</v>
      </c>
      <c r="M347" s="16">
        <f>IF(I346&lt;&gt;0,CurrentMtgRatesDataTable8[[#This Row],[Rate]]-C346,M346)</f>
        <v>0.20500000000000007</v>
      </c>
    </row>
    <row r="348" spans="1:13">
      <c r="A348" s="8" t="s">
        <v>511</v>
      </c>
      <c r="B348" s="11">
        <v>3.63422852757154</v>
      </c>
      <c r="C348" s="13">
        <v>4.53</v>
      </c>
      <c r="D348" s="14">
        <f t="shared" si="30"/>
        <v>2</v>
      </c>
      <c r="E348" s="14">
        <f t="shared" si="31"/>
        <v>0.2</v>
      </c>
      <c r="F348" s="14">
        <f t="shared" si="32"/>
        <v>2</v>
      </c>
      <c r="G348" s="14">
        <f t="shared" si="33"/>
        <v>1.4353377702854442</v>
      </c>
      <c r="H348" s="14">
        <f t="shared" si="34"/>
        <v>0.4</v>
      </c>
      <c r="I348" s="14">
        <f t="shared" si="35"/>
        <v>0</v>
      </c>
      <c r="J348" s="15">
        <f>IF(CurrentMtgRatesDataTable8[[#This Row],[WA CC]]&lt;&gt;0,C347-CurrentMtgRatesDataTable8[[#This Row],[WA CC]],0)</f>
        <v>0</v>
      </c>
      <c r="K348" s="16">
        <f>IF(CurrentMtgRatesDataTable8[[#This Row],[Servicing Spread]]&lt;=0,K347,CurrentMtgRatesDataTable8[[#This Row],[Servicing Spread]])</f>
        <v>0.90499821940306191</v>
      </c>
      <c r="L348" s="16">
        <f>CurrentMtgRatesDataTable8[[#This Row],[Servicing Spread Non-Zero]]-K347</f>
        <v>0</v>
      </c>
      <c r="M348" s="16">
        <f>IF(I347&lt;&gt;0,CurrentMtgRatesDataTable8[[#This Row],[Rate]]-C347,M347)</f>
        <v>0.20500000000000007</v>
      </c>
    </row>
    <row r="349" spans="1:13">
      <c r="A349" s="8" t="s">
        <v>371</v>
      </c>
      <c r="B349" s="11">
        <v>3.71104784086622</v>
      </c>
      <c r="C349" s="13">
        <v>4.53</v>
      </c>
      <c r="D349" s="14">
        <f t="shared" si="30"/>
        <v>5</v>
      </c>
      <c r="E349" s="14">
        <f t="shared" si="31"/>
        <v>0.2</v>
      </c>
      <c r="F349" s="14">
        <f t="shared" si="32"/>
        <v>3</v>
      </c>
      <c r="G349" s="14">
        <f t="shared" si="33"/>
        <v>2.1775473384586883</v>
      </c>
      <c r="H349" s="14">
        <f t="shared" si="34"/>
        <v>0.60000000000000009</v>
      </c>
      <c r="I349" s="14">
        <f t="shared" si="35"/>
        <v>0</v>
      </c>
      <c r="J349" s="15">
        <f>IF(CurrentMtgRatesDataTable8[[#This Row],[WA CC]]&lt;&gt;0,C348-CurrentMtgRatesDataTable8[[#This Row],[WA CC]],0)</f>
        <v>0</v>
      </c>
      <c r="K349" s="16">
        <f>IF(CurrentMtgRatesDataTable8[[#This Row],[Servicing Spread]]&lt;=0,K348,CurrentMtgRatesDataTable8[[#This Row],[Servicing Spread]])</f>
        <v>0.90499821940306191</v>
      </c>
      <c r="L349" s="16">
        <f>CurrentMtgRatesDataTable8[[#This Row],[Servicing Spread Non-Zero]]-K348</f>
        <v>0</v>
      </c>
      <c r="M349" s="16">
        <f>IF(I348&lt;&gt;0,CurrentMtgRatesDataTable8[[#This Row],[Rate]]-C348,M348)</f>
        <v>0.20500000000000007</v>
      </c>
    </row>
    <row r="350" spans="1:13">
      <c r="A350" s="8" t="s">
        <v>233</v>
      </c>
      <c r="B350" s="11">
        <v>3.63068303363114</v>
      </c>
      <c r="C350" s="13">
        <v>4.53</v>
      </c>
      <c r="D350" s="14">
        <f t="shared" si="30"/>
        <v>6</v>
      </c>
      <c r="E350" s="14">
        <f t="shared" si="31"/>
        <v>0.2</v>
      </c>
      <c r="F350" s="14">
        <f t="shared" si="32"/>
        <v>4</v>
      </c>
      <c r="G350" s="14">
        <f t="shared" si="33"/>
        <v>2.9036839451849161</v>
      </c>
      <c r="H350" s="14">
        <f t="shared" si="34"/>
        <v>0.8</v>
      </c>
      <c r="I350" s="14">
        <f t="shared" si="35"/>
        <v>0</v>
      </c>
      <c r="J350" s="15">
        <f>IF(CurrentMtgRatesDataTable8[[#This Row],[WA CC]]&lt;&gt;0,C349-CurrentMtgRatesDataTable8[[#This Row],[WA CC]],0)</f>
        <v>0</v>
      </c>
      <c r="K350" s="16">
        <f>IF(CurrentMtgRatesDataTable8[[#This Row],[Servicing Spread]]&lt;=0,K349,CurrentMtgRatesDataTable8[[#This Row],[Servicing Spread]])</f>
        <v>0.90499821940306191</v>
      </c>
      <c r="L350" s="16">
        <f>CurrentMtgRatesDataTable8[[#This Row],[Servicing Spread Non-Zero]]-K349</f>
        <v>0</v>
      </c>
      <c r="M350" s="16">
        <f>IF(I349&lt;&gt;0,CurrentMtgRatesDataTable8[[#This Row],[Rate]]-C349,M349)</f>
        <v>0.20500000000000007</v>
      </c>
    </row>
    <row r="351" spans="1:13">
      <c r="A351" s="8" t="s">
        <v>90</v>
      </c>
      <c r="B351" s="11">
        <v>3.6746442970123199</v>
      </c>
      <c r="C351" s="13">
        <v>4.53</v>
      </c>
      <c r="D351" s="14">
        <f t="shared" si="30"/>
        <v>7</v>
      </c>
      <c r="E351" s="14">
        <f t="shared" si="31"/>
        <v>0.2</v>
      </c>
      <c r="F351" s="14">
        <f t="shared" si="32"/>
        <v>5</v>
      </c>
      <c r="G351" s="14">
        <f t="shared" si="33"/>
        <v>3.63861280458738</v>
      </c>
      <c r="H351" s="14">
        <f t="shared" si="34"/>
        <v>1</v>
      </c>
      <c r="I351" s="14">
        <f t="shared" si="35"/>
        <v>3.63861280458738</v>
      </c>
      <c r="J351" s="15">
        <f>IF(CurrentMtgRatesDataTable8[[#This Row],[WA CC]]&lt;&gt;0,C350-CurrentMtgRatesDataTable8[[#This Row],[WA CC]],0)</f>
        <v>0.89138719541262024</v>
      </c>
      <c r="K351" s="16">
        <f>IF(CurrentMtgRatesDataTable8[[#This Row],[Servicing Spread]]&lt;=0,K350,CurrentMtgRatesDataTable8[[#This Row],[Servicing Spread]])</f>
        <v>0.89138719541262024</v>
      </c>
      <c r="L351" s="16">
        <f>CurrentMtgRatesDataTable8[[#This Row],[Servicing Spread Non-Zero]]-K350</f>
        <v>-1.3611023990441673E-2</v>
      </c>
      <c r="M351" s="16">
        <f>IF(I350&lt;&gt;0,CurrentMtgRatesDataTable8[[#This Row],[Rate]]-C350,M350)</f>
        <v>0.20500000000000007</v>
      </c>
    </row>
    <row r="352" spans="1:13">
      <c r="A352" s="8" t="s">
        <v>654</v>
      </c>
      <c r="B352" s="11">
        <v>3.7101937917241501</v>
      </c>
      <c r="C352" s="13">
        <v>4.4349999999999996</v>
      </c>
      <c r="D352" s="14">
        <f t="shared" si="30"/>
        <v>1</v>
      </c>
      <c r="E352" s="14">
        <f t="shared" si="31"/>
        <v>0.2</v>
      </c>
      <c r="F352" s="14">
        <f t="shared" si="32"/>
        <v>1</v>
      </c>
      <c r="G352" s="14">
        <f t="shared" si="33"/>
        <v>0.74203875834483002</v>
      </c>
      <c r="H352" s="14">
        <f t="shared" si="34"/>
        <v>0.2</v>
      </c>
      <c r="I352" s="14">
        <f t="shared" si="35"/>
        <v>0</v>
      </c>
      <c r="J352" s="15">
        <f>IF(CurrentMtgRatesDataTable8[[#This Row],[WA CC]]&lt;&gt;0,C351-CurrentMtgRatesDataTable8[[#This Row],[WA CC]],0)</f>
        <v>0</v>
      </c>
      <c r="K352" s="16">
        <f>IF(CurrentMtgRatesDataTable8[[#This Row],[Servicing Spread]]&lt;=0,K351,CurrentMtgRatesDataTable8[[#This Row],[Servicing Spread]])</f>
        <v>0.89138719541262024</v>
      </c>
      <c r="L352" s="16">
        <f>CurrentMtgRatesDataTable8[[#This Row],[Servicing Spread Non-Zero]]-K351</f>
        <v>0</v>
      </c>
      <c r="M352" s="16">
        <f>IF(I351&lt;&gt;0,CurrentMtgRatesDataTable8[[#This Row],[Rate]]-C351,M351)</f>
        <v>-9.5000000000000639E-2</v>
      </c>
    </row>
    <row r="353" spans="1:13">
      <c r="A353" s="8" t="s">
        <v>512</v>
      </c>
      <c r="B353" s="11">
        <v>3.6014591745782401</v>
      </c>
      <c r="C353" s="13">
        <v>4.4349999999999996</v>
      </c>
      <c r="D353" s="14">
        <f t="shared" si="30"/>
        <v>2</v>
      </c>
      <c r="E353" s="14">
        <f t="shared" si="31"/>
        <v>0.2</v>
      </c>
      <c r="F353" s="14">
        <f t="shared" si="32"/>
        <v>2</v>
      </c>
      <c r="G353" s="14">
        <f t="shared" si="33"/>
        <v>1.4623305932604782</v>
      </c>
      <c r="H353" s="14">
        <f t="shared" si="34"/>
        <v>0.4</v>
      </c>
      <c r="I353" s="14">
        <f t="shared" si="35"/>
        <v>0</v>
      </c>
      <c r="J353" s="15">
        <f>IF(CurrentMtgRatesDataTable8[[#This Row],[WA CC]]&lt;&gt;0,C352-CurrentMtgRatesDataTable8[[#This Row],[WA CC]],0)</f>
        <v>0</v>
      </c>
      <c r="K353" s="16">
        <f>IF(CurrentMtgRatesDataTable8[[#This Row],[Servicing Spread]]&lt;=0,K352,CurrentMtgRatesDataTable8[[#This Row],[Servicing Spread]])</f>
        <v>0.89138719541262024</v>
      </c>
      <c r="L353" s="16">
        <f>CurrentMtgRatesDataTable8[[#This Row],[Servicing Spread Non-Zero]]-K352</f>
        <v>0</v>
      </c>
      <c r="M353" s="16">
        <f>IF(I352&lt;&gt;0,CurrentMtgRatesDataTable8[[#This Row],[Rate]]-C352,M352)</f>
        <v>-9.5000000000000639E-2</v>
      </c>
    </row>
    <row r="354" spans="1:13">
      <c r="A354" s="8" t="s">
        <v>372</v>
      </c>
      <c r="B354" s="11">
        <v>3.5649427405180001</v>
      </c>
      <c r="C354" s="13">
        <v>4.4349999999999996</v>
      </c>
      <c r="D354" s="14">
        <f t="shared" si="30"/>
        <v>5</v>
      </c>
      <c r="E354" s="14">
        <f t="shared" si="31"/>
        <v>0.2</v>
      </c>
      <c r="F354" s="14">
        <f t="shared" si="32"/>
        <v>3</v>
      </c>
      <c r="G354" s="14">
        <f t="shared" si="33"/>
        <v>2.1753191413640782</v>
      </c>
      <c r="H354" s="14">
        <f t="shared" si="34"/>
        <v>0.60000000000000009</v>
      </c>
      <c r="I354" s="14">
        <f t="shared" si="35"/>
        <v>0</v>
      </c>
      <c r="J354" s="15">
        <f>IF(CurrentMtgRatesDataTable8[[#This Row],[WA CC]]&lt;&gt;0,C353-CurrentMtgRatesDataTable8[[#This Row],[WA CC]],0)</f>
        <v>0</v>
      </c>
      <c r="K354" s="16">
        <f>IF(CurrentMtgRatesDataTable8[[#This Row],[Servicing Spread]]&lt;=0,K353,CurrentMtgRatesDataTable8[[#This Row],[Servicing Spread]])</f>
        <v>0.89138719541262024</v>
      </c>
      <c r="L354" s="16">
        <f>CurrentMtgRatesDataTable8[[#This Row],[Servicing Spread Non-Zero]]-K353</f>
        <v>0</v>
      </c>
      <c r="M354" s="16">
        <f>IF(I353&lt;&gt;0,CurrentMtgRatesDataTable8[[#This Row],[Rate]]-C353,M353)</f>
        <v>-9.5000000000000639E-2</v>
      </c>
    </row>
    <row r="355" spans="1:13">
      <c r="A355" s="8" t="s">
        <v>234</v>
      </c>
      <c r="B355" s="11">
        <v>3.4950120682199999</v>
      </c>
      <c r="C355" s="13">
        <v>4.4349999999999996</v>
      </c>
      <c r="D355" s="14">
        <f t="shared" si="30"/>
        <v>6</v>
      </c>
      <c r="E355" s="14">
        <f t="shared" si="31"/>
        <v>0.2</v>
      </c>
      <c r="F355" s="14">
        <f t="shared" si="32"/>
        <v>4</v>
      </c>
      <c r="G355" s="14">
        <f t="shared" si="33"/>
        <v>2.8743215550080783</v>
      </c>
      <c r="H355" s="14">
        <f t="shared" si="34"/>
        <v>0.8</v>
      </c>
      <c r="I355" s="14">
        <f t="shared" si="35"/>
        <v>0</v>
      </c>
      <c r="J355" s="15">
        <f>IF(CurrentMtgRatesDataTable8[[#This Row],[WA CC]]&lt;&gt;0,C354-CurrentMtgRatesDataTable8[[#This Row],[WA CC]],0)</f>
        <v>0</v>
      </c>
      <c r="K355" s="16">
        <f>IF(CurrentMtgRatesDataTable8[[#This Row],[Servicing Spread]]&lt;=0,K354,CurrentMtgRatesDataTable8[[#This Row],[Servicing Spread]])</f>
        <v>0.89138719541262024</v>
      </c>
      <c r="L355" s="16">
        <f>CurrentMtgRatesDataTable8[[#This Row],[Servicing Spread Non-Zero]]-K354</f>
        <v>0</v>
      </c>
      <c r="M355" s="16">
        <f>IF(I354&lt;&gt;0,CurrentMtgRatesDataTable8[[#This Row],[Rate]]-C354,M354)</f>
        <v>-9.5000000000000639E-2</v>
      </c>
    </row>
    <row r="356" spans="1:13">
      <c r="A356" s="8" t="s">
        <v>91</v>
      </c>
      <c r="B356" s="11">
        <v>3.5645215625566</v>
      </c>
      <c r="C356" s="13">
        <v>4.4349999999999996</v>
      </c>
      <c r="D356" s="14">
        <f t="shared" si="30"/>
        <v>7</v>
      </c>
      <c r="E356" s="14">
        <f t="shared" si="31"/>
        <v>0.2</v>
      </c>
      <c r="F356" s="14">
        <f t="shared" si="32"/>
        <v>5</v>
      </c>
      <c r="G356" s="14">
        <f t="shared" si="33"/>
        <v>3.5872258675193982</v>
      </c>
      <c r="H356" s="14">
        <f t="shared" si="34"/>
        <v>1</v>
      </c>
      <c r="I356" s="14">
        <f t="shared" si="35"/>
        <v>3.5872258675193982</v>
      </c>
      <c r="J356" s="15">
        <f>IF(CurrentMtgRatesDataTable8[[#This Row],[WA CC]]&lt;&gt;0,C355-CurrentMtgRatesDataTable8[[#This Row],[WA CC]],0)</f>
        <v>0.84777413248060141</v>
      </c>
      <c r="K356" s="16">
        <f>IF(CurrentMtgRatesDataTable8[[#This Row],[Servicing Spread]]&lt;=0,K355,CurrentMtgRatesDataTable8[[#This Row],[Servicing Spread]])</f>
        <v>0.84777413248060141</v>
      </c>
      <c r="L356" s="16">
        <f>CurrentMtgRatesDataTable8[[#This Row],[Servicing Spread Non-Zero]]-K355</f>
        <v>-4.3613062932018831E-2</v>
      </c>
      <c r="M356" s="16">
        <f>IF(I355&lt;&gt;0,CurrentMtgRatesDataTable8[[#This Row],[Rate]]-C355,M355)</f>
        <v>-9.5000000000000639E-2</v>
      </c>
    </row>
    <row r="357" spans="1:13">
      <c r="A357" s="8" t="s">
        <v>655</v>
      </c>
      <c r="B357" s="11">
        <v>3.5163998212649701</v>
      </c>
      <c r="C357" s="13">
        <v>4.4950000000000001</v>
      </c>
      <c r="D357" s="14">
        <f t="shared" si="30"/>
        <v>1</v>
      </c>
      <c r="E357" s="14">
        <f t="shared" si="31"/>
        <v>0.2</v>
      </c>
      <c r="F357" s="14">
        <f t="shared" si="32"/>
        <v>1</v>
      </c>
      <c r="G357" s="14">
        <f t="shared" si="33"/>
        <v>0.70327996425299411</v>
      </c>
      <c r="H357" s="14">
        <f t="shared" si="34"/>
        <v>0.2</v>
      </c>
      <c r="I357" s="14">
        <f t="shared" si="35"/>
        <v>0</v>
      </c>
      <c r="J357" s="15">
        <f>IF(CurrentMtgRatesDataTable8[[#This Row],[WA CC]]&lt;&gt;0,C356-CurrentMtgRatesDataTable8[[#This Row],[WA CC]],0)</f>
        <v>0</v>
      </c>
      <c r="K357" s="16">
        <f>IF(CurrentMtgRatesDataTable8[[#This Row],[Servicing Spread]]&lt;=0,K356,CurrentMtgRatesDataTable8[[#This Row],[Servicing Spread]])</f>
        <v>0.84777413248060141</v>
      </c>
      <c r="L357" s="16">
        <f>CurrentMtgRatesDataTable8[[#This Row],[Servicing Spread Non-Zero]]-K356</f>
        <v>0</v>
      </c>
      <c r="M357" s="16">
        <f>IF(I356&lt;&gt;0,CurrentMtgRatesDataTable8[[#This Row],[Rate]]-C356,M356)</f>
        <v>6.0000000000000497E-2</v>
      </c>
    </row>
    <row r="358" spans="1:13">
      <c r="A358" s="8" t="s">
        <v>513</v>
      </c>
      <c r="B358" s="11">
        <v>3.5181082868119602</v>
      </c>
      <c r="C358" s="13">
        <v>4.4950000000000001</v>
      </c>
      <c r="D358" s="14">
        <f t="shared" si="30"/>
        <v>2</v>
      </c>
      <c r="E358" s="14">
        <f t="shared" si="31"/>
        <v>0.2</v>
      </c>
      <c r="F358" s="14">
        <f t="shared" si="32"/>
        <v>2</v>
      </c>
      <c r="G358" s="14">
        <f t="shared" si="33"/>
        <v>1.4069016216153862</v>
      </c>
      <c r="H358" s="14">
        <f t="shared" si="34"/>
        <v>0.4</v>
      </c>
      <c r="I358" s="14">
        <f t="shared" si="35"/>
        <v>0</v>
      </c>
      <c r="J358" s="15">
        <f>IF(CurrentMtgRatesDataTable8[[#This Row],[WA CC]]&lt;&gt;0,C357-CurrentMtgRatesDataTable8[[#This Row],[WA CC]],0)</f>
        <v>0</v>
      </c>
      <c r="K358" s="16">
        <f>IF(CurrentMtgRatesDataTable8[[#This Row],[Servicing Spread]]&lt;=0,K357,CurrentMtgRatesDataTable8[[#This Row],[Servicing Spread]])</f>
        <v>0.84777413248060141</v>
      </c>
      <c r="L358" s="16">
        <f>CurrentMtgRatesDataTable8[[#This Row],[Servicing Spread Non-Zero]]-K357</f>
        <v>0</v>
      </c>
      <c r="M358" s="16">
        <f>IF(I357&lt;&gt;0,CurrentMtgRatesDataTable8[[#This Row],[Rate]]-C357,M357)</f>
        <v>6.0000000000000497E-2</v>
      </c>
    </row>
    <row r="359" spans="1:13">
      <c r="A359" s="8" t="s">
        <v>235</v>
      </c>
      <c r="B359" s="11">
        <v>3.6230343632850399</v>
      </c>
      <c r="C359" s="13">
        <v>4.4950000000000001</v>
      </c>
      <c r="D359" s="14">
        <f t="shared" si="30"/>
        <v>6</v>
      </c>
      <c r="E359" s="14">
        <f t="shared" si="31"/>
        <v>0.2</v>
      </c>
      <c r="F359" s="14">
        <f t="shared" si="32"/>
        <v>3</v>
      </c>
      <c r="G359" s="14">
        <f t="shared" si="33"/>
        <v>2.1315084942723943</v>
      </c>
      <c r="H359" s="14">
        <f t="shared" si="34"/>
        <v>0.60000000000000009</v>
      </c>
      <c r="I359" s="14">
        <f t="shared" si="35"/>
        <v>0</v>
      </c>
      <c r="J359" s="15">
        <f>IF(CurrentMtgRatesDataTable8[[#This Row],[WA CC]]&lt;&gt;0,C358-CurrentMtgRatesDataTable8[[#This Row],[WA CC]],0)</f>
        <v>0</v>
      </c>
      <c r="K359" s="16">
        <f>IF(CurrentMtgRatesDataTable8[[#This Row],[Servicing Spread]]&lt;=0,K358,CurrentMtgRatesDataTable8[[#This Row],[Servicing Spread]])</f>
        <v>0.84777413248060141</v>
      </c>
      <c r="L359" s="16">
        <f>CurrentMtgRatesDataTable8[[#This Row],[Servicing Spread Non-Zero]]-K358</f>
        <v>0</v>
      </c>
      <c r="M359" s="16">
        <f>IF(I358&lt;&gt;0,CurrentMtgRatesDataTable8[[#This Row],[Rate]]-C358,M358)</f>
        <v>6.0000000000000497E-2</v>
      </c>
    </row>
    <row r="360" spans="1:13">
      <c r="A360" s="8" t="s">
        <v>92</v>
      </c>
      <c r="B360" s="11">
        <v>3.6795741616596702</v>
      </c>
      <c r="C360" s="13">
        <v>4.4950000000000001</v>
      </c>
      <c r="D360" s="14">
        <f t="shared" si="30"/>
        <v>7</v>
      </c>
      <c r="E360" s="14">
        <f t="shared" si="31"/>
        <v>0.2</v>
      </c>
      <c r="F360" s="14">
        <f t="shared" si="32"/>
        <v>4</v>
      </c>
      <c r="G360" s="14">
        <f t="shared" si="33"/>
        <v>2.8674233266043285</v>
      </c>
      <c r="H360" s="14">
        <f t="shared" si="34"/>
        <v>0.8</v>
      </c>
      <c r="I360" s="14">
        <f t="shared" si="35"/>
        <v>3.5842791582554105</v>
      </c>
      <c r="J360" s="15">
        <f>IF(CurrentMtgRatesDataTable8[[#This Row],[WA CC]]&lt;&gt;0,C359-CurrentMtgRatesDataTable8[[#This Row],[WA CC]],0)</f>
        <v>0.91072084174458956</v>
      </c>
      <c r="K360" s="16">
        <f>IF(CurrentMtgRatesDataTable8[[#This Row],[Servicing Spread]]&lt;=0,K359,CurrentMtgRatesDataTable8[[#This Row],[Servicing Spread]])</f>
        <v>0.91072084174458956</v>
      </c>
      <c r="L360" s="16">
        <f>CurrentMtgRatesDataTable8[[#This Row],[Servicing Spread Non-Zero]]-K359</f>
        <v>6.2946709263988154E-2</v>
      </c>
      <c r="M360" s="16">
        <f>IF(I359&lt;&gt;0,CurrentMtgRatesDataTable8[[#This Row],[Rate]]-C359,M359)</f>
        <v>6.0000000000000497E-2</v>
      </c>
    </row>
    <row r="361" spans="1:13">
      <c r="A361" s="8" t="s">
        <v>656</v>
      </c>
      <c r="B361" s="11">
        <v>3.7866951063074699</v>
      </c>
      <c r="C361" s="13">
        <v>4.5200000000000005</v>
      </c>
      <c r="D361" s="14">
        <f t="shared" si="30"/>
        <v>1</v>
      </c>
      <c r="E361" s="14">
        <f t="shared" si="31"/>
        <v>0.2</v>
      </c>
      <c r="F361" s="14">
        <f t="shared" si="32"/>
        <v>1</v>
      </c>
      <c r="G361" s="14">
        <f t="shared" si="33"/>
        <v>0.75733902126149399</v>
      </c>
      <c r="H361" s="14">
        <f t="shared" si="34"/>
        <v>0.2</v>
      </c>
      <c r="I361" s="14">
        <f t="shared" si="35"/>
        <v>0</v>
      </c>
      <c r="J361" s="15">
        <f>IF(CurrentMtgRatesDataTable8[[#This Row],[WA CC]]&lt;&gt;0,C360-CurrentMtgRatesDataTable8[[#This Row],[WA CC]],0)</f>
        <v>0</v>
      </c>
      <c r="K361" s="16">
        <f>IF(CurrentMtgRatesDataTable8[[#This Row],[Servicing Spread]]&lt;=0,K360,CurrentMtgRatesDataTable8[[#This Row],[Servicing Spread]])</f>
        <v>0.91072084174458956</v>
      </c>
      <c r="L361" s="16">
        <f>CurrentMtgRatesDataTable8[[#This Row],[Servicing Spread Non-Zero]]-K360</f>
        <v>0</v>
      </c>
      <c r="M361" s="16">
        <f>IF(I360&lt;&gt;0,CurrentMtgRatesDataTable8[[#This Row],[Rate]]-C360,M360)</f>
        <v>2.5000000000000355E-2</v>
      </c>
    </row>
    <row r="362" spans="1:13">
      <c r="A362" s="8" t="s">
        <v>514</v>
      </c>
      <c r="B362" s="11">
        <v>3.7212376856688798</v>
      </c>
      <c r="C362" s="13">
        <v>4.5200000000000005</v>
      </c>
      <c r="D362" s="14">
        <f t="shared" si="30"/>
        <v>2</v>
      </c>
      <c r="E362" s="14">
        <f t="shared" si="31"/>
        <v>0.2</v>
      </c>
      <c r="F362" s="14">
        <f t="shared" si="32"/>
        <v>2</v>
      </c>
      <c r="G362" s="14">
        <f t="shared" si="33"/>
        <v>1.5015865583952701</v>
      </c>
      <c r="H362" s="14">
        <f t="shared" si="34"/>
        <v>0.4</v>
      </c>
      <c r="I362" s="14">
        <f t="shared" si="35"/>
        <v>0</v>
      </c>
      <c r="J362" s="15">
        <f>IF(CurrentMtgRatesDataTable8[[#This Row],[WA CC]]&lt;&gt;0,C361-CurrentMtgRatesDataTable8[[#This Row],[WA CC]],0)</f>
        <v>0</v>
      </c>
      <c r="K362" s="16">
        <f>IF(CurrentMtgRatesDataTable8[[#This Row],[Servicing Spread]]&lt;=0,K361,CurrentMtgRatesDataTable8[[#This Row],[Servicing Spread]])</f>
        <v>0.91072084174458956</v>
      </c>
      <c r="L362" s="16">
        <f>CurrentMtgRatesDataTable8[[#This Row],[Servicing Spread Non-Zero]]-K361</f>
        <v>0</v>
      </c>
      <c r="M362" s="16">
        <f>IF(I361&lt;&gt;0,CurrentMtgRatesDataTable8[[#This Row],[Rate]]-C361,M361)</f>
        <v>2.5000000000000355E-2</v>
      </c>
    </row>
    <row r="363" spans="1:13">
      <c r="A363" s="8" t="s">
        <v>373</v>
      </c>
      <c r="B363" s="11">
        <v>3.6494917316156599</v>
      </c>
      <c r="C363" s="13">
        <v>4.5200000000000005</v>
      </c>
      <c r="D363" s="14">
        <f t="shared" si="30"/>
        <v>5</v>
      </c>
      <c r="E363" s="14">
        <f t="shared" si="31"/>
        <v>0.2</v>
      </c>
      <c r="F363" s="14">
        <f t="shared" si="32"/>
        <v>3</v>
      </c>
      <c r="G363" s="14">
        <f t="shared" si="33"/>
        <v>2.231484904718402</v>
      </c>
      <c r="H363" s="14">
        <f t="shared" si="34"/>
        <v>0.60000000000000009</v>
      </c>
      <c r="I363" s="14">
        <f t="shared" si="35"/>
        <v>0</v>
      </c>
      <c r="J363" s="15">
        <f>IF(CurrentMtgRatesDataTable8[[#This Row],[WA CC]]&lt;&gt;0,C362-CurrentMtgRatesDataTable8[[#This Row],[WA CC]],0)</f>
        <v>0</v>
      </c>
      <c r="K363" s="16">
        <f>IF(CurrentMtgRatesDataTable8[[#This Row],[Servicing Spread]]&lt;=0,K362,CurrentMtgRatesDataTable8[[#This Row],[Servicing Spread]])</f>
        <v>0.91072084174458956</v>
      </c>
      <c r="L363" s="16">
        <f>CurrentMtgRatesDataTable8[[#This Row],[Servicing Spread Non-Zero]]-K362</f>
        <v>0</v>
      </c>
      <c r="M363" s="16">
        <f>IF(I362&lt;&gt;0,CurrentMtgRatesDataTable8[[#This Row],[Rate]]-C362,M362)</f>
        <v>2.5000000000000355E-2</v>
      </c>
    </row>
    <row r="364" spans="1:13">
      <c r="A364" s="8" t="s">
        <v>236</v>
      </c>
      <c r="B364" s="11">
        <v>3.70255706458429</v>
      </c>
      <c r="C364" s="13">
        <v>4.5200000000000005</v>
      </c>
      <c r="D364" s="14">
        <f t="shared" si="30"/>
        <v>6</v>
      </c>
      <c r="E364" s="14">
        <f t="shared" si="31"/>
        <v>0.2</v>
      </c>
      <c r="F364" s="14">
        <f t="shared" si="32"/>
        <v>4</v>
      </c>
      <c r="G364" s="14">
        <f t="shared" si="33"/>
        <v>2.9719963176352602</v>
      </c>
      <c r="H364" s="14">
        <f t="shared" si="34"/>
        <v>0.8</v>
      </c>
      <c r="I364" s="14">
        <f t="shared" si="35"/>
        <v>0</v>
      </c>
      <c r="J364" s="15">
        <f>IF(CurrentMtgRatesDataTable8[[#This Row],[WA CC]]&lt;&gt;0,C363-CurrentMtgRatesDataTable8[[#This Row],[WA CC]],0)</f>
        <v>0</v>
      </c>
      <c r="K364" s="16">
        <f>IF(CurrentMtgRatesDataTable8[[#This Row],[Servicing Spread]]&lt;=0,K363,CurrentMtgRatesDataTable8[[#This Row],[Servicing Spread]])</f>
        <v>0.91072084174458956</v>
      </c>
      <c r="L364" s="16">
        <f>CurrentMtgRatesDataTable8[[#This Row],[Servicing Spread Non-Zero]]-K363</f>
        <v>0</v>
      </c>
      <c r="M364" s="16">
        <f>IF(I363&lt;&gt;0,CurrentMtgRatesDataTable8[[#This Row],[Rate]]-C363,M363)</f>
        <v>2.5000000000000355E-2</v>
      </c>
    </row>
    <row r="365" spans="1:13">
      <c r="A365" s="8" t="s">
        <v>93</v>
      </c>
      <c r="B365" s="11">
        <v>3.66717920569566</v>
      </c>
      <c r="C365" s="13">
        <v>4.5200000000000005</v>
      </c>
      <c r="D365" s="14">
        <f t="shared" si="30"/>
        <v>7</v>
      </c>
      <c r="E365" s="14">
        <f t="shared" si="31"/>
        <v>0.2</v>
      </c>
      <c r="F365" s="14">
        <f t="shared" si="32"/>
        <v>5</v>
      </c>
      <c r="G365" s="14">
        <f t="shared" si="33"/>
        <v>3.7054321587743924</v>
      </c>
      <c r="H365" s="14">
        <f t="shared" si="34"/>
        <v>1</v>
      </c>
      <c r="I365" s="14">
        <f t="shared" si="35"/>
        <v>3.7054321587743924</v>
      </c>
      <c r="J365" s="15">
        <f>IF(CurrentMtgRatesDataTable8[[#This Row],[WA CC]]&lt;&gt;0,C364-CurrentMtgRatesDataTable8[[#This Row],[WA CC]],0)</f>
        <v>0.8145678412256081</v>
      </c>
      <c r="K365" s="16">
        <f>IF(CurrentMtgRatesDataTable8[[#This Row],[Servicing Spread]]&lt;=0,K364,CurrentMtgRatesDataTable8[[#This Row],[Servicing Spread]])</f>
        <v>0.8145678412256081</v>
      </c>
      <c r="L365" s="16">
        <f>CurrentMtgRatesDataTable8[[#This Row],[Servicing Spread Non-Zero]]-K364</f>
        <v>-9.6153000518981457E-2</v>
      </c>
      <c r="M365" s="16">
        <f>IF(I364&lt;&gt;0,CurrentMtgRatesDataTable8[[#This Row],[Rate]]-C364,M364)</f>
        <v>2.5000000000000355E-2</v>
      </c>
    </row>
    <row r="366" spans="1:13">
      <c r="A366" s="8" t="s">
        <v>657</v>
      </c>
      <c r="B366" s="11">
        <v>3.6662950351399499</v>
      </c>
      <c r="C366" s="13">
        <v>4.4249999999999998</v>
      </c>
      <c r="D366" s="14">
        <f t="shared" si="30"/>
        <v>1</v>
      </c>
      <c r="E366" s="14">
        <f t="shared" si="31"/>
        <v>0.2</v>
      </c>
      <c r="F366" s="14">
        <f t="shared" si="32"/>
        <v>1</v>
      </c>
      <c r="G366" s="14">
        <f t="shared" si="33"/>
        <v>0.73325900702799007</v>
      </c>
      <c r="H366" s="14">
        <f t="shared" si="34"/>
        <v>0.2</v>
      </c>
      <c r="I366" s="14">
        <f t="shared" si="35"/>
        <v>0</v>
      </c>
      <c r="J366" s="15">
        <f>IF(CurrentMtgRatesDataTable8[[#This Row],[WA CC]]&lt;&gt;0,C365-CurrentMtgRatesDataTable8[[#This Row],[WA CC]],0)</f>
        <v>0</v>
      </c>
      <c r="K366" s="16">
        <f>IF(CurrentMtgRatesDataTable8[[#This Row],[Servicing Spread]]&lt;=0,K365,CurrentMtgRatesDataTable8[[#This Row],[Servicing Spread]])</f>
        <v>0.8145678412256081</v>
      </c>
      <c r="L366" s="16">
        <f>CurrentMtgRatesDataTable8[[#This Row],[Servicing Spread Non-Zero]]-K365</f>
        <v>0</v>
      </c>
      <c r="M366" s="16">
        <f>IF(I365&lt;&gt;0,CurrentMtgRatesDataTable8[[#This Row],[Rate]]-C365,M365)</f>
        <v>-9.5000000000000639E-2</v>
      </c>
    </row>
    <row r="367" spans="1:13">
      <c r="A367" s="8" t="s">
        <v>515</v>
      </c>
      <c r="B367" s="11">
        <v>3.65073359446493</v>
      </c>
      <c r="C367" s="13">
        <v>4.4249999999999998</v>
      </c>
      <c r="D367" s="14">
        <f t="shared" si="30"/>
        <v>2</v>
      </c>
      <c r="E367" s="14">
        <f t="shared" si="31"/>
        <v>0.2</v>
      </c>
      <c r="F367" s="14">
        <f t="shared" si="32"/>
        <v>2</v>
      </c>
      <c r="G367" s="14">
        <f t="shared" si="33"/>
        <v>1.4634057259209761</v>
      </c>
      <c r="H367" s="14">
        <f t="shared" si="34"/>
        <v>0.4</v>
      </c>
      <c r="I367" s="14">
        <f t="shared" si="35"/>
        <v>0</v>
      </c>
      <c r="J367" s="15">
        <f>IF(CurrentMtgRatesDataTable8[[#This Row],[WA CC]]&lt;&gt;0,C366-CurrentMtgRatesDataTable8[[#This Row],[WA CC]],0)</f>
        <v>0</v>
      </c>
      <c r="K367" s="16">
        <f>IF(CurrentMtgRatesDataTable8[[#This Row],[Servicing Spread]]&lt;=0,K366,CurrentMtgRatesDataTable8[[#This Row],[Servicing Spread]])</f>
        <v>0.8145678412256081</v>
      </c>
      <c r="L367" s="16">
        <f>CurrentMtgRatesDataTable8[[#This Row],[Servicing Spread Non-Zero]]-K366</f>
        <v>0</v>
      </c>
      <c r="M367" s="16">
        <f>IF(I366&lt;&gt;0,CurrentMtgRatesDataTable8[[#This Row],[Rate]]-C366,M366)</f>
        <v>-9.5000000000000639E-2</v>
      </c>
    </row>
    <row r="368" spans="1:13">
      <c r="A368" s="8" t="s">
        <v>374</v>
      </c>
      <c r="B368" s="11">
        <v>3.6050291044242799</v>
      </c>
      <c r="C368" s="13">
        <v>4.4249999999999998</v>
      </c>
      <c r="D368" s="14">
        <f t="shared" si="30"/>
        <v>5</v>
      </c>
      <c r="E368" s="14">
        <f t="shared" si="31"/>
        <v>0.2</v>
      </c>
      <c r="F368" s="14">
        <f t="shared" si="32"/>
        <v>3</v>
      </c>
      <c r="G368" s="14">
        <f t="shared" si="33"/>
        <v>2.184411546805832</v>
      </c>
      <c r="H368" s="14">
        <f t="shared" si="34"/>
        <v>0.60000000000000009</v>
      </c>
      <c r="I368" s="14">
        <f t="shared" si="35"/>
        <v>0</v>
      </c>
      <c r="J368" s="15">
        <f>IF(CurrentMtgRatesDataTable8[[#This Row],[WA CC]]&lt;&gt;0,C367-CurrentMtgRatesDataTable8[[#This Row],[WA CC]],0)</f>
        <v>0</v>
      </c>
      <c r="K368" s="16">
        <f>IF(CurrentMtgRatesDataTable8[[#This Row],[Servicing Spread]]&lt;=0,K367,CurrentMtgRatesDataTable8[[#This Row],[Servicing Spread]])</f>
        <v>0.8145678412256081</v>
      </c>
      <c r="L368" s="16">
        <f>CurrentMtgRatesDataTable8[[#This Row],[Servicing Spread Non-Zero]]-K367</f>
        <v>0</v>
      </c>
      <c r="M368" s="16">
        <f>IF(I367&lt;&gt;0,CurrentMtgRatesDataTable8[[#This Row],[Rate]]-C367,M367)</f>
        <v>-9.5000000000000639E-2</v>
      </c>
    </row>
    <row r="369" spans="1:13">
      <c r="A369" s="8" t="s">
        <v>237</v>
      </c>
      <c r="B369" s="11">
        <v>3.5862960100393702</v>
      </c>
      <c r="C369" s="13">
        <v>4.4249999999999998</v>
      </c>
      <c r="D369" s="14">
        <f t="shared" si="30"/>
        <v>6</v>
      </c>
      <c r="E369" s="14">
        <f t="shared" si="31"/>
        <v>0.2</v>
      </c>
      <c r="F369" s="14">
        <f t="shared" si="32"/>
        <v>4</v>
      </c>
      <c r="G369" s="14">
        <f t="shared" si="33"/>
        <v>2.9016707488137063</v>
      </c>
      <c r="H369" s="14">
        <f t="shared" si="34"/>
        <v>0.8</v>
      </c>
      <c r="I369" s="14">
        <f t="shared" si="35"/>
        <v>0</v>
      </c>
      <c r="J369" s="15">
        <f>IF(CurrentMtgRatesDataTable8[[#This Row],[WA CC]]&lt;&gt;0,C368-CurrentMtgRatesDataTable8[[#This Row],[WA CC]],0)</f>
        <v>0</v>
      </c>
      <c r="K369" s="16">
        <f>IF(CurrentMtgRatesDataTable8[[#This Row],[Servicing Spread]]&lt;=0,K368,CurrentMtgRatesDataTable8[[#This Row],[Servicing Spread]])</f>
        <v>0.8145678412256081</v>
      </c>
      <c r="L369" s="16">
        <f>CurrentMtgRatesDataTable8[[#This Row],[Servicing Spread Non-Zero]]-K368</f>
        <v>0</v>
      </c>
      <c r="M369" s="16">
        <f>IF(I368&lt;&gt;0,CurrentMtgRatesDataTable8[[#This Row],[Rate]]-C368,M368)</f>
        <v>-9.5000000000000639E-2</v>
      </c>
    </row>
    <row r="370" spans="1:13">
      <c r="A370" s="8" t="s">
        <v>94</v>
      </c>
      <c r="B370" s="11">
        <v>3.4041075181539902</v>
      </c>
      <c r="C370" s="13">
        <v>4.4249999999999998</v>
      </c>
      <c r="D370" s="14">
        <f t="shared" si="30"/>
        <v>7</v>
      </c>
      <c r="E370" s="14">
        <f t="shared" si="31"/>
        <v>0.2</v>
      </c>
      <c r="F370" s="14">
        <f t="shared" si="32"/>
        <v>5</v>
      </c>
      <c r="G370" s="14">
        <f t="shared" si="33"/>
        <v>3.5824922524445046</v>
      </c>
      <c r="H370" s="14">
        <f t="shared" si="34"/>
        <v>1</v>
      </c>
      <c r="I370" s="14">
        <f t="shared" si="35"/>
        <v>3.5824922524445046</v>
      </c>
      <c r="J370" s="15">
        <f>IF(CurrentMtgRatesDataTable8[[#This Row],[WA CC]]&lt;&gt;0,C369-CurrentMtgRatesDataTable8[[#This Row],[WA CC]],0)</f>
        <v>0.84250774755549518</v>
      </c>
      <c r="K370" s="16">
        <f>IF(CurrentMtgRatesDataTable8[[#This Row],[Servicing Spread]]&lt;=0,K369,CurrentMtgRatesDataTable8[[#This Row],[Servicing Spread]])</f>
        <v>0.84250774755549518</v>
      </c>
      <c r="L370" s="16">
        <f>CurrentMtgRatesDataTable8[[#This Row],[Servicing Spread Non-Zero]]-K369</f>
        <v>2.7939906329887076E-2</v>
      </c>
      <c r="M370" s="16">
        <f>IF(I369&lt;&gt;0,CurrentMtgRatesDataTable8[[#This Row],[Rate]]-C369,M369)</f>
        <v>-9.5000000000000639E-2</v>
      </c>
    </row>
    <row r="371" spans="1:13">
      <c r="A371" s="8" t="s">
        <v>658</v>
      </c>
      <c r="B371" s="11">
        <v>3.4234814698257399</v>
      </c>
      <c r="C371" s="13">
        <v>4.2450000000000001</v>
      </c>
      <c r="D371" s="14">
        <f t="shared" si="30"/>
        <v>1</v>
      </c>
      <c r="E371" s="14">
        <f t="shared" si="31"/>
        <v>0.2</v>
      </c>
      <c r="F371" s="14">
        <f t="shared" si="32"/>
        <v>1</v>
      </c>
      <c r="G371" s="14">
        <f t="shared" si="33"/>
        <v>0.68469629396514797</v>
      </c>
      <c r="H371" s="14">
        <f t="shared" si="34"/>
        <v>0.2</v>
      </c>
      <c r="I371" s="14">
        <f t="shared" si="35"/>
        <v>0</v>
      </c>
      <c r="J371" s="15">
        <f>IF(CurrentMtgRatesDataTable8[[#This Row],[WA CC]]&lt;&gt;0,C370-CurrentMtgRatesDataTable8[[#This Row],[WA CC]],0)</f>
        <v>0</v>
      </c>
      <c r="K371" s="16">
        <f>IF(CurrentMtgRatesDataTable8[[#This Row],[Servicing Spread]]&lt;=0,K370,CurrentMtgRatesDataTable8[[#This Row],[Servicing Spread]])</f>
        <v>0.84250774755549518</v>
      </c>
      <c r="L371" s="16">
        <f>CurrentMtgRatesDataTable8[[#This Row],[Servicing Spread Non-Zero]]-K370</f>
        <v>0</v>
      </c>
      <c r="M371" s="16">
        <f>IF(I370&lt;&gt;0,CurrentMtgRatesDataTable8[[#This Row],[Rate]]-C370,M370)</f>
        <v>-0.17999999999999972</v>
      </c>
    </row>
    <row r="372" spans="1:13">
      <c r="A372" s="8" t="s">
        <v>516</v>
      </c>
      <c r="B372" s="11">
        <v>3.43160773905766</v>
      </c>
      <c r="C372" s="13">
        <v>4.2450000000000001</v>
      </c>
      <c r="D372" s="14">
        <f t="shared" si="30"/>
        <v>2</v>
      </c>
      <c r="E372" s="14">
        <f t="shared" si="31"/>
        <v>0.2</v>
      </c>
      <c r="F372" s="14">
        <f t="shared" si="32"/>
        <v>2</v>
      </c>
      <c r="G372" s="14">
        <f t="shared" si="33"/>
        <v>1.3710178417766801</v>
      </c>
      <c r="H372" s="14">
        <f t="shared" si="34"/>
        <v>0.4</v>
      </c>
      <c r="I372" s="14">
        <f t="shared" si="35"/>
        <v>0</v>
      </c>
      <c r="J372" s="15">
        <f>IF(CurrentMtgRatesDataTable8[[#This Row],[WA CC]]&lt;&gt;0,C371-CurrentMtgRatesDataTable8[[#This Row],[WA CC]],0)</f>
        <v>0</v>
      </c>
      <c r="K372" s="16">
        <f>IF(CurrentMtgRatesDataTable8[[#This Row],[Servicing Spread]]&lt;=0,K371,CurrentMtgRatesDataTable8[[#This Row],[Servicing Spread]])</f>
        <v>0.84250774755549518</v>
      </c>
      <c r="L372" s="16">
        <f>CurrentMtgRatesDataTable8[[#This Row],[Servicing Spread Non-Zero]]-K371</f>
        <v>0</v>
      </c>
      <c r="M372" s="16">
        <f>IF(I371&lt;&gt;0,CurrentMtgRatesDataTable8[[#This Row],[Rate]]-C371,M371)</f>
        <v>-0.17999999999999972</v>
      </c>
    </row>
    <row r="373" spans="1:13">
      <c r="A373" s="8" t="s">
        <v>375</v>
      </c>
      <c r="B373" s="11">
        <v>3.4029034600998802</v>
      </c>
      <c r="C373" s="13">
        <v>4.2450000000000001</v>
      </c>
      <c r="D373" s="14">
        <f t="shared" si="30"/>
        <v>5</v>
      </c>
      <c r="E373" s="14">
        <f t="shared" si="31"/>
        <v>0.2</v>
      </c>
      <c r="F373" s="14">
        <f t="shared" si="32"/>
        <v>3</v>
      </c>
      <c r="G373" s="14">
        <f t="shared" si="33"/>
        <v>2.051598533796656</v>
      </c>
      <c r="H373" s="14">
        <f t="shared" si="34"/>
        <v>0.60000000000000009</v>
      </c>
      <c r="I373" s="14">
        <f t="shared" si="35"/>
        <v>0</v>
      </c>
      <c r="J373" s="15">
        <f>IF(CurrentMtgRatesDataTable8[[#This Row],[WA CC]]&lt;&gt;0,C372-CurrentMtgRatesDataTable8[[#This Row],[WA CC]],0)</f>
        <v>0</v>
      </c>
      <c r="K373" s="16">
        <f>IF(CurrentMtgRatesDataTable8[[#This Row],[Servicing Spread]]&lt;=0,K372,CurrentMtgRatesDataTable8[[#This Row],[Servicing Spread]])</f>
        <v>0.84250774755549518</v>
      </c>
      <c r="L373" s="16">
        <f>CurrentMtgRatesDataTable8[[#This Row],[Servicing Spread Non-Zero]]-K372</f>
        <v>0</v>
      </c>
      <c r="M373" s="16">
        <f>IF(I372&lt;&gt;0,CurrentMtgRatesDataTable8[[#This Row],[Rate]]-C372,M372)</f>
        <v>-0.17999999999999972</v>
      </c>
    </row>
    <row r="374" spans="1:13">
      <c r="A374" s="8" t="s">
        <v>238</v>
      </c>
      <c r="B374" s="11">
        <v>3.34069195374131</v>
      </c>
      <c r="C374" s="13">
        <v>4.2450000000000001</v>
      </c>
      <c r="D374" s="14">
        <f t="shared" si="30"/>
        <v>6</v>
      </c>
      <c r="E374" s="14">
        <f t="shared" si="31"/>
        <v>0.2</v>
      </c>
      <c r="F374" s="14">
        <f t="shared" si="32"/>
        <v>4</v>
      </c>
      <c r="G374" s="14">
        <f t="shared" si="33"/>
        <v>2.7197369245449181</v>
      </c>
      <c r="H374" s="14">
        <f t="shared" si="34"/>
        <v>0.8</v>
      </c>
      <c r="I374" s="14">
        <f t="shared" si="35"/>
        <v>0</v>
      </c>
      <c r="J374" s="15">
        <f>IF(CurrentMtgRatesDataTable8[[#This Row],[WA CC]]&lt;&gt;0,C373-CurrentMtgRatesDataTable8[[#This Row],[WA CC]],0)</f>
        <v>0</v>
      </c>
      <c r="K374" s="16">
        <f>IF(CurrentMtgRatesDataTable8[[#This Row],[Servicing Spread]]&lt;=0,K373,CurrentMtgRatesDataTable8[[#This Row],[Servicing Spread]])</f>
        <v>0.84250774755549518</v>
      </c>
      <c r="L374" s="16">
        <f>CurrentMtgRatesDataTable8[[#This Row],[Servicing Spread Non-Zero]]-K373</f>
        <v>0</v>
      </c>
      <c r="M374" s="16">
        <f>IF(I373&lt;&gt;0,CurrentMtgRatesDataTable8[[#This Row],[Rate]]-C373,M373)</f>
        <v>-0.17999999999999972</v>
      </c>
    </row>
    <row r="375" spans="1:13">
      <c r="A375" s="8" t="s">
        <v>95</v>
      </c>
      <c r="B375" s="11">
        <v>3.2961562018547901</v>
      </c>
      <c r="C375" s="13">
        <v>4.2450000000000001</v>
      </c>
      <c r="D375" s="14">
        <f t="shared" si="30"/>
        <v>7</v>
      </c>
      <c r="E375" s="14">
        <f t="shared" si="31"/>
        <v>0.2</v>
      </c>
      <c r="F375" s="14">
        <f t="shared" si="32"/>
        <v>5</v>
      </c>
      <c r="G375" s="14">
        <f t="shared" si="33"/>
        <v>3.378968164915876</v>
      </c>
      <c r="H375" s="14">
        <f t="shared" si="34"/>
        <v>1</v>
      </c>
      <c r="I375" s="14">
        <f t="shared" si="35"/>
        <v>3.378968164915876</v>
      </c>
      <c r="J375" s="15">
        <f>IF(CurrentMtgRatesDataTable8[[#This Row],[WA CC]]&lt;&gt;0,C374-CurrentMtgRatesDataTable8[[#This Row],[WA CC]],0)</f>
        <v>0.86603183508412407</v>
      </c>
      <c r="K375" s="16">
        <f>IF(CurrentMtgRatesDataTable8[[#This Row],[Servicing Spread]]&lt;=0,K374,CurrentMtgRatesDataTable8[[#This Row],[Servicing Spread]])</f>
        <v>0.86603183508412407</v>
      </c>
      <c r="L375" s="16">
        <f>CurrentMtgRatesDataTable8[[#This Row],[Servicing Spread Non-Zero]]-K374</f>
        <v>2.352408752862889E-2</v>
      </c>
      <c r="M375" s="16">
        <f>IF(I374&lt;&gt;0,CurrentMtgRatesDataTable8[[#This Row],[Rate]]-C374,M374)</f>
        <v>-0.17999999999999972</v>
      </c>
    </row>
    <row r="376" spans="1:13">
      <c r="A376" s="8" t="s">
        <v>659</v>
      </c>
      <c r="B376" s="11">
        <v>3.3233487722912298</v>
      </c>
      <c r="C376" s="13">
        <v>4.1449999999999996</v>
      </c>
      <c r="D376" s="14">
        <f t="shared" si="30"/>
        <v>1</v>
      </c>
      <c r="E376" s="14">
        <f t="shared" si="31"/>
        <v>0.2</v>
      </c>
      <c r="F376" s="14">
        <f t="shared" si="32"/>
        <v>1</v>
      </c>
      <c r="G376" s="14">
        <f t="shared" si="33"/>
        <v>0.66466975445824605</v>
      </c>
      <c r="H376" s="14">
        <f t="shared" si="34"/>
        <v>0.2</v>
      </c>
      <c r="I376" s="14">
        <f t="shared" si="35"/>
        <v>0</v>
      </c>
      <c r="J376" s="15">
        <f>IF(CurrentMtgRatesDataTable8[[#This Row],[WA CC]]&lt;&gt;0,C375-CurrentMtgRatesDataTable8[[#This Row],[WA CC]],0)</f>
        <v>0</v>
      </c>
      <c r="K376" s="16">
        <f>IF(CurrentMtgRatesDataTable8[[#This Row],[Servicing Spread]]&lt;=0,K375,CurrentMtgRatesDataTable8[[#This Row],[Servicing Spread]])</f>
        <v>0.86603183508412407</v>
      </c>
      <c r="L376" s="16">
        <f>CurrentMtgRatesDataTable8[[#This Row],[Servicing Spread Non-Zero]]-K375</f>
        <v>0</v>
      </c>
      <c r="M376" s="16">
        <f>IF(I375&lt;&gt;0,CurrentMtgRatesDataTable8[[#This Row],[Rate]]-C375,M375)</f>
        <v>-0.10000000000000053</v>
      </c>
    </row>
    <row r="377" spans="1:13">
      <c r="A377" s="8" t="s">
        <v>517</v>
      </c>
      <c r="B377" s="11">
        <v>3.2948871217977098</v>
      </c>
      <c r="C377" s="13">
        <v>4.1449999999999996</v>
      </c>
      <c r="D377" s="14">
        <f t="shared" si="30"/>
        <v>2</v>
      </c>
      <c r="E377" s="14">
        <f t="shared" si="31"/>
        <v>0.2</v>
      </c>
      <c r="F377" s="14">
        <f t="shared" si="32"/>
        <v>2</v>
      </c>
      <c r="G377" s="14">
        <f t="shared" si="33"/>
        <v>1.3236471788177879</v>
      </c>
      <c r="H377" s="14">
        <f t="shared" si="34"/>
        <v>0.4</v>
      </c>
      <c r="I377" s="14">
        <f t="shared" si="35"/>
        <v>0</v>
      </c>
      <c r="J377" s="15">
        <f>IF(CurrentMtgRatesDataTable8[[#This Row],[WA CC]]&lt;&gt;0,C376-CurrentMtgRatesDataTable8[[#This Row],[WA CC]],0)</f>
        <v>0</v>
      </c>
      <c r="K377" s="16">
        <f>IF(CurrentMtgRatesDataTable8[[#This Row],[Servicing Spread]]&lt;=0,K376,CurrentMtgRatesDataTable8[[#This Row],[Servicing Spread]])</f>
        <v>0.86603183508412407</v>
      </c>
      <c r="L377" s="16">
        <f>CurrentMtgRatesDataTable8[[#This Row],[Servicing Spread Non-Zero]]-K376</f>
        <v>0</v>
      </c>
      <c r="M377" s="16">
        <f>IF(I376&lt;&gt;0,CurrentMtgRatesDataTable8[[#This Row],[Rate]]-C376,M376)</f>
        <v>-0.10000000000000053</v>
      </c>
    </row>
    <row r="378" spans="1:13">
      <c r="A378" s="8" t="s">
        <v>376</v>
      </c>
      <c r="B378" s="11">
        <v>3.2952489842634298</v>
      </c>
      <c r="C378" s="13">
        <v>4.1449999999999996</v>
      </c>
      <c r="D378" s="14">
        <f t="shared" si="30"/>
        <v>5</v>
      </c>
      <c r="E378" s="14">
        <f t="shared" si="31"/>
        <v>0.2</v>
      </c>
      <c r="F378" s="14">
        <f t="shared" si="32"/>
        <v>3</v>
      </c>
      <c r="G378" s="14">
        <f t="shared" si="33"/>
        <v>1.982696975670474</v>
      </c>
      <c r="H378" s="14">
        <f t="shared" si="34"/>
        <v>0.60000000000000009</v>
      </c>
      <c r="I378" s="14">
        <f t="shared" si="35"/>
        <v>0</v>
      </c>
      <c r="J378" s="15">
        <f>IF(CurrentMtgRatesDataTable8[[#This Row],[WA CC]]&lt;&gt;0,C377-CurrentMtgRatesDataTable8[[#This Row],[WA CC]],0)</f>
        <v>0</v>
      </c>
      <c r="K378" s="16">
        <f>IF(CurrentMtgRatesDataTable8[[#This Row],[Servicing Spread]]&lt;=0,K377,CurrentMtgRatesDataTable8[[#This Row],[Servicing Spread]])</f>
        <v>0.86603183508412407</v>
      </c>
      <c r="L378" s="16">
        <f>CurrentMtgRatesDataTable8[[#This Row],[Servicing Spread Non-Zero]]-K377</f>
        <v>0</v>
      </c>
      <c r="M378" s="16">
        <f>IF(I377&lt;&gt;0,CurrentMtgRatesDataTable8[[#This Row],[Rate]]-C377,M377)</f>
        <v>-0.10000000000000053</v>
      </c>
    </row>
    <row r="379" spans="1:13">
      <c r="A379" s="8" t="s">
        <v>239</v>
      </c>
      <c r="B379" s="11">
        <v>3.31544213268957</v>
      </c>
      <c r="C379" s="13">
        <v>4.1449999999999996</v>
      </c>
      <c r="D379" s="14">
        <f t="shared" si="30"/>
        <v>6</v>
      </c>
      <c r="E379" s="14">
        <f t="shared" si="31"/>
        <v>0.2</v>
      </c>
      <c r="F379" s="14">
        <f t="shared" si="32"/>
        <v>4</v>
      </c>
      <c r="G379" s="14">
        <f t="shared" si="33"/>
        <v>2.645785402208388</v>
      </c>
      <c r="H379" s="14">
        <f t="shared" si="34"/>
        <v>0.8</v>
      </c>
      <c r="I379" s="14">
        <f t="shared" si="35"/>
        <v>0</v>
      </c>
      <c r="J379" s="15">
        <f>IF(CurrentMtgRatesDataTable8[[#This Row],[WA CC]]&lt;&gt;0,C378-CurrentMtgRatesDataTable8[[#This Row],[WA CC]],0)</f>
        <v>0</v>
      </c>
      <c r="K379" s="16">
        <f>IF(CurrentMtgRatesDataTable8[[#This Row],[Servicing Spread]]&lt;=0,K378,CurrentMtgRatesDataTable8[[#This Row],[Servicing Spread]])</f>
        <v>0.86603183508412407</v>
      </c>
      <c r="L379" s="16">
        <f>CurrentMtgRatesDataTable8[[#This Row],[Servicing Spread Non-Zero]]-K378</f>
        <v>0</v>
      </c>
      <c r="M379" s="16">
        <f>IF(I378&lt;&gt;0,CurrentMtgRatesDataTable8[[#This Row],[Rate]]-C378,M378)</f>
        <v>-0.10000000000000053</v>
      </c>
    </row>
    <row r="380" spans="1:13">
      <c r="A380" s="8" t="s">
        <v>96</v>
      </c>
      <c r="B380" s="11">
        <v>3.3078730296866699</v>
      </c>
      <c r="C380" s="13">
        <v>4.1449999999999996</v>
      </c>
      <c r="D380" s="14">
        <f t="shared" si="30"/>
        <v>7</v>
      </c>
      <c r="E380" s="14">
        <f t="shared" si="31"/>
        <v>0.2</v>
      </c>
      <c r="F380" s="14">
        <f t="shared" si="32"/>
        <v>5</v>
      </c>
      <c r="G380" s="14">
        <f t="shared" si="33"/>
        <v>3.307360008145722</v>
      </c>
      <c r="H380" s="14">
        <f t="shared" si="34"/>
        <v>1</v>
      </c>
      <c r="I380" s="14">
        <f t="shared" si="35"/>
        <v>3.307360008145722</v>
      </c>
      <c r="J380" s="15">
        <f>IF(CurrentMtgRatesDataTable8[[#This Row],[WA CC]]&lt;&gt;0,C379-CurrentMtgRatesDataTable8[[#This Row],[WA CC]],0)</f>
        <v>0.83763999185427762</v>
      </c>
      <c r="K380" s="16">
        <f>IF(CurrentMtgRatesDataTable8[[#This Row],[Servicing Spread]]&lt;=0,K379,CurrentMtgRatesDataTable8[[#This Row],[Servicing Spread]])</f>
        <v>0.83763999185427762</v>
      </c>
      <c r="L380" s="16">
        <f>CurrentMtgRatesDataTable8[[#This Row],[Servicing Spread Non-Zero]]-K379</f>
        <v>-2.8391843229846447E-2</v>
      </c>
      <c r="M380" s="16">
        <f>IF(I379&lt;&gt;0,CurrentMtgRatesDataTable8[[#This Row],[Rate]]-C379,M379)</f>
        <v>-0.10000000000000053</v>
      </c>
    </row>
    <row r="381" spans="1:13">
      <c r="A381" s="8" t="s">
        <v>660</v>
      </c>
      <c r="B381" s="11">
        <v>3.2850779326666601</v>
      </c>
      <c r="C381" s="13">
        <v>4.1550000000000002</v>
      </c>
      <c r="D381" s="14">
        <f t="shared" si="30"/>
        <v>1</v>
      </c>
      <c r="E381" s="14">
        <f t="shared" si="31"/>
        <v>0.2</v>
      </c>
      <c r="F381" s="14">
        <f t="shared" si="32"/>
        <v>1</v>
      </c>
      <c r="G381" s="14">
        <f t="shared" si="33"/>
        <v>0.65701558653333203</v>
      </c>
      <c r="H381" s="14">
        <f t="shared" si="34"/>
        <v>0.2</v>
      </c>
      <c r="I381" s="14">
        <f t="shared" si="35"/>
        <v>0</v>
      </c>
      <c r="J381" s="15">
        <f>IF(CurrentMtgRatesDataTable8[[#This Row],[WA CC]]&lt;&gt;0,C380-CurrentMtgRatesDataTable8[[#This Row],[WA CC]],0)</f>
        <v>0</v>
      </c>
      <c r="K381" s="16">
        <f>IF(CurrentMtgRatesDataTable8[[#This Row],[Servicing Spread]]&lt;=0,K380,CurrentMtgRatesDataTable8[[#This Row],[Servicing Spread]])</f>
        <v>0.83763999185427762</v>
      </c>
      <c r="L381" s="16">
        <f>CurrentMtgRatesDataTable8[[#This Row],[Servicing Spread Non-Zero]]-K380</f>
        <v>0</v>
      </c>
      <c r="M381" s="16">
        <f>IF(I380&lt;&gt;0,CurrentMtgRatesDataTable8[[#This Row],[Rate]]-C380,M380)</f>
        <v>1.0000000000000675E-2</v>
      </c>
    </row>
    <row r="382" spans="1:13">
      <c r="A382" s="8" t="s">
        <v>518</v>
      </c>
      <c r="B382" s="11">
        <v>3.3143904621736602</v>
      </c>
      <c r="C382" s="13">
        <v>4.1550000000000002</v>
      </c>
      <c r="D382" s="14">
        <f t="shared" si="30"/>
        <v>2</v>
      </c>
      <c r="E382" s="14">
        <f t="shared" si="31"/>
        <v>0.2</v>
      </c>
      <c r="F382" s="14">
        <f t="shared" si="32"/>
        <v>2</v>
      </c>
      <c r="G382" s="14">
        <f t="shared" si="33"/>
        <v>1.319893678968064</v>
      </c>
      <c r="H382" s="14">
        <f t="shared" si="34"/>
        <v>0.4</v>
      </c>
      <c r="I382" s="14">
        <f t="shared" si="35"/>
        <v>0</v>
      </c>
      <c r="J382" s="15">
        <f>IF(CurrentMtgRatesDataTable8[[#This Row],[WA CC]]&lt;&gt;0,C381-CurrentMtgRatesDataTable8[[#This Row],[WA CC]],0)</f>
        <v>0</v>
      </c>
      <c r="K382" s="16">
        <f>IF(CurrentMtgRatesDataTable8[[#This Row],[Servicing Spread]]&lt;=0,K381,CurrentMtgRatesDataTable8[[#This Row],[Servicing Spread]])</f>
        <v>0.83763999185427762</v>
      </c>
      <c r="L382" s="16">
        <f>CurrentMtgRatesDataTable8[[#This Row],[Servicing Spread Non-Zero]]-K381</f>
        <v>0</v>
      </c>
      <c r="M382" s="16">
        <f>IF(I381&lt;&gt;0,CurrentMtgRatesDataTable8[[#This Row],[Rate]]-C381,M381)</f>
        <v>1.0000000000000675E-2</v>
      </c>
    </row>
    <row r="383" spans="1:13">
      <c r="A383" s="8" t="s">
        <v>377</v>
      </c>
      <c r="B383" s="11">
        <v>3.3152163432269299</v>
      </c>
      <c r="C383" s="13">
        <v>4.1550000000000002</v>
      </c>
      <c r="D383" s="14">
        <f t="shared" si="30"/>
        <v>5</v>
      </c>
      <c r="E383" s="14">
        <f t="shared" si="31"/>
        <v>0.2</v>
      </c>
      <c r="F383" s="14">
        <f t="shared" si="32"/>
        <v>3</v>
      </c>
      <c r="G383" s="14">
        <f t="shared" si="33"/>
        <v>1.98293694761345</v>
      </c>
      <c r="H383" s="14">
        <f t="shared" si="34"/>
        <v>0.60000000000000009</v>
      </c>
      <c r="I383" s="14">
        <f t="shared" si="35"/>
        <v>0</v>
      </c>
      <c r="J383" s="15">
        <f>IF(CurrentMtgRatesDataTable8[[#This Row],[WA CC]]&lt;&gt;0,C382-CurrentMtgRatesDataTable8[[#This Row],[WA CC]],0)</f>
        <v>0</v>
      </c>
      <c r="K383" s="16">
        <f>IF(CurrentMtgRatesDataTable8[[#This Row],[Servicing Spread]]&lt;=0,K382,CurrentMtgRatesDataTable8[[#This Row],[Servicing Spread]])</f>
        <v>0.83763999185427762</v>
      </c>
      <c r="L383" s="16">
        <f>CurrentMtgRatesDataTable8[[#This Row],[Servicing Spread Non-Zero]]-K382</f>
        <v>0</v>
      </c>
      <c r="M383" s="16">
        <f>IF(I382&lt;&gt;0,CurrentMtgRatesDataTable8[[#This Row],[Rate]]-C382,M382)</f>
        <v>1.0000000000000675E-2</v>
      </c>
    </row>
    <row r="384" spans="1:13">
      <c r="A384" s="8" t="s">
        <v>240</v>
      </c>
      <c r="B384" s="11">
        <v>3.32900541071837</v>
      </c>
      <c r="C384" s="13">
        <v>4.1550000000000002</v>
      </c>
      <c r="D384" s="14">
        <f t="shared" si="30"/>
        <v>6</v>
      </c>
      <c r="E384" s="14">
        <f t="shared" si="31"/>
        <v>0.2</v>
      </c>
      <c r="F384" s="14">
        <f t="shared" si="32"/>
        <v>4</v>
      </c>
      <c r="G384" s="14">
        <f t="shared" si="33"/>
        <v>2.6487380297571241</v>
      </c>
      <c r="H384" s="14">
        <f t="shared" si="34"/>
        <v>0.8</v>
      </c>
      <c r="I384" s="14">
        <f t="shared" si="35"/>
        <v>0</v>
      </c>
      <c r="J384" s="15">
        <f>IF(CurrentMtgRatesDataTable8[[#This Row],[WA CC]]&lt;&gt;0,C383-CurrentMtgRatesDataTable8[[#This Row],[WA CC]],0)</f>
        <v>0</v>
      </c>
      <c r="K384" s="16">
        <f>IF(CurrentMtgRatesDataTable8[[#This Row],[Servicing Spread]]&lt;=0,K383,CurrentMtgRatesDataTable8[[#This Row],[Servicing Spread]])</f>
        <v>0.83763999185427762</v>
      </c>
      <c r="L384" s="16">
        <f>CurrentMtgRatesDataTable8[[#This Row],[Servicing Spread Non-Zero]]-K383</f>
        <v>0</v>
      </c>
      <c r="M384" s="16">
        <f>IF(I383&lt;&gt;0,CurrentMtgRatesDataTable8[[#This Row],[Rate]]-C383,M383)</f>
        <v>1.0000000000000675E-2</v>
      </c>
    </row>
    <row r="385" spans="1:13">
      <c r="A385" s="8" t="s">
        <v>97</v>
      </c>
      <c r="B385" s="11">
        <v>3.3312145702916398</v>
      </c>
      <c r="C385" s="13">
        <v>4.1550000000000002</v>
      </c>
      <c r="D385" s="14">
        <f t="shared" si="30"/>
        <v>7</v>
      </c>
      <c r="E385" s="14">
        <f t="shared" si="31"/>
        <v>0.2</v>
      </c>
      <c r="F385" s="14">
        <f t="shared" si="32"/>
        <v>5</v>
      </c>
      <c r="G385" s="14">
        <f t="shared" si="33"/>
        <v>3.3149809438154523</v>
      </c>
      <c r="H385" s="14">
        <f t="shared" si="34"/>
        <v>1</v>
      </c>
      <c r="I385" s="14">
        <f t="shared" si="35"/>
        <v>3.3149809438154523</v>
      </c>
      <c r="J385" s="15">
        <f>IF(CurrentMtgRatesDataTable8[[#This Row],[WA CC]]&lt;&gt;0,C384-CurrentMtgRatesDataTable8[[#This Row],[WA CC]],0)</f>
        <v>0.84001905618454797</v>
      </c>
      <c r="K385" s="16">
        <f>IF(CurrentMtgRatesDataTable8[[#This Row],[Servicing Spread]]&lt;=0,K384,CurrentMtgRatesDataTable8[[#This Row],[Servicing Spread]])</f>
        <v>0.84001905618454797</v>
      </c>
      <c r="L385" s="16">
        <f>CurrentMtgRatesDataTable8[[#This Row],[Servicing Spread Non-Zero]]-K384</f>
        <v>2.3790643302703529E-3</v>
      </c>
      <c r="M385" s="16">
        <f>IF(I384&lt;&gt;0,CurrentMtgRatesDataTable8[[#This Row],[Rate]]-C384,M384)</f>
        <v>1.0000000000000675E-2</v>
      </c>
    </row>
    <row r="386" spans="1:13">
      <c r="A386" s="8" t="s">
        <v>661</v>
      </c>
      <c r="B386" s="11">
        <v>3.3459270723169801</v>
      </c>
      <c r="C386" s="13">
        <v>4.2050000000000001</v>
      </c>
      <c r="D386" s="14">
        <f t="shared" si="30"/>
        <v>1</v>
      </c>
      <c r="E386" s="14">
        <f t="shared" si="31"/>
        <v>0.2</v>
      </c>
      <c r="F386" s="14">
        <f t="shared" si="32"/>
        <v>1</v>
      </c>
      <c r="G386" s="14">
        <f t="shared" si="33"/>
        <v>0.66918541446339608</v>
      </c>
      <c r="H386" s="14">
        <f t="shared" si="34"/>
        <v>0.2</v>
      </c>
      <c r="I386" s="14">
        <f t="shared" si="35"/>
        <v>0</v>
      </c>
      <c r="J386" s="15">
        <f>IF(CurrentMtgRatesDataTable8[[#This Row],[WA CC]]&lt;&gt;0,C385-CurrentMtgRatesDataTable8[[#This Row],[WA CC]],0)</f>
        <v>0</v>
      </c>
      <c r="K386" s="16">
        <f>IF(CurrentMtgRatesDataTable8[[#This Row],[Servicing Spread]]&lt;=0,K385,CurrentMtgRatesDataTable8[[#This Row],[Servicing Spread]])</f>
        <v>0.84001905618454797</v>
      </c>
      <c r="L386" s="16">
        <f>CurrentMtgRatesDataTable8[[#This Row],[Servicing Spread Non-Zero]]-K385</f>
        <v>0</v>
      </c>
      <c r="M386" s="16">
        <f>IF(I385&lt;&gt;0,CurrentMtgRatesDataTable8[[#This Row],[Rate]]-C385,M385)</f>
        <v>4.9999999999999822E-2</v>
      </c>
    </row>
    <row r="387" spans="1:13">
      <c r="A387" s="8" t="s">
        <v>519</v>
      </c>
      <c r="B387" s="11">
        <v>3.3488826952464001</v>
      </c>
      <c r="C387" s="13">
        <v>4.2050000000000001</v>
      </c>
      <c r="D387" s="14">
        <f t="shared" si="30"/>
        <v>2</v>
      </c>
      <c r="E387" s="14">
        <f t="shared" si="31"/>
        <v>0.2</v>
      </c>
      <c r="F387" s="14">
        <f t="shared" si="32"/>
        <v>2</v>
      </c>
      <c r="G387" s="14">
        <f t="shared" si="33"/>
        <v>1.3389619535126762</v>
      </c>
      <c r="H387" s="14">
        <f t="shared" si="34"/>
        <v>0.4</v>
      </c>
      <c r="I387" s="14">
        <f t="shared" si="35"/>
        <v>0</v>
      </c>
      <c r="J387" s="15">
        <f>IF(CurrentMtgRatesDataTable8[[#This Row],[WA CC]]&lt;&gt;0,C386-CurrentMtgRatesDataTable8[[#This Row],[WA CC]],0)</f>
        <v>0</v>
      </c>
      <c r="K387" s="16">
        <f>IF(CurrentMtgRatesDataTable8[[#This Row],[Servicing Spread]]&lt;=0,K386,CurrentMtgRatesDataTable8[[#This Row],[Servicing Spread]])</f>
        <v>0.84001905618454797</v>
      </c>
      <c r="L387" s="16">
        <f>CurrentMtgRatesDataTable8[[#This Row],[Servicing Spread Non-Zero]]-K386</f>
        <v>0</v>
      </c>
      <c r="M387" s="16">
        <f>IF(I386&lt;&gt;0,CurrentMtgRatesDataTable8[[#This Row],[Rate]]-C386,M386)</f>
        <v>4.9999999999999822E-2</v>
      </c>
    </row>
    <row r="388" spans="1:13">
      <c r="A388" s="8" t="s">
        <v>241</v>
      </c>
      <c r="B388" s="11">
        <v>3.3897329963191098</v>
      </c>
      <c r="C388" s="13">
        <v>4.2050000000000001</v>
      </c>
      <c r="D388" s="14">
        <f t="shared" si="30"/>
        <v>6</v>
      </c>
      <c r="E388" s="14">
        <f t="shared" si="31"/>
        <v>0.2</v>
      </c>
      <c r="F388" s="14">
        <f t="shared" si="32"/>
        <v>3</v>
      </c>
      <c r="G388" s="14">
        <f t="shared" si="33"/>
        <v>2.0169085527764983</v>
      </c>
      <c r="H388" s="14">
        <f t="shared" si="34"/>
        <v>0.60000000000000009</v>
      </c>
      <c r="I388" s="14">
        <f t="shared" si="35"/>
        <v>0</v>
      </c>
      <c r="J388" s="15">
        <f>IF(CurrentMtgRatesDataTable8[[#This Row],[WA CC]]&lt;&gt;0,C387-CurrentMtgRatesDataTable8[[#This Row],[WA CC]],0)</f>
        <v>0</v>
      </c>
      <c r="K388" s="16">
        <f>IF(CurrentMtgRatesDataTable8[[#This Row],[Servicing Spread]]&lt;=0,K387,CurrentMtgRatesDataTable8[[#This Row],[Servicing Spread]])</f>
        <v>0.84001905618454797</v>
      </c>
      <c r="L388" s="16">
        <f>CurrentMtgRatesDataTable8[[#This Row],[Servicing Spread Non-Zero]]-K387</f>
        <v>0</v>
      </c>
      <c r="M388" s="16">
        <f>IF(I387&lt;&gt;0,CurrentMtgRatesDataTable8[[#This Row],[Rate]]-C387,M387)</f>
        <v>4.9999999999999822E-2</v>
      </c>
    </row>
    <row r="389" spans="1:13">
      <c r="A389" s="8" t="s">
        <v>98</v>
      </c>
      <c r="B389" s="11">
        <v>3.34533036324394</v>
      </c>
      <c r="C389" s="13">
        <v>4.2050000000000001</v>
      </c>
      <c r="D389" s="14">
        <f t="shared" ref="D389:D452" si="36">WEEKDAY(A389,14)</f>
        <v>7</v>
      </c>
      <c r="E389" s="14">
        <f t="shared" ref="E389:E452" si="37">VLOOKUP(D389,P$5:Q$11,2,FALSE)</f>
        <v>0.2</v>
      </c>
      <c r="F389" s="14">
        <f t="shared" ref="F389:F452" si="38">IF(AND(D389&gt;D388,F388&lt;6),F388+1,1)</f>
        <v>4</v>
      </c>
      <c r="G389" s="14">
        <f t="shared" ref="G389:G452" si="39">IF(F389&gt;F388,G388+B389*E389,B389*E389)</f>
        <v>2.6859746254252865</v>
      </c>
      <c r="H389" s="14">
        <f t="shared" ref="H389:H452" si="40">IF(AND(F389&lt;6,F389&gt;F388),E389+H388,E389)</f>
        <v>0.8</v>
      </c>
      <c r="I389" s="14">
        <f t="shared" ref="I389:I452" si="41">IF(F389&gt;F390,G389/H389,0)</f>
        <v>3.3574682817816082</v>
      </c>
      <c r="J389" s="15">
        <f>IF(CurrentMtgRatesDataTable8[[#This Row],[WA CC]]&lt;&gt;0,C388-CurrentMtgRatesDataTable8[[#This Row],[WA CC]],0)</f>
        <v>0.84753171821839191</v>
      </c>
      <c r="K389" s="16">
        <f>IF(CurrentMtgRatesDataTable8[[#This Row],[Servicing Spread]]&lt;=0,K388,CurrentMtgRatesDataTable8[[#This Row],[Servicing Spread]])</f>
        <v>0.84753171821839191</v>
      </c>
      <c r="L389" s="16">
        <f>CurrentMtgRatesDataTable8[[#This Row],[Servicing Spread Non-Zero]]-K388</f>
        <v>7.5126620338439309E-3</v>
      </c>
      <c r="M389" s="16">
        <f>IF(I388&lt;&gt;0,CurrentMtgRatesDataTable8[[#This Row],[Rate]]-C388,M388)</f>
        <v>4.9999999999999822E-2</v>
      </c>
    </row>
    <row r="390" spans="1:13">
      <c r="A390" s="8" t="s">
        <v>662</v>
      </c>
      <c r="B390" s="11">
        <v>3.2546149111271299</v>
      </c>
      <c r="C390" s="13">
        <v>4.08</v>
      </c>
      <c r="D390" s="14">
        <f t="shared" si="36"/>
        <v>1</v>
      </c>
      <c r="E390" s="14">
        <f t="shared" si="37"/>
        <v>0.2</v>
      </c>
      <c r="F390" s="14">
        <f t="shared" si="38"/>
        <v>1</v>
      </c>
      <c r="G390" s="14">
        <f t="shared" si="39"/>
        <v>0.65092298222542599</v>
      </c>
      <c r="H390" s="14">
        <f t="shared" si="40"/>
        <v>0.2</v>
      </c>
      <c r="I390" s="14">
        <f t="shared" si="41"/>
        <v>0</v>
      </c>
      <c r="J390" s="15">
        <f>IF(CurrentMtgRatesDataTable8[[#This Row],[WA CC]]&lt;&gt;0,C389-CurrentMtgRatesDataTable8[[#This Row],[WA CC]],0)</f>
        <v>0</v>
      </c>
      <c r="K390" s="16">
        <f>IF(CurrentMtgRatesDataTable8[[#This Row],[Servicing Spread]]&lt;=0,K389,CurrentMtgRatesDataTable8[[#This Row],[Servicing Spread]])</f>
        <v>0.84753171821839191</v>
      </c>
      <c r="L390" s="16">
        <f>CurrentMtgRatesDataTable8[[#This Row],[Servicing Spread Non-Zero]]-K389</f>
        <v>0</v>
      </c>
      <c r="M390" s="16">
        <f>IF(I389&lt;&gt;0,CurrentMtgRatesDataTable8[[#This Row],[Rate]]-C389,M389)</f>
        <v>-0.125</v>
      </c>
    </row>
    <row r="391" spans="1:13">
      <c r="A391" s="8" t="s">
        <v>520</v>
      </c>
      <c r="B391" s="11">
        <v>3.2585675716606302</v>
      </c>
      <c r="C391" s="13">
        <v>4.08</v>
      </c>
      <c r="D391" s="14">
        <f t="shared" si="36"/>
        <v>2</v>
      </c>
      <c r="E391" s="14">
        <f t="shared" si="37"/>
        <v>0.2</v>
      </c>
      <c r="F391" s="14">
        <f t="shared" si="38"/>
        <v>2</v>
      </c>
      <c r="G391" s="14">
        <f t="shared" si="39"/>
        <v>1.3026364965575521</v>
      </c>
      <c r="H391" s="14">
        <f t="shared" si="40"/>
        <v>0.4</v>
      </c>
      <c r="I391" s="14">
        <f t="shared" si="41"/>
        <v>0</v>
      </c>
      <c r="J391" s="15">
        <f>IF(CurrentMtgRatesDataTable8[[#This Row],[WA CC]]&lt;&gt;0,C390-CurrentMtgRatesDataTable8[[#This Row],[WA CC]],0)</f>
        <v>0</v>
      </c>
      <c r="K391" s="16">
        <f>IF(CurrentMtgRatesDataTable8[[#This Row],[Servicing Spread]]&lt;=0,K390,CurrentMtgRatesDataTable8[[#This Row],[Servicing Spread]])</f>
        <v>0.84753171821839191</v>
      </c>
      <c r="L391" s="16">
        <f>CurrentMtgRatesDataTable8[[#This Row],[Servicing Spread Non-Zero]]-K390</f>
        <v>0</v>
      </c>
      <c r="M391" s="16">
        <f>IF(I390&lt;&gt;0,CurrentMtgRatesDataTable8[[#This Row],[Rate]]-C390,M390)</f>
        <v>-0.125</v>
      </c>
    </row>
    <row r="392" spans="1:13">
      <c r="A392" s="8" t="s">
        <v>378</v>
      </c>
      <c r="B392" s="11">
        <v>3.2809533512237801</v>
      </c>
      <c r="C392" s="13">
        <v>4.08</v>
      </c>
      <c r="D392" s="14">
        <f t="shared" si="36"/>
        <v>5</v>
      </c>
      <c r="E392" s="14">
        <f t="shared" si="37"/>
        <v>0.2</v>
      </c>
      <c r="F392" s="14">
        <f t="shared" si="38"/>
        <v>3</v>
      </c>
      <c r="G392" s="14">
        <f t="shared" si="39"/>
        <v>1.9588271668023083</v>
      </c>
      <c r="H392" s="14">
        <f t="shared" si="40"/>
        <v>0.60000000000000009</v>
      </c>
      <c r="I392" s="14">
        <f t="shared" si="41"/>
        <v>0</v>
      </c>
      <c r="J392" s="15">
        <f>IF(CurrentMtgRatesDataTable8[[#This Row],[WA CC]]&lt;&gt;0,C391-CurrentMtgRatesDataTable8[[#This Row],[WA CC]],0)</f>
        <v>0</v>
      </c>
      <c r="K392" s="16">
        <f>IF(CurrentMtgRatesDataTable8[[#This Row],[Servicing Spread]]&lt;=0,K391,CurrentMtgRatesDataTable8[[#This Row],[Servicing Spread]])</f>
        <v>0.84753171821839191</v>
      </c>
      <c r="L392" s="16">
        <f>CurrentMtgRatesDataTable8[[#This Row],[Servicing Spread Non-Zero]]-K391</f>
        <v>0</v>
      </c>
      <c r="M392" s="16">
        <f>IF(I391&lt;&gt;0,CurrentMtgRatesDataTable8[[#This Row],[Rate]]-C391,M391)</f>
        <v>-0.125</v>
      </c>
    </row>
    <row r="393" spans="1:13">
      <c r="A393" s="8" t="s">
        <v>242</v>
      </c>
      <c r="B393" s="11">
        <v>3.18365964576661</v>
      </c>
      <c r="C393" s="13">
        <v>4.08</v>
      </c>
      <c r="D393" s="14">
        <f t="shared" si="36"/>
        <v>6</v>
      </c>
      <c r="E393" s="14">
        <f t="shared" si="37"/>
        <v>0.2</v>
      </c>
      <c r="F393" s="14">
        <f t="shared" si="38"/>
        <v>4</v>
      </c>
      <c r="G393" s="14">
        <f t="shared" si="39"/>
        <v>2.5955590959556303</v>
      </c>
      <c r="H393" s="14">
        <f t="shared" si="40"/>
        <v>0.8</v>
      </c>
      <c r="I393" s="14">
        <f t="shared" si="41"/>
        <v>0</v>
      </c>
      <c r="J393" s="15">
        <f>IF(CurrentMtgRatesDataTable8[[#This Row],[WA CC]]&lt;&gt;0,C392-CurrentMtgRatesDataTable8[[#This Row],[WA CC]],0)</f>
        <v>0</v>
      </c>
      <c r="K393" s="16">
        <f>IF(CurrentMtgRatesDataTable8[[#This Row],[Servicing Spread]]&lt;=0,K392,CurrentMtgRatesDataTable8[[#This Row],[Servicing Spread]])</f>
        <v>0.84753171821839191</v>
      </c>
      <c r="L393" s="16">
        <f>CurrentMtgRatesDataTable8[[#This Row],[Servicing Spread Non-Zero]]-K392</f>
        <v>0</v>
      </c>
      <c r="M393" s="16">
        <f>IF(I392&lt;&gt;0,CurrentMtgRatesDataTable8[[#This Row],[Rate]]-C392,M392)</f>
        <v>-0.125</v>
      </c>
    </row>
    <row r="394" spans="1:13">
      <c r="A394" s="8" t="s">
        <v>99</v>
      </c>
      <c r="B394" s="11">
        <v>3.1541714940092298</v>
      </c>
      <c r="C394" s="13">
        <v>4.08</v>
      </c>
      <c r="D394" s="14">
        <f t="shared" si="36"/>
        <v>7</v>
      </c>
      <c r="E394" s="14">
        <f t="shared" si="37"/>
        <v>0.2</v>
      </c>
      <c r="F394" s="14">
        <f t="shared" si="38"/>
        <v>5</v>
      </c>
      <c r="G394" s="14">
        <f t="shared" si="39"/>
        <v>3.2263933947574763</v>
      </c>
      <c r="H394" s="14">
        <f t="shared" si="40"/>
        <v>1</v>
      </c>
      <c r="I394" s="14">
        <f t="shared" si="41"/>
        <v>3.2263933947574763</v>
      </c>
      <c r="J394" s="15">
        <f>IF(CurrentMtgRatesDataTable8[[#This Row],[WA CC]]&lt;&gt;0,C393-CurrentMtgRatesDataTable8[[#This Row],[WA CC]],0)</f>
        <v>0.85360660524252374</v>
      </c>
      <c r="K394" s="16">
        <f>IF(CurrentMtgRatesDataTable8[[#This Row],[Servicing Spread]]&lt;=0,K393,CurrentMtgRatesDataTable8[[#This Row],[Servicing Spread]])</f>
        <v>0.85360660524252374</v>
      </c>
      <c r="L394" s="16">
        <f>CurrentMtgRatesDataTable8[[#This Row],[Servicing Spread Non-Zero]]-K393</f>
        <v>6.0748870241318365E-3</v>
      </c>
      <c r="M394" s="16">
        <f>IF(I393&lt;&gt;0,CurrentMtgRatesDataTable8[[#This Row],[Rate]]-C393,M393)</f>
        <v>-0.125</v>
      </c>
    </row>
    <row r="395" spans="1:13">
      <c r="A395" s="8" t="s">
        <v>663</v>
      </c>
      <c r="B395" s="11">
        <v>3.1772287212477002</v>
      </c>
      <c r="C395" s="13">
        <v>4.0249999999999995</v>
      </c>
      <c r="D395" s="14">
        <f t="shared" si="36"/>
        <v>1</v>
      </c>
      <c r="E395" s="14">
        <f t="shared" si="37"/>
        <v>0.2</v>
      </c>
      <c r="F395" s="14">
        <f t="shared" si="38"/>
        <v>1</v>
      </c>
      <c r="G395" s="14">
        <f t="shared" si="39"/>
        <v>0.63544574424954003</v>
      </c>
      <c r="H395" s="14">
        <f t="shared" si="40"/>
        <v>0.2</v>
      </c>
      <c r="I395" s="14">
        <f t="shared" si="41"/>
        <v>0</v>
      </c>
      <c r="J395" s="15">
        <f>IF(CurrentMtgRatesDataTable8[[#This Row],[WA CC]]&lt;&gt;0,C394-CurrentMtgRatesDataTable8[[#This Row],[WA CC]],0)</f>
        <v>0</v>
      </c>
      <c r="K395" s="16">
        <f>IF(CurrentMtgRatesDataTable8[[#This Row],[Servicing Spread]]&lt;=0,K394,CurrentMtgRatesDataTable8[[#This Row],[Servicing Spread]])</f>
        <v>0.85360660524252374</v>
      </c>
      <c r="L395" s="16">
        <f>CurrentMtgRatesDataTable8[[#This Row],[Servicing Spread Non-Zero]]-K394</f>
        <v>0</v>
      </c>
      <c r="M395" s="16">
        <f>IF(I394&lt;&gt;0,CurrentMtgRatesDataTable8[[#This Row],[Rate]]-C394,M394)</f>
        <v>-5.5000000000000604E-2</v>
      </c>
    </row>
    <row r="396" spans="1:13">
      <c r="A396" s="8" t="s">
        <v>521</v>
      </c>
      <c r="B396" s="11">
        <v>3.1521212861919801</v>
      </c>
      <c r="C396" s="13">
        <v>4.0249999999999995</v>
      </c>
      <c r="D396" s="14">
        <f t="shared" si="36"/>
        <v>2</v>
      </c>
      <c r="E396" s="14">
        <f t="shared" si="37"/>
        <v>0.2</v>
      </c>
      <c r="F396" s="14">
        <f t="shared" si="38"/>
        <v>2</v>
      </c>
      <c r="G396" s="14">
        <f t="shared" si="39"/>
        <v>1.265870001487936</v>
      </c>
      <c r="H396" s="14">
        <f t="shared" si="40"/>
        <v>0.4</v>
      </c>
      <c r="I396" s="14">
        <f t="shared" si="41"/>
        <v>0</v>
      </c>
      <c r="J396" s="15">
        <f>IF(CurrentMtgRatesDataTable8[[#This Row],[WA CC]]&lt;&gt;0,C395-CurrentMtgRatesDataTable8[[#This Row],[WA CC]],0)</f>
        <v>0</v>
      </c>
      <c r="K396" s="16">
        <f>IF(CurrentMtgRatesDataTable8[[#This Row],[Servicing Spread]]&lt;=0,K395,CurrentMtgRatesDataTable8[[#This Row],[Servicing Spread]])</f>
        <v>0.85360660524252374</v>
      </c>
      <c r="L396" s="16">
        <f>CurrentMtgRatesDataTable8[[#This Row],[Servicing Spread Non-Zero]]-K395</f>
        <v>0</v>
      </c>
      <c r="M396" s="16">
        <f>IF(I395&lt;&gt;0,CurrentMtgRatesDataTable8[[#This Row],[Rate]]-C395,M395)</f>
        <v>-5.5000000000000604E-2</v>
      </c>
    </row>
    <row r="397" spans="1:13">
      <c r="A397" s="8" t="s">
        <v>379</v>
      </c>
      <c r="B397" s="11">
        <v>3.1593236616906499</v>
      </c>
      <c r="C397" s="13">
        <v>4.0249999999999995</v>
      </c>
      <c r="D397" s="14">
        <f t="shared" si="36"/>
        <v>5</v>
      </c>
      <c r="E397" s="14">
        <f t="shared" si="37"/>
        <v>0.2</v>
      </c>
      <c r="F397" s="14">
        <f t="shared" si="38"/>
        <v>3</v>
      </c>
      <c r="G397" s="14">
        <f t="shared" si="39"/>
        <v>1.8977347338260659</v>
      </c>
      <c r="H397" s="14">
        <f t="shared" si="40"/>
        <v>0.60000000000000009</v>
      </c>
      <c r="I397" s="14">
        <f t="shared" si="41"/>
        <v>0</v>
      </c>
      <c r="J397" s="15">
        <f>IF(CurrentMtgRatesDataTable8[[#This Row],[WA CC]]&lt;&gt;0,C396-CurrentMtgRatesDataTable8[[#This Row],[WA CC]],0)</f>
        <v>0</v>
      </c>
      <c r="K397" s="16">
        <f>IF(CurrentMtgRatesDataTable8[[#This Row],[Servicing Spread]]&lt;=0,K396,CurrentMtgRatesDataTable8[[#This Row],[Servicing Spread]])</f>
        <v>0.85360660524252374</v>
      </c>
      <c r="L397" s="16">
        <f>CurrentMtgRatesDataTable8[[#This Row],[Servicing Spread Non-Zero]]-K396</f>
        <v>0</v>
      </c>
      <c r="M397" s="16">
        <f>IF(I396&lt;&gt;0,CurrentMtgRatesDataTable8[[#This Row],[Rate]]-C396,M396)</f>
        <v>-5.5000000000000604E-2</v>
      </c>
    </row>
    <row r="398" spans="1:13">
      <c r="A398" s="8" t="s">
        <v>243</v>
      </c>
      <c r="B398" s="11">
        <v>3.1543237441163701</v>
      </c>
      <c r="C398" s="13">
        <v>4.0249999999999995</v>
      </c>
      <c r="D398" s="14">
        <f t="shared" si="36"/>
        <v>6</v>
      </c>
      <c r="E398" s="14">
        <f t="shared" si="37"/>
        <v>0.2</v>
      </c>
      <c r="F398" s="14">
        <f t="shared" si="38"/>
        <v>4</v>
      </c>
      <c r="G398" s="14">
        <f t="shared" si="39"/>
        <v>2.5285994826493399</v>
      </c>
      <c r="H398" s="14">
        <f t="shared" si="40"/>
        <v>0.8</v>
      </c>
      <c r="I398" s="14">
        <f t="shared" si="41"/>
        <v>0</v>
      </c>
      <c r="J398" s="15">
        <f>IF(CurrentMtgRatesDataTable8[[#This Row],[WA CC]]&lt;&gt;0,C397-CurrentMtgRatesDataTable8[[#This Row],[WA CC]],0)</f>
        <v>0</v>
      </c>
      <c r="K398" s="16">
        <f>IF(CurrentMtgRatesDataTable8[[#This Row],[Servicing Spread]]&lt;=0,K397,CurrentMtgRatesDataTable8[[#This Row],[Servicing Spread]])</f>
        <v>0.85360660524252374</v>
      </c>
      <c r="L398" s="16">
        <f>CurrentMtgRatesDataTable8[[#This Row],[Servicing Spread Non-Zero]]-K397</f>
        <v>0</v>
      </c>
      <c r="M398" s="16">
        <f>IF(I397&lt;&gt;0,CurrentMtgRatesDataTable8[[#This Row],[Rate]]-C397,M397)</f>
        <v>-5.5000000000000604E-2</v>
      </c>
    </row>
    <row r="399" spans="1:13">
      <c r="A399" s="8" t="s">
        <v>100</v>
      </c>
      <c r="B399" s="11">
        <v>3.1611386444386498</v>
      </c>
      <c r="C399" s="13">
        <v>4.0249999999999995</v>
      </c>
      <c r="D399" s="14">
        <f t="shared" si="36"/>
        <v>7</v>
      </c>
      <c r="E399" s="14">
        <f t="shared" si="37"/>
        <v>0.2</v>
      </c>
      <c r="F399" s="14">
        <f t="shared" si="38"/>
        <v>5</v>
      </c>
      <c r="G399" s="14">
        <f t="shared" si="39"/>
        <v>3.1608272115370699</v>
      </c>
      <c r="H399" s="14">
        <f t="shared" si="40"/>
        <v>1</v>
      </c>
      <c r="I399" s="14">
        <f t="shared" si="41"/>
        <v>3.1608272115370699</v>
      </c>
      <c r="J399" s="15">
        <f>IF(CurrentMtgRatesDataTable8[[#This Row],[WA CC]]&lt;&gt;0,C398-CurrentMtgRatesDataTable8[[#This Row],[WA CC]],0)</f>
        <v>0.86417278846292955</v>
      </c>
      <c r="K399" s="16">
        <f>IF(CurrentMtgRatesDataTable8[[#This Row],[Servicing Spread]]&lt;=0,K398,CurrentMtgRatesDataTable8[[#This Row],[Servicing Spread]])</f>
        <v>0.86417278846292955</v>
      </c>
      <c r="L399" s="16">
        <f>CurrentMtgRatesDataTable8[[#This Row],[Servicing Spread Non-Zero]]-K398</f>
        <v>1.0566183220405811E-2</v>
      </c>
      <c r="M399" s="16">
        <f>IF(I398&lt;&gt;0,CurrentMtgRatesDataTable8[[#This Row],[Rate]]-C398,M398)</f>
        <v>-5.5000000000000604E-2</v>
      </c>
    </row>
    <row r="400" spans="1:13">
      <c r="A400" s="8" t="s">
        <v>664</v>
      </c>
      <c r="B400" s="11">
        <v>3.1803565883984102</v>
      </c>
      <c r="C400" s="13">
        <v>4.1100000000000003</v>
      </c>
      <c r="D400" s="14">
        <f t="shared" si="36"/>
        <v>1</v>
      </c>
      <c r="E400" s="14">
        <f t="shared" si="37"/>
        <v>0.2</v>
      </c>
      <c r="F400" s="14">
        <f t="shared" si="38"/>
        <v>1</v>
      </c>
      <c r="G400" s="14">
        <f t="shared" si="39"/>
        <v>0.63607131767968206</v>
      </c>
      <c r="H400" s="14">
        <f t="shared" si="40"/>
        <v>0.2</v>
      </c>
      <c r="I400" s="14">
        <f t="shared" si="41"/>
        <v>0</v>
      </c>
      <c r="J400" s="15">
        <f>IF(CurrentMtgRatesDataTable8[[#This Row],[WA CC]]&lt;&gt;0,C399-CurrentMtgRatesDataTable8[[#This Row],[WA CC]],0)</f>
        <v>0</v>
      </c>
      <c r="K400" s="16">
        <f>IF(CurrentMtgRatesDataTable8[[#This Row],[Servicing Spread]]&lt;=0,K399,CurrentMtgRatesDataTable8[[#This Row],[Servicing Spread]])</f>
        <v>0.86417278846292955</v>
      </c>
      <c r="L400" s="16">
        <f>CurrentMtgRatesDataTable8[[#This Row],[Servicing Spread Non-Zero]]-K399</f>
        <v>0</v>
      </c>
      <c r="M400" s="16">
        <f>IF(I399&lt;&gt;0,CurrentMtgRatesDataTable8[[#This Row],[Rate]]-C399,M399)</f>
        <v>8.5000000000000853E-2</v>
      </c>
    </row>
    <row r="401" spans="1:13">
      <c r="A401" s="8" t="s">
        <v>522</v>
      </c>
      <c r="B401" s="11">
        <v>3.25928309164834</v>
      </c>
      <c r="C401" s="13">
        <v>4.1100000000000003</v>
      </c>
      <c r="D401" s="14">
        <f t="shared" si="36"/>
        <v>2</v>
      </c>
      <c r="E401" s="14">
        <f t="shared" si="37"/>
        <v>0.2</v>
      </c>
      <c r="F401" s="14">
        <f t="shared" si="38"/>
        <v>2</v>
      </c>
      <c r="G401" s="14">
        <f t="shared" si="39"/>
        <v>1.2879279360093501</v>
      </c>
      <c r="H401" s="14">
        <f t="shared" si="40"/>
        <v>0.4</v>
      </c>
      <c r="I401" s="14">
        <f t="shared" si="41"/>
        <v>0</v>
      </c>
      <c r="J401" s="15">
        <f>IF(CurrentMtgRatesDataTable8[[#This Row],[WA CC]]&lt;&gt;0,C400-CurrentMtgRatesDataTable8[[#This Row],[WA CC]],0)</f>
        <v>0</v>
      </c>
      <c r="K401" s="16">
        <f>IF(CurrentMtgRatesDataTable8[[#This Row],[Servicing Spread]]&lt;=0,K400,CurrentMtgRatesDataTable8[[#This Row],[Servicing Spread]])</f>
        <v>0.86417278846292955</v>
      </c>
      <c r="L401" s="16">
        <f>CurrentMtgRatesDataTable8[[#This Row],[Servicing Spread Non-Zero]]-K400</f>
        <v>0</v>
      </c>
      <c r="M401" s="16">
        <f>IF(I400&lt;&gt;0,CurrentMtgRatesDataTable8[[#This Row],[Rate]]-C400,M400)</f>
        <v>8.5000000000000853E-2</v>
      </c>
    </row>
    <row r="402" spans="1:13">
      <c r="A402" s="8" t="s">
        <v>380</v>
      </c>
      <c r="B402" s="11">
        <v>3.2387584524434998</v>
      </c>
      <c r="C402" s="13">
        <v>4.1100000000000003</v>
      </c>
      <c r="D402" s="14">
        <f t="shared" si="36"/>
        <v>5</v>
      </c>
      <c r="E402" s="14">
        <f t="shared" si="37"/>
        <v>0.2</v>
      </c>
      <c r="F402" s="14">
        <f t="shared" si="38"/>
        <v>3</v>
      </c>
      <c r="G402" s="14">
        <f t="shared" si="39"/>
        <v>1.93567962649805</v>
      </c>
      <c r="H402" s="14">
        <f t="shared" si="40"/>
        <v>0.60000000000000009</v>
      </c>
      <c r="I402" s="14">
        <f t="shared" si="41"/>
        <v>0</v>
      </c>
      <c r="J402" s="15">
        <f>IF(CurrentMtgRatesDataTable8[[#This Row],[WA CC]]&lt;&gt;0,C401-CurrentMtgRatesDataTable8[[#This Row],[WA CC]],0)</f>
        <v>0</v>
      </c>
      <c r="K402" s="16">
        <f>IF(CurrentMtgRatesDataTable8[[#This Row],[Servicing Spread]]&lt;=0,K401,CurrentMtgRatesDataTable8[[#This Row],[Servicing Spread]])</f>
        <v>0.86417278846292955</v>
      </c>
      <c r="L402" s="16">
        <f>CurrentMtgRatesDataTable8[[#This Row],[Servicing Spread Non-Zero]]-K401</f>
        <v>0</v>
      </c>
      <c r="M402" s="16">
        <f>IF(I401&lt;&gt;0,CurrentMtgRatesDataTable8[[#This Row],[Rate]]-C401,M401)</f>
        <v>8.5000000000000853E-2</v>
      </c>
    </row>
    <row r="403" spans="1:13">
      <c r="A403" s="8" t="s">
        <v>244</v>
      </c>
      <c r="B403" s="11">
        <v>3.31200880777374</v>
      </c>
      <c r="C403" s="13">
        <v>4.1100000000000003</v>
      </c>
      <c r="D403" s="14">
        <f t="shared" si="36"/>
        <v>6</v>
      </c>
      <c r="E403" s="14">
        <f t="shared" si="37"/>
        <v>0.2</v>
      </c>
      <c r="F403" s="14">
        <f t="shared" si="38"/>
        <v>4</v>
      </c>
      <c r="G403" s="14">
        <f t="shared" si="39"/>
        <v>2.598081388052798</v>
      </c>
      <c r="H403" s="14">
        <f t="shared" si="40"/>
        <v>0.8</v>
      </c>
      <c r="I403" s="14">
        <f t="shared" si="41"/>
        <v>0</v>
      </c>
      <c r="J403" s="15">
        <f>IF(CurrentMtgRatesDataTable8[[#This Row],[WA CC]]&lt;&gt;0,C402-CurrentMtgRatesDataTable8[[#This Row],[WA CC]],0)</f>
        <v>0</v>
      </c>
      <c r="K403" s="16">
        <f>IF(CurrentMtgRatesDataTable8[[#This Row],[Servicing Spread]]&lt;=0,K402,CurrentMtgRatesDataTable8[[#This Row],[Servicing Spread]])</f>
        <v>0.86417278846292955</v>
      </c>
      <c r="L403" s="16">
        <f>CurrentMtgRatesDataTable8[[#This Row],[Servicing Spread Non-Zero]]-K402</f>
        <v>0</v>
      </c>
      <c r="M403" s="16">
        <f>IF(I402&lt;&gt;0,CurrentMtgRatesDataTable8[[#This Row],[Rate]]-C402,M402)</f>
        <v>8.5000000000000853E-2</v>
      </c>
    </row>
    <row r="404" spans="1:13">
      <c r="A404" s="8" t="s">
        <v>101</v>
      </c>
      <c r="B404" s="11">
        <v>3.2997347907142101</v>
      </c>
      <c r="C404" s="13">
        <v>4.1100000000000003</v>
      </c>
      <c r="D404" s="14">
        <f t="shared" si="36"/>
        <v>7</v>
      </c>
      <c r="E404" s="14">
        <f t="shared" si="37"/>
        <v>0.2</v>
      </c>
      <c r="F404" s="14">
        <f t="shared" si="38"/>
        <v>5</v>
      </c>
      <c r="G404" s="14">
        <f t="shared" si="39"/>
        <v>3.2580283461956401</v>
      </c>
      <c r="H404" s="14">
        <f t="shared" si="40"/>
        <v>1</v>
      </c>
      <c r="I404" s="14">
        <f t="shared" si="41"/>
        <v>3.2580283461956401</v>
      </c>
      <c r="J404" s="15">
        <f>IF(CurrentMtgRatesDataTable8[[#This Row],[WA CC]]&lt;&gt;0,C403-CurrentMtgRatesDataTable8[[#This Row],[WA CC]],0)</f>
        <v>0.85197165380436024</v>
      </c>
      <c r="K404" s="16">
        <f>IF(CurrentMtgRatesDataTable8[[#This Row],[Servicing Spread]]&lt;=0,K403,CurrentMtgRatesDataTable8[[#This Row],[Servicing Spread]])</f>
        <v>0.85197165380436024</v>
      </c>
      <c r="L404" s="16">
        <f>CurrentMtgRatesDataTable8[[#This Row],[Servicing Spread Non-Zero]]-K403</f>
        <v>-1.2201134658569313E-2</v>
      </c>
      <c r="M404" s="16">
        <f>IF(I403&lt;&gt;0,CurrentMtgRatesDataTable8[[#This Row],[Rate]]-C403,M403)</f>
        <v>8.5000000000000853E-2</v>
      </c>
    </row>
    <row r="405" spans="1:13">
      <c r="A405" s="8" t="s">
        <v>665</v>
      </c>
      <c r="B405" s="11">
        <v>3.2915305734964</v>
      </c>
      <c r="C405" s="13">
        <v>4.2749999999999995</v>
      </c>
      <c r="D405" s="14">
        <f t="shared" si="36"/>
        <v>1</v>
      </c>
      <c r="E405" s="14">
        <f t="shared" si="37"/>
        <v>0.2</v>
      </c>
      <c r="F405" s="14">
        <f t="shared" si="38"/>
        <v>1</v>
      </c>
      <c r="G405" s="14">
        <f t="shared" si="39"/>
        <v>0.65830611469928002</v>
      </c>
      <c r="H405" s="14">
        <f t="shared" si="40"/>
        <v>0.2</v>
      </c>
      <c r="I405" s="14">
        <f t="shared" si="41"/>
        <v>0</v>
      </c>
      <c r="J405" s="15">
        <f>IF(CurrentMtgRatesDataTable8[[#This Row],[WA CC]]&lt;&gt;0,C404-CurrentMtgRatesDataTable8[[#This Row],[WA CC]],0)</f>
        <v>0</v>
      </c>
      <c r="K405" s="16">
        <f>IF(CurrentMtgRatesDataTable8[[#This Row],[Servicing Spread]]&lt;=0,K404,CurrentMtgRatesDataTable8[[#This Row],[Servicing Spread]])</f>
        <v>0.85197165380436024</v>
      </c>
      <c r="L405" s="16">
        <f>CurrentMtgRatesDataTable8[[#This Row],[Servicing Spread Non-Zero]]-K404</f>
        <v>0</v>
      </c>
      <c r="M405" s="16">
        <f>IF(I404&lt;&gt;0,CurrentMtgRatesDataTable8[[#This Row],[Rate]]-C404,M404)</f>
        <v>0.16499999999999915</v>
      </c>
    </row>
    <row r="406" spans="1:13">
      <c r="A406" s="8" t="s">
        <v>523</v>
      </c>
      <c r="B406" s="11">
        <v>3.4185329478981301</v>
      </c>
      <c r="C406" s="13">
        <v>4.2749999999999995</v>
      </c>
      <c r="D406" s="14">
        <f t="shared" si="36"/>
        <v>2</v>
      </c>
      <c r="E406" s="14">
        <f t="shared" si="37"/>
        <v>0.2</v>
      </c>
      <c r="F406" s="14">
        <f t="shared" si="38"/>
        <v>2</v>
      </c>
      <c r="G406" s="14">
        <f t="shared" si="39"/>
        <v>1.3420127042789061</v>
      </c>
      <c r="H406" s="14">
        <f t="shared" si="40"/>
        <v>0.4</v>
      </c>
      <c r="I406" s="14">
        <f t="shared" si="41"/>
        <v>0</v>
      </c>
      <c r="J406" s="15">
        <f>IF(CurrentMtgRatesDataTable8[[#This Row],[WA CC]]&lt;&gt;0,C405-CurrentMtgRatesDataTable8[[#This Row],[WA CC]],0)</f>
        <v>0</v>
      </c>
      <c r="K406" s="16">
        <f>IF(CurrentMtgRatesDataTable8[[#This Row],[Servicing Spread]]&lt;=0,K405,CurrentMtgRatesDataTable8[[#This Row],[Servicing Spread]])</f>
        <v>0.85197165380436024</v>
      </c>
      <c r="L406" s="16">
        <f>CurrentMtgRatesDataTable8[[#This Row],[Servicing Spread Non-Zero]]-K405</f>
        <v>0</v>
      </c>
      <c r="M406" s="16">
        <f>IF(I405&lt;&gt;0,CurrentMtgRatesDataTable8[[#This Row],[Rate]]-C405,M405)</f>
        <v>0.16499999999999915</v>
      </c>
    </row>
    <row r="407" spans="1:13">
      <c r="A407" s="8" t="s">
        <v>245</v>
      </c>
      <c r="B407" s="11">
        <v>3.42394236396553</v>
      </c>
      <c r="C407" s="13">
        <v>4.2749999999999995</v>
      </c>
      <c r="D407" s="14">
        <f t="shared" si="36"/>
        <v>6</v>
      </c>
      <c r="E407" s="14">
        <f t="shared" si="37"/>
        <v>0.2</v>
      </c>
      <c r="F407" s="14">
        <f t="shared" si="38"/>
        <v>3</v>
      </c>
      <c r="G407" s="14">
        <f t="shared" si="39"/>
        <v>2.026801177072012</v>
      </c>
      <c r="H407" s="14">
        <f t="shared" si="40"/>
        <v>0.60000000000000009</v>
      </c>
      <c r="I407" s="14">
        <f t="shared" si="41"/>
        <v>0</v>
      </c>
      <c r="J407" s="15">
        <f>IF(CurrentMtgRatesDataTable8[[#This Row],[WA CC]]&lt;&gt;0,C406-CurrentMtgRatesDataTable8[[#This Row],[WA CC]],0)</f>
        <v>0</v>
      </c>
      <c r="K407" s="16">
        <f>IF(CurrentMtgRatesDataTable8[[#This Row],[Servicing Spread]]&lt;=0,K406,CurrentMtgRatesDataTable8[[#This Row],[Servicing Spread]])</f>
        <v>0.85197165380436024</v>
      </c>
      <c r="L407" s="16">
        <f>CurrentMtgRatesDataTable8[[#This Row],[Servicing Spread Non-Zero]]-K406</f>
        <v>0</v>
      </c>
      <c r="M407" s="16">
        <f>IF(I406&lt;&gt;0,CurrentMtgRatesDataTable8[[#This Row],[Rate]]-C406,M406)</f>
        <v>0.16499999999999915</v>
      </c>
    </row>
    <row r="408" spans="1:13">
      <c r="A408" s="8" t="s">
        <v>102</v>
      </c>
      <c r="B408" s="11">
        <v>3.3863287913399098</v>
      </c>
      <c r="C408" s="13">
        <v>4.2749999999999995</v>
      </c>
      <c r="D408" s="14">
        <f t="shared" si="36"/>
        <v>7</v>
      </c>
      <c r="E408" s="14">
        <f t="shared" si="37"/>
        <v>0.2</v>
      </c>
      <c r="F408" s="14">
        <f t="shared" si="38"/>
        <v>4</v>
      </c>
      <c r="G408" s="14">
        <f t="shared" si="39"/>
        <v>2.704066935339994</v>
      </c>
      <c r="H408" s="14">
        <f t="shared" si="40"/>
        <v>0.8</v>
      </c>
      <c r="I408" s="14">
        <f t="shared" si="41"/>
        <v>3.3800836691749923</v>
      </c>
      <c r="J408" s="15">
        <f>IF(CurrentMtgRatesDataTable8[[#This Row],[WA CC]]&lt;&gt;0,C407-CurrentMtgRatesDataTable8[[#This Row],[WA CC]],0)</f>
        <v>0.89491633082500721</v>
      </c>
      <c r="K408" s="16">
        <f>IF(CurrentMtgRatesDataTable8[[#This Row],[Servicing Spread]]&lt;=0,K407,CurrentMtgRatesDataTable8[[#This Row],[Servicing Spread]])</f>
        <v>0.89491633082500721</v>
      </c>
      <c r="L408" s="16">
        <f>CurrentMtgRatesDataTable8[[#This Row],[Servicing Spread Non-Zero]]-K407</f>
        <v>4.2944677020646971E-2</v>
      </c>
      <c r="M408" s="16">
        <f>IF(I407&lt;&gt;0,CurrentMtgRatesDataTable8[[#This Row],[Rate]]-C407,M407)</f>
        <v>0.16499999999999915</v>
      </c>
    </row>
    <row r="409" spans="1:13">
      <c r="A409" s="8" t="s">
        <v>666</v>
      </c>
      <c r="B409" s="11">
        <v>3.33440232330382</v>
      </c>
      <c r="C409" s="13">
        <v>4.1449999999999996</v>
      </c>
      <c r="D409" s="14">
        <f t="shared" si="36"/>
        <v>1</v>
      </c>
      <c r="E409" s="14">
        <f t="shared" si="37"/>
        <v>0.2</v>
      </c>
      <c r="F409" s="14">
        <f t="shared" si="38"/>
        <v>1</v>
      </c>
      <c r="G409" s="14">
        <f t="shared" si="39"/>
        <v>0.66688046466076401</v>
      </c>
      <c r="H409" s="14">
        <f t="shared" si="40"/>
        <v>0.2</v>
      </c>
      <c r="I409" s="14">
        <f t="shared" si="41"/>
        <v>0</v>
      </c>
      <c r="J409" s="15">
        <f>IF(CurrentMtgRatesDataTable8[[#This Row],[WA CC]]&lt;&gt;0,C408-CurrentMtgRatesDataTable8[[#This Row],[WA CC]],0)</f>
        <v>0</v>
      </c>
      <c r="K409" s="16">
        <f>IF(CurrentMtgRatesDataTable8[[#This Row],[Servicing Spread]]&lt;=0,K408,CurrentMtgRatesDataTable8[[#This Row],[Servicing Spread]])</f>
        <v>0.89491633082500721</v>
      </c>
      <c r="L409" s="16">
        <f>CurrentMtgRatesDataTable8[[#This Row],[Servicing Spread Non-Zero]]-K408</f>
        <v>0</v>
      </c>
      <c r="M409" s="16">
        <f>IF(I408&lt;&gt;0,CurrentMtgRatesDataTable8[[#This Row],[Rate]]-C408,M408)</f>
        <v>-0.12999999999999989</v>
      </c>
    </row>
    <row r="410" spans="1:13">
      <c r="A410" s="8" t="s">
        <v>524</v>
      </c>
      <c r="B410" s="11">
        <v>3.3274975263328299</v>
      </c>
      <c r="C410" s="13">
        <v>4.1449999999999996</v>
      </c>
      <c r="D410" s="14">
        <f t="shared" si="36"/>
        <v>2</v>
      </c>
      <c r="E410" s="14">
        <f t="shared" si="37"/>
        <v>0.2</v>
      </c>
      <c r="F410" s="14">
        <f t="shared" si="38"/>
        <v>2</v>
      </c>
      <c r="G410" s="14">
        <f t="shared" si="39"/>
        <v>1.33237996992733</v>
      </c>
      <c r="H410" s="14">
        <f t="shared" si="40"/>
        <v>0.4</v>
      </c>
      <c r="I410" s="14">
        <f t="shared" si="41"/>
        <v>0</v>
      </c>
      <c r="J410" s="15">
        <f>IF(CurrentMtgRatesDataTable8[[#This Row],[WA CC]]&lt;&gt;0,C409-CurrentMtgRatesDataTable8[[#This Row],[WA CC]],0)</f>
        <v>0</v>
      </c>
      <c r="K410" s="16">
        <f>IF(CurrentMtgRatesDataTable8[[#This Row],[Servicing Spread]]&lt;=0,K409,CurrentMtgRatesDataTable8[[#This Row],[Servicing Spread]])</f>
        <v>0.89491633082500721</v>
      </c>
      <c r="L410" s="16">
        <f>CurrentMtgRatesDataTable8[[#This Row],[Servicing Spread Non-Zero]]-K409</f>
        <v>0</v>
      </c>
      <c r="M410" s="16">
        <f>IF(I409&lt;&gt;0,CurrentMtgRatesDataTable8[[#This Row],[Rate]]-C409,M409)</f>
        <v>-0.12999999999999989</v>
      </c>
    </row>
    <row r="411" spans="1:13">
      <c r="A411" s="8" t="s">
        <v>381</v>
      </c>
      <c r="B411" s="11">
        <v>3.2892170945558501</v>
      </c>
      <c r="C411" s="13">
        <v>4.1449999999999996</v>
      </c>
      <c r="D411" s="14">
        <f t="shared" si="36"/>
        <v>5</v>
      </c>
      <c r="E411" s="14">
        <f t="shared" si="37"/>
        <v>0.2</v>
      </c>
      <c r="F411" s="14">
        <f t="shared" si="38"/>
        <v>3</v>
      </c>
      <c r="G411" s="14">
        <f t="shared" si="39"/>
        <v>1.9902233888384999</v>
      </c>
      <c r="H411" s="14">
        <f t="shared" si="40"/>
        <v>0.60000000000000009</v>
      </c>
      <c r="I411" s="14">
        <f t="shared" si="41"/>
        <v>0</v>
      </c>
      <c r="J411" s="15">
        <f>IF(CurrentMtgRatesDataTable8[[#This Row],[WA CC]]&lt;&gt;0,C410-CurrentMtgRatesDataTable8[[#This Row],[WA CC]],0)</f>
        <v>0</v>
      </c>
      <c r="K411" s="16">
        <f>IF(CurrentMtgRatesDataTable8[[#This Row],[Servicing Spread]]&lt;=0,K410,CurrentMtgRatesDataTable8[[#This Row],[Servicing Spread]])</f>
        <v>0.89491633082500721</v>
      </c>
      <c r="L411" s="16">
        <f>CurrentMtgRatesDataTable8[[#This Row],[Servicing Spread Non-Zero]]-K410</f>
        <v>0</v>
      </c>
      <c r="M411" s="16">
        <f>IF(I410&lt;&gt;0,CurrentMtgRatesDataTable8[[#This Row],[Rate]]-C410,M410)</f>
        <v>-0.12999999999999989</v>
      </c>
    </row>
    <row r="412" spans="1:13">
      <c r="A412" s="8" t="s">
        <v>246</v>
      </c>
      <c r="B412" s="11">
        <v>3.3249162804545902</v>
      </c>
      <c r="C412" s="13">
        <v>4.1449999999999996</v>
      </c>
      <c r="D412" s="14">
        <f t="shared" si="36"/>
        <v>6</v>
      </c>
      <c r="E412" s="14">
        <f t="shared" si="37"/>
        <v>0.2</v>
      </c>
      <c r="F412" s="14">
        <f t="shared" si="38"/>
        <v>4</v>
      </c>
      <c r="G412" s="14">
        <f t="shared" si="39"/>
        <v>2.655206644929418</v>
      </c>
      <c r="H412" s="14">
        <f t="shared" si="40"/>
        <v>0.8</v>
      </c>
      <c r="I412" s="14">
        <f t="shared" si="41"/>
        <v>0</v>
      </c>
      <c r="J412" s="15">
        <f>IF(CurrentMtgRatesDataTable8[[#This Row],[WA CC]]&lt;&gt;0,C411-CurrentMtgRatesDataTable8[[#This Row],[WA CC]],0)</f>
        <v>0</v>
      </c>
      <c r="K412" s="16">
        <f>IF(CurrentMtgRatesDataTable8[[#This Row],[Servicing Spread]]&lt;=0,K411,CurrentMtgRatesDataTable8[[#This Row],[Servicing Spread]])</f>
        <v>0.89491633082500721</v>
      </c>
      <c r="L412" s="16">
        <f>CurrentMtgRatesDataTable8[[#This Row],[Servicing Spread Non-Zero]]-K411</f>
        <v>0</v>
      </c>
      <c r="M412" s="16">
        <f>IF(I411&lt;&gt;0,CurrentMtgRatesDataTable8[[#This Row],[Rate]]-C411,M411)</f>
        <v>-0.12999999999999989</v>
      </c>
    </row>
    <row r="413" spans="1:13">
      <c r="A413" s="8" t="s">
        <v>103</v>
      </c>
      <c r="B413" s="11">
        <v>3.3953888640544201</v>
      </c>
      <c r="C413" s="13">
        <v>4.1449999999999996</v>
      </c>
      <c r="D413" s="14">
        <f t="shared" si="36"/>
        <v>7</v>
      </c>
      <c r="E413" s="14">
        <f t="shared" si="37"/>
        <v>0.2</v>
      </c>
      <c r="F413" s="14">
        <f t="shared" si="38"/>
        <v>5</v>
      </c>
      <c r="G413" s="14">
        <f t="shared" si="39"/>
        <v>3.3342844177403022</v>
      </c>
      <c r="H413" s="14">
        <f t="shared" si="40"/>
        <v>1</v>
      </c>
      <c r="I413" s="14">
        <f t="shared" si="41"/>
        <v>3.3342844177403022</v>
      </c>
      <c r="J413" s="15">
        <f>IF(CurrentMtgRatesDataTable8[[#This Row],[WA CC]]&lt;&gt;0,C412-CurrentMtgRatesDataTable8[[#This Row],[WA CC]],0)</f>
        <v>0.81071558225969742</v>
      </c>
      <c r="K413" s="16">
        <f>IF(CurrentMtgRatesDataTable8[[#This Row],[Servicing Spread]]&lt;=0,K412,CurrentMtgRatesDataTable8[[#This Row],[Servicing Spread]])</f>
        <v>0.81071558225969742</v>
      </c>
      <c r="L413" s="16">
        <f>CurrentMtgRatesDataTable8[[#This Row],[Servicing Spread Non-Zero]]-K412</f>
        <v>-8.4200748565309791E-2</v>
      </c>
      <c r="M413" s="16">
        <f>IF(I412&lt;&gt;0,CurrentMtgRatesDataTable8[[#This Row],[Rate]]-C412,M412)</f>
        <v>-0.12999999999999989</v>
      </c>
    </row>
    <row r="414" spans="1:13">
      <c r="A414" s="8" t="s">
        <v>103</v>
      </c>
      <c r="B414" s="11">
        <v>3.3953888640544201</v>
      </c>
      <c r="C414" s="13">
        <v>4.2149999999999999</v>
      </c>
      <c r="D414" s="14">
        <f t="shared" si="36"/>
        <v>7</v>
      </c>
      <c r="E414" s="14">
        <f t="shared" si="37"/>
        <v>0.2</v>
      </c>
      <c r="F414" s="14">
        <f t="shared" si="38"/>
        <v>1</v>
      </c>
      <c r="G414" s="14">
        <f t="shared" si="39"/>
        <v>0.67907777281088411</v>
      </c>
      <c r="H414" s="14">
        <f t="shared" si="40"/>
        <v>0.2</v>
      </c>
      <c r="I414" s="14">
        <f t="shared" si="41"/>
        <v>0</v>
      </c>
      <c r="J414" s="15">
        <f>IF(CurrentMtgRatesDataTable8[[#This Row],[WA CC]]&lt;&gt;0,C413-CurrentMtgRatesDataTable8[[#This Row],[WA CC]],0)</f>
        <v>0</v>
      </c>
      <c r="K414" s="16">
        <f>IF(CurrentMtgRatesDataTable8[[#This Row],[Servicing Spread]]&lt;=0,K413,CurrentMtgRatesDataTable8[[#This Row],[Servicing Spread]])</f>
        <v>0.81071558225969742</v>
      </c>
      <c r="L414" s="16">
        <f>CurrentMtgRatesDataTable8[[#This Row],[Servicing Spread Non-Zero]]-K413</f>
        <v>0</v>
      </c>
      <c r="M414" s="16">
        <f>IF(I413&lt;&gt;0,CurrentMtgRatesDataTable8[[#This Row],[Rate]]-C413,M413)</f>
        <v>7.0000000000000284E-2</v>
      </c>
    </row>
    <row r="415" spans="1:13">
      <c r="A415" s="8" t="s">
        <v>525</v>
      </c>
      <c r="B415" s="11">
        <v>3.3902241574747198</v>
      </c>
      <c r="C415" s="13">
        <v>4.2149999999999999</v>
      </c>
      <c r="D415" s="14">
        <f t="shared" si="36"/>
        <v>1</v>
      </c>
      <c r="E415" s="14">
        <f t="shared" si="37"/>
        <v>0.2</v>
      </c>
      <c r="F415" s="14">
        <f t="shared" si="38"/>
        <v>1</v>
      </c>
      <c r="G415" s="14">
        <f t="shared" si="39"/>
        <v>0.67804483149494399</v>
      </c>
      <c r="H415" s="14">
        <f t="shared" si="40"/>
        <v>0.2</v>
      </c>
      <c r="I415" s="14">
        <f t="shared" si="41"/>
        <v>0</v>
      </c>
      <c r="J415" s="15">
        <f>IF(CurrentMtgRatesDataTable8[[#This Row],[WA CC]]&lt;&gt;0,C414-CurrentMtgRatesDataTable8[[#This Row],[WA CC]],0)</f>
        <v>0</v>
      </c>
      <c r="K415" s="16">
        <f>IF(CurrentMtgRatesDataTable8[[#This Row],[Servicing Spread]]&lt;=0,K414,CurrentMtgRatesDataTable8[[#This Row],[Servicing Spread]])</f>
        <v>0.81071558225969742</v>
      </c>
      <c r="L415" s="16">
        <f>CurrentMtgRatesDataTable8[[#This Row],[Servicing Spread Non-Zero]]-K414</f>
        <v>0</v>
      </c>
      <c r="M415" s="16">
        <f>IF(I414&lt;&gt;0,CurrentMtgRatesDataTable8[[#This Row],[Rate]]-C414,M414)</f>
        <v>7.0000000000000284E-2</v>
      </c>
    </row>
    <row r="416" spans="1:13">
      <c r="A416" s="8" t="s">
        <v>437</v>
      </c>
      <c r="B416" s="11">
        <v>3.3765717476056198</v>
      </c>
      <c r="C416" s="13">
        <v>4.2149999999999999</v>
      </c>
      <c r="D416" s="14">
        <f t="shared" si="36"/>
        <v>2</v>
      </c>
      <c r="E416" s="14">
        <f t="shared" si="37"/>
        <v>0.2</v>
      </c>
      <c r="F416" s="14">
        <f t="shared" si="38"/>
        <v>2</v>
      </c>
      <c r="G416" s="14">
        <f t="shared" si="39"/>
        <v>1.3533591810160681</v>
      </c>
      <c r="H416" s="14">
        <f t="shared" si="40"/>
        <v>0.4</v>
      </c>
      <c r="I416" s="14">
        <f t="shared" si="41"/>
        <v>0</v>
      </c>
      <c r="J416" s="15">
        <f>IF(CurrentMtgRatesDataTable8[[#This Row],[WA CC]]&lt;&gt;0,C415-CurrentMtgRatesDataTable8[[#This Row],[WA CC]],0)</f>
        <v>0</v>
      </c>
      <c r="K416" s="16">
        <f>IF(CurrentMtgRatesDataTable8[[#This Row],[Servicing Spread]]&lt;=0,K415,CurrentMtgRatesDataTable8[[#This Row],[Servicing Spread]])</f>
        <v>0.81071558225969742</v>
      </c>
      <c r="L416" s="16">
        <f>CurrentMtgRatesDataTable8[[#This Row],[Servicing Spread Non-Zero]]-K415</f>
        <v>0</v>
      </c>
      <c r="M416" s="16">
        <f>IF(I415&lt;&gt;0,CurrentMtgRatesDataTable8[[#This Row],[Rate]]-C415,M415)</f>
        <v>7.0000000000000284E-2</v>
      </c>
    </row>
    <row r="417" spans="1:13">
      <c r="A417" s="8" t="s">
        <v>247</v>
      </c>
      <c r="B417" s="11">
        <v>3.3786024673164099</v>
      </c>
      <c r="C417" s="13">
        <v>4.2149999999999999</v>
      </c>
      <c r="D417" s="14">
        <f t="shared" si="36"/>
        <v>5</v>
      </c>
      <c r="E417" s="14">
        <f t="shared" si="37"/>
        <v>0.2</v>
      </c>
      <c r="F417" s="14">
        <f t="shared" si="38"/>
        <v>3</v>
      </c>
      <c r="G417" s="14">
        <f t="shared" si="39"/>
        <v>2.02907967447935</v>
      </c>
      <c r="H417" s="14">
        <f t="shared" si="40"/>
        <v>0.60000000000000009</v>
      </c>
      <c r="I417" s="14">
        <f t="shared" si="41"/>
        <v>0</v>
      </c>
      <c r="J417" s="15">
        <f>IF(CurrentMtgRatesDataTable8[[#This Row],[WA CC]]&lt;&gt;0,C416-CurrentMtgRatesDataTable8[[#This Row],[WA CC]],0)</f>
        <v>0</v>
      </c>
      <c r="K417" s="16">
        <f>IF(CurrentMtgRatesDataTable8[[#This Row],[Servicing Spread]]&lt;=0,K416,CurrentMtgRatesDataTable8[[#This Row],[Servicing Spread]])</f>
        <v>0.81071558225969742</v>
      </c>
      <c r="L417" s="16">
        <f>CurrentMtgRatesDataTable8[[#This Row],[Servicing Spread Non-Zero]]-K416</f>
        <v>0</v>
      </c>
      <c r="M417" s="16">
        <f>IF(I416&lt;&gt;0,CurrentMtgRatesDataTable8[[#This Row],[Rate]]-C416,M416)</f>
        <v>7.0000000000000284E-2</v>
      </c>
    </row>
    <row r="418" spans="1:13">
      <c r="A418" s="8" t="s">
        <v>104</v>
      </c>
      <c r="B418" s="11">
        <v>3.36567559686896</v>
      </c>
      <c r="C418" s="13">
        <v>4.2149999999999999</v>
      </c>
      <c r="D418" s="14">
        <f t="shared" si="36"/>
        <v>6</v>
      </c>
      <c r="E418" s="14">
        <f t="shared" si="37"/>
        <v>0.2</v>
      </c>
      <c r="F418" s="14">
        <f t="shared" si="38"/>
        <v>4</v>
      </c>
      <c r="G418" s="14">
        <f t="shared" si="39"/>
        <v>2.702214793853142</v>
      </c>
      <c r="H418" s="14">
        <f t="shared" si="40"/>
        <v>0.8</v>
      </c>
      <c r="I418" s="14">
        <f t="shared" si="41"/>
        <v>3.3777684923164273</v>
      </c>
      <c r="J418" s="15">
        <f>IF(CurrentMtgRatesDataTable8[[#This Row],[WA CC]]&lt;&gt;0,C417-CurrentMtgRatesDataTable8[[#This Row],[WA CC]],0)</f>
        <v>0.83723150768357257</v>
      </c>
      <c r="K418" s="16">
        <f>IF(CurrentMtgRatesDataTable8[[#This Row],[Servicing Spread]]&lt;=0,K417,CurrentMtgRatesDataTable8[[#This Row],[Servicing Spread]])</f>
        <v>0.83723150768357257</v>
      </c>
      <c r="L418" s="16">
        <f>CurrentMtgRatesDataTable8[[#This Row],[Servicing Spread Non-Zero]]-K417</f>
        <v>2.6515925423875153E-2</v>
      </c>
      <c r="M418" s="16">
        <f>IF(I417&lt;&gt;0,CurrentMtgRatesDataTable8[[#This Row],[Rate]]-C417,M417)</f>
        <v>7.0000000000000284E-2</v>
      </c>
    </row>
    <row r="419" spans="1:13">
      <c r="A419" s="8" t="s">
        <v>526</v>
      </c>
      <c r="B419" s="11">
        <v>3.4152065149267101</v>
      </c>
      <c r="C419" s="13">
        <v>4.335</v>
      </c>
      <c r="D419" s="14">
        <f t="shared" si="36"/>
        <v>2</v>
      </c>
      <c r="E419" s="14">
        <f t="shared" si="37"/>
        <v>0.2</v>
      </c>
      <c r="F419" s="14">
        <f t="shared" si="38"/>
        <v>1</v>
      </c>
      <c r="G419" s="14">
        <f t="shared" si="39"/>
        <v>0.68304130298534205</v>
      </c>
      <c r="H419" s="14">
        <f t="shared" si="40"/>
        <v>0.2</v>
      </c>
      <c r="I419" s="14">
        <f t="shared" si="41"/>
        <v>0</v>
      </c>
      <c r="J419" s="15">
        <f>IF(CurrentMtgRatesDataTable8[[#This Row],[WA CC]]&lt;&gt;0,C418-CurrentMtgRatesDataTable8[[#This Row],[WA CC]],0)</f>
        <v>0</v>
      </c>
      <c r="K419" s="16">
        <f>IF(CurrentMtgRatesDataTable8[[#This Row],[Servicing Spread]]&lt;=0,K418,CurrentMtgRatesDataTable8[[#This Row],[Servicing Spread]])</f>
        <v>0.83723150768357257</v>
      </c>
      <c r="L419" s="16">
        <f>CurrentMtgRatesDataTable8[[#This Row],[Servicing Spread Non-Zero]]-K418</f>
        <v>0</v>
      </c>
      <c r="M419" s="16">
        <f>IF(I418&lt;&gt;0,CurrentMtgRatesDataTable8[[#This Row],[Rate]]-C418,M418)</f>
        <v>0.12000000000000011</v>
      </c>
    </row>
    <row r="420" spans="1:13">
      <c r="A420" s="8" t="s">
        <v>382</v>
      </c>
      <c r="B420" s="11">
        <v>3.48278493540972</v>
      </c>
      <c r="C420" s="13">
        <v>4.335</v>
      </c>
      <c r="D420" s="14">
        <f t="shared" si="36"/>
        <v>5</v>
      </c>
      <c r="E420" s="14">
        <f t="shared" si="37"/>
        <v>0.2</v>
      </c>
      <c r="F420" s="14">
        <f t="shared" si="38"/>
        <v>2</v>
      </c>
      <c r="G420" s="14">
        <f t="shared" si="39"/>
        <v>1.3795982900672861</v>
      </c>
      <c r="H420" s="14">
        <f t="shared" si="40"/>
        <v>0.4</v>
      </c>
      <c r="I420" s="14">
        <f t="shared" si="41"/>
        <v>0</v>
      </c>
      <c r="J420" s="15">
        <f>IF(CurrentMtgRatesDataTable8[[#This Row],[WA CC]]&lt;&gt;0,C419-CurrentMtgRatesDataTable8[[#This Row],[WA CC]],0)</f>
        <v>0</v>
      </c>
      <c r="K420" s="16">
        <f>IF(CurrentMtgRatesDataTable8[[#This Row],[Servicing Spread]]&lt;=0,K419,CurrentMtgRatesDataTable8[[#This Row],[Servicing Spread]])</f>
        <v>0.83723150768357257</v>
      </c>
      <c r="L420" s="16">
        <f>CurrentMtgRatesDataTable8[[#This Row],[Servicing Spread Non-Zero]]-K419</f>
        <v>0</v>
      </c>
      <c r="M420" s="16">
        <f>IF(I419&lt;&gt;0,CurrentMtgRatesDataTable8[[#This Row],[Rate]]-C419,M419)</f>
        <v>0.12000000000000011</v>
      </c>
    </row>
    <row r="421" spans="1:13">
      <c r="A421" s="8" t="s">
        <v>248</v>
      </c>
      <c r="B421" s="11">
        <v>3.4820134464127701</v>
      </c>
      <c r="C421" s="13">
        <v>4.335</v>
      </c>
      <c r="D421" s="14">
        <f t="shared" si="36"/>
        <v>6</v>
      </c>
      <c r="E421" s="14">
        <f t="shared" si="37"/>
        <v>0.2</v>
      </c>
      <c r="F421" s="14">
        <f t="shared" si="38"/>
        <v>3</v>
      </c>
      <c r="G421" s="14">
        <f t="shared" si="39"/>
        <v>2.07600097934984</v>
      </c>
      <c r="H421" s="14">
        <f t="shared" si="40"/>
        <v>0.60000000000000009</v>
      </c>
      <c r="I421" s="14">
        <f t="shared" si="41"/>
        <v>0</v>
      </c>
      <c r="J421" s="15">
        <f>IF(CurrentMtgRatesDataTable8[[#This Row],[WA CC]]&lt;&gt;0,C420-CurrentMtgRatesDataTable8[[#This Row],[WA CC]],0)</f>
        <v>0</v>
      </c>
      <c r="K421" s="16">
        <f>IF(CurrentMtgRatesDataTable8[[#This Row],[Servicing Spread]]&lt;=0,K420,CurrentMtgRatesDataTable8[[#This Row],[Servicing Spread]])</f>
        <v>0.83723150768357257</v>
      </c>
      <c r="L421" s="16">
        <f>CurrentMtgRatesDataTable8[[#This Row],[Servicing Spread Non-Zero]]-K420</f>
        <v>0</v>
      </c>
      <c r="M421" s="16">
        <f>IF(I420&lt;&gt;0,CurrentMtgRatesDataTable8[[#This Row],[Rate]]-C420,M420)</f>
        <v>0.12000000000000011</v>
      </c>
    </row>
    <row r="422" spans="1:13">
      <c r="A422" s="8" t="s">
        <v>105</v>
      </c>
      <c r="B422" s="11">
        <v>3.53796119815684</v>
      </c>
      <c r="C422" s="13">
        <v>4.335</v>
      </c>
      <c r="D422" s="14">
        <f t="shared" si="36"/>
        <v>7</v>
      </c>
      <c r="E422" s="14">
        <f t="shared" si="37"/>
        <v>0.2</v>
      </c>
      <c r="F422" s="14">
        <f t="shared" si="38"/>
        <v>4</v>
      </c>
      <c r="G422" s="14">
        <f t="shared" si="39"/>
        <v>2.783593218981208</v>
      </c>
      <c r="H422" s="14">
        <f t="shared" si="40"/>
        <v>0.8</v>
      </c>
      <c r="I422" s="14">
        <f t="shared" si="41"/>
        <v>3.47949152372651</v>
      </c>
      <c r="J422" s="15">
        <f>IF(CurrentMtgRatesDataTable8[[#This Row],[WA CC]]&lt;&gt;0,C421-CurrentMtgRatesDataTable8[[#This Row],[WA CC]],0)</f>
        <v>0.85550847627348992</v>
      </c>
      <c r="K422" s="16">
        <f>IF(CurrentMtgRatesDataTable8[[#This Row],[Servicing Spread]]&lt;=0,K421,CurrentMtgRatesDataTable8[[#This Row],[Servicing Spread]])</f>
        <v>0.85550847627348992</v>
      </c>
      <c r="L422" s="16">
        <f>CurrentMtgRatesDataTable8[[#This Row],[Servicing Spread Non-Zero]]-K421</f>
        <v>1.8276968589917342E-2</v>
      </c>
      <c r="M422" s="16">
        <f>IF(I421&lt;&gt;0,CurrentMtgRatesDataTable8[[#This Row],[Rate]]-C421,M421)</f>
        <v>0.12000000000000011</v>
      </c>
    </row>
    <row r="423" spans="1:13">
      <c r="A423" s="8" t="s">
        <v>667</v>
      </c>
      <c r="B423" s="11">
        <v>3.5521293611692002</v>
      </c>
      <c r="C423" s="13">
        <v>4.3449999999999998</v>
      </c>
      <c r="D423" s="14">
        <f t="shared" si="36"/>
        <v>1</v>
      </c>
      <c r="E423" s="14">
        <f t="shared" si="37"/>
        <v>0.2</v>
      </c>
      <c r="F423" s="14">
        <f t="shared" si="38"/>
        <v>1</v>
      </c>
      <c r="G423" s="14">
        <f t="shared" si="39"/>
        <v>0.71042587223384013</v>
      </c>
      <c r="H423" s="14">
        <f t="shared" si="40"/>
        <v>0.2</v>
      </c>
      <c r="I423" s="14">
        <f t="shared" si="41"/>
        <v>0</v>
      </c>
      <c r="J423" s="15">
        <f>IF(CurrentMtgRatesDataTable8[[#This Row],[WA CC]]&lt;&gt;0,C422-CurrentMtgRatesDataTable8[[#This Row],[WA CC]],0)</f>
        <v>0</v>
      </c>
      <c r="K423" s="16">
        <f>IF(CurrentMtgRatesDataTable8[[#This Row],[Servicing Spread]]&lt;=0,K422,CurrentMtgRatesDataTable8[[#This Row],[Servicing Spread]])</f>
        <v>0.85550847627348992</v>
      </c>
      <c r="L423" s="16">
        <f>CurrentMtgRatesDataTable8[[#This Row],[Servicing Spread Non-Zero]]-K422</f>
        <v>0</v>
      </c>
      <c r="M423" s="16">
        <f>IF(I422&lt;&gt;0,CurrentMtgRatesDataTable8[[#This Row],[Rate]]-C422,M422)</f>
        <v>9.9999999999997868E-3</v>
      </c>
    </row>
    <row r="424" spans="1:13">
      <c r="A424" s="8" t="s">
        <v>527</v>
      </c>
      <c r="B424" s="11">
        <v>3.5357721713068302</v>
      </c>
      <c r="C424" s="13">
        <v>4.3449999999999998</v>
      </c>
      <c r="D424" s="14">
        <f t="shared" si="36"/>
        <v>2</v>
      </c>
      <c r="E424" s="14">
        <f t="shared" si="37"/>
        <v>0.2</v>
      </c>
      <c r="F424" s="14">
        <f t="shared" si="38"/>
        <v>2</v>
      </c>
      <c r="G424" s="14">
        <f t="shared" si="39"/>
        <v>1.4175803064952062</v>
      </c>
      <c r="H424" s="14">
        <f t="shared" si="40"/>
        <v>0.4</v>
      </c>
      <c r="I424" s="14">
        <f t="shared" si="41"/>
        <v>0</v>
      </c>
      <c r="J424" s="15">
        <f>IF(CurrentMtgRatesDataTable8[[#This Row],[WA CC]]&lt;&gt;0,C423-CurrentMtgRatesDataTable8[[#This Row],[WA CC]],0)</f>
        <v>0</v>
      </c>
      <c r="K424" s="16">
        <f>IF(CurrentMtgRatesDataTable8[[#This Row],[Servicing Spread]]&lt;=0,K423,CurrentMtgRatesDataTable8[[#This Row],[Servicing Spread]])</f>
        <v>0.85550847627348992</v>
      </c>
      <c r="L424" s="16">
        <f>CurrentMtgRatesDataTable8[[#This Row],[Servicing Spread Non-Zero]]-K423</f>
        <v>0</v>
      </c>
      <c r="M424" s="16">
        <f>IF(I423&lt;&gt;0,CurrentMtgRatesDataTable8[[#This Row],[Rate]]-C423,M423)</f>
        <v>9.9999999999997868E-3</v>
      </c>
    </row>
    <row r="425" spans="1:13">
      <c r="A425" s="8" t="s">
        <v>383</v>
      </c>
      <c r="B425" s="11">
        <v>3.5044888951704301</v>
      </c>
      <c r="C425" s="13">
        <v>4.3449999999999998</v>
      </c>
      <c r="D425" s="14">
        <f t="shared" si="36"/>
        <v>5</v>
      </c>
      <c r="E425" s="14">
        <f t="shared" si="37"/>
        <v>0.2</v>
      </c>
      <c r="F425" s="14">
        <f t="shared" si="38"/>
        <v>3</v>
      </c>
      <c r="G425" s="14">
        <f t="shared" si="39"/>
        <v>2.1184780855292922</v>
      </c>
      <c r="H425" s="14">
        <f t="shared" si="40"/>
        <v>0.60000000000000009</v>
      </c>
      <c r="I425" s="14">
        <f t="shared" si="41"/>
        <v>0</v>
      </c>
      <c r="J425" s="15">
        <f>IF(CurrentMtgRatesDataTable8[[#This Row],[WA CC]]&lt;&gt;0,C424-CurrentMtgRatesDataTable8[[#This Row],[WA CC]],0)</f>
        <v>0</v>
      </c>
      <c r="K425" s="16">
        <f>IF(CurrentMtgRatesDataTable8[[#This Row],[Servicing Spread]]&lt;=0,K424,CurrentMtgRatesDataTable8[[#This Row],[Servicing Spread]])</f>
        <v>0.85550847627348992</v>
      </c>
      <c r="L425" s="16">
        <f>CurrentMtgRatesDataTable8[[#This Row],[Servicing Spread Non-Zero]]-K424</f>
        <v>0</v>
      </c>
      <c r="M425" s="16">
        <f>IF(I424&lt;&gt;0,CurrentMtgRatesDataTable8[[#This Row],[Rate]]-C424,M424)</f>
        <v>9.9999999999997868E-3</v>
      </c>
    </row>
    <row r="426" spans="1:13">
      <c r="A426" s="8" t="s">
        <v>249</v>
      </c>
      <c r="B426" s="11">
        <v>3.46476327795386</v>
      </c>
      <c r="C426" s="13">
        <v>4.3449999999999998</v>
      </c>
      <c r="D426" s="14">
        <f t="shared" si="36"/>
        <v>6</v>
      </c>
      <c r="E426" s="14">
        <f t="shared" si="37"/>
        <v>0.2</v>
      </c>
      <c r="F426" s="14">
        <f t="shared" si="38"/>
        <v>4</v>
      </c>
      <c r="G426" s="14">
        <f t="shared" si="39"/>
        <v>2.8114307411200641</v>
      </c>
      <c r="H426" s="14">
        <f t="shared" si="40"/>
        <v>0.8</v>
      </c>
      <c r="I426" s="14">
        <f t="shared" si="41"/>
        <v>0</v>
      </c>
      <c r="J426" s="15">
        <f>IF(CurrentMtgRatesDataTable8[[#This Row],[WA CC]]&lt;&gt;0,C425-CurrentMtgRatesDataTable8[[#This Row],[WA CC]],0)</f>
        <v>0</v>
      </c>
      <c r="K426" s="16">
        <f>IF(CurrentMtgRatesDataTable8[[#This Row],[Servicing Spread]]&lt;=0,K425,CurrentMtgRatesDataTable8[[#This Row],[Servicing Spread]])</f>
        <v>0.85550847627348992</v>
      </c>
      <c r="L426" s="16">
        <f>CurrentMtgRatesDataTable8[[#This Row],[Servicing Spread Non-Zero]]-K425</f>
        <v>0</v>
      </c>
      <c r="M426" s="16">
        <f>IF(I425&lt;&gt;0,CurrentMtgRatesDataTable8[[#This Row],[Rate]]-C425,M425)</f>
        <v>9.9999999999997868E-3</v>
      </c>
    </row>
    <row r="427" spans="1:13">
      <c r="A427" s="8" t="s">
        <v>106</v>
      </c>
      <c r="B427" s="11">
        <v>3.5156873221910101</v>
      </c>
      <c r="C427" s="13">
        <v>4.3449999999999998</v>
      </c>
      <c r="D427" s="14">
        <f t="shared" si="36"/>
        <v>7</v>
      </c>
      <c r="E427" s="14">
        <f t="shared" si="37"/>
        <v>0.2</v>
      </c>
      <c r="F427" s="14">
        <f t="shared" si="38"/>
        <v>5</v>
      </c>
      <c r="G427" s="14">
        <f t="shared" si="39"/>
        <v>3.5145682055582661</v>
      </c>
      <c r="H427" s="14">
        <f t="shared" si="40"/>
        <v>1</v>
      </c>
      <c r="I427" s="14">
        <f t="shared" si="41"/>
        <v>3.5145682055582661</v>
      </c>
      <c r="J427" s="15">
        <f>IF(CurrentMtgRatesDataTable8[[#This Row],[WA CC]]&lt;&gt;0,C426-CurrentMtgRatesDataTable8[[#This Row],[WA CC]],0)</f>
        <v>0.83043179444173365</v>
      </c>
      <c r="K427" s="16">
        <f>IF(CurrentMtgRatesDataTable8[[#This Row],[Servicing Spread]]&lt;=0,K426,CurrentMtgRatesDataTable8[[#This Row],[Servicing Spread]])</f>
        <v>0.83043179444173365</v>
      </c>
      <c r="L427" s="16">
        <f>CurrentMtgRatesDataTable8[[#This Row],[Servicing Spread Non-Zero]]-K426</f>
        <v>-2.5076681831756265E-2</v>
      </c>
      <c r="M427" s="16">
        <f>IF(I426&lt;&gt;0,CurrentMtgRatesDataTable8[[#This Row],[Rate]]-C426,M426)</f>
        <v>9.9999999999997868E-3</v>
      </c>
    </row>
    <row r="428" spans="1:13">
      <c r="A428" s="8" t="s">
        <v>668</v>
      </c>
      <c r="B428" s="11">
        <v>3.5427546786903199</v>
      </c>
      <c r="C428" s="13">
        <v>4.3949999999999996</v>
      </c>
      <c r="D428" s="14">
        <f t="shared" si="36"/>
        <v>1</v>
      </c>
      <c r="E428" s="14">
        <f t="shared" si="37"/>
        <v>0.2</v>
      </c>
      <c r="F428" s="14">
        <f t="shared" si="38"/>
        <v>1</v>
      </c>
      <c r="G428" s="14">
        <f t="shared" si="39"/>
        <v>0.70855093573806405</v>
      </c>
      <c r="H428" s="14">
        <f t="shared" si="40"/>
        <v>0.2</v>
      </c>
      <c r="I428" s="14">
        <f t="shared" si="41"/>
        <v>0</v>
      </c>
      <c r="J428" s="15">
        <f>IF(CurrentMtgRatesDataTable8[[#This Row],[WA CC]]&lt;&gt;0,C427-CurrentMtgRatesDataTable8[[#This Row],[WA CC]],0)</f>
        <v>0</v>
      </c>
      <c r="K428" s="16">
        <f>IF(CurrentMtgRatesDataTable8[[#This Row],[Servicing Spread]]&lt;=0,K427,CurrentMtgRatesDataTable8[[#This Row],[Servicing Spread]])</f>
        <v>0.83043179444173365</v>
      </c>
      <c r="L428" s="16">
        <f>CurrentMtgRatesDataTable8[[#This Row],[Servicing Spread Non-Zero]]-K427</f>
        <v>0</v>
      </c>
      <c r="M428" s="16">
        <f>IF(I427&lt;&gt;0,CurrentMtgRatesDataTable8[[#This Row],[Rate]]-C427,M427)</f>
        <v>4.9999999999999822E-2</v>
      </c>
    </row>
    <row r="429" spans="1:13">
      <c r="A429" s="8" t="s">
        <v>528</v>
      </c>
      <c r="B429" s="11">
        <v>3.5290996894050202</v>
      </c>
      <c r="C429" s="13">
        <v>4.3949999999999996</v>
      </c>
      <c r="D429" s="14">
        <f t="shared" si="36"/>
        <v>2</v>
      </c>
      <c r="E429" s="14">
        <f t="shared" si="37"/>
        <v>0.2</v>
      </c>
      <c r="F429" s="14">
        <f t="shared" si="38"/>
        <v>2</v>
      </c>
      <c r="G429" s="14">
        <f t="shared" si="39"/>
        <v>1.4143708736190681</v>
      </c>
      <c r="H429" s="14">
        <f t="shared" si="40"/>
        <v>0.4</v>
      </c>
      <c r="I429" s="14">
        <f t="shared" si="41"/>
        <v>0</v>
      </c>
      <c r="J429" s="15">
        <f>IF(CurrentMtgRatesDataTable8[[#This Row],[WA CC]]&lt;&gt;0,C428-CurrentMtgRatesDataTable8[[#This Row],[WA CC]],0)</f>
        <v>0</v>
      </c>
      <c r="K429" s="16">
        <f>IF(CurrentMtgRatesDataTable8[[#This Row],[Servicing Spread]]&lt;=0,K428,CurrentMtgRatesDataTable8[[#This Row],[Servicing Spread]])</f>
        <v>0.83043179444173365</v>
      </c>
      <c r="L429" s="16">
        <f>CurrentMtgRatesDataTable8[[#This Row],[Servicing Spread Non-Zero]]-K428</f>
        <v>0</v>
      </c>
      <c r="M429" s="16">
        <f>IF(I428&lt;&gt;0,CurrentMtgRatesDataTable8[[#This Row],[Rate]]-C428,M428)</f>
        <v>4.9999999999999822E-2</v>
      </c>
    </row>
    <row r="430" spans="1:13">
      <c r="A430" s="8" t="s">
        <v>384</v>
      </c>
      <c r="B430" s="11">
        <v>3.5307245323139602</v>
      </c>
      <c r="C430" s="13">
        <v>4.3949999999999996</v>
      </c>
      <c r="D430" s="14">
        <f t="shared" si="36"/>
        <v>5</v>
      </c>
      <c r="E430" s="14">
        <f t="shared" si="37"/>
        <v>0.2</v>
      </c>
      <c r="F430" s="14">
        <f t="shared" si="38"/>
        <v>3</v>
      </c>
      <c r="G430" s="14">
        <f t="shared" si="39"/>
        <v>2.1205157800818601</v>
      </c>
      <c r="H430" s="14">
        <f t="shared" si="40"/>
        <v>0.60000000000000009</v>
      </c>
      <c r="I430" s="14">
        <f t="shared" si="41"/>
        <v>0</v>
      </c>
      <c r="J430" s="15">
        <f>IF(CurrentMtgRatesDataTable8[[#This Row],[WA CC]]&lt;&gt;0,C429-CurrentMtgRatesDataTable8[[#This Row],[WA CC]],0)</f>
        <v>0</v>
      </c>
      <c r="K430" s="16">
        <f>IF(CurrentMtgRatesDataTable8[[#This Row],[Servicing Spread]]&lt;=0,K429,CurrentMtgRatesDataTable8[[#This Row],[Servicing Spread]])</f>
        <v>0.83043179444173365</v>
      </c>
      <c r="L430" s="16">
        <f>CurrentMtgRatesDataTable8[[#This Row],[Servicing Spread Non-Zero]]-K429</f>
        <v>0</v>
      </c>
      <c r="M430" s="16">
        <f>IF(I429&lt;&gt;0,CurrentMtgRatesDataTable8[[#This Row],[Rate]]-C429,M429)</f>
        <v>4.9999999999999822E-2</v>
      </c>
    </row>
    <row r="431" spans="1:13">
      <c r="A431" s="8" t="s">
        <v>250</v>
      </c>
      <c r="B431" s="11">
        <v>3.4998898139893</v>
      </c>
      <c r="C431" s="13">
        <v>4.3949999999999996</v>
      </c>
      <c r="D431" s="14">
        <f t="shared" si="36"/>
        <v>6</v>
      </c>
      <c r="E431" s="14">
        <f t="shared" si="37"/>
        <v>0.2</v>
      </c>
      <c r="F431" s="14">
        <f t="shared" si="38"/>
        <v>4</v>
      </c>
      <c r="G431" s="14">
        <f t="shared" si="39"/>
        <v>2.8204937428797203</v>
      </c>
      <c r="H431" s="14">
        <f t="shared" si="40"/>
        <v>0.8</v>
      </c>
      <c r="I431" s="14">
        <f t="shared" si="41"/>
        <v>0</v>
      </c>
      <c r="J431" s="15">
        <f>IF(CurrentMtgRatesDataTable8[[#This Row],[WA CC]]&lt;&gt;0,C430-CurrentMtgRatesDataTable8[[#This Row],[WA CC]],0)</f>
        <v>0</v>
      </c>
      <c r="K431" s="16">
        <f>IF(CurrentMtgRatesDataTable8[[#This Row],[Servicing Spread]]&lt;=0,K430,CurrentMtgRatesDataTable8[[#This Row],[Servicing Spread]])</f>
        <v>0.83043179444173365</v>
      </c>
      <c r="L431" s="16">
        <f>CurrentMtgRatesDataTable8[[#This Row],[Servicing Spread Non-Zero]]-K430</f>
        <v>0</v>
      </c>
      <c r="M431" s="16">
        <f>IF(I430&lt;&gt;0,CurrentMtgRatesDataTable8[[#This Row],[Rate]]-C430,M430)</f>
        <v>4.9999999999999822E-2</v>
      </c>
    </row>
    <row r="432" spans="1:13">
      <c r="A432" s="8" t="s">
        <v>107</v>
      </c>
      <c r="B432" s="11">
        <v>3.5422755368494498</v>
      </c>
      <c r="C432" s="13">
        <v>4.3949999999999996</v>
      </c>
      <c r="D432" s="14">
        <f t="shared" si="36"/>
        <v>7</v>
      </c>
      <c r="E432" s="14">
        <f t="shared" si="37"/>
        <v>0.2</v>
      </c>
      <c r="F432" s="14">
        <f t="shared" si="38"/>
        <v>5</v>
      </c>
      <c r="G432" s="14">
        <f t="shared" si="39"/>
        <v>3.5289488502496105</v>
      </c>
      <c r="H432" s="14">
        <f t="shared" si="40"/>
        <v>1</v>
      </c>
      <c r="I432" s="14">
        <f t="shared" si="41"/>
        <v>3.5289488502496105</v>
      </c>
      <c r="J432" s="15">
        <f>IF(CurrentMtgRatesDataTable8[[#This Row],[WA CC]]&lt;&gt;0,C431-CurrentMtgRatesDataTable8[[#This Row],[WA CC]],0)</f>
        <v>0.8660511497503891</v>
      </c>
      <c r="K432" s="16">
        <f>IF(CurrentMtgRatesDataTable8[[#This Row],[Servicing Spread]]&lt;=0,K431,CurrentMtgRatesDataTable8[[#This Row],[Servicing Spread]])</f>
        <v>0.8660511497503891</v>
      </c>
      <c r="L432" s="16">
        <f>CurrentMtgRatesDataTable8[[#This Row],[Servicing Spread Non-Zero]]-K431</f>
        <v>3.5619355308655454E-2</v>
      </c>
      <c r="M432" s="16">
        <f>IF(I431&lt;&gt;0,CurrentMtgRatesDataTable8[[#This Row],[Rate]]-C431,M431)</f>
        <v>4.9999999999999822E-2</v>
      </c>
    </row>
    <row r="433" spans="1:13">
      <c r="A433" s="8" t="s">
        <v>669</v>
      </c>
      <c r="B433" s="11">
        <v>3.5894558660793101</v>
      </c>
      <c r="C433" s="13">
        <v>4.4050000000000002</v>
      </c>
      <c r="D433" s="14">
        <f t="shared" si="36"/>
        <v>1</v>
      </c>
      <c r="E433" s="14">
        <f t="shared" si="37"/>
        <v>0.2</v>
      </c>
      <c r="F433" s="14">
        <f t="shared" si="38"/>
        <v>1</v>
      </c>
      <c r="G433" s="14">
        <f t="shared" si="39"/>
        <v>0.71789117321586204</v>
      </c>
      <c r="H433" s="14">
        <f t="shared" si="40"/>
        <v>0.2</v>
      </c>
      <c r="I433" s="14">
        <f t="shared" si="41"/>
        <v>0</v>
      </c>
      <c r="J433" s="15">
        <f>IF(CurrentMtgRatesDataTable8[[#This Row],[WA CC]]&lt;&gt;0,C432-CurrentMtgRatesDataTable8[[#This Row],[WA CC]],0)</f>
        <v>0</v>
      </c>
      <c r="K433" s="16">
        <f>IF(CurrentMtgRatesDataTable8[[#This Row],[Servicing Spread]]&lt;=0,K432,CurrentMtgRatesDataTable8[[#This Row],[Servicing Spread]])</f>
        <v>0.8660511497503891</v>
      </c>
      <c r="L433" s="16">
        <f>CurrentMtgRatesDataTable8[[#This Row],[Servicing Spread Non-Zero]]-K432</f>
        <v>0</v>
      </c>
      <c r="M433" s="16">
        <f>IF(I432&lt;&gt;0,CurrentMtgRatesDataTable8[[#This Row],[Rate]]-C432,M432)</f>
        <v>1.0000000000000675E-2</v>
      </c>
    </row>
    <row r="434" spans="1:13">
      <c r="A434" s="8" t="s">
        <v>529</v>
      </c>
      <c r="B434" s="11">
        <v>3.5207189291483099</v>
      </c>
      <c r="C434" s="13">
        <v>4.4050000000000002</v>
      </c>
      <c r="D434" s="14">
        <f t="shared" si="36"/>
        <v>2</v>
      </c>
      <c r="E434" s="14">
        <f t="shared" si="37"/>
        <v>0.2</v>
      </c>
      <c r="F434" s="14">
        <f t="shared" si="38"/>
        <v>2</v>
      </c>
      <c r="G434" s="14">
        <f t="shared" si="39"/>
        <v>1.4220349590455239</v>
      </c>
      <c r="H434" s="14">
        <f t="shared" si="40"/>
        <v>0.4</v>
      </c>
      <c r="I434" s="14">
        <f t="shared" si="41"/>
        <v>0</v>
      </c>
      <c r="J434" s="15">
        <f>IF(CurrentMtgRatesDataTable8[[#This Row],[WA CC]]&lt;&gt;0,C433-CurrentMtgRatesDataTable8[[#This Row],[WA CC]],0)</f>
        <v>0</v>
      </c>
      <c r="K434" s="16">
        <f>IF(CurrentMtgRatesDataTable8[[#This Row],[Servicing Spread]]&lt;=0,K433,CurrentMtgRatesDataTable8[[#This Row],[Servicing Spread]])</f>
        <v>0.8660511497503891</v>
      </c>
      <c r="L434" s="16">
        <f>CurrentMtgRatesDataTable8[[#This Row],[Servicing Spread Non-Zero]]-K433</f>
        <v>0</v>
      </c>
      <c r="M434" s="16">
        <f>IF(I433&lt;&gt;0,CurrentMtgRatesDataTable8[[#This Row],[Rate]]-C433,M433)</f>
        <v>1.0000000000000675E-2</v>
      </c>
    </row>
    <row r="435" spans="1:13">
      <c r="A435" s="8" t="s">
        <v>385</v>
      </c>
      <c r="B435" s="11">
        <v>3.5422520494722902</v>
      </c>
      <c r="C435" s="13">
        <v>4.4050000000000002</v>
      </c>
      <c r="D435" s="14">
        <f t="shared" si="36"/>
        <v>5</v>
      </c>
      <c r="E435" s="14">
        <f t="shared" si="37"/>
        <v>0.2</v>
      </c>
      <c r="F435" s="14">
        <f t="shared" si="38"/>
        <v>3</v>
      </c>
      <c r="G435" s="14">
        <f t="shared" si="39"/>
        <v>2.1304853689399819</v>
      </c>
      <c r="H435" s="14">
        <f t="shared" si="40"/>
        <v>0.60000000000000009</v>
      </c>
      <c r="I435" s="14">
        <f t="shared" si="41"/>
        <v>0</v>
      </c>
      <c r="J435" s="15">
        <f>IF(CurrentMtgRatesDataTable8[[#This Row],[WA CC]]&lt;&gt;0,C434-CurrentMtgRatesDataTable8[[#This Row],[WA CC]],0)</f>
        <v>0</v>
      </c>
      <c r="K435" s="16">
        <f>IF(CurrentMtgRatesDataTable8[[#This Row],[Servicing Spread]]&lt;=0,K434,CurrentMtgRatesDataTable8[[#This Row],[Servicing Spread]])</f>
        <v>0.8660511497503891</v>
      </c>
      <c r="L435" s="16">
        <f>CurrentMtgRatesDataTable8[[#This Row],[Servicing Spread Non-Zero]]-K434</f>
        <v>0</v>
      </c>
      <c r="M435" s="16">
        <f>IF(I434&lt;&gt;0,CurrentMtgRatesDataTable8[[#This Row],[Rate]]-C434,M434)</f>
        <v>1.0000000000000675E-2</v>
      </c>
    </row>
    <row r="436" spans="1:13">
      <c r="A436" s="8" t="s">
        <v>251</v>
      </c>
      <c r="B436" s="11">
        <v>3.6100621369380201</v>
      </c>
      <c r="C436" s="13">
        <v>4.4050000000000002</v>
      </c>
      <c r="D436" s="14">
        <f t="shared" si="36"/>
        <v>6</v>
      </c>
      <c r="E436" s="14">
        <f t="shared" si="37"/>
        <v>0.2</v>
      </c>
      <c r="F436" s="14">
        <f t="shared" si="38"/>
        <v>4</v>
      </c>
      <c r="G436" s="14">
        <f t="shared" si="39"/>
        <v>2.8524977963275857</v>
      </c>
      <c r="H436" s="14">
        <f t="shared" si="40"/>
        <v>0.8</v>
      </c>
      <c r="I436" s="14">
        <f t="shared" si="41"/>
        <v>3.5656222454094819</v>
      </c>
      <c r="J436" s="15">
        <f>IF(CurrentMtgRatesDataTable8[[#This Row],[WA CC]]&lt;&gt;0,C435-CurrentMtgRatesDataTable8[[#This Row],[WA CC]],0)</f>
        <v>0.83937775459051833</v>
      </c>
      <c r="K436" s="16">
        <f>IF(CurrentMtgRatesDataTable8[[#This Row],[Servicing Spread]]&lt;=0,K435,CurrentMtgRatesDataTable8[[#This Row],[Servicing Spread]])</f>
        <v>0.83937775459051833</v>
      </c>
      <c r="L436" s="16">
        <f>CurrentMtgRatesDataTable8[[#This Row],[Servicing Spread Non-Zero]]-K435</f>
        <v>-2.6673395159870772E-2</v>
      </c>
      <c r="M436" s="16">
        <f>IF(I435&lt;&gt;0,CurrentMtgRatesDataTable8[[#This Row],[Rate]]-C435,M435)</f>
        <v>1.0000000000000675E-2</v>
      </c>
    </row>
    <row r="437" spans="1:13">
      <c r="A437" s="8" t="s">
        <v>670</v>
      </c>
      <c r="B437" s="11">
        <v>3.6110841836329799</v>
      </c>
      <c r="C437" s="13">
        <v>4.4800000000000004</v>
      </c>
      <c r="D437" s="14">
        <f t="shared" si="36"/>
        <v>1</v>
      </c>
      <c r="E437" s="14">
        <f t="shared" si="37"/>
        <v>0.2</v>
      </c>
      <c r="F437" s="14">
        <f t="shared" si="38"/>
        <v>1</v>
      </c>
      <c r="G437" s="14">
        <f t="shared" si="39"/>
        <v>0.72221683672659598</v>
      </c>
      <c r="H437" s="14">
        <f t="shared" si="40"/>
        <v>0.2</v>
      </c>
      <c r="I437" s="14">
        <f t="shared" si="41"/>
        <v>0</v>
      </c>
      <c r="J437" s="15">
        <f>IF(CurrentMtgRatesDataTable8[[#This Row],[WA CC]]&lt;&gt;0,C436-CurrentMtgRatesDataTable8[[#This Row],[WA CC]],0)</f>
        <v>0</v>
      </c>
      <c r="K437" s="16">
        <f>IF(CurrentMtgRatesDataTable8[[#This Row],[Servicing Spread]]&lt;=0,K436,CurrentMtgRatesDataTable8[[#This Row],[Servicing Spread]])</f>
        <v>0.83937775459051833</v>
      </c>
      <c r="L437" s="16">
        <f>CurrentMtgRatesDataTable8[[#This Row],[Servicing Spread Non-Zero]]-K436</f>
        <v>0</v>
      </c>
      <c r="M437" s="16">
        <f>IF(I436&lt;&gt;0,CurrentMtgRatesDataTable8[[#This Row],[Rate]]-C436,M436)</f>
        <v>7.5000000000000178E-2</v>
      </c>
    </row>
    <row r="438" spans="1:13">
      <c r="A438" s="8" t="s">
        <v>530</v>
      </c>
      <c r="B438" s="11">
        <v>3.60938046615082</v>
      </c>
      <c r="C438" s="13">
        <v>4.4800000000000004</v>
      </c>
      <c r="D438" s="14">
        <f t="shared" si="36"/>
        <v>2</v>
      </c>
      <c r="E438" s="14">
        <f t="shared" si="37"/>
        <v>0.2</v>
      </c>
      <c r="F438" s="14">
        <f t="shared" si="38"/>
        <v>2</v>
      </c>
      <c r="G438" s="14">
        <f t="shared" si="39"/>
        <v>1.44409292995676</v>
      </c>
      <c r="H438" s="14">
        <f t="shared" si="40"/>
        <v>0.4</v>
      </c>
      <c r="I438" s="14">
        <f t="shared" si="41"/>
        <v>0</v>
      </c>
      <c r="J438" s="15">
        <f>IF(CurrentMtgRatesDataTable8[[#This Row],[WA CC]]&lt;&gt;0,C437-CurrentMtgRatesDataTable8[[#This Row],[WA CC]],0)</f>
        <v>0</v>
      </c>
      <c r="K438" s="16">
        <f>IF(CurrentMtgRatesDataTable8[[#This Row],[Servicing Spread]]&lt;=0,K437,CurrentMtgRatesDataTable8[[#This Row],[Servicing Spread]])</f>
        <v>0.83937775459051833</v>
      </c>
      <c r="L438" s="16">
        <f>CurrentMtgRatesDataTable8[[#This Row],[Servicing Spread Non-Zero]]-K437</f>
        <v>0</v>
      </c>
      <c r="M438" s="16">
        <f>IF(I437&lt;&gt;0,CurrentMtgRatesDataTable8[[#This Row],[Rate]]-C437,M437)</f>
        <v>7.5000000000000178E-2</v>
      </c>
    </row>
    <row r="439" spans="1:13">
      <c r="A439" s="8" t="s">
        <v>386</v>
      </c>
      <c r="B439" s="11">
        <v>3.5746743392906399</v>
      </c>
      <c r="C439" s="13">
        <v>4.4800000000000004</v>
      </c>
      <c r="D439" s="14">
        <f t="shared" si="36"/>
        <v>5</v>
      </c>
      <c r="E439" s="14">
        <f t="shared" si="37"/>
        <v>0.2</v>
      </c>
      <c r="F439" s="14">
        <f t="shared" si="38"/>
        <v>3</v>
      </c>
      <c r="G439" s="14">
        <f t="shared" si="39"/>
        <v>2.159027797814888</v>
      </c>
      <c r="H439" s="14">
        <f t="shared" si="40"/>
        <v>0.60000000000000009</v>
      </c>
      <c r="I439" s="14">
        <f t="shared" si="41"/>
        <v>0</v>
      </c>
      <c r="J439" s="15">
        <f>IF(CurrentMtgRatesDataTable8[[#This Row],[WA CC]]&lt;&gt;0,C438-CurrentMtgRatesDataTable8[[#This Row],[WA CC]],0)</f>
        <v>0</v>
      </c>
      <c r="K439" s="16">
        <f>IF(CurrentMtgRatesDataTable8[[#This Row],[Servicing Spread]]&lt;=0,K438,CurrentMtgRatesDataTable8[[#This Row],[Servicing Spread]])</f>
        <v>0.83937775459051833</v>
      </c>
      <c r="L439" s="16">
        <f>CurrentMtgRatesDataTable8[[#This Row],[Servicing Spread Non-Zero]]-K438</f>
        <v>0</v>
      </c>
      <c r="M439" s="16">
        <f>IF(I438&lt;&gt;0,CurrentMtgRatesDataTable8[[#This Row],[Rate]]-C438,M438)</f>
        <v>7.5000000000000178E-2</v>
      </c>
    </row>
    <row r="440" spans="1:13">
      <c r="A440" s="8" t="s">
        <v>252</v>
      </c>
      <c r="B440" s="11">
        <v>3.5930254960618</v>
      </c>
      <c r="C440" s="13">
        <v>4.4800000000000004</v>
      </c>
      <c r="D440" s="14">
        <f t="shared" si="36"/>
        <v>6</v>
      </c>
      <c r="E440" s="14">
        <f t="shared" si="37"/>
        <v>0.2</v>
      </c>
      <c r="F440" s="14">
        <f t="shared" si="38"/>
        <v>4</v>
      </c>
      <c r="G440" s="14">
        <f t="shared" si="39"/>
        <v>2.8776328970272482</v>
      </c>
      <c r="H440" s="14">
        <f t="shared" si="40"/>
        <v>0.8</v>
      </c>
      <c r="I440" s="14">
        <f t="shared" si="41"/>
        <v>3.5970411212840601</v>
      </c>
      <c r="J440" s="15">
        <f>IF(CurrentMtgRatesDataTable8[[#This Row],[WA CC]]&lt;&gt;0,C439-CurrentMtgRatesDataTable8[[#This Row],[WA CC]],0)</f>
        <v>0.88295887871594037</v>
      </c>
      <c r="K440" s="16">
        <f>IF(CurrentMtgRatesDataTable8[[#This Row],[Servicing Spread]]&lt;=0,K439,CurrentMtgRatesDataTable8[[#This Row],[Servicing Spread]])</f>
        <v>0.88295887871594037</v>
      </c>
      <c r="L440" s="16">
        <f>CurrentMtgRatesDataTable8[[#This Row],[Servicing Spread Non-Zero]]-K439</f>
        <v>4.3581124125422033E-2</v>
      </c>
      <c r="M440" s="16">
        <f>IF(I439&lt;&gt;0,CurrentMtgRatesDataTable8[[#This Row],[Rate]]-C439,M439)</f>
        <v>7.5000000000000178E-2</v>
      </c>
    </row>
    <row r="441" spans="1:13">
      <c r="A441" s="8" t="s">
        <v>671</v>
      </c>
      <c r="B441" s="11">
        <v>3.5996964231875999</v>
      </c>
      <c r="C441" s="13">
        <v>4.4349999999999996</v>
      </c>
      <c r="D441" s="14">
        <f t="shared" si="36"/>
        <v>1</v>
      </c>
      <c r="E441" s="14">
        <f t="shared" si="37"/>
        <v>0.2</v>
      </c>
      <c r="F441" s="14">
        <f t="shared" si="38"/>
        <v>1</v>
      </c>
      <c r="G441" s="14">
        <f t="shared" si="39"/>
        <v>0.71993928463751999</v>
      </c>
      <c r="H441" s="14">
        <f t="shared" si="40"/>
        <v>0.2</v>
      </c>
      <c r="I441" s="14">
        <f t="shared" si="41"/>
        <v>0</v>
      </c>
      <c r="J441" s="15">
        <f>IF(CurrentMtgRatesDataTable8[[#This Row],[WA CC]]&lt;&gt;0,C440-CurrentMtgRatesDataTable8[[#This Row],[WA CC]],0)</f>
        <v>0</v>
      </c>
      <c r="K441" s="16">
        <f>IF(CurrentMtgRatesDataTable8[[#This Row],[Servicing Spread]]&lt;=0,K440,CurrentMtgRatesDataTable8[[#This Row],[Servicing Spread]])</f>
        <v>0.88295887871594037</v>
      </c>
      <c r="L441" s="16">
        <f>CurrentMtgRatesDataTable8[[#This Row],[Servicing Spread Non-Zero]]-K440</f>
        <v>0</v>
      </c>
      <c r="M441" s="16">
        <f>IF(I440&lt;&gt;0,CurrentMtgRatesDataTable8[[#This Row],[Rate]]-C440,M440)</f>
        <v>-4.5000000000000817E-2</v>
      </c>
    </row>
    <row r="442" spans="1:13">
      <c r="A442" s="8" t="s">
        <v>531</v>
      </c>
      <c r="B442" s="11">
        <v>3.6032550852643102</v>
      </c>
      <c r="C442" s="13">
        <v>4.4349999999999996</v>
      </c>
      <c r="D442" s="14">
        <f t="shared" si="36"/>
        <v>2</v>
      </c>
      <c r="E442" s="14">
        <f t="shared" si="37"/>
        <v>0.2</v>
      </c>
      <c r="F442" s="14">
        <f t="shared" si="38"/>
        <v>2</v>
      </c>
      <c r="G442" s="14">
        <f t="shared" si="39"/>
        <v>1.440590301690382</v>
      </c>
      <c r="H442" s="14">
        <f t="shared" si="40"/>
        <v>0.4</v>
      </c>
      <c r="I442" s="14">
        <f t="shared" si="41"/>
        <v>0</v>
      </c>
      <c r="J442" s="15">
        <f>IF(CurrentMtgRatesDataTable8[[#This Row],[WA CC]]&lt;&gt;0,C441-CurrentMtgRatesDataTable8[[#This Row],[WA CC]],0)</f>
        <v>0</v>
      </c>
      <c r="K442" s="16">
        <f>IF(CurrentMtgRatesDataTable8[[#This Row],[Servicing Spread]]&lt;=0,K441,CurrentMtgRatesDataTable8[[#This Row],[Servicing Spread]])</f>
        <v>0.88295887871594037</v>
      </c>
      <c r="L442" s="16">
        <f>CurrentMtgRatesDataTable8[[#This Row],[Servicing Spread Non-Zero]]-K441</f>
        <v>0</v>
      </c>
      <c r="M442" s="16">
        <f>IF(I441&lt;&gt;0,CurrentMtgRatesDataTable8[[#This Row],[Rate]]-C441,M441)</f>
        <v>-4.5000000000000817E-2</v>
      </c>
    </row>
    <row r="443" spans="1:13">
      <c r="A443" s="12" t="s">
        <v>387</v>
      </c>
      <c r="B443" s="13">
        <v>3.5763485946615199</v>
      </c>
      <c r="C443" s="13">
        <v>4.4349999999999996</v>
      </c>
      <c r="D443" s="14">
        <f t="shared" si="36"/>
        <v>5</v>
      </c>
      <c r="E443" s="14">
        <f t="shared" si="37"/>
        <v>0.2</v>
      </c>
      <c r="F443" s="14">
        <f t="shared" si="38"/>
        <v>3</v>
      </c>
      <c r="G443" s="14">
        <f t="shared" si="39"/>
        <v>2.1558600206226863</v>
      </c>
      <c r="H443" s="14">
        <f t="shared" si="40"/>
        <v>0.60000000000000009</v>
      </c>
      <c r="I443" s="14">
        <f t="shared" si="41"/>
        <v>0</v>
      </c>
      <c r="J443" s="15">
        <f>IF(CurrentMtgRatesDataTable8[[#This Row],[WA CC]]&lt;&gt;0,C442-CurrentMtgRatesDataTable8[[#This Row],[WA CC]],0)</f>
        <v>0</v>
      </c>
      <c r="K443" s="16">
        <f>IF(CurrentMtgRatesDataTable8[[#This Row],[Servicing Spread]]&lt;=0,K442,CurrentMtgRatesDataTable8[[#This Row],[Servicing Spread]])</f>
        <v>0.88295887871594037</v>
      </c>
      <c r="L443" s="16">
        <f>CurrentMtgRatesDataTable8[[#This Row],[Servicing Spread Non-Zero]]-K442</f>
        <v>0</v>
      </c>
      <c r="M443" s="16">
        <f>IF(I442&lt;&gt;0,CurrentMtgRatesDataTable8[[#This Row],[Rate]]-C442,M442)</f>
        <v>-4.5000000000000817E-2</v>
      </c>
    </row>
    <row r="444" spans="1:13">
      <c r="A444" s="12" t="s">
        <v>253</v>
      </c>
      <c r="B444" s="13">
        <v>3.5428500405358099</v>
      </c>
      <c r="C444" s="13">
        <v>4.4349999999999996</v>
      </c>
      <c r="D444" s="15">
        <f t="shared" si="36"/>
        <v>6</v>
      </c>
      <c r="E444" s="15">
        <f t="shared" si="37"/>
        <v>0.2</v>
      </c>
      <c r="F444" s="15">
        <f t="shared" si="38"/>
        <v>4</v>
      </c>
      <c r="G444" s="15">
        <f t="shared" si="39"/>
        <v>2.8644300287298483</v>
      </c>
      <c r="H444" s="15">
        <f t="shared" si="40"/>
        <v>0.8</v>
      </c>
      <c r="I444" s="15">
        <f t="shared" si="41"/>
        <v>0</v>
      </c>
      <c r="J444" s="15">
        <f>IF(CurrentMtgRatesDataTable8[[#This Row],[WA CC]]&lt;&gt;0,C443-CurrentMtgRatesDataTable8[[#This Row],[WA CC]],0)</f>
        <v>0</v>
      </c>
      <c r="K444" s="16">
        <f>IF(CurrentMtgRatesDataTable8[[#This Row],[Servicing Spread]]&lt;=0,K443,CurrentMtgRatesDataTable8[[#This Row],[Servicing Spread]])</f>
        <v>0.88295887871594037</v>
      </c>
      <c r="L444" s="16">
        <f>CurrentMtgRatesDataTable8[[#This Row],[Servicing Spread Non-Zero]]-K443</f>
        <v>0</v>
      </c>
      <c r="M444" s="16">
        <f>IF(I443&lt;&gt;0,CurrentMtgRatesDataTable8[[#This Row],[Rate]]-C443,M443)</f>
        <v>-4.5000000000000817E-2</v>
      </c>
    </row>
    <row r="445" spans="1:13">
      <c r="A445" s="12" t="s">
        <v>108</v>
      </c>
      <c r="B445" s="13">
        <v>3.5963712535882499</v>
      </c>
      <c r="C445" s="13">
        <v>4.4349999999999996</v>
      </c>
      <c r="D445" s="15">
        <f t="shared" si="36"/>
        <v>7</v>
      </c>
      <c r="E445" s="15">
        <f t="shared" si="37"/>
        <v>0.2</v>
      </c>
      <c r="F445" s="15">
        <f t="shared" si="38"/>
        <v>5</v>
      </c>
      <c r="G445" s="15">
        <f t="shared" si="39"/>
        <v>3.5837042794474985</v>
      </c>
      <c r="H445" s="15">
        <f t="shared" si="40"/>
        <v>1</v>
      </c>
      <c r="I445" s="15">
        <f t="shared" si="41"/>
        <v>3.5837042794474985</v>
      </c>
      <c r="J445" s="15">
        <f>IF(CurrentMtgRatesDataTable8[[#This Row],[WA CC]]&lt;&gt;0,C444-CurrentMtgRatesDataTable8[[#This Row],[WA CC]],0)</f>
        <v>0.85129572055250113</v>
      </c>
      <c r="K445" s="16">
        <f>IF(CurrentMtgRatesDataTable8[[#This Row],[Servicing Spread]]&lt;=0,K444,CurrentMtgRatesDataTable8[[#This Row],[Servicing Spread]])</f>
        <v>0.85129572055250113</v>
      </c>
      <c r="L445" s="16">
        <f>CurrentMtgRatesDataTable8[[#This Row],[Servicing Spread Non-Zero]]-K444</f>
        <v>-3.1663158163439231E-2</v>
      </c>
      <c r="M445" s="16">
        <f>IF(I444&lt;&gt;0,CurrentMtgRatesDataTable8[[#This Row],[Rate]]-C444,M444)</f>
        <v>-4.5000000000000817E-2</v>
      </c>
    </row>
    <row r="446" spans="1:13">
      <c r="A446" s="12" t="s">
        <v>672</v>
      </c>
      <c r="B446" s="13">
        <v>3.5749416796778899</v>
      </c>
      <c r="C446" s="13">
        <v>4.335</v>
      </c>
      <c r="D446" s="15">
        <f t="shared" si="36"/>
        <v>1</v>
      </c>
      <c r="E446" s="15">
        <f t="shared" si="37"/>
        <v>0.2</v>
      </c>
      <c r="F446" s="15">
        <f t="shared" si="38"/>
        <v>1</v>
      </c>
      <c r="G446" s="15">
        <f t="shared" si="39"/>
        <v>0.71498833593557798</v>
      </c>
      <c r="H446" s="15">
        <f t="shared" si="40"/>
        <v>0.2</v>
      </c>
      <c r="I446" s="15">
        <f t="shared" si="41"/>
        <v>0</v>
      </c>
      <c r="J446" s="15">
        <f>IF(CurrentMtgRatesDataTable8[[#This Row],[WA CC]]&lt;&gt;0,C445-CurrentMtgRatesDataTable8[[#This Row],[WA CC]],0)</f>
        <v>0</v>
      </c>
      <c r="K446" s="16">
        <f>IF(CurrentMtgRatesDataTable8[[#This Row],[Servicing Spread]]&lt;=0,K445,CurrentMtgRatesDataTable8[[#This Row],[Servicing Spread]])</f>
        <v>0.85129572055250113</v>
      </c>
      <c r="L446" s="16">
        <f>CurrentMtgRatesDataTable8[[#This Row],[Servicing Spread Non-Zero]]-K445</f>
        <v>0</v>
      </c>
      <c r="M446" s="16">
        <f>IF(I445&lt;&gt;0,CurrentMtgRatesDataTable8[[#This Row],[Rate]]-C445,M445)</f>
        <v>-9.9999999999999645E-2</v>
      </c>
    </row>
    <row r="447" spans="1:13">
      <c r="A447" s="12" t="s">
        <v>532</v>
      </c>
      <c r="B447" s="13">
        <v>3.4718387266108799</v>
      </c>
      <c r="C447" s="13">
        <v>4.335</v>
      </c>
      <c r="D447" s="15">
        <f t="shared" si="36"/>
        <v>2</v>
      </c>
      <c r="E447" s="15">
        <f t="shared" si="37"/>
        <v>0.2</v>
      </c>
      <c r="F447" s="15">
        <f t="shared" si="38"/>
        <v>2</v>
      </c>
      <c r="G447" s="15">
        <f t="shared" si="39"/>
        <v>1.4093560812577541</v>
      </c>
      <c r="H447" s="15">
        <f t="shared" si="40"/>
        <v>0.4</v>
      </c>
      <c r="I447" s="15">
        <f t="shared" si="41"/>
        <v>0</v>
      </c>
      <c r="J447" s="15">
        <f>IF(CurrentMtgRatesDataTable8[[#This Row],[WA CC]]&lt;&gt;0,C446-CurrentMtgRatesDataTable8[[#This Row],[WA CC]],0)</f>
        <v>0</v>
      </c>
      <c r="K447" s="16">
        <f>IF(CurrentMtgRatesDataTable8[[#This Row],[Servicing Spread]]&lt;=0,K446,CurrentMtgRatesDataTable8[[#This Row],[Servicing Spread]])</f>
        <v>0.85129572055250113</v>
      </c>
      <c r="L447" s="16">
        <f>CurrentMtgRatesDataTable8[[#This Row],[Servicing Spread Non-Zero]]-K446</f>
        <v>0</v>
      </c>
      <c r="M447" s="16">
        <f>IF(I446&lt;&gt;0,CurrentMtgRatesDataTable8[[#This Row],[Rate]]-C446,M446)</f>
        <v>-9.9999999999999645E-2</v>
      </c>
    </row>
    <row r="448" spans="1:13">
      <c r="A448" s="12" t="s">
        <v>388</v>
      </c>
      <c r="B448" s="13">
        <v>3.4264575978101499</v>
      </c>
      <c r="C448" s="13">
        <v>4.335</v>
      </c>
      <c r="D448" s="15">
        <f t="shared" si="36"/>
        <v>5</v>
      </c>
      <c r="E448" s="15">
        <f t="shared" si="37"/>
        <v>0.2</v>
      </c>
      <c r="F448" s="15">
        <f t="shared" si="38"/>
        <v>3</v>
      </c>
      <c r="G448" s="15">
        <f t="shared" si="39"/>
        <v>2.0946476008197843</v>
      </c>
      <c r="H448" s="15">
        <f t="shared" si="40"/>
        <v>0.60000000000000009</v>
      </c>
      <c r="I448" s="15">
        <f t="shared" si="41"/>
        <v>0</v>
      </c>
      <c r="J448" s="15">
        <f>IF(CurrentMtgRatesDataTable8[[#This Row],[WA CC]]&lt;&gt;0,C447-CurrentMtgRatesDataTable8[[#This Row],[WA CC]],0)</f>
        <v>0</v>
      </c>
      <c r="K448" s="16">
        <f>IF(CurrentMtgRatesDataTable8[[#This Row],[Servicing Spread]]&lt;=0,K447,CurrentMtgRatesDataTable8[[#This Row],[Servicing Spread]])</f>
        <v>0.85129572055250113</v>
      </c>
      <c r="L448" s="16">
        <f>CurrentMtgRatesDataTable8[[#This Row],[Servicing Spread Non-Zero]]-K447</f>
        <v>0</v>
      </c>
      <c r="M448" s="16">
        <f>IF(I447&lt;&gt;0,CurrentMtgRatesDataTable8[[#This Row],[Rate]]-C447,M447)</f>
        <v>-9.9999999999999645E-2</v>
      </c>
    </row>
    <row r="449" spans="1:13">
      <c r="A449" s="12" t="s">
        <v>254</v>
      </c>
      <c r="B449" s="13">
        <v>3.4834111891672799</v>
      </c>
      <c r="C449" s="13">
        <v>4.335</v>
      </c>
      <c r="D449" s="15">
        <f t="shared" si="36"/>
        <v>6</v>
      </c>
      <c r="E449" s="15">
        <f t="shared" si="37"/>
        <v>0.2</v>
      </c>
      <c r="F449" s="15">
        <f t="shared" si="38"/>
        <v>4</v>
      </c>
      <c r="G449" s="15">
        <f t="shared" si="39"/>
        <v>2.7913298386532404</v>
      </c>
      <c r="H449" s="15">
        <f t="shared" si="40"/>
        <v>0.8</v>
      </c>
      <c r="I449" s="15">
        <f t="shared" si="41"/>
        <v>0</v>
      </c>
      <c r="J449" s="15">
        <f>IF(CurrentMtgRatesDataTable8[[#This Row],[WA CC]]&lt;&gt;0,C448-CurrentMtgRatesDataTable8[[#This Row],[WA CC]],0)</f>
        <v>0</v>
      </c>
      <c r="K449" s="16">
        <f>IF(CurrentMtgRatesDataTable8[[#This Row],[Servicing Spread]]&lt;=0,K448,CurrentMtgRatesDataTable8[[#This Row],[Servicing Spread]])</f>
        <v>0.85129572055250113</v>
      </c>
      <c r="L449" s="16">
        <f>CurrentMtgRatesDataTable8[[#This Row],[Servicing Spread Non-Zero]]-K448</f>
        <v>0</v>
      </c>
      <c r="M449" s="16">
        <f>IF(I448&lt;&gt;0,CurrentMtgRatesDataTable8[[#This Row],[Rate]]-C448,M448)</f>
        <v>-9.9999999999999645E-2</v>
      </c>
    </row>
    <row r="450" spans="1:13">
      <c r="A450" s="12" t="s">
        <v>109</v>
      </c>
      <c r="B450" s="13">
        <v>3.4947799465752998</v>
      </c>
      <c r="C450" s="13">
        <v>4.335</v>
      </c>
      <c r="D450" s="15">
        <f t="shared" si="36"/>
        <v>7</v>
      </c>
      <c r="E450" s="15">
        <f t="shared" si="37"/>
        <v>0.2</v>
      </c>
      <c r="F450" s="15">
        <f t="shared" si="38"/>
        <v>5</v>
      </c>
      <c r="G450" s="15">
        <f t="shared" si="39"/>
        <v>3.4902858279683002</v>
      </c>
      <c r="H450" s="15">
        <f t="shared" si="40"/>
        <v>1</v>
      </c>
      <c r="I450" s="15">
        <f t="shared" si="41"/>
        <v>3.4902858279683002</v>
      </c>
      <c r="J450" s="15">
        <f>IF(CurrentMtgRatesDataTable8[[#This Row],[WA CC]]&lt;&gt;0,C449-CurrentMtgRatesDataTable8[[#This Row],[WA CC]],0)</f>
        <v>0.84471417203169974</v>
      </c>
      <c r="K450" s="16">
        <f>IF(CurrentMtgRatesDataTable8[[#This Row],[Servicing Spread]]&lt;=0,K449,CurrentMtgRatesDataTable8[[#This Row],[Servicing Spread]])</f>
        <v>0.84471417203169974</v>
      </c>
      <c r="L450" s="16">
        <f>CurrentMtgRatesDataTable8[[#This Row],[Servicing Spread Non-Zero]]-K449</f>
        <v>-6.5815485208013946E-3</v>
      </c>
      <c r="M450" s="16">
        <f>IF(I449&lt;&gt;0,CurrentMtgRatesDataTable8[[#This Row],[Rate]]-C449,M449)</f>
        <v>-9.9999999999999645E-2</v>
      </c>
    </row>
    <row r="451" spans="1:13">
      <c r="A451" s="12" t="s">
        <v>673</v>
      </c>
      <c r="B451" s="13">
        <v>3.4570560243786002</v>
      </c>
      <c r="C451" s="13">
        <v>4.3149999999999995</v>
      </c>
      <c r="D451" s="15">
        <f t="shared" si="36"/>
        <v>1</v>
      </c>
      <c r="E451" s="15">
        <f t="shared" si="37"/>
        <v>0.2</v>
      </c>
      <c r="F451" s="15">
        <f t="shared" si="38"/>
        <v>1</v>
      </c>
      <c r="G451" s="15">
        <f t="shared" si="39"/>
        <v>0.69141120487572005</v>
      </c>
      <c r="H451" s="15">
        <f t="shared" si="40"/>
        <v>0.2</v>
      </c>
      <c r="I451" s="15">
        <f t="shared" si="41"/>
        <v>0</v>
      </c>
      <c r="J451" s="15">
        <f>IF(CurrentMtgRatesDataTable8[[#This Row],[WA CC]]&lt;&gt;0,C450-CurrentMtgRatesDataTable8[[#This Row],[WA CC]],0)</f>
        <v>0</v>
      </c>
      <c r="K451" s="16">
        <f>IF(CurrentMtgRatesDataTable8[[#This Row],[Servicing Spread]]&lt;=0,K450,CurrentMtgRatesDataTable8[[#This Row],[Servicing Spread]])</f>
        <v>0.84471417203169974</v>
      </c>
      <c r="L451" s="16">
        <f>CurrentMtgRatesDataTable8[[#This Row],[Servicing Spread Non-Zero]]-K450</f>
        <v>0</v>
      </c>
      <c r="M451" s="16">
        <f>IF(I450&lt;&gt;0,CurrentMtgRatesDataTable8[[#This Row],[Rate]]-C450,M450)</f>
        <v>-2.0000000000000462E-2</v>
      </c>
    </row>
    <row r="452" spans="1:13">
      <c r="A452" s="12" t="s">
        <v>533</v>
      </c>
      <c r="B452" s="13">
        <v>3.4370844050238198</v>
      </c>
      <c r="C452" s="13">
        <v>4.3149999999999995</v>
      </c>
      <c r="D452" s="15">
        <f t="shared" si="36"/>
        <v>2</v>
      </c>
      <c r="E452" s="15">
        <f t="shared" si="37"/>
        <v>0.2</v>
      </c>
      <c r="F452" s="15">
        <f t="shared" si="38"/>
        <v>2</v>
      </c>
      <c r="G452" s="15">
        <f t="shared" si="39"/>
        <v>1.378828085880484</v>
      </c>
      <c r="H452" s="15">
        <f t="shared" si="40"/>
        <v>0.4</v>
      </c>
      <c r="I452" s="15">
        <f t="shared" si="41"/>
        <v>0</v>
      </c>
      <c r="J452" s="15">
        <f>IF(CurrentMtgRatesDataTable8[[#This Row],[WA CC]]&lt;&gt;0,C451-CurrentMtgRatesDataTable8[[#This Row],[WA CC]],0)</f>
        <v>0</v>
      </c>
      <c r="K452" s="16">
        <f>IF(CurrentMtgRatesDataTable8[[#This Row],[Servicing Spread]]&lt;=0,K451,CurrentMtgRatesDataTable8[[#This Row],[Servicing Spread]])</f>
        <v>0.84471417203169974</v>
      </c>
      <c r="L452" s="16">
        <f>CurrentMtgRatesDataTable8[[#This Row],[Servicing Spread Non-Zero]]-K451</f>
        <v>0</v>
      </c>
      <c r="M452" s="16">
        <f>IF(I451&lt;&gt;0,CurrentMtgRatesDataTable8[[#This Row],[Rate]]-C451,M451)</f>
        <v>-2.0000000000000462E-2</v>
      </c>
    </row>
    <row r="453" spans="1:13">
      <c r="A453" s="12" t="s">
        <v>255</v>
      </c>
      <c r="B453" s="13">
        <v>3.4306167460721202</v>
      </c>
      <c r="C453" s="13">
        <v>4.3149999999999995</v>
      </c>
      <c r="D453" s="15">
        <f t="shared" ref="D453:D516" si="42">WEEKDAY(A453,14)</f>
        <v>6</v>
      </c>
      <c r="E453" s="15">
        <f t="shared" ref="E453:E516" si="43">VLOOKUP(D453,P$5:Q$11,2,FALSE)</f>
        <v>0.2</v>
      </c>
      <c r="F453" s="15">
        <f t="shared" ref="F453:F516" si="44">IF(AND(D453&gt;D452,F452&lt;6),F452+1,1)</f>
        <v>3</v>
      </c>
      <c r="G453" s="15">
        <f t="shared" ref="G453:G516" si="45">IF(F453&gt;F452,G452+B453*E453,B453*E453)</f>
        <v>2.0649514350949083</v>
      </c>
      <c r="H453" s="15">
        <f t="shared" ref="H453:H516" si="46">IF(AND(F453&lt;6,F453&gt;F452),E453+H452,E453)</f>
        <v>0.60000000000000009</v>
      </c>
      <c r="I453" s="15">
        <f t="shared" ref="I453:I516" si="47">IF(F453&gt;F454,G453/H453,0)</f>
        <v>0</v>
      </c>
      <c r="J453" s="15">
        <f>IF(CurrentMtgRatesDataTable8[[#This Row],[WA CC]]&lt;&gt;0,C452-CurrentMtgRatesDataTable8[[#This Row],[WA CC]],0)</f>
        <v>0</v>
      </c>
      <c r="K453" s="16">
        <f>IF(CurrentMtgRatesDataTable8[[#This Row],[Servicing Spread]]&lt;=0,K452,CurrentMtgRatesDataTable8[[#This Row],[Servicing Spread]])</f>
        <v>0.84471417203169974</v>
      </c>
      <c r="L453" s="16">
        <f>CurrentMtgRatesDataTable8[[#This Row],[Servicing Spread Non-Zero]]-K452</f>
        <v>0</v>
      </c>
      <c r="M453" s="16">
        <f>IF(I452&lt;&gt;0,CurrentMtgRatesDataTable8[[#This Row],[Rate]]-C452,M452)</f>
        <v>-2.0000000000000462E-2</v>
      </c>
    </row>
    <row r="454" spans="1:13">
      <c r="A454" s="12" t="s">
        <v>110</v>
      </c>
      <c r="B454" s="13">
        <v>3.4813003413665098</v>
      </c>
      <c r="C454" s="13">
        <v>4.3149999999999995</v>
      </c>
      <c r="D454" s="15">
        <f t="shared" si="42"/>
        <v>7</v>
      </c>
      <c r="E454" s="15">
        <f t="shared" si="43"/>
        <v>0.2</v>
      </c>
      <c r="F454" s="15">
        <f t="shared" si="44"/>
        <v>4</v>
      </c>
      <c r="G454" s="15">
        <f t="shared" si="45"/>
        <v>2.7612115033682105</v>
      </c>
      <c r="H454" s="15">
        <f t="shared" si="46"/>
        <v>0.8</v>
      </c>
      <c r="I454" s="15">
        <f t="shared" si="47"/>
        <v>3.4515143792102632</v>
      </c>
      <c r="J454" s="15">
        <f>IF(CurrentMtgRatesDataTable8[[#This Row],[WA CC]]&lt;&gt;0,C453-CurrentMtgRatesDataTable8[[#This Row],[WA CC]],0)</f>
        <v>0.86348562078973634</v>
      </c>
      <c r="K454" s="16">
        <f>IF(CurrentMtgRatesDataTable8[[#This Row],[Servicing Spread]]&lt;=0,K453,CurrentMtgRatesDataTable8[[#This Row],[Servicing Spread]])</f>
        <v>0.86348562078973634</v>
      </c>
      <c r="L454" s="16">
        <f>CurrentMtgRatesDataTable8[[#This Row],[Servicing Spread Non-Zero]]-K453</f>
        <v>1.8771448758036602E-2</v>
      </c>
      <c r="M454" s="16">
        <f>IF(I453&lt;&gt;0,CurrentMtgRatesDataTable8[[#This Row],[Rate]]-C453,M453)</f>
        <v>-2.0000000000000462E-2</v>
      </c>
    </row>
    <row r="455" spans="1:13">
      <c r="A455" s="12" t="s">
        <v>674</v>
      </c>
      <c r="B455" s="13">
        <v>3.42598487814407</v>
      </c>
      <c r="C455" s="13">
        <v>4.2450000000000001</v>
      </c>
      <c r="D455" s="15">
        <f t="shared" si="42"/>
        <v>1</v>
      </c>
      <c r="E455" s="15">
        <f t="shared" si="43"/>
        <v>0.2</v>
      </c>
      <c r="F455" s="15">
        <f t="shared" si="44"/>
        <v>1</v>
      </c>
      <c r="G455" s="15">
        <f t="shared" si="45"/>
        <v>0.6851969756288141</v>
      </c>
      <c r="H455" s="15">
        <f t="shared" si="46"/>
        <v>0.2</v>
      </c>
      <c r="I455" s="15">
        <f t="shared" si="47"/>
        <v>0</v>
      </c>
      <c r="J455" s="15">
        <f>IF(CurrentMtgRatesDataTable8[[#This Row],[WA CC]]&lt;&gt;0,C454-CurrentMtgRatesDataTable8[[#This Row],[WA CC]],0)</f>
        <v>0</v>
      </c>
      <c r="K455" s="16">
        <f>IF(CurrentMtgRatesDataTable8[[#This Row],[Servicing Spread]]&lt;=0,K454,CurrentMtgRatesDataTable8[[#This Row],[Servicing Spread]])</f>
        <v>0.86348562078973634</v>
      </c>
      <c r="L455" s="16">
        <f>CurrentMtgRatesDataTable8[[#This Row],[Servicing Spread Non-Zero]]-K454</f>
        <v>0</v>
      </c>
      <c r="M455" s="16">
        <f>IF(I454&lt;&gt;0,CurrentMtgRatesDataTable8[[#This Row],[Rate]]-C454,M454)</f>
        <v>-6.9999999999999396E-2</v>
      </c>
    </row>
    <row r="456" spans="1:13">
      <c r="A456" s="12" t="s">
        <v>534</v>
      </c>
      <c r="B456" s="13">
        <v>3.3821795348389898</v>
      </c>
      <c r="C456" s="13">
        <v>4.2450000000000001</v>
      </c>
      <c r="D456" s="15">
        <f t="shared" si="42"/>
        <v>2</v>
      </c>
      <c r="E456" s="15">
        <f t="shared" si="43"/>
        <v>0.2</v>
      </c>
      <c r="F456" s="15">
        <f t="shared" si="44"/>
        <v>2</v>
      </c>
      <c r="G456" s="15">
        <f t="shared" si="45"/>
        <v>1.361632882596612</v>
      </c>
      <c r="H456" s="15">
        <f t="shared" si="46"/>
        <v>0.4</v>
      </c>
      <c r="I456" s="15">
        <f t="shared" si="47"/>
        <v>0</v>
      </c>
      <c r="J456" s="15">
        <f>IF(CurrentMtgRatesDataTable8[[#This Row],[WA CC]]&lt;&gt;0,C455-CurrentMtgRatesDataTable8[[#This Row],[WA CC]],0)</f>
        <v>0</v>
      </c>
      <c r="K456" s="16">
        <f>IF(CurrentMtgRatesDataTable8[[#This Row],[Servicing Spread]]&lt;=0,K455,CurrentMtgRatesDataTable8[[#This Row],[Servicing Spread]])</f>
        <v>0.86348562078973634</v>
      </c>
      <c r="L456" s="16">
        <f>CurrentMtgRatesDataTable8[[#This Row],[Servicing Spread Non-Zero]]-K455</f>
        <v>0</v>
      </c>
      <c r="M456" s="16">
        <f>IF(I455&lt;&gt;0,CurrentMtgRatesDataTable8[[#This Row],[Rate]]-C455,M455)</f>
        <v>-6.9999999999999396E-2</v>
      </c>
    </row>
    <row r="457" spans="1:13">
      <c r="A457" s="12" t="s">
        <v>389</v>
      </c>
      <c r="B457" s="13">
        <v>3.4248929817112499</v>
      </c>
      <c r="C457" s="13">
        <v>4.2450000000000001</v>
      </c>
      <c r="D457" s="15">
        <f t="shared" si="42"/>
        <v>5</v>
      </c>
      <c r="E457" s="15">
        <f t="shared" si="43"/>
        <v>0.2</v>
      </c>
      <c r="F457" s="15">
        <f t="shared" si="44"/>
        <v>3</v>
      </c>
      <c r="G457" s="15">
        <f t="shared" si="45"/>
        <v>2.0466114789388619</v>
      </c>
      <c r="H457" s="15">
        <f t="shared" si="46"/>
        <v>0.60000000000000009</v>
      </c>
      <c r="I457" s="15">
        <f t="shared" si="47"/>
        <v>0</v>
      </c>
      <c r="J457" s="15">
        <f>IF(CurrentMtgRatesDataTable8[[#This Row],[WA CC]]&lt;&gt;0,C456-CurrentMtgRatesDataTable8[[#This Row],[WA CC]],0)</f>
        <v>0</v>
      </c>
      <c r="K457" s="16">
        <f>IF(CurrentMtgRatesDataTable8[[#This Row],[Servicing Spread]]&lt;=0,K456,CurrentMtgRatesDataTable8[[#This Row],[Servicing Spread]])</f>
        <v>0.86348562078973634</v>
      </c>
      <c r="L457" s="16">
        <f>CurrentMtgRatesDataTable8[[#This Row],[Servicing Spread Non-Zero]]-K456</f>
        <v>0</v>
      </c>
      <c r="M457" s="16">
        <f>IF(I456&lt;&gt;0,CurrentMtgRatesDataTable8[[#This Row],[Rate]]-C456,M456)</f>
        <v>-6.9999999999999396E-2</v>
      </c>
    </row>
    <row r="458" spans="1:13">
      <c r="A458" s="12" t="s">
        <v>256</v>
      </c>
      <c r="B458" s="13">
        <v>3.4146699129436402</v>
      </c>
      <c r="C458" s="13">
        <v>4.2450000000000001</v>
      </c>
      <c r="D458" s="15">
        <f t="shared" si="42"/>
        <v>6</v>
      </c>
      <c r="E458" s="15">
        <f t="shared" si="43"/>
        <v>0.2</v>
      </c>
      <c r="F458" s="15">
        <f t="shared" si="44"/>
        <v>4</v>
      </c>
      <c r="G458" s="15">
        <f t="shared" si="45"/>
        <v>2.7295454615275898</v>
      </c>
      <c r="H458" s="15">
        <f t="shared" si="46"/>
        <v>0.8</v>
      </c>
      <c r="I458" s="15">
        <f t="shared" si="47"/>
        <v>0</v>
      </c>
      <c r="J458" s="15">
        <f>IF(CurrentMtgRatesDataTable8[[#This Row],[WA CC]]&lt;&gt;0,C457-CurrentMtgRatesDataTable8[[#This Row],[WA CC]],0)</f>
        <v>0</v>
      </c>
      <c r="K458" s="16">
        <f>IF(CurrentMtgRatesDataTable8[[#This Row],[Servicing Spread]]&lt;=0,K457,CurrentMtgRatesDataTable8[[#This Row],[Servicing Spread]])</f>
        <v>0.86348562078973634</v>
      </c>
      <c r="L458" s="16">
        <f>CurrentMtgRatesDataTable8[[#This Row],[Servicing Spread Non-Zero]]-K457</f>
        <v>0</v>
      </c>
      <c r="M458" s="16">
        <f>IF(I457&lt;&gt;0,CurrentMtgRatesDataTable8[[#This Row],[Rate]]-C457,M457)</f>
        <v>-6.9999999999999396E-2</v>
      </c>
    </row>
    <row r="459" spans="1:13">
      <c r="A459" s="12" t="s">
        <v>111</v>
      </c>
      <c r="B459" s="13">
        <v>3.3611475085431901</v>
      </c>
      <c r="C459" s="13">
        <v>4.2450000000000001</v>
      </c>
      <c r="D459" s="15">
        <f t="shared" si="42"/>
        <v>7</v>
      </c>
      <c r="E459" s="15">
        <f t="shared" si="43"/>
        <v>0.2</v>
      </c>
      <c r="F459" s="15">
        <f t="shared" si="44"/>
        <v>5</v>
      </c>
      <c r="G459" s="15">
        <f t="shared" si="45"/>
        <v>3.4017749632362277</v>
      </c>
      <c r="H459" s="15">
        <f t="shared" si="46"/>
        <v>1</v>
      </c>
      <c r="I459" s="15">
        <f t="shared" si="47"/>
        <v>3.4017749632362277</v>
      </c>
      <c r="J459" s="15">
        <f>IF(CurrentMtgRatesDataTable8[[#This Row],[WA CC]]&lt;&gt;0,C458-CurrentMtgRatesDataTable8[[#This Row],[WA CC]],0)</f>
        <v>0.84322503676377236</v>
      </c>
      <c r="K459" s="16">
        <f>IF(CurrentMtgRatesDataTable8[[#This Row],[Servicing Spread]]&lt;=0,K458,CurrentMtgRatesDataTable8[[#This Row],[Servicing Spread]])</f>
        <v>0.84322503676377236</v>
      </c>
      <c r="L459" s="16">
        <f>CurrentMtgRatesDataTable8[[#This Row],[Servicing Spread Non-Zero]]-K458</f>
        <v>-2.0260584025963979E-2</v>
      </c>
      <c r="M459" s="16">
        <f>IF(I458&lt;&gt;0,CurrentMtgRatesDataTable8[[#This Row],[Rate]]-C458,M458)</f>
        <v>-6.9999999999999396E-2</v>
      </c>
    </row>
    <row r="460" spans="1:13">
      <c r="A460" s="12" t="s">
        <v>675</v>
      </c>
      <c r="B460" s="13">
        <v>3.3710250871978902</v>
      </c>
      <c r="C460" s="13">
        <v>4.1550000000000002</v>
      </c>
      <c r="D460" s="15">
        <f t="shared" si="42"/>
        <v>1</v>
      </c>
      <c r="E460" s="15">
        <f t="shared" si="43"/>
        <v>0.2</v>
      </c>
      <c r="F460" s="15">
        <f t="shared" si="44"/>
        <v>1</v>
      </c>
      <c r="G460" s="15">
        <f t="shared" si="45"/>
        <v>0.67420501743957806</v>
      </c>
      <c r="H460" s="15">
        <f t="shared" si="46"/>
        <v>0.2</v>
      </c>
      <c r="I460" s="15">
        <f t="shared" si="47"/>
        <v>0</v>
      </c>
      <c r="J460" s="15">
        <f>IF(CurrentMtgRatesDataTable8[[#This Row],[WA CC]]&lt;&gt;0,C459-CurrentMtgRatesDataTable8[[#This Row],[WA CC]],0)</f>
        <v>0</v>
      </c>
      <c r="K460" s="16">
        <f>IF(CurrentMtgRatesDataTable8[[#This Row],[Servicing Spread]]&lt;=0,K459,CurrentMtgRatesDataTable8[[#This Row],[Servicing Spread]])</f>
        <v>0.84322503676377236</v>
      </c>
      <c r="L460" s="16">
        <f>CurrentMtgRatesDataTable8[[#This Row],[Servicing Spread Non-Zero]]-K459</f>
        <v>0</v>
      </c>
      <c r="M460" s="16">
        <f>IF(I459&lt;&gt;0,CurrentMtgRatesDataTable8[[#This Row],[Rate]]-C459,M459)</f>
        <v>-8.9999999999999858E-2</v>
      </c>
    </row>
    <row r="461" spans="1:13">
      <c r="A461" s="12" t="s">
        <v>535</v>
      </c>
      <c r="B461" s="13">
        <v>3.3406752567006799</v>
      </c>
      <c r="C461" s="13">
        <v>4.1550000000000002</v>
      </c>
      <c r="D461" s="15">
        <f t="shared" si="42"/>
        <v>2</v>
      </c>
      <c r="E461" s="15">
        <f t="shared" si="43"/>
        <v>0.2</v>
      </c>
      <c r="F461" s="15">
        <f t="shared" si="44"/>
        <v>2</v>
      </c>
      <c r="G461" s="15">
        <f t="shared" si="45"/>
        <v>1.342340068779714</v>
      </c>
      <c r="H461" s="15">
        <f t="shared" si="46"/>
        <v>0.4</v>
      </c>
      <c r="I461" s="15">
        <f t="shared" si="47"/>
        <v>0</v>
      </c>
      <c r="J461" s="15">
        <f>IF(CurrentMtgRatesDataTable8[[#This Row],[WA CC]]&lt;&gt;0,C460-CurrentMtgRatesDataTable8[[#This Row],[WA CC]],0)</f>
        <v>0</v>
      </c>
      <c r="K461" s="16">
        <f>IF(CurrentMtgRatesDataTable8[[#This Row],[Servicing Spread]]&lt;=0,K460,CurrentMtgRatesDataTable8[[#This Row],[Servicing Spread]])</f>
        <v>0.84322503676377236</v>
      </c>
      <c r="L461" s="16">
        <f>CurrentMtgRatesDataTable8[[#This Row],[Servicing Spread Non-Zero]]-K460</f>
        <v>0</v>
      </c>
      <c r="M461" s="16">
        <f>IF(I460&lt;&gt;0,CurrentMtgRatesDataTable8[[#This Row],[Rate]]-C460,M460)</f>
        <v>-8.9999999999999858E-2</v>
      </c>
    </row>
    <row r="462" spans="1:13">
      <c r="A462" s="12" t="s">
        <v>390</v>
      </c>
      <c r="B462" s="13">
        <v>3.2710992042590501</v>
      </c>
      <c r="C462" s="13">
        <v>4.1550000000000002</v>
      </c>
      <c r="D462" s="15">
        <f t="shared" si="42"/>
        <v>5</v>
      </c>
      <c r="E462" s="15">
        <f t="shared" si="43"/>
        <v>0.2</v>
      </c>
      <c r="F462" s="15">
        <f t="shared" si="44"/>
        <v>3</v>
      </c>
      <c r="G462" s="15">
        <f t="shared" si="45"/>
        <v>1.9965599096315241</v>
      </c>
      <c r="H462" s="15">
        <f t="shared" si="46"/>
        <v>0.60000000000000009</v>
      </c>
      <c r="I462" s="15">
        <f t="shared" si="47"/>
        <v>0</v>
      </c>
      <c r="J462" s="15">
        <f>IF(CurrentMtgRatesDataTable8[[#This Row],[WA CC]]&lt;&gt;0,C461-CurrentMtgRatesDataTable8[[#This Row],[WA CC]],0)</f>
        <v>0</v>
      </c>
      <c r="K462" s="16">
        <f>IF(CurrentMtgRatesDataTable8[[#This Row],[Servicing Spread]]&lt;=0,K461,CurrentMtgRatesDataTable8[[#This Row],[Servicing Spread]])</f>
        <v>0.84322503676377236</v>
      </c>
      <c r="L462" s="16">
        <f>CurrentMtgRatesDataTable8[[#This Row],[Servicing Spread Non-Zero]]-K461</f>
        <v>0</v>
      </c>
      <c r="M462" s="16">
        <f>IF(I461&lt;&gt;0,CurrentMtgRatesDataTable8[[#This Row],[Rate]]-C461,M461)</f>
        <v>-8.9999999999999858E-2</v>
      </c>
    </row>
    <row r="463" spans="1:13">
      <c r="A463" s="12" t="s">
        <v>257</v>
      </c>
      <c r="B463" s="13">
        <v>3.3111616483337998</v>
      </c>
      <c r="C463" s="13">
        <v>4.1550000000000002</v>
      </c>
      <c r="D463" s="15">
        <f t="shared" si="42"/>
        <v>6</v>
      </c>
      <c r="E463" s="15">
        <f t="shared" si="43"/>
        <v>0.2</v>
      </c>
      <c r="F463" s="15">
        <f t="shared" si="44"/>
        <v>4</v>
      </c>
      <c r="G463" s="15">
        <f t="shared" si="45"/>
        <v>2.6587922392982843</v>
      </c>
      <c r="H463" s="15">
        <f t="shared" si="46"/>
        <v>0.8</v>
      </c>
      <c r="I463" s="15">
        <f t="shared" si="47"/>
        <v>0</v>
      </c>
      <c r="J463" s="15">
        <f>IF(CurrentMtgRatesDataTable8[[#This Row],[WA CC]]&lt;&gt;0,C462-CurrentMtgRatesDataTable8[[#This Row],[WA CC]],0)</f>
        <v>0</v>
      </c>
      <c r="K463" s="16">
        <f>IF(CurrentMtgRatesDataTable8[[#This Row],[Servicing Spread]]&lt;=0,K462,CurrentMtgRatesDataTable8[[#This Row],[Servicing Spread]])</f>
        <v>0.84322503676377236</v>
      </c>
      <c r="L463" s="16">
        <f>CurrentMtgRatesDataTable8[[#This Row],[Servicing Spread Non-Zero]]-K462</f>
        <v>0</v>
      </c>
      <c r="M463" s="16">
        <f>IF(I462&lt;&gt;0,CurrentMtgRatesDataTable8[[#This Row],[Rate]]-C462,M462)</f>
        <v>-8.9999999999999858E-2</v>
      </c>
    </row>
    <row r="464" spans="1:13">
      <c r="A464" s="12" t="s">
        <v>112</v>
      </c>
      <c r="B464" s="13">
        <v>3.3584090078904199</v>
      </c>
      <c r="C464" s="13">
        <v>4.1550000000000002</v>
      </c>
      <c r="D464" s="15">
        <f t="shared" si="42"/>
        <v>7</v>
      </c>
      <c r="E464" s="15">
        <f t="shared" si="43"/>
        <v>0.2</v>
      </c>
      <c r="F464" s="15">
        <f t="shared" si="44"/>
        <v>5</v>
      </c>
      <c r="G464" s="15">
        <f t="shared" si="45"/>
        <v>3.3304740408763682</v>
      </c>
      <c r="H464" s="15">
        <f t="shared" si="46"/>
        <v>1</v>
      </c>
      <c r="I464" s="15">
        <f t="shared" si="47"/>
        <v>3.3304740408763682</v>
      </c>
      <c r="J464" s="15">
        <f>IF(CurrentMtgRatesDataTable8[[#This Row],[WA CC]]&lt;&gt;0,C463-CurrentMtgRatesDataTable8[[#This Row],[WA CC]],0)</f>
        <v>0.82452595912363202</v>
      </c>
      <c r="K464" s="16">
        <f>IF(CurrentMtgRatesDataTable8[[#This Row],[Servicing Spread]]&lt;=0,K463,CurrentMtgRatesDataTable8[[#This Row],[Servicing Spread]])</f>
        <v>0.82452595912363202</v>
      </c>
      <c r="L464" s="16">
        <f>CurrentMtgRatesDataTable8[[#This Row],[Servicing Spread Non-Zero]]-K463</f>
        <v>-1.8699077640140338E-2</v>
      </c>
      <c r="M464" s="16">
        <f>IF(I463&lt;&gt;0,CurrentMtgRatesDataTable8[[#This Row],[Rate]]-C463,M463)</f>
        <v>-8.9999999999999858E-2</v>
      </c>
    </row>
    <row r="465" spans="1:13">
      <c r="A465" s="12" t="s">
        <v>676</v>
      </c>
      <c r="B465" s="13">
        <v>3.3799296471468399</v>
      </c>
      <c r="C465" s="13">
        <v>4.2050000000000001</v>
      </c>
      <c r="D465" s="15">
        <f t="shared" si="42"/>
        <v>1</v>
      </c>
      <c r="E465" s="15">
        <f t="shared" si="43"/>
        <v>0.2</v>
      </c>
      <c r="F465" s="15">
        <f t="shared" si="44"/>
        <v>1</v>
      </c>
      <c r="G465" s="15">
        <f t="shared" si="45"/>
        <v>0.67598592942936797</v>
      </c>
      <c r="H465" s="15">
        <f t="shared" si="46"/>
        <v>0.2</v>
      </c>
      <c r="I465" s="15">
        <f t="shared" si="47"/>
        <v>0</v>
      </c>
      <c r="J465" s="15">
        <f>IF(CurrentMtgRatesDataTable8[[#This Row],[WA CC]]&lt;&gt;0,C464-CurrentMtgRatesDataTable8[[#This Row],[WA CC]],0)</f>
        <v>0</v>
      </c>
      <c r="K465" s="16">
        <f>IF(CurrentMtgRatesDataTable8[[#This Row],[Servicing Spread]]&lt;=0,K464,CurrentMtgRatesDataTable8[[#This Row],[Servicing Spread]])</f>
        <v>0.82452595912363202</v>
      </c>
      <c r="L465" s="16">
        <f>CurrentMtgRatesDataTable8[[#This Row],[Servicing Spread Non-Zero]]-K464</f>
        <v>0</v>
      </c>
      <c r="M465" s="16">
        <f>IF(I464&lt;&gt;0,CurrentMtgRatesDataTable8[[#This Row],[Rate]]-C464,M464)</f>
        <v>4.9999999999999822E-2</v>
      </c>
    </row>
    <row r="466" spans="1:13">
      <c r="A466" s="12" t="s">
        <v>536</v>
      </c>
      <c r="B466" s="13">
        <v>3.34300170180666</v>
      </c>
      <c r="C466" s="13">
        <v>4.2050000000000001</v>
      </c>
      <c r="D466" s="15">
        <f t="shared" si="42"/>
        <v>2</v>
      </c>
      <c r="E466" s="15">
        <f t="shared" si="43"/>
        <v>0.2</v>
      </c>
      <c r="F466" s="15">
        <f t="shared" si="44"/>
        <v>2</v>
      </c>
      <c r="G466" s="15">
        <f t="shared" si="45"/>
        <v>1.3445862697907001</v>
      </c>
      <c r="H466" s="15">
        <f t="shared" si="46"/>
        <v>0.4</v>
      </c>
      <c r="I466" s="15">
        <f t="shared" si="47"/>
        <v>0</v>
      </c>
      <c r="J466" s="15">
        <f>IF(CurrentMtgRatesDataTable8[[#This Row],[WA CC]]&lt;&gt;0,C465-CurrentMtgRatesDataTable8[[#This Row],[WA CC]],0)</f>
        <v>0</v>
      </c>
      <c r="K466" s="16">
        <f>IF(CurrentMtgRatesDataTable8[[#This Row],[Servicing Spread]]&lt;=0,K465,CurrentMtgRatesDataTable8[[#This Row],[Servicing Spread]])</f>
        <v>0.82452595912363202</v>
      </c>
      <c r="L466" s="16">
        <f>CurrentMtgRatesDataTable8[[#This Row],[Servicing Spread Non-Zero]]-K465</f>
        <v>0</v>
      </c>
      <c r="M466" s="16">
        <f>IF(I465&lt;&gt;0,CurrentMtgRatesDataTable8[[#This Row],[Rate]]-C465,M465)</f>
        <v>4.9999999999999822E-2</v>
      </c>
    </row>
    <row r="467" spans="1:13">
      <c r="A467" s="12" t="s">
        <v>391</v>
      </c>
      <c r="B467" s="13">
        <v>3.34761054294983</v>
      </c>
      <c r="C467" s="13">
        <v>4.2050000000000001</v>
      </c>
      <c r="D467" s="15">
        <f t="shared" si="42"/>
        <v>5</v>
      </c>
      <c r="E467" s="15">
        <f t="shared" si="43"/>
        <v>0.2</v>
      </c>
      <c r="F467" s="15">
        <f t="shared" si="44"/>
        <v>3</v>
      </c>
      <c r="G467" s="15">
        <f t="shared" si="45"/>
        <v>2.0141083783806661</v>
      </c>
      <c r="H467" s="15">
        <f t="shared" si="46"/>
        <v>0.60000000000000009</v>
      </c>
      <c r="I467" s="15">
        <f t="shared" si="47"/>
        <v>0</v>
      </c>
      <c r="J467" s="15">
        <f>IF(CurrentMtgRatesDataTable8[[#This Row],[WA CC]]&lt;&gt;0,C466-CurrentMtgRatesDataTable8[[#This Row],[WA CC]],0)</f>
        <v>0</v>
      </c>
      <c r="K467" s="16">
        <f>IF(CurrentMtgRatesDataTable8[[#This Row],[Servicing Spread]]&lt;=0,K466,CurrentMtgRatesDataTable8[[#This Row],[Servicing Spread]])</f>
        <v>0.82452595912363202</v>
      </c>
      <c r="L467" s="16">
        <f>CurrentMtgRatesDataTable8[[#This Row],[Servicing Spread Non-Zero]]-K466</f>
        <v>0</v>
      </c>
      <c r="M467" s="16">
        <f>IF(I466&lt;&gt;0,CurrentMtgRatesDataTable8[[#This Row],[Rate]]-C466,M466)</f>
        <v>4.9999999999999822E-2</v>
      </c>
    </row>
    <row r="468" spans="1:13">
      <c r="A468" s="12" t="s">
        <v>258</v>
      </c>
      <c r="B468" s="13">
        <v>3.3874003692749199</v>
      </c>
      <c r="C468" s="13">
        <v>4.2050000000000001</v>
      </c>
      <c r="D468" s="15">
        <f t="shared" si="42"/>
        <v>6</v>
      </c>
      <c r="E468" s="15">
        <f t="shared" si="43"/>
        <v>0.2</v>
      </c>
      <c r="F468" s="15">
        <f t="shared" si="44"/>
        <v>4</v>
      </c>
      <c r="G468" s="15">
        <f t="shared" si="45"/>
        <v>2.6915884522356501</v>
      </c>
      <c r="H468" s="15">
        <f t="shared" si="46"/>
        <v>0.8</v>
      </c>
      <c r="I468" s="15">
        <f t="shared" si="47"/>
        <v>0</v>
      </c>
      <c r="J468" s="15">
        <f>IF(CurrentMtgRatesDataTable8[[#This Row],[WA CC]]&lt;&gt;0,C467-CurrentMtgRatesDataTable8[[#This Row],[WA CC]],0)</f>
        <v>0</v>
      </c>
      <c r="K468" s="16">
        <f>IF(CurrentMtgRatesDataTable8[[#This Row],[Servicing Spread]]&lt;=0,K467,CurrentMtgRatesDataTable8[[#This Row],[Servicing Spread]])</f>
        <v>0.82452595912363202</v>
      </c>
      <c r="L468" s="16">
        <f>CurrentMtgRatesDataTable8[[#This Row],[Servicing Spread Non-Zero]]-K467</f>
        <v>0</v>
      </c>
      <c r="M468" s="16">
        <f>IF(I467&lt;&gt;0,CurrentMtgRatesDataTable8[[#This Row],[Rate]]-C467,M467)</f>
        <v>4.9999999999999822E-2</v>
      </c>
    </row>
    <row r="469" spans="1:13">
      <c r="A469" s="12" t="s">
        <v>113</v>
      </c>
      <c r="B469" s="13">
        <v>3.4367814236357002</v>
      </c>
      <c r="C469" s="13">
        <v>4.2050000000000001</v>
      </c>
      <c r="D469" s="15">
        <f t="shared" si="42"/>
        <v>7</v>
      </c>
      <c r="E469" s="15">
        <f t="shared" si="43"/>
        <v>0.2</v>
      </c>
      <c r="F469" s="15">
        <f t="shared" si="44"/>
        <v>5</v>
      </c>
      <c r="G469" s="15">
        <f t="shared" si="45"/>
        <v>3.3789447369627901</v>
      </c>
      <c r="H469" s="15">
        <f t="shared" si="46"/>
        <v>1</v>
      </c>
      <c r="I469" s="15">
        <f t="shared" si="47"/>
        <v>3.3789447369627901</v>
      </c>
      <c r="J469" s="15">
        <f>IF(CurrentMtgRatesDataTable8[[#This Row],[WA CC]]&lt;&gt;0,C468-CurrentMtgRatesDataTable8[[#This Row],[WA CC]],0)</f>
        <v>0.82605526303721</v>
      </c>
      <c r="K469" s="16">
        <f>IF(CurrentMtgRatesDataTable8[[#This Row],[Servicing Spread]]&lt;=0,K468,CurrentMtgRatesDataTable8[[#This Row],[Servicing Spread]])</f>
        <v>0.82605526303721</v>
      </c>
      <c r="L469" s="16">
        <f>CurrentMtgRatesDataTable8[[#This Row],[Servicing Spread Non-Zero]]-K468</f>
        <v>1.5293039135779729E-3</v>
      </c>
      <c r="M469" s="16">
        <f>IF(I468&lt;&gt;0,CurrentMtgRatesDataTable8[[#This Row],[Rate]]-C468,M468)</f>
        <v>4.9999999999999822E-2</v>
      </c>
    </row>
    <row r="470" spans="1:13">
      <c r="A470" s="12" t="s">
        <v>677</v>
      </c>
      <c r="B470" s="13">
        <v>3.3963820586764299</v>
      </c>
      <c r="C470" s="13">
        <v>4.2549999999999999</v>
      </c>
      <c r="D470" s="15">
        <f t="shared" si="42"/>
        <v>1</v>
      </c>
      <c r="E470" s="15">
        <f t="shared" si="43"/>
        <v>0.2</v>
      </c>
      <c r="F470" s="15">
        <f t="shared" si="44"/>
        <v>1</v>
      </c>
      <c r="G470" s="15">
        <f t="shared" si="45"/>
        <v>0.67927641173528608</v>
      </c>
      <c r="H470" s="15">
        <f t="shared" si="46"/>
        <v>0.2</v>
      </c>
      <c r="I470" s="15">
        <f t="shared" si="47"/>
        <v>0</v>
      </c>
      <c r="J470" s="15">
        <f>IF(CurrentMtgRatesDataTable8[[#This Row],[WA CC]]&lt;&gt;0,C469-CurrentMtgRatesDataTable8[[#This Row],[WA CC]],0)</f>
        <v>0</v>
      </c>
      <c r="K470" s="16">
        <f>IF(CurrentMtgRatesDataTable8[[#This Row],[Servicing Spread]]&lt;=0,K469,CurrentMtgRatesDataTable8[[#This Row],[Servicing Spread]])</f>
        <v>0.82605526303721</v>
      </c>
      <c r="L470" s="16">
        <f>CurrentMtgRatesDataTable8[[#This Row],[Servicing Spread Non-Zero]]-K469</f>
        <v>0</v>
      </c>
      <c r="M470" s="16">
        <f>IF(I469&lt;&gt;0,CurrentMtgRatesDataTable8[[#This Row],[Rate]]-C469,M469)</f>
        <v>4.9999999999999822E-2</v>
      </c>
    </row>
    <row r="471" spans="1:13">
      <c r="A471" s="12" t="s">
        <v>537</v>
      </c>
      <c r="B471" s="13">
        <v>3.42404687499962</v>
      </c>
      <c r="C471" s="13">
        <v>4.2549999999999999</v>
      </c>
      <c r="D471" s="15">
        <f t="shared" si="42"/>
        <v>2</v>
      </c>
      <c r="E471" s="15">
        <f t="shared" si="43"/>
        <v>0.2</v>
      </c>
      <c r="F471" s="15">
        <f t="shared" si="44"/>
        <v>2</v>
      </c>
      <c r="G471" s="15">
        <f t="shared" si="45"/>
        <v>1.3640857867352101</v>
      </c>
      <c r="H471" s="15">
        <f t="shared" si="46"/>
        <v>0.4</v>
      </c>
      <c r="I471" s="15">
        <f t="shared" si="47"/>
        <v>0</v>
      </c>
      <c r="J471" s="15">
        <f>IF(CurrentMtgRatesDataTable8[[#This Row],[WA CC]]&lt;&gt;0,C470-CurrentMtgRatesDataTable8[[#This Row],[WA CC]],0)</f>
        <v>0</v>
      </c>
      <c r="K471" s="16">
        <f>IF(CurrentMtgRatesDataTable8[[#This Row],[Servicing Spread]]&lt;=0,K470,CurrentMtgRatesDataTable8[[#This Row],[Servicing Spread]])</f>
        <v>0.82605526303721</v>
      </c>
      <c r="L471" s="16">
        <f>CurrentMtgRatesDataTable8[[#This Row],[Servicing Spread Non-Zero]]-K470</f>
        <v>0</v>
      </c>
      <c r="M471" s="16">
        <f>IF(I470&lt;&gt;0,CurrentMtgRatesDataTable8[[#This Row],[Rate]]-C470,M470)</f>
        <v>4.9999999999999822E-2</v>
      </c>
    </row>
    <row r="472" spans="1:13">
      <c r="A472" s="12" t="s">
        <v>259</v>
      </c>
      <c r="B472" s="13">
        <v>3.4022510541238402</v>
      </c>
      <c r="C472" s="13">
        <v>4.2549999999999999</v>
      </c>
      <c r="D472" s="15">
        <f t="shared" si="42"/>
        <v>6</v>
      </c>
      <c r="E472" s="15">
        <f t="shared" si="43"/>
        <v>0.2</v>
      </c>
      <c r="F472" s="15">
        <f t="shared" si="44"/>
        <v>3</v>
      </c>
      <c r="G472" s="15">
        <f t="shared" si="45"/>
        <v>2.0445359975599784</v>
      </c>
      <c r="H472" s="15">
        <f t="shared" si="46"/>
        <v>0.60000000000000009</v>
      </c>
      <c r="I472" s="15">
        <f t="shared" si="47"/>
        <v>0</v>
      </c>
      <c r="J472" s="15">
        <f>IF(CurrentMtgRatesDataTable8[[#This Row],[WA CC]]&lt;&gt;0,C471-CurrentMtgRatesDataTable8[[#This Row],[WA CC]],0)</f>
        <v>0</v>
      </c>
      <c r="K472" s="16">
        <f>IF(CurrentMtgRatesDataTable8[[#This Row],[Servicing Spread]]&lt;=0,K471,CurrentMtgRatesDataTable8[[#This Row],[Servicing Spread]])</f>
        <v>0.82605526303721</v>
      </c>
      <c r="L472" s="16">
        <f>CurrentMtgRatesDataTable8[[#This Row],[Servicing Spread Non-Zero]]-K471</f>
        <v>0</v>
      </c>
      <c r="M472" s="16">
        <f>IF(I471&lt;&gt;0,CurrentMtgRatesDataTable8[[#This Row],[Rate]]-C471,M471)</f>
        <v>4.9999999999999822E-2</v>
      </c>
    </row>
    <row r="473" spans="1:13">
      <c r="A473" s="12" t="s">
        <v>114</v>
      </c>
      <c r="B473" s="13">
        <v>3.4208462339079002</v>
      </c>
      <c r="C473" s="13">
        <v>4.2549999999999999</v>
      </c>
      <c r="D473" s="15">
        <f t="shared" si="42"/>
        <v>7</v>
      </c>
      <c r="E473" s="15">
        <f t="shared" si="43"/>
        <v>0.2</v>
      </c>
      <c r="F473" s="15">
        <f t="shared" si="44"/>
        <v>4</v>
      </c>
      <c r="G473" s="15">
        <f t="shared" si="45"/>
        <v>2.7287052443415583</v>
      </c>
      <c r="H473" s="15">
        <f t="shared" si="46"/>
        <v>0.8</v>
      </c>
      <c r="I473" s="15">
        <f t="shared" si="47"/>
        <v>3.4108815554269478</v>
      </c>
      <c r="J473" s="15">
        <f>IF(CurrentMtgRatesDataTable8[[#This Row],[WA CC]]&lt;&gt;0,C472-CurrentMtgRatesDataTable8[[#This Row],[WA CC]],0)</f>
        <v>0.84411844457305207</v>
      </c>
      <c r="K473" s="16">
        <f>IF(CurrentMtgRatesDataTable8[[#This Row],[Servicing Spread]]&lt;=0,K472,CurrentMtgRatesDataTable8[[#This Row],[Servicing Spread]])</f>
        <v>0.84411844457305207</v>
      </c>
      <c r="L473" s="16">
        <f>CurrentMtgRatesDataTable8[[#This Row],[Servicing Spread Non-Zero]]-K472</f>
        <v>1.8063181535842077E-2</v>
      </c>
      <c r="M473" s="16">
        <f>IF(I472&lt;&gt;0,CurrentMtgRatesDataTable8[[#This Row],[Rate]]-C472,M472)</f>
        <v>4.9999999999999822E-2</v>
      </c>
    </row>
    <row r="474" spans="1:13">
      <c r="A474" s="12" t="s">
        <v>678</v>
      </c>
      <c r="B474" s="13">
        <v>3.4409874974018302</v>
      </c>
      <c r="C474" s="13">
        <v>4.2949999999999999</v>
      </c>
      <c r="D474" s="15">
        <f t="shared" si="42"/>
        <v>1</v>
      </c>
      <c r="E474" s="15">
        <f t="shared" si="43"/>
        <v>0.2</v>
      </c>
      <c r="F474" s="15">
        <f t="shared" si="44"/>
        <v>1</v>
      </c>
      <c r="G474" s="15">
        <f t="shared" si="45"/>
        <v>0.68819749948036613</v>
      </c>
      <c r="H474" s="15">
        <f t="shared" si="46"/>
        <v>0.2</v>
      </c>
      <c r="I474" s="15">
        <f t="shared" si="47"/>
        <v>0</v>
      </c>
      <c r="J474" s="15">
        <f>IF(CurrentMtgRatesDataTable8[[#This Row],[WA CC]]&lt;&gt;0,C473-CurrentMtgRatesDataTable8[[#This Row],[WA CC]],0)</f>
        <v>0</v>
      </c>
      <c r="K474" s="16">
        <f>IF(CurrentMtgRatesDataTable8[[#This Row],[Servicing Spread]]&lt;=0,K473,CurrentMtgRatesDataTable8[[#This Row],[Servicing Spread]])</f>
        <v>0.84411844457305207</v>
      </c>
      <c r="L474" s="16">
        <f>CurrentMtgRatesDataTable8[[#This Row],[Servicing Spread Non-Zero]]-K473</f>
        <v>0</v>
      </c>
      <c r="M474" s="16">
        <f>IF(I473&lt;&gt;0,CurrentMtgRatesDataTable8[[#This Row],[Rate]]-C473,M473)</f>
        <v>4.0000000000000036E-2</v>
      </c>
    </row>
    <row r="475" spans="1:13">
      <c r="A475" s="12" t="s">
        <v>538</v>
      </c>
      <c r="B475" s="13">
        <v>3.4238152467223899</v>
      </c>
      <c r="C475" s="13">
        <v>4.2949999999999999</v>
      </c>
      <c r="D475" s="15">
        <f t="shared" si="42"/>
        <v>2</v>
      </c>
      <c r="E475" s="15">
        <f t="shared" si="43"/>
        <v>0.2</v>
      </c>
      <c r="F475" s="15">
        <f t="shared" si="44"/>
        <v>2</v>
      </c>
      <c r="G475" s="15">
        <f t="shared" si="45"/>
        <v>1.3729605488248442</v>
      </c>
      <c r="H475" s="15">
        <f t="shared" si="46"/>
        <v>0.4</v>
      </c>
      <c r="I475" s="15">
        <f t="shared" si="47"/>
        <v>0</v>
      </c>
      <c r="J475" s="15">
        <f>IF(CurrentMtgRatesDataTable8[[#This Row],[WA CC]]&lt;&gt;0,C474-CurrentMtgRatesDataTable8[[#This Row],[WA CC]],0)</f>
        <v>0</v>
      </c>
      <c r="K475" s="16">
        <f>IF(CurrentMtgRatesDataTable8[[#This Row],[Servicing Spread]]&lt;=0,K474,CurrentMtgRatesDataTable8[[#This Row],[Servicing Spread]])</f>
        <v>0.84411844457305207</v>
      </c>
      <c r="L475" s="16">
        <f>CurrentMtgRatesDataTable8[[#This Row],[Servicing Spread Non-Zero]]-K474</f>
        <v>0</v>
      </c>
      <c r="M475" s="16">
        <f>IF(I474&lt;&gt;0,CurrentMtgRatesDataTable8[[#This Row],[Rate]]-C474,M474)</f>
        <v>4.0000000000000036E-2</v>
      </c>
    </row>
    <row r="476" spans="1:13">
      <c r="A476" s="12" t="s">
        <v>392</v>
      </c>
      <c r="B476" s="13">
        <v>3.4298763218774999</v>
      </c>
      <c r="C476" s="13">
        <v>4.2949999999999999</v>
      </c>
      <c r="D476" s="15">
        <f t="shared" si="42"/>
        <v>5</v>
      </c>
      <c r="E476" s="15">
        <f t="shared" si="43"/>
        <v>0.2</v>
      </c>
      <c r="F476" s="15">
        <f t="shared" si="44"/>
        <v>3</v>
      </c>
      <c r="G476" s="15">
        <f t="shared" si="45"/>
        <v>2.0589358132003444</v>
      </c>
      <c r="H476" s="15">
        <f t="shared" si="46"/>
        <v>0.60000000000000009</v>
      </c>
      <c r="I476" s="15">
        <f t="shared" si="47"/>
        <v>0</v>
      </c>
      <c r="J476" s="15">
        <f>IF(CurrentMtgRatesDataTable8[[#This Row],[WA CC]]&lt;&gt;0,C475-CurrentMtgRatesDataTable8[[#This Row],[WA CC]],0)</f>
        <v>0</v>
      </c>
      <c r="K476" s="16">
        <f>IF(CurrentMtgRatesDataTable8[[#This Row],[Servicing Spread]]&lt;=0,K475,CurrentMtgRatesDataTable8[[#This Row],[Servicing Spread]])</f>
        <v>0.84411844457305207</v>
      </c>
      <c r="L476" s="16">
        <f>CurrentMtgRatesDataTable8[[#This Row],[Servicing Spread Non-Zero]]-K475</f>
        <v>0</v>
      </c>
      <c r="M476" s="16">
        <f>IF(I475&lt;&gt;0,CurrentMtgRatesDataTable8[[#This Row],[Rate]]-C475,M475)</f>
        <v>4.0000000000000036E-2</v>
      </c>
    </row>
    <row r="477" spans="1:13">
      <c r="A477" s="12" t="s">
        <v>260</v>
      </c>
      <c r="B477" s="13">
        <v>3.3762483730993802</v>
      </c>
      <c r="C477" s="13">
        <v>4.2949999999999999</v>
      </c>
      <c r="D477" s="15">
        <f t="shared" si="42"/>
        <v>6</v>
      </c>
      <c r="E477" s="15">
        <f t="shared" si="43"/>
        <v>0.2</v>
      </c>
      <c r="F477" s="15">
        <f t="shared" si="44"/>
        <v>4</v>
      </c>
      <c r="G477" s="15">
        <f t="shared" si="45"/>
        <v>2.7341854878202203</v>
      </c>
      <c r="H477" s="15">
        <f t="shared" si="46"/>
        <v>0.8</v>
      </c>
      <c r="I477" s="15">
        <f t="shared" si="47"/>
        <v>0</v>
      </c>
      <c r="J477" s="15">
        <f>IF(CurrentMtgRatesDataTable8[[#This Row],[WA CC]]&lt;&gt;0,C476-CurrentMtgRatesDataTable8[[#This Row],[WA CC]],0)</f>
        <v>0</v>
      </c>
      <c r="K477" s="16">
        <f>IF(CurrentMtgRatesDataTable8[[#This Row],[Servicing Spread]]&lt;=0,K476,CurrentMtgRatesDataTable8[[#This Row],[Servicing Spread]])</f>
        <v>0.84411844457305207</v>
      </c>
      <c r="L477" s="16">
        <f>CurrentMtgRatesDataTable8[[#This Row],[Servicing Spread Non-Zero]]-K476</f>
        <v>0</v>
      </c>
      <c r="M477" s="16">
        <f>IF(I476&lt;&gt;0,CurrentMtgRatesDataTable8[[#This Row],[Rate]]-C476,M476)</f>
        <v>4.0000000000000036E-2</v>
      </c>
    </row>
    <row r="478" spans="1:13">
      <c r="A478" s="12" t="s">
        <v>115</v>
      </c>
      <c r="B478" s="13">
        <v>3.36185561650391</v>
      </c>
      <c r="C478" s="13">
        <v>4.2949999999999999</v>
      </c>
      <c r="D478" s="15">
        <f t="shared" si="42"/>
        <v>7</v>
      </c>
      <c r="E478" s="15">
        <f t="shared" si="43"/>
        <v>0.2</v>
      </c>
      <c r="F478" s="15">
        <f t="shared" si="44"/>
        <v>5</v>
      </c>
      <c r="G478" s="15">
        <f t="shared" si="45"/>
        <v>3.4065566111210024</v>
      </c>
      <c r="H478" s="15">
        <f t="shared" si="46"/>
        <v>1</v>
      </c>
      <c r="I478" s="15">
        <f t="shared" si="47"/>
        <v>3.4065566111210024</v>
      </c>
      <c r="J478" s="15">
        <f>IF(CurrentMtgRatesDataTable8[[#This Row],[WA CC]]&lt;&gt;0,C477-CurrentMtgRatesDataTable8[[#This Row],[WA CC]],0)</f>
        <v>0.88844338887899754</v>
      </c>
      <c r="K478" s="16">
        <f>IF(CurrentMtgRatesDataTable8[[#This Row],[Servicing Spread]]&lt;=0,K477,CurrentMtgRatesDataTable8[[#This Row],[Servicing Spread]])</f>
        <v>0.88844338887899754</v>
      </c>
      <c r="L478" s="16">
        <f>CurrentMtgRatesDataTable8[[#This Row],[Servicing Spread Non-Zero]]-K477</f>
        <v>4.4324944305945468E-2</v>
      </c>
      <c r="M478" s="16">
        <f>IF(I477&lt;&gt;0,CurrentMtgRatesDataTable8[[#This Row],[Rate]]-C477,M477)</f>
        <v>4.0000000000000036E-2</v>
      </c>
    </row>
    <row r="479" spans="1:13">
      <c r="A479" s="12" t="s">
        <v>679</v>
      </c>
      <c r="B479" s="13">
        <v>3.3370205659412702</v>
      </c>
      <c r="C479" s="13">
        <v>4.2050000000000001</v>
      </c>
      <c r="D479" s="15">
        <f t="shared" si="42"/>
        <v>1</v>
      </c>
      <c r="E479" s="15">
        <f t="shared" si="43"/>
        <v>0.2</v>
      </c>
      <c r="F479" s="15">
        <f t="shared" si="44"/>
        <v>1</v>
      </c>
      <c r="G479" s="15">
        <f t="shared" si="45"/>
        <v>0.6674041131882541</v>
      </c>
      <c r="H479" s="15">
        <f t="shared" si="46"/>
        <v>0.2</v>
      </c>
      <c r="I479" s="15">
        <f t="shared" si="47"/>
        <v>0</v>
      </c>
      <c r="J479" s="15">
        <f>IF(CurrentMtgRatesDataTable8[[#This Row],[WA CC]]&lt;&gt;0,C478-CurrentMtgRatesDataTable8[[#This Row],[WA CC]],0)</f>
        <v>0</v>
      </c>
      <c r="K479" s="16">
        <f>IF(CurrentMtgRatesDataTable8[[#This Row],[Servicing Spread]]&lt;=0,K478,CurrentMtgRatesDataTable8[[#This Row],[Servicing Spread]])</f>
        <v>0.88844338887899754</v>
      </c>
      <c r="L479" s="16">
        <f>CurrentMtgRatesDataTable8[[#This Row],[Servicing Spread Non-Zero]]-K478</f>
        <v>0</v>
      </c>
      <c r="M479" s="16">
        <f>IF(I478&lt;&gt;0,CurrentMtgRatesDataTable8[[#This Row],[Rate]]-C478,M478)</f>
        <v>-8.9999999999999858E-2</v>
      </c>
    </row>
    <row r="480" spans="1:13">
      <c r="A480" s="12" t="s">
        <v>539</v>
      </c>
      <c r="B480" s="13">
        <v>3.3514861848067001</v>
      </c>
      <c r="C480" s="13">
        <v>4.2050000000000001</v>
      </c>
      <c r="D480" s="15">
        <f t="shared" si="42"/>
        <v>2</v>
      </c>
      <c r="E480" s="15">
        <f t="shared" si="43"/>
        <v>0.2</v>
      </c>
      <c r="F480" s="15">
        <f t="shared" si="44"/>
        <v>2</v>
      </c>
      <c r="G480" s="15">
        <f t="shared" si="45"/>
        <v>1.3377013501495942</v>
      </c>
      <c r="H480" s="15">
        <f t="shared" si="46"/>
        <v>0.4</v>
      </c>
      <c r="I480" s="15">
        <f t="shared" si="47"/>
        <v>0</v>
      </c>
      <c r="J480" s="15">
        <f>IF(CurrentMtgRatesDataTable8[[#This Row],[WA CC]]&lt;&gt;0,C479-CurrentMtgRatesDataTable8[[#This Row],[WA CC]],0)</f>
        <v>0</v>
      </c>
      <c r="K480" s="16">
        <f>IF(CurrentMtgRatesDataTable8[[#This Row],[Servicing Spread]]&lt;=0,K479,CurrentMtgRatesDataTable8[[#This Row],[Servicing Spread]])</f>
        <v>0.88844338887899754</v>
      </c>
      <c r="L480" s="16">
        <f>CurrentMtgRatesDataTable8[[#This Row],[Servicing Spread Non-Zero]]-K479</f>
        <v>0</v>
      </c>
      <c r="M480" s="16">
        <f>IF(I479&lt;&gt;0,CurrentMtgRatesDataTable8[[#This Row],[Rate]]-C479,M479)</f>
        <v>-8.9999999999999858E-2</v>
      </c>
    </row>
    <row r="481" spans="1:13">
      <c r="A481" s="12" t="s">
        <v>393</v>
      </c>
      <c r="B481" s="13">
        <v>3.32529881785555</v>
      </c>
      <c r="C481" s="13">
        <v>4.2050000000000001</v>
      </c>
      <c r="D481" s="15">
        <f t="shared" si="42"/>
        <v>5</v>
      </c>
      <c r="E481" s="15">
        <f t="shared" si="43"/>
        <v>0.2</v>
      </c>
      <c r="F481" s="15">
        <f t="shared" si="44"/>
        <v>3</v>
      </c>
      <c r="G481" s="15">
        <f t="shared" si="45"/>
        <v>2.0027611137207044</v>
      </c>
      <c r="H481" s="15">
        <f t="shared" si="46"/>
        <v>0.60000000000000009</v>
      </c>
      <c r="I481" s="15">
        <f t="shared" si="47"/>
        <v>0</v>
      </c>
      <c r="J481" s="15">
        <f>IF(CurrentMtgRatesDataTable8[[#This Row],[WA CC]]&lt;&gt;0,C480-CurrentMtgRatesDataTable8[[#This Row],[WA CC]],0)</f>
        <v>0</v>
      </c>
      <c r="K481" s="16">
        <f>IF(CurrentMtgRatesDataTable8[[#This Row],[Servicing Spread]]&lt;=0,K480,CurrentMtgRatesDataTable8[[#This Row],[Servicing Spread]])</f>
        <v>0.88844338887899754</v>
      </c>
      <c r="L481" s="16">
        <f>CurrentMtgRatesDataTable8[[#This Row],[Servicing Spread Non-Zero]]-K480</f>
        <v>0</v>
      </c>
      <c r="M481" s="16">
        <f>IF(I480&lt;&gt;0,CurrentMtgRatesDataTable8[[#This Row],[Rate]]-C480,M480)</f>
        <v>-8.9999999999999858E-2</v>
      </c>
    </row>
    <row r="482" spans="1:13">
      <c r="A482" s="12" t="s">
        <v>261</v>
      </c>
      <c r="B482" s="13">
        <v>3.3983132593490502</v>
      </c>
      <c r="C482" s="13">
        <v>4.2050000000000001</v>
      </c>
      <c r="D482" s="15">
        <f t="shared" si="42"/>
        <v>6</v>
      </c>
      <c r="E482" s="15">
        <f t="shared" si="43"/>
        <v>0.2</v>
      </c>
      <c r="F482" s="15">
        <f t="shared" si="44"/>
        <v>4</v>
      </c>
      <c r="G482" s="15">
        <f t="shared" si="45"/>
        <v>2.6824237655905145</v>
      </c>
      <c r="H482" s="15">
        <f t="shared" si="46"/>
        <v>0.8</v>
      </c>
      <c r="I482" s="15">
        <f t="shared" si="47"/>
        <v>0</v>
      </c>
      <c r="J482" s="15">
        <f>IF(CurrentMtgRatesDataTable8[[#This Row],[WA CC]]&lt;&gt;0,C481-CurrentMtgRatesDataTable8[[#This Row],[WA CC]],0)</f>
        <v>0</v>
      </c>
      <c r="K482" s="16">
        <f>IF(CurrentMtgRatesDataTable8[[#This Row],[Servicing Spread]]&lt;=0,K481,CurrentMtgRatesDataTable8[[#This Row],[Servicing Spread]])</f>
        <v>0.88844338887899754</v>
      </c>
      <c r="L482" s="16">
        <f>CurrentMtgRatesDataTable8[[#This Row],[Servicing Spread Non-Zero]]-K481</f>
        <v>0</v>
      </c>
      <c r="M482" s="16">
        <f>IF(I481&lt;&gt;0,CurrentMtgRatesDataTable8[[#This Row],[Rate]]-C481,M481)</f>
        <v>-8.9999999999999858E-2</v>
      </c>
    </row>
    <row r="483" spans="1:13">
      <c r="A483" s="12" t="s">
        <v>116</v>
      </c>
      <c r="B483" s="13">
        <v>3.40151851180392</v>
      </c>
      <c r="C483" s="13">
        <v>4.2050000000000001</v>
      </c>
      <c r="D483" s="15">
        <f t="shared" si="42"/>
        <v>7</v>
      </c>
      <c r="E483" s="15">
        <f t="shared" si="43"/>
        <v>0.2</v>
      </c>
      <c r="F483" s="15">
        <f t="shared" si="44"/>
        <v>5</v>
      </c>
      <c r="G483" s="15">
        <f t="shared" si="45"/>
        <v>3.3627274679512986</v>
      </c>
      <c r="H483" s="15">
        <f t="shared" si="46"/>
        <v>1</v>
      </c>
      <c r="I483" s="15">
        <f t="shared" si="47"/>
        <v>3.3627274679512986</v>
      </c>
      <c r="J483" s="15">
        <f>IF(CurrentMtgRatesDataTable8[[#This Row],[WA CC]]&lt;&gt;0,C482-CurrentMtgRatesDataTable8[[#This Row],[WA CC]],0)</f>
        <v>0.84227253204870145</v>
      </c>
      <c r="K483" s="16">
        <f>IF(CurrentMtgRatesDataTable8[[#This Row],[Servicing Spread]]&lt;=0,K482,CurrentMtgRatesDataTable8[[#This Row],[Servicing Spread]])</f>
        <v>0.84227253204870145</v>
      </c>
      <c r="L483" s="16">
        <f>CurrentMtgRatesDataTable8[[#This Row],[Servicing Spread Non-Zero]]-K482</f>
        <v>-4.6170856830296092E-2</v>
      </c>
      <c r="M483" s="16">
        <f>IF(I482&lt;&gt;0,CurrentMtgRatesDataTable8[[#This Row],[Rate]]-C482,M482)</f>
        <v>-8.9999999999999858E-2</v>
      </c>
    </row>
    <row r="484" spans="1:13">
      <c r="A484" s="12" t="s">
        <v>680</v>
      </c>
      <c r="B484" s="13">
        <v>3.4237035729301399</v>
      </c>
      <c r="C484" s="13">
        <v>4.2700000000000005</v>
      </c>
      <c r="D484" s="15">
        <f t="shared" si="42"/>
        <v>1</v>
      </c>
      <c r="E484" s="15">
        <f t="shared" si="43"/>
        <v>0.2</v>
      </c>
      <c r="F484" s="15">
        <f t="shared" si="44"/>
        <v>1</v>
      </c>
      <c r="G484" s="15">
        <f t="shared" si="45"/>
        <v>0.68474071458602803</v>
      </c>
      <c r="H484" s="15">
        <f t="shared" si="46"/>
        <v>0.2</v>
      </c>
      <c r="I484" s="15">
        <f t="shared" si="47"/>
        <v>0</v>
      </c>
      <c r="J484" s="15">
        <f>IF(CurrentMtgRatesDataTable8[[#This Row],[WA CC]]&lt;&gt;0,C483-CurrentMtgRatesDataTable8[[#This Row],[WA CC]],0)</f>
        <v>0</v>
      </c>
      <c r="K484" s="16">
        <f>IF(CurrentMtgRatesDataTable8[[#This Row],[Servicing Spread]]&lt;=0,K483,CurrentMtgRatesDataTable8[[#This Row],[Servicing Spread]])</f>
        <v>0.84227253204870145</v>
      </c>
      <c r="L484" s="16">
        <f>CurrentMtgRatesDataTable8[[#This Row],[Servicing Spread Non-Zero]]-K483</f>
        <v>0</v>
      </c>
      <c r="M484" s="16">
        <f>IF(I483&lt;&gt;0,CurrentMtgRatesDataTable8[[#This Row],[Rate]]-C483,M483)</f>
        <v>6.5000000000000391E-2</v>
      </c>
    </row>
    <row r="485" spans="1:13">
      <c r="A485" s="12" t="s">
        <v>540</v>
      </c>
      <c r="B485" s="13">
        <v>3.4613667705973898</v>
      </c>
      <c r="C485" s="13">
        <v>4.2700000000000005</v>
      </c>
      <c r="D485" s="15">
        <f t="shared" si="42"/>
        <v>2</v>
      </c>
      <c r="E485" s="15">
        <f t="shared" si="43"/>
        <v>0.2</v>
      </c>
      <c r="F485" s="15">
        <f t="shared" si="44"/>
        <v>2</v>
      </c>
      <c r="G485" s="15">
        <f t="shared" si="45"/>
        <v>1.3770140687055061</v>
      </c>
      <c r="H485" s="15">
        <f t="shared" si="46"/>
        <v>0.4</v>
      </c>
      <c r="I485" s="15">
        <f t="shared" si="47"/>
        <v>0</v>
      </c>
      <c r="J485" s="15">
        <f>IF(CurrentMtgRatesDataTable8[[#This Row],[WA CC]]&lt;&gt;0,C484-CurrentMtgRatesDataTable8[[#This Row],[WA CC]],0)</f>
        <v>0</v>
      </c>
      <c r="K485" s="16">
        <f>IF(CurrentMtgRatesDataTable8[[#This Row],[Servicing Spread]]&lt;=0,K484,CurrentMtgRatesDataTable8[[#This Row],[Servicing Spread]])</f>
        <v>0.84227253204870145</v>
      </c>
      <c r="L485" s="16">
        <f>CurrentMtgRatesDataTable8[[#This Row],[Servicing Spread Non-Zero]]-K484</f>
        <v>0</v>
      </c>
      <c r="M485" s="16">
        <f>IF(I484&lt;&gt;0,CurrentMtgRatesDataTable8[[#This Row],[Rate]]-C484,M484)</f>
        <v>6.5000000000000391E-2</v>
      </c>
    </row>
    <row r="486" spans="1:13">
      <c r="A486" s="12" t="s">
        <v>394</v>
      </c>
      <c r="B486" s="13">
        <v>3.4465671397565498</v>
      </c>
      <c r="C486" s="13">
        <v>4.2700000000000005</v>
      </c>
      <c r="D486" s="15">
        <f t="shared" si="42"/>
        <v>5</v>
      </c>
      <c r="E486" s="15">
        <f t="shared" si="43"/>
        <v>0.2</v>
      </c>
      <c r="F486" s="15">
        <f t="shared" si="44"/>
        <v>3</v>
      </c>
      <c r="G486" s="15">
        <f t="shared" si="45"/>
        <v>2.0663274966568164</v>
      </c>
      <c r="H486" s="15">
        <f t="shared" si="46"/>
        <v>0.60000000000000009</v>
      </c>
      <c r="I486" s="15">
        <f t="shared" si="47"/>
        <v>0</v>
      </c>
      <c r="J486" s="15">
        <f>IF(CurrentMtgRatesDataTable8[[#This Row],[WA CC]]&lt;&gt;0,C485-CurrentMtgRatesDataTable8[[#This Row],[WA CC]],0)</f>
        <v>0</v>
      </c>
      <c r="K486" s="16">
        <f>IF(CurrentMtgRatesDataTable8[[#This Row],[Servicing Spread]]&lt;=0,K485,CurrentMtgRatesDataTable8[[#This Row],[Servicing Spread]])</f>
        <v>0.84227253204870145</v>
      </c>
      <c r="L486" s="16">
        <f>CurrentMtgRatesDataTable8[[#This Row],[Servicing Spread Non-Zero]]-K485</f>
        <v>0</v>
      </c>
      <c r="M486" s="16">
        <f>IF(I485&lt;&gt;0,CurrentMtgRatesDataTable8[[#This Row],[Rate]]-C485,M485)</f>
        <v>6.5000000000000391E-2</v>
      </c>
    </row>
    <row r="487" spans="1:13">
      <c r="A487" s="12" t="s">
        <v>262</v>
      </c>
      <c r="B487" s="13">
        <v>3.4438493655509599</v>
      </c>
      <c r="C487" s="13">
        <v>4.2700000000000005</v>
      </c>
      <c r="D487" s="15">
        <f t="shared" si="42"/>
        <v>6</v>
      </c>
      <c r="E487" s="15">
        <f t="shared" si="43"/>
        <v>0.2</v>
      </c>
      <c r="F487" s="15">
        <f t="shared" si="44"/>
        <v>4</v>
      </c>
      <c r="G487" s="15">
        <f t="shared" si="45"/>
        <v>2.7550973697670083</v>
      </c>
      <c r="H487" s="15">
        <f t="shared" si="46"/>
        <v>0.8</v>
      </c>
      <c r="I487" s="15">
        <f t="shared" si="47"/>
        <v>0</v>
      </c>
      <c r="J487" s="15">
        <f>IF(CurrentMtgRatesDataTable8[[#This Row],[WA CC]]&lt;&gt;0,C486-CurrentMtgRatesDataTable8[[#This Row],[WA CC]],0)</f>
        <v>0</v>
      </c>
      <c r="K487" s="16">
        <f>IF(CurrentMtgRatesDataTable8[[#This Row],[Servicing Spread]]&lt;=0,K486,CurrentMtgRatesDataTable8[[#This Row],[Servicing Spread]])</f>
        <v>0.84227253204870145</v>
      </c>
      <c r="L487" s="16">
        <f>CurrentMtgRatesDataTable8[[#This Row],[Servicing Spread Non-Zero]]-K486</f>
        <v>0</v>
      </c>
      <c r="M487" s="16">
        <f>IF(I486&lt;&gt;0,CurrentMtgRatesDataTable8[[#This Row],[Rate]]-C486,M486)</f>
        <v>6.5000000000000391E-2</v>
      </c>
    </row>
    <row r="488" spans="1:13">
      <c r="A488" s="12" t="s">
        <v>117</v>
      </c>
      <c r="B488" s="13">
        <v>3.4085893370598099</v>
      </c>
      <c r="C488" s="13">
        <v>4.2700000000000005</v>
      </c>
      <c r="D488" s="15">
        <f t="shared" si="42"/>
        <v>7</v>
      </c>
      <c r="E488" s="15">
        <f t="shared" si="43"/>
        <v>0.2</v>
      </c>
      <c r="F488" s="15">
        <f t="shared" si="44"/>
        <v>5</v>
      </c>
      <c r="G488" s="15">
        <f t="shared" si="45"/>
        <v>3.4368152371789704</v>
      </c>
      <c r="H488" s="15">
        <f t="shared" si="46"/>
        <v>1</v>
      </c>
      <c r="I488" s="15">
        <f t="shared" si="47"/>
        <v>3.4368152371789704</v>
      </c>
      <c r="J488" s="15">
        <f>IF(CurrentMtgRatesDataTable8[[#This Row],[WA CC]]&lt;&gt;0,C487-CurrentMtgRatesDataTable8[[#This Row],[WA CC]],0)</f>
        <v>0.83318476282103004</v>
      </c>
      <c r="K488" s="16">
        <f>IF(CurrentMtgRatesDataTable8[[#This Row],[Servicing Spread]]&lt;=0,K487,CurrentMtgRatesDataTable8[[#This Row],[Servicing Spread]])</f>
        <v>0.83318476282103004</v>
      </c>
      <c r="L488" s="16">
        <f>CurrentMtgRatesDataTable8[[#This Row],[Servicing Spread Non-Zero]]-K487</f>
        <v>-9.087769227671405E-3</v>
      </c>
      <c r="M488" s="16">
        <f>IF(I487&lt;&gt;0,CurrentMtgRatesDataTable8[[#This Row],[Rate]]-C487,M487)</f>
        <v>6.5000000000000391E-2</v>
      </c>
    </row>
    <row r="489" spans="1:13">
      <c r="A489" s="12" t="s">
        <v>681</v>
      </c>
      <c r="B489" s="13">
        <v>3.34843875975199</v>
      </c>
      <c r="C489" s="13">
        <v>4.2200000000000006</v>
      </c>
      <c r="D489" s="15">
        <f t="shared" si="42"/>
        <v>1</v>
      </c>
      <c r="E489" s="15">
        <f t="shared" si="43"/>
        <v>0.2</v>
      </c>
      <c r="F489" s="15">
        <f t="shared" si="44"/>
        <v>1</v>
      </c>
      <c r="G489" s="15">
        <f t="shared" si="45"/>
        <v>0.66968775195039809</v>
      </c>
      <c r="H489" s="15">
        <f t="shared" si="46"/>
        <v>0.2</v>
      </c>
      <c r="I489" s="15">
        <f t="shared" si="47"/>
        <v>0</v>
      </c>
      <c r="J489" s="15">
        <f>IF(CurrentMtgRatesDataTable8[[#This Row],[WA CC]]&lt;&gt;0,C488-CurrentMtgRatesDataTable8[[#This Row],[WA CC]],0)</f>
        <v>0</v>
      </c>
      <c r="K489" s="16">
        <f>IF(CurrentMtgRatesDataTable8[[#This Row],[Servicing Spread]]&lt;=0,K488,CurrentMtgRatesDataTable8[[#This Row],[Servicing Spread]])</f>
        <v>0.83318476282103004</v>
      </c>
      <c r="L489" s="16">
        <f>CurrentMtgRatesDataTable8[[#This Row],[Servicing Spread Non-Zero]]-K488</f>
        <v>0</v>
      </c>
      <c r="M489" s="16">
        <f>IF(I488&lt;&gt;0,CurrentMtgRatesDataTable8[[#This Row],[Rate]]-C488,M488)</f>
        <v>-4.9999999999999822E-2</v>
      </c>
    </row>
    <row r="490" spans="1:13">
      <c r="A490" s="12" t="s">
        <v>541</v>
      </c>
      <c r="B490" s="13">
        <v>3.3634875299273701</v>
      </c>
      <c r="C490" s="13">
        <v>4.2200000000000006</v>
      </c>
      <c r="D490" s="15">
        <f t="shared" si="42"/>
        <v>2</v>
      </c>
      <c r="E490" s="15">
        <f t="shared" si="43"/>
        <v>0.2</v>
      </c>
      <c r="F490" s="15">
        <f t="shared" si="44"/>
        <v>2</v>
      </c>
      <c r="G490" s="15">
        <f t="shared" si="45"/>
        <v>1.3423852579358722</v>
      </c>
      <c r="H490" s="15">
        <f t="shared" si="46"/>
        <v>0.4</v>
      </c>
      <c r="I490" s="15">
        <f t="shared" si="47"/>
        <v>0</v>
      </c>
      <c r="J490" s="15">
        <f>IF(CurrentMtgRatesDataTable8[[#This Row],[WA CC]]&lt;&gt;0,C489-CurrentMtgRatesDataTable8[[#This Row],[WA CC]],0)</f>
        <v>0</v>
      </c>
      <c r="K490" s="16">
        <f>IF(CurrentMtgRatesDataTable8[[#This Row],[Servicing Spread]]&lt;=0,K489,CurrentMtgRatesDataTable8[[#This Row],[Servicing Spread]])</f>
        <v>0.83318476282103004</v>
      </c>
      <c r="L490" s="16">
        <f>CurrentMtgRatesDataTable8[[#This Row],[Servicing Spread Non-Zero]]-K489</f>
        <v>0</v>
      </c>
      <c r="M490" s="16">
        <f>IF(I489&lt;&gt;0,CurrentMtgRatesDataTable8[[#This Row],[Rate]]-C489,M489)</f>
        <v>-4.9999999999999822E-2</v>
      </c>
    </row>
    <row r="491" spans="1:13">
      <c r="A491" s="12" t="s">
        <v>395</v>
      </c>
      <c r="B491" s="13">
        <v>3.4174617229589801</v>
      </c>
      <c r="C491" s="13">
        <v>4.2200000000000006</v>
      </c>
      <c r="D491" s="15">
        <f t="shared" si="42"/>
        <v>5</v>
      </c>
      <c r="E491" s="15">
        <f t="shared" si="43"/>
        <v>0.2</v>
      </c>
      <c r="F491" s="15">
        <f t="shared" si="44"/>
        <v>3</v>
      </c>
      <c r="G491" s="15">
        <f t="shared" si="45"/>
        <v>2.0258776025276681</v>
      </c>
      <c r="H491" s="15">
        <f t="shared" si="46"/>
        <v>0.60000000000000009</v>
      </c>
      <c r="I491" s="15">
        <f t="shared" si="47"/>
        <v>0</v>
      </c>
      <c r="J491" s="15">
        <f>IF(CurrentMtgRatesDataTable8[[#This Row],[WA CC]]&lt;&gt;0,C490-CurrentMtgRatesDataTable8[[#This Row],[WA CC]],0)</f>
        <v>0</v>
      </c>
      <c r="K491" s="16">
        <f>IF(CurrentMtgRatesDataTable8[[#This Row],[Servicing Spread]]&lt;=0,K490,CurrentMtgRatesDataTable8[[#This Row],[Servicing Spread]])</f>
        <v>0.83318476282103004</v>
      </c>
      <c r="L491" s="16">
        <f>CurrentMtgRatesDataTable8[[#This Row],[Servicing Spread Non-Zero]]-K490</f>
        <v>0</v>
      </c>
      <c r="M491" s="16">
        <f>IF(I490&lt;&gt;0,CurrentMtgRatesDataTable8[[#This Row],[Rate]]-C490,M490)</f>
        <v>-4.9999999999999822E-2</v>
      </c>
    </row>
    <row r="492" spans="1:13">
      <c r="A492" s="12" t="s">
        <v>263</v>
      </c>
      <c r="B492" s="13">
        <v>3.3942283451593398</v>
      </c>
      <c r="C492" s="13">
        <v>4.2200000000000006</v>
      </c>
      <c r="D492" s="15">
        <f t="shared" si="42"/>
        <v>6</v>
      </c>
      <c r="E492" s="15">
        <f t="shared" si="43"/>
        <v>0.2</v>
      </c>
      <c r="F492" s="15">
        <f t="shared" si="44"/>
        <v>4</v>
      </c>
      <c r="G492" s="15">
        <f t="shared" si="45"/>
        <v>2.7047232715595362</v>
      </c>
      <c r="H492" s="15">
        <f t="shared" si="46"/>
        <v>0.8</v>
      </c>
      <c r="I492" s="15">
        <f t="shared" si="47"/>
        <v>0</v>
      </c>
      <c r="J492" s="15">
        <f>IF(CurrentMtgRatesDataTable8[[#This Row],[WA CC]]&lt;&gt;0,C491-CurrentMtgRatesDataTable8[[#This Row],[WA CC]],0)</f>
        <v>0</v>
      </c>
      <c r="K492" s="16">
        <f>IF(CurrentMtgRatesDataTable8[[#This Row],[Servicing Spread]]&lt;=0,K491,CurrentMtgRatesDataTable8[[#This Row],[Servicing Spread]])</f>
        <v>0.83318476282103004</v>
      </c>
      <c r="L492" s="16">
        <f>CurrentMtgRatesDataTable8[[#This Row],[Servicing Spread Non-Zero]]-K491</f>
        <v>0</v>
      </c>
      <c r="M492" s="16">
        <f>IF(I491&lt;&gt;0,CurrentMtgRatesDataTable8[[#This Row],[Rate]]-C491,M491)</f>
        <v>-4.9999999999999822E-2</v>
      </c>
    </row>
    <row r="493" spans="1:13">
      <c r="A493" s="12" t="s">
        <v>118</v>
      </c>
      <c r="B493" s="13">
        <v>3.4724096295378999</v>
      </c>
      <c r="C493" s="13">
        <v>4.2200000000000006</v>
      </c>
      <c r="D493" s="15">
        <f t="shared" si="42"/>
        <v>7</v>
      </c>
      <c r="E493" s="15">
        <f t="shared" si="43"/>
        <v>0.2</v>
      </c>
      <c r="F493" s="15">
        <f t="shared" si="44"/>
        <v>5</v>
      </c>
      <c r="G493" s="15">
        <f t="shared" si="45"/>
        <v>3.3992051974671162</v>
      </c>
      <c r="H493" s="15">
        <f t="shared" si="46"/>
        <v>1</v>
      </c>
      <c r="I493" s="15">
        <f t="shared" si="47"/>
        <v>3.3992051974671162</v>
      </c>
      <c r="J493" s="15">
        <f>IF(CurrentMtgRatesDataTable8[[#This Row],[WA CC]]&lt;&gt;0,C492-CurrentMtgRatesDataTable8[[#This Row],[WA CC]],0)</f>
        <v>0.82079480253288439</v>
      </c>
      <c r="K493" s="16">
        <f>IF(CurrentMtgRatesDataTable8[[#This Row],[Servicing Spread]]&lt;=0,K492,CurrentMtgRatesDataTable8[[#This Row],[Servicing Spread]])</f>
        <v>0.82079480253288439</v>
      </c>
      <c r="L493" s="16">
        <f>CurrentMtgRatesDataTable8[[#This Row],[Servicing Spread Non-Zero]]-K492</f>
        <v>-1.2389960288145652E-2</v>
      </c>
      <c r="M493" s="16">
        <f>IF(I492&lt;&gt;0,CurrentMtgRatesDataTable8[[#This Row],[Rate]]-C492,M492)</f>
        <v>-4.9999999999999822E-2</v>
      </c>
    </row>
    <row r="494" spans="1:13">
      <c r="A494" s="12" t="s">
        <v>682</v>
      </c>
      <c r="B494" s="13">
        <v>3.4858096996422701</v>
      </c>
      <c r="C494" s="13">
        <v>4.3000000000000007</v>
      </c>
      <c r="D494" s="15">
        <f t="shared" si="42"/>
        <v>1</v>
      </c>
      <c r="E494" s="15">
        <f t="shared" si="43"/>
        <v>0.2</v>
      </c>
      <c r="F494" s="15">
        <f t="shared" si="44"/>
        <v>1</v>
      </c>
      <c r="G494" s="15">
        <f t="shared" si="45"/>
        <v>0.6971619399284541</v>
      </c>
      <c r="H494" s="15">
        <f t="shared" si="46"/>
        <v>0.2</v>
      </c>
      <c r="I494" s="15">
        <f t="shared" si="47"/>
        <v>0</v>
      </c>
      <c r="J494" s="15">
        <f>IF(CurrentMtgRatesDataTable8[[#This Row],[WA CC]]&lt;&gt;0,C493-CurrentMtgRatesDataTable8[[#This Row],[WA CC]],0)</f>
        <v>0</v>
      </c>
      <c r="K494" s="16">
        <f>IF(CurrentMtgRatesDataTable8[[#This Row],[Servicing Spread]]&lt;=0,K493,CurrentMtgRatesDataTable8[[#This Row],[Servicing Spread]])</f>
        <v>0.82079480253288439</v>
      </c>
      <c r="L494" s="16">
        <f>CurrentMtgRatesDataTable8[[#This Row],[Servicing Spread Non-Zero]]-K493</f>
        <v>0</v>
      </c>
      <c r="M494" s="16">
        <f>IF(I493&lt;&gt;0,CurrentMtgRatesDataTable8[[#This Row],[Rate]]-C493,M493)</f>
        <v>8.0000000000000071E-2</v>
      </c>
    </row>
    <row r="495" spans="1:13">
      <c r="A495" s="12" t="s">
        <v>542</v>
      </c>
      <c r="B495" s="13">
        <v>3.4523536219729101</v>
      </c>
      <c r="C495" s="13">
        <v>4.3000000000000007</v>
      </c>
      <c r="D495" s="15">
        <f t="shared" si="42"/>
        <v>2</v>
      </c>
      <c r="E495" s="15">
        <f t="shared" si="43"/>
        <v>0.2</v>
      </c>
      <c r="F495" s="15">
        <f t="shared" si="44"/>
        <v>2</v>
      </c>
      <c r="G495" s="15">
        <f t="shared" si="45"/>
        <v>1.3876326643230361</v>
      </c>
      <c r="H495" s="15">
        <f t="shared" si="46"/>
        <v>0.4</v>
      </c>
      <c r="I495" s="15">
        <f t="shared" si="47"/>
        <v>0</v>
      </c>
      <c r="J495" s="15">
        <f>IF(CurrentMtgRatesDataTable8[[#This Row],[WA CC]]&lt;&gt;0,C494-CurrentMtgRatesDataTable8[[#This Row],[WA CC]],0)</f>
        <v>0</v>
      </c>
      <c r="K495" s="16">
        <f>IF(CurrentMtgRatesDataTable8[[#This Row],[Servicing Spread]]&lt;=0,K494,CurrentMtgRatesDataTable8[[#This Row],[Servicing Spread]])</f>
        <v>0.82079480253288439</v>
      </c>
      <c r="L495" s="16">
        <f>CurrentMtgRatesDataTable8[[#This Row],[Servicing Spread Non-Zero]]-K494</f>
        <v>0</v>
      </c>
      <c r="M495" s="16">
        <f>IF(I494&lt;&gt;0,CurrentMtgRatesDataTable8[[#This Row],[Rate]]-C494,M494)</f>
        <v>8.0000000000000071E-2</v>
      </c>
    </row>
    <row r="496" spans="1:13">
      <c r="A496" s="12" t="s">
        <v>396</v>
      </c>
      <c r="B496" s="13">
        <v>3.45266754883475</v>
      </c>
      <c r="C496" s="13">
        <v>4.3000000000000007</v>
      </c>
      <c r="D496" s="15">
        <f t="shared" si="42"/>
        <v>5</v>
      </c>
      <c r="E496" s="15">
        <f t="shared" si="43"/>
        <v>0.2</v>
      </c>
      <c r="F496" s="15">
        <f t="shared" si="44"/>
        <v>3</v>
      </c>
      <c r="G496" s="15">
        <f t="shared" si="45"/>
        <v>2.0781661740899864</v>
      </c>
      <c r="H496" s="15">
        <f t="shared" si="46"/>
        <v>0.60000000000000009</v>
      </c>
      <c r="I496" s="15">
        <f t="shared" si="47"/>
        <v>0</v>
      </c>
      <c r="J496" s="15">
        <f>IF(CurrentMtgRatesDataTable8[[#This Row],[WA CC]]&lt;&gt;0,C495-CurrentMtgRatesDataTable8[[#This Row],[WA CC]],0)</f>
        <v>0</v>
      </c>
      <c r="K496" s="16">
        <f>IF(CurrentMtgRatesDataTable8[[#This Row],[Servicing Spread]]&lt;=0,K495,CurrentMtgRatesDataTable8[[#This Row],[Servicing Spread]])</f>
        <v>0.82079480253288439</v>
      </c>
      <c r="L496" s="16">
        <f>CurrentMtgRatesDataTable8[[#This Row],[Servicing Spread Non-Zero]]-K495</f>
        <v>0</v>
      </c>
      <c r="M496" s="16">
        <f>IF(I495&lt;&gt;0,CurrentMtgRatesDataTable8[[#This Row],[Rate]]-C495,M495)</f>
        <v>8.0000000000000071E-2</v>
      </c>
    </row>
    <row r="497" spans="1:13">
      <c r="A497" s="12" t="s">
        <v>264</v>
      </c>
      <c r="B497" s="13">
        <v>3.4519694257459901</v>
      </c>
      <c r="C497" s="13">
        <v>4.3000000000000007</v>
      </c>
      <c r="D497" s="15">
        <f t="shared" si="42"/>
        <v>6</v>
      </c>
      <c r="E497" s="15">
        <f t="shared" si="43"/>
        <v>0.2</v>
      </c>
      <c r="F497" s="15">
        <f t="shared" si="44"/>
        <v>4</v>
      </c>
      <c r="G497" s="15">
        <f t="shared" si="45"/>
        <v>2.7685600592391846</v>
      </c>
      <c r="H497" s="15">
        <f t="shared" si="46"/>
        <v>0.8</v>
      </c>
      <c r="I497" s="15">
        <f t="shared" si="47"/>
        <v>0</v>
      </c>
      <c r="J497" s="15">
        <f>IF(CurrentMtgRatesDataTable8[[#This Row],[WA CC]]&lt;&gt;0,C496-CurrentMtgRatesDataTable8[[#This Row],[WA CC]],0)</f>
        <v>0</v>
      </c>
      <c r="K497" s="16">
        <f>IF(CurrentMtgRatesDataTable8[[#This Row],[Servicing Spread]]&lt;=0,K496,CurrentMtgRatesDataTable8[[#This Row],[Servicing Spread]])</f>
        <v>0.82079480253288439</v>
      </c>
      <c r="L497" s="16">
        <f>CurrentMtgRatesDataTable8[[#This Row],[Servicing Spread Non-Zero]]-K496</f>
        <v>0</v>
      </c>
      <c r="M497" s="16">
        <f>IF(I496&lt;&gt;0,CurrentMtgRatesDataTable8[[#This Row],[Rate]]-C496,M496)</f>
        <v>8.0000000000000071E-2</v>
      </c>
    </row>
    <row r="498" spans="1:13">
      <c r="A498" s="12" t="s">
        <v>119</v>
      </c>
      <c r="B498" s="13">
        <v>3.4217405544715098</v>
      </c>
      <c r="C498" s="13">
        <v>4.3000000000000007</v>
      </c>
      <c r="D498" s="15">
        <f t="shared" si="42"/>
        <v>7</v>
      </c>
      <c r="E498" s="15">
        <f t="shared" si="43"/>
        <v>0.2</v>
      </c>
      <c r="F498" s="15">
        <f t="shared" si="44"/>
        <v>5</v>
      </c>
      <c r="G498" s="15">
        <f t="shared" si="45"/>
        <v>3.4529081701334867</v>
      </c>
      <c r="H498" s="15">
        <f t="shared" si="46"/>
        <v>1</v>
      </c>
      <c r="I498" s="15">
        <f t="shared" si="47"/>
        <v>3.4529081701334867</v>
      </c>
      <c r="J498" s="15">
        <f>IF(CurrentMtgRatesDataTable8[[#This Row],[WA CC]]&lt;&gt;0,C497-CurrentMtgRatesDataTable8[[#This Row],[WA CC]],0)</f>
        <v>0.84709182986651399</v>
      </c>
      <c r="K498" s="16">
        <f>IF(CurrentMtgRatesDataTable8[[#This Row],[Servicing Spread]]&lt;=0,K497,CurrentMtgRatesDataTable8[[#This Row],[Servicing Spread]])</f>
        <v>0.84709182986651399</v>
      </c>
      <c r="L498" s="16">
        <f>CurrentMtgRatesDataTable8[[#This Row],[Servicing Spread Non-Zero]]-K497</f>
        <v>2.6297027333629597E-2</v>
      </c>
      <c r="M498" s="16">
        <f>IF(I497&lt;&gt;0,CurrentMtgRatesDataTable8[[#This Row],[Rate]]-C497,M497)</f>
        <v>8.0000000000000071E-2</v>
      </c>
    </row>
    <row r="499" spans="1:13">
      <c r="A499" s="12" t="s">
        <v>683</v>
      </c>
      <c r="B499" s="13">
        <v>3.4052671978447102</v>
      </c>
      <c r="C499" s="13">
        <v>4.335</v>
      </c>
      <c r="D499" s="15">
        <f t="shared" si="42"/>
        <v>1</v>
      </c>
      <c r="E499" s="15">
        <f t="shared" si="43"/>
        <v>0.2</v>
      </c>
      <c r="F499" s="15">
        <f t="shared" si="44"/>
        <v>1</v>
      </c>
      <c r="G499" s="15">
        <f t="shared" si="45"/>
        <v>0.68105343956894204</v>
      </c>
      <c r="H499" s="15">
        <f t="shared" si="46"/>
        <v>0.2</v>
      </c>
      <c r="I499" s="15">
        <f t="shared" si="47"/>
        <v>0</v>
      </c>
      <c r="J499" s="15">
        <f>IF(CurrentMtgRatesDataTable8[[#This Row],[WA CC]]&lt;&gt;0,C498-CurrentMtgRatesDataTable8[[#This Row],[WA CC]],0)</f>
        <v>0</v>
      </c>
      <c r="K499" s="16">
        <f>IF(CurrentMtgRatesDataTable8[[#This Row],[Servicing Spread]]&lt;=0,K498,CurrentMtgRatesDataTable8[[#This Row],[Servicing Spread]])</f>
        <v>0.84709182986651399</v>
      </c>
      <c r="L499" s="16">
        <f>CurrentMtgRatesDataTable8[[#This Row],[Servicing Spread Non-Zero]]-K498</f>
        <v>0</v>
      </c>
      <c r="M499" s="16">
        <f>IF(I498&lt;&gt;0,CurrentMtgRatesDataTable8[[#This Row],[Rate]]-C498,M498)</f>
        <v>3.4999999999999254E-2</v>
      </c>
    </row>
    <row r="500" spans="1:13">
      <c r="A500" s="12" t="s">
        <v>543</v>
      </c>
      <c r="B500" s="13">
        <v>3.4306094277170498</v>
      </c>
      <c r="C500" s="13">
        <v>4.335</v>
      </c>
      <c r="D500" s="15">
        <f t="shared" si="42"/>
        <v>2</v>
      </c>
      <c r="E500" s="15">
        <f t="shared" si="43"/>
        <v>0.2</v>
      </c>
      <c r="F500" s="15">
        <f t="shared" si="44"/>
        <v>2</v>
      </c>
      <c r="G500" s="15">
        <f t="shared" si="45"/>
        <v>1.3671753251123522</v>
      </c>
      <c r="H500" s="15">
        <f t="shared" si="46"/>
        <v>0.4</v>
      </c>
      <c r="I500" s="15">
        <f t="shared" si="47"/>
        <v>0</v>
      </c>
      <c r="J500" s="15">
        <f>IF(CurrentMtgRatesDataTable8[[#This Row],[WA CC]]&lt;&gt;0,C499-CurrentMtgRatesDataTable8[[#This Row],[WA CC]],0)</f>
        <v>0</v>
      </c>
      <c r="K500" s="16">
        <f>IF(CurrentMtgRatesDataTable8[[#This Row],[Servicing Spread]]&lt;=0,K499,CurrentMtgRatesDataTable8[[#This Row],[Servicing Spread]])</f>
        <v>0.84709182986651399</v>
      </c>
      <c r="L500" s="16">
        <f>CurrentMtgRatesDataTable8[[#This Row],[Servicing Spread Non-Zero]]-K499</f>
        <v>0</v>
      </c>
      <c r="M500" s="16">
        <f>IF(I499&lt;&gt;0,CurrentMtgRatesDataTable8[[#This Row],[Rate]]-C499,M499)</f>
        <v>3.4999999999999254E-2</v>
      </c>
    </row>
    <row r="501" spans="1:13">
      <c r="A501" s="12" t="s">
        <v>397</v>
      </c>
      <c r="B501" s="13">
        <v>3.44685935064701</v>
      </c>
      <c r="C501" s="13">
        <v>4.335</v>
      </c>
      <c r="D501" s="15">
        <f t="shared" si="42"/>
        <v>5</v>
      </c>
      <c r="E501" s="15">
        <f t="shared" si="43"/>
        <v>0.2</v>
      </c>
      <c r="F501" s="15">
        <f t="shared" si="44"/>
        <v>3</v>
      </c>
      <c r="G501" s="15">
        <f t="shared" si="45"/>
        <v>2.0565471952417544</v>
      </c>
      <c r="H501" s="15">
        <f t="shared" si="46"/>
        <v>0.60000000000000009</v>
      </c>
      <c r="I501" s="15">
        <f t="shared" si="47"/>
        <v>0</v>
      </c>
      <c r="J501" s="15">
        <f>IF(CurrentMtgRatesDataTable8[[#This Row],[WA CC]]&lt;&gt;0,C500-CurrentMtgRatesDataTable8[[#This Row],[WA CC]],0)</f>
        <v>0</v>
      </c>
      <c r="K501" s="16">
        <f>IF(CurrentMtgRatesDataTable8[[#This Row],[Servicing Spread]]&lt;=0,K500,CurrentMtgRatesDataTable8[[#This Row],[Servicing Spread]])</f>
        <v>0.84709182986651399</v>
      </c>
      <c r="L501" s="16">
        <f>CurrentMtgRatesDataTable8[[#This Row],[Servicing Spread Non-Zero]]-K500</f>
        <v>0</v>
      </c>
      <c r="M501" s="16">
        <f>IF(I500&lt;&gt;0,CurrentMtgRatesDataTable8[[#This Row],[Rate]]-C500,M500)</f>
        <v>3.4999999999999254E-2</v>
      </c>
    </row>
    <row r="502" spans="1:13">
      <c r="A502" s="12" t="s">
        <v>265</v>
      </c>
      <c r="B502" s="13">
        <v>3.4727016332033198</v>
      </c>
      <c r="C502" s="13">
        <v>4.335</v>
      </c>
      <c r="D502" s="15">
        <f t="shared" si="42"/>
        <v>6</v>
      </c>
      <c r="E502" s="15">
        <f t="shared" si="43"/>
        <v>0.2</v>
      </c>
      <c r="F502" s="15">
        <f t="shared" si="44"/>
        <v>4</v>
      </c>
      <c r="G502" s="15">
        <f t="shared" si="45"/>
        <v>2.7510875218824182</v>
      </c>
      <c r="H502" s="15">
        <f t="shared" si="46"/>
        <v>0.8</v>
      </c>
      <c r="I502" s="15">
        <f t="shared" si="47"/>
        <v>0</v>
      </c>
      <c r="J502" s="15">
        <f>IF(CurrentMtgRatesDataTable8[[#This Row],[WA CC]]&lt;&gt;0,C501-CurrentMtgRatesDataTable8[[#This Row],[WA CC]],0)</f>
        <v>0</v>
      </c>
      <c r="K502" s="16">
        <f>IF(CurrentMtgRatesDataTable8[[#This Row],[Servicing Spread]]&lt;=0,K501,CurrentMtgRatesDataTable8[[#This Row],[Servicing Spread]])</f>
        <v>0.84709182986651399</v>
      </c>
      <c r="L502" s="16">
        <f>CurrentMtgRatesDataTable8[[#This Row],[Servicing Spread Non-Zero]]-K501</f>
        <v>0</v>
      </c>
      <c r="M502" s="16">
        <f>IF(I501&lt;&gt;0,CurrentMtgRatesDataTable8[[#This Row],[Rate]]-C501,M501)</f>
        <v>3.4999999999999254E-2</v>
      </c>
    </row>
    <row r="503" spans="1:13">
      <c r="A503" s="12" t="s">
        <v>120</v>
      </c>
      <c r="B503" s="13">
        <v>3.5066269417846301</v>
      </c>
      <c r="C503" s="13">
        <v>4.335</v>
      </c>
      <c r="D503" s="15">
        <f t="shared" si="42"/>
        <v>7</v>
      </c>
      <c r="E503" s="15">
        <f t="shared" si="43"/>
        <v>0.2</v>
      </c>
      <c r="F503" s="15">
        <f t="shared" si="44"/>
        <v>5</v>
      </c>
      <c r="G503" s="15">
        <f t="shared" si="45"/>
        <v>3.4524129102393442</v>
      </c>
      <c r="H503" s="15">
        <f t="shared" si="46"/>
        <v>1</v>
      </c>
      <c r="I503" s="15">
        <f t="shared" si="47"/>
        <v>3.4524129102393442</v>
      </c>
      <c r="J503" s="15">
        <f>IF(CurrentMtgRatesDataTable8[[#This Row],[WA CC]]&lt;&gt;0,C502-CurrentMtgRatesDataTable8[[#This Row],[WA CC]],0)</f>
        <v>0.88258708976065581</v>
      </c>
      <c r="K503" s="16">
        <f>IF(CurrentMtgRatesDataTable8[[#This Row],[Servicing Spread]]&lt;=0,K502,CurrentMtgRatesDataTable8[[#This Row],[Servicing Spread]])</f>
        <v>0.88258708976065581</v>
      </c>
      <c r="L503" s="16">
        <f>CurrentMtgRatesDataTable8[[#This Row],[Servicing Spread Non-Zero]]-K502</f>
        <v>3.5495259894141817E-2</v>
      </c>
      <c r="M503" s="16">
        <f>IF(I502&lt;&gt;0,CurrentMtgRatesDataTable8[[#This Row],[Rate]]-C502,M502)</f>
        <v>3.4999999999999254E-2</v>
      </c>
    </row>
    <row r="504" spans="1:13">
      <c r="A504" s="12" t="s">
        <v>684</v>
      </c>
      <c r="B504" s="13">
        <v>3.4840318134841599</v>
      </c>
      <c r="C504" s="13">
        <v>4.2649999999999997</v>
      </c>
      <c r="D504" s="15">
        <f t="shared" si="42"/>
        <v>1</v>
      </c>
      <c r="E504" s="15">
        <f t="shared" si="43"/>
        <v>0.2</v>
      </c>
      <c r="F504" s="15">
        <f t="shared" si="44"/>
        <v>1</v>
      </c>
      <c r="G504" s="15">
        <f t="shared" si="45"/>
        <v>0.69680636269683205</v>
      </c>
      <c r="H504" s="15">
        <f t="shared" si="46"/>
        <v>0.2</v>
      </c>
      <c r="I504" s="15">
        <f t="shared" si="47"/>
        <v>0</v>
      </c>
      <c r="J504" s="15">
        <f>IF(CurrentMtgRatesDataTable8[[#This Row],[WA CC]]&lt;&gt;0,C503-CurrentMtgRatesDataTable8[[#This Row],[WA CC]],0)</f>
        <v>0</v>
      </c>
      <c r="K504" s="16">
        <f>IF(CurrentMtgRatesDataTable8[[#This Row],[Servicing Spread]]&lt;=0,K503,CurrentMtgRatesDataTable8[[#This Row],[Servicing Spread]])</f>
        <v>0.88258708976065581</v>
      </c>
      <c r="L504" s="16">
        <f>CurrentMtgRatesDataTable8[[#This Row],[Servicing Spread Non-Zero]]-K503</f>
        <v>0</v>
      </c>
      <c r="M504" s="16">
        <f>IF(I503&lt;&gt;0,CurrentMtgRatesDataTable8[[#This Row],[Rate]]-C503,M503)</f>
        <v>-7.0000000000000284E-2</v>
      </c>
    </row>
    <row r="505" spans="1:13">
      <c r="A505" s="12" t="s">
        <v>544</v>
      </c>
      <c r="B505" s="13">
        <v>3.4295560527023699</v>
      </c>
      <c r="C505" s="13">
        <v>4.2649999999999997</v>
      </c>
      <c r="D505" s="15">
        <f t="shared" si="42"/>
        <v>2</v>
      </c>
      <c r="E505" s="15">
        <f t="shared" si="43"/>
        <v>0.2</v>
      </c>
      <c r="F505" s="15">
        <f t="shared" si="44"/>
        <v>2</v>
      </c>
      <c r="G505" s="15">
        <f t="shared" si="45"/>
        <v>1.382717573237306</v>
      </c>
      <c r="H505" s="15">
        <f t="shared" si="46"/>
        <v>0.4</v>
      </c>
      <c r="I505" s="15">
        <f t="shared" si="47"/>
        <v>0</v>
      </c>
      <c r="J505" s="15">
        <f>IF(CurrentMtgRatesDataTable8[[#This Row],[WA CC]]&lt;&gt;0,C504-CurrentMtgRatesDataTable8[[#This Row],[WA CC]],0)</f>
        <v>0</v>
      </c>
      <c r="K505" s="16">
        <f>IF(CurrentMtgRatesDataTable8[[#This Row],[Servicing Spread]]&lt;=0,K504,CurrentMtgRatesDataTable8[[#This Row],[Servicing Spread]])</f>
        <v>0.88258708976065581</v>
      </c>
      <c r="L505" s="16">
        <f>CurrentMtgRatesDataTable8[[#This Row],[Servicing Spread Non-Zero]]-K504</f>
        <v>0</v>
      </c>
      <c r="M505" s="16">
        <f>IF(I504&lt;&gt;0,CurrentMtgRatesDataTable8[[#This Row],[Rate]]-C504,M504)</f>
        <v>-7.0000000000000284E-2</v>
      </c>
    </row>
    <row r="506" spans="1:13">
      <c r="A506" s="12" t="s">
        <v>398</v>
      </c>
      <c r="B506" s="13">
        <v>3.39509627944707</v>
      </c>
      <c r="C506" s="13">
        <v>4.2649999999999997</v>
      </c>
      <c r="D506" s="15">
        <f t="shared" si="42"/>
        <v>5</v>
      </c>
      <c r="E506" s="15">
        <f t="shared" si="43"/>
        <v>0.2</v>
      </c>
      <c r="F506" s="15">
        <f t="shared" si="44"/>
        <v>3</v>
      </c>
      <c r="G506" s="15">
        <f t="shared" si="45"/>
        <v>2.06173682912672</v>
      </c>
      <c r="H506" s="15">
        <f t="shared" si="46"/>
        <v>0.60000000000000009</v>
      </c>
      <c r="I506" s="15">
        <f t="shared" si="47"/>
        <v>0</v>
      </c>
      <c r="J506" s="15">
        <f>IF(CurrentMtgRatesDataTable8[[#This Row],[WA CC]]&lt;&gt;0,C505-CurrentMtgRatesDataTable8[[#This Row],[WA CC]],0)</f>
        <v>0</v>
      </c>
      <c r="K506" s="16">
        <f>IF(CurrentMtgRatesDataTable8[[#This Row],[Servicing Spread]]&lt;=0,K505,CurrentMtgRatesDataTable8[[#This Row],[Servicing Spread]])</f>
        <v>0.88258708976065581</v>
      </c>
      <c r="L506" s="16">
        <f>CurrentMtgRatesDataTable8[[#This Row],[Servicing Spread Non-Zero]]-K505</f>
        <v>0</v>
      </c>
      <c r="M506" s="16">
        <f>IF(I505&lt;&gt;0,CurrentMtgRatesDataTable8[[#This Row],[Rate]]-C505,M505)</f>
        <v>-7.0000000000000284E-2</v>
      </c>
    </row>
    <row r="507" spans="1:13">
      <c r="A507" s="12" t="s">
        <v>266</v>
      </c>
      <c r="B507" s="13">
        <v>3.3731827621311399</v>
      </c>
      <c r="C507" s="13">
        <v>4.2649999999999997</v>
      </c>
      <c r="D507" s="15">
        <f t="shared" si="42"/>
        <v>6</v>
      </c>
      <c r="E507" s="15">
        <f t="shared" si="43"/>
        <v>0.2</v>
      </c>
      <c r="F507" s="15">
        <f t="shared" si="44"/>
        <v>4</v>
      </c>
      <c r="G507" s="15">
        <f t="shared" si="45"/>
        <v>2.7363733815529478</v>
      </c>
      <c r="H507" s="15">
        <f t="shared" si="46"/>
        <v>0.8</v>
      </c>
      <c r="I507" s="15">
        <f t="shared" si="47"/>
        <v>0</v>
      </c>
      <c r="J507" s="15">
        <f>IF(CurrentMtgRatesDataTable8[[#This Row],[WA CC]]&lt;&gt;0,C506-CurrentMtgRatesDataTable8[[#This Row],[WA CC]],0)</f>
        <v>0</v>
      </c>
      <c r="K507" s="16">
        <f>IF(CurrentMtgRatesDataTable8[[#This Row],[Servicing Spread]]&lt;=0,K506,CurrentMtgRatesDataTable8[[#This Row],[Servicing Spread]])</f>
        <v>0.88258708976065581</v>
      </c>
      <c r="L507" s="16">
        <f>CurrentMtgRatesDataTable8[[#This Row],[Servicing Spread Non-Zero]]-K506</f>
        <v>0</v>
      </c>
      <c r="M507" s="16">
        <f>IF(I506&lt;&gt;0,CurrentMtgRatesDataTable8[[#This Row],[Rate]]-C506,M506)</f>
        <v>-7.0000000000000284E-2</v>
      </c>
    </row>
    <row r="508" spans="1:13">
      <c r="A508" s="12" t="s">
        <v>121</v>
      </c>
      <c r="B508" s="13">
        <v>3.3750941774744798</v>
      </c>
      <c r="C508" s="13">
        <v>4.2649999999999997</v>
      </c>
      <c r="D508" s="15">
        <f t="shared" si="42"/>
        <v>7</v>
      </c>
      <c r="E508" s="15">
        <f t="shared" si="43"/>
        <v>0.2</v>
      </c>
      <c r="F508" s="15">
        <f t="shared" si="44"/>
        <v>5</v>
      </c>
      <c r="G508" s="15">
        <f t="shared" si="45"/>
        <v>3.4113922170478439</v>
      </c>
      <c r="H508" s="15">
        <f t="shared" si="46"/>
        <v>1</v>
      </c>
      <c r="I508" s="15">
        <f t="shared" si="47"/>
        <v>3.4113922170478439</v>
      </c>
      <c r="J508" s="15">
        <f>IF(CurrentMtgRatesDataTable8[[#This Row],[WA CC]]&lt;&gt;0,C507-CurrentMtgRatesDataTable8[[#This Row],[WA CC]],0)</f>
        <v>0.85360778295215578</v>
      </c>
      <c r="K508" s="16">
        <f>IF(CurrentMtgRatesDataTable8[[#This Row],[Servicing Spread]]&lt;=0,K507,CurrentMtgRatesDataTable8[[#This Row],[Servicing Spread]])</f>
        <v>0.85360778295215578</v>
      </c>
      <c r="L508" s="16">
        <f>CurrentMtgRatesDataTable8[[#This Row],[Servicing Spread Non-Zero]]-K507</f>
        <v>-2.8979306808500027E-2</v>
      </c>
      <c r="M508" s="16">
        <f>IF(I507&lt;&gt;0,CurrentMtgRatesDataTable8[[#This Row],[Rate]]-C507,M507)</f>
        <v>-7.0000000000000284E-2</v>
      </c>
    </row>
    <row r="509" spans="1:13">
      <c r="A509" s="12" t="s">
        <v>685</v>
      </c>
      <c r="B509" s="13">
        <v>3.3155243251593798</v>
      </c>
      <c r="C509" s="13">
        <v>4.1949999999999994</v>
      </c>
      <c r="D509" s="15">
        <f t="shared" si="42"/>
        <v>1</v>
      </c>
      <c r="E509" s="15">
        <f t="shared" si="43"/>
        <v>0.2</v>
      </c>
      <c r="F509" s="15">
        <f t="shared" si="44"/>
        <v>1</v>
      </c>
      <c r="G509" s="15">
        <f t="shared" si="45"/>
        <v>0.66310486503187605</v>
      </c>
      <c r="H509" s="15">
        <f t="shared" si="46"/>
        <v>0.2</v>
      </c>
      <c r="I509" s="15">
        <f t="shared" si="47"/>
        <v>0</v>
      </c>
      <c r="J509" s="15">
        <f>IF(CurrentMtgRatesDataTable8[[#This Row],[WA CC]]&lt;&gt;0,C508-CurrentMtgRatesDataTable8[[#This Row],[WA CC]],0)</f>
        <v>0</v>
      </c>
      <c r="K509" s="16">
        <f>IF(CurrentMtgRatesDataTable8[[#This Row],[Servicing Spread]]&lt;=0,K508,CurrentMtgRatesDataTable8[[#This Row],[Servicing Spread]])</f>
        <v>0.85360778295215578</v>
      </c>
      <c r="L509" s="16">
        <f>CurrentMtgRatesDataTable8[[#This Row],[Servicing Spread Non-Zero]]-K508</f>
        <v>0</v>
      </c>
      <c r="M509" s="16">
        <f>IF(I508&lt;&gt;0,CurrentMtgRatesDataTable8[[#This Row],[Rate]]-C508,M508)</f>
        <v>-7.0000000000000284E-2</v>
      </c>
    </row>
    <row r="510" spans="1:13">
      <c r="A510" s="12" t="s">
        <v>545</v>
      </c>
      <c r="B510" s="13">
        <v>3.31617276522991</v>
      </c>
      <c r="C510" s="13">
        <v>4.1949999999999994</v>
      </c>
      <c r="D510" s="15">
        <f t="shared" si="42"/>
        <v>2</v>
      </c>
      <c r="E510" s="15">
        <f t="shared" si="43"/>
        <v>0.2</v>
      </c>
      <c r="F510" s="15">
        <f t="shared" si="44"/>
        <v>2</v>
      </c>
      <c r="G510" s="15">
        <f t="shared" si="45"/>
        <v>1.326339418077858</v>
      </c>
      <c r="H510" s="15">
        <f t="shared" si="46"/>
        <v>0.4</v>
      </c>
      <c r="I510" s="15">
        <f t="shared" si="47"/>
        <v>0</v>
      </c>
      <c r="J510" s="15">
        <f>IF(CurrentMtgRatesDataTable8[[#This Row],[WA CC]]&lt;&gt;0,C509-CurrentMtgRatesDataTable8[[#This Row],[WA CC]],0)</f>
        <v>0</v>
      </c>
      <c r="K510" s="16">
        <f>IF(CurrentMtgRatesDataTable8[[#This Row],[Servicing Spread]]&lt;=0,K509,CurrentMtgRatesDataTable8[[#This Row],[Servicing Spread]])</f>
        <v>0.85360778295215578</v>
      </c>
      <c r="L510" s="16">
        <f>CurrentMtgRatesDataTable8[[#This Row],[Servicing Spread Non-Zero]]-K509</f>
        <v>0</v>
      </c>
      <c r="M510" s="16">
        <f>IF(I509&lt;&gt;0,CurrentMtgRatesDataTable8[[#This Row],[Rate]]-C509,M509)</f>
        <v>-7.0000000000000284E-2</v>
      </c>
    </row>
    <row r="511" spans="1:13">
      <c r="A511" s="12" t="s">
        <v>399</v>
      </c>
      <c r="B511" s="13">
        <v>3.3408272423510099</v>
      </c>
      <c r="C511" s="13">
        <v>4.1949999999999994</v>
      </c>
      <c r="D511" s="15">
        <f t="shared" si="42"/>
        <v>5</v>
      </c>
      <c r="E511" s="15">
        <f t="shared" si="43"/>
        <v>0.2</v>
      </c>
      <c r="F511" s="15">
        <f t="shared" si="44"/>
        <v>3</v>
      </c>
      <c r="G511" s="15">
        <f t="shared" si="45"/>
        <v>1.99450486654806</v>
      </c>
      <c r="H511" s="15">
        <f t="shared" si="46"/>
        <v>0.60000000000000009</v>
      </c>
      <c r="I511" s="15">
        <f t="shared" si="47"/>
        <v>0</v>
      </c>
      <c r="J511" s="15">
        <f>IF(CurrentMtgRatesDataTable8[[#This Row],[WA CC]]&lt;&gt;0,C510-CurrentMtgRatesDataTable8[[#This Row],[WA CC]],0)</f>
        <v>0</v>
      </c>
      <c r="K511" s="16">
        <f>IF(CurrentMtgRatesDataTable8[[#This Row],[Servicing Spread]]&lt;=0,K510,CurrentMtgRatesDataTable8[[#This Row],[Servicing Spread]])</f>
        <v>0.85360778295215578</v>
      </c>
      <c r="L511" s="16">
        <f>CurrentMtgRatesDataTable8[[#This Row],[Servicing Spread Non-Zero]]-K510</f>
        <v>0</v>
      </c>
      <c r="M511" s="16">
        <f>IF(I510&lt;&gt;0,CurrentMtgRatesDataTable8[[#This Row],[Rate]]-C510,M510)</f>
        <v>-7.0000000000000284E-2</v>
      </c>
    </row>
    <row r="512" spans="1:13">
      <c r="A512" s="12" t="s">
        <v>267</v>
      </c>
      <c r="B512" s="13">
        <v>3.33793129587505</v>
      </c>
      <c r="C512" s="13">
        <v>4.1949999999999994</v>
      </c>
      <c r="D512" s="15">
        <f t="shared" si="42"/>
        <v>6</v>
      </c>
      <c r="E512" s="15">
        <f t="shared" si="43"/>
        <v>0.2</v>
      </c>
      <c r="F512" s="15">
        <f t="shared" si="44"/>
        <v>4</v>
      </c>
      <c r="G512" s="15">
        <f t="shared" si="45"/>
        <v>2.6620911257230699</v>
      </c>
      <c r="H512" s="15">
        <f t="shared" si="46"/>
        <v>0.8</v>
      </c>
      <c r="I512" s="15">
        <f t="shared" si="47"/>
        <v>0</v>
      </c>
      <c r="J512" s="15">
        <f>IF(CurrentMtgRatesDataTable8[[#This Row],[WA CC]]&lt;&gt;0,C511-CurrentMtgRatesDataTable8[[#This Row],[WA CC]],0)</f>
        <v>0</v>
      </c>
      <c r="K512" s="16">
        <f>IF(CurrentMtgRatesDataTable8[[#This Row],[Servicing Spread]]&lt;=0,K511,CurrentMtgRatesDataTable8[[#This Row],[Servicing Spread]])</f>
        <v>0.85360778295215578</v>
      </c>
      <c r="L512" s="16">
        <f>CurrentMtgRatesDataTable8[[#This Row],[Servicing Spread Non-Zero]]-K511</f>
        <v>0</v>
      </c>
      <c r="M512" s="16">
        <f>IF(I511&lt;&gt;0,CurrentMtgRatesDataTable8[[#This Row],[Rate]]-C511,M511)</f>
        <v>-7.0000000000000284E-2</v>
      </c>
    </row>
    <row r="513" spans="1:13">
      <c r="A513" s="12" t="s">
        <v>122</v>
      </c>
      <c r="B513" s="13">
        <v>3.35080102179215</v>
      </c>
      <c r="C513" s="13">
        <v>4.1949999999999994</v>
      </c>
      <c r="D513" s="15">
        <f t="shared" si="42"/>
        <v>7</v>
      </c>
      <c r="E513" s="15">
        <f t="shared" si="43"/>
        <v>0.2</v>
      </c>
      <c r="F513" s="15">
        <f t="shared" si="44"/>
        <v>5</v>
      </c>
      <c r="G513" s="15">
        <f t="shared" si="45"/>
        <v>3.3322513300815002</v>
      </c>
      <c r="H513" s="15">
        <f t="shared" si="46"/>
        <v>1</v>
      </c>
      <c r="I513" s="15">
        <f t="shared" si="47"/>
        <v>3.3322513300815002</v>
      </c>
      <c r="J513" s="15">
        <f>IF(CurrentMtgRatesDataTable8[[#This Row],[WA CC]]&lt;&gt;0,C512-CurrentMtgRatesDataTable8[[#This Row],[WA CC]],0)</f>
        <v>0.86274866991849919</v>
      </c>
      <c r="K513" s="16">
        <f>IF(CurrentMtgRatesDataTable8[[#This Row],[Servicing Spread]]&lt;=0,K512,CurrentMtgRatesDataTable8[[#This Row],[Servicing Spread]])</f>
        <v>0.86274866991849919</v>
      </c>
      <c r="L513" s="16">
        <f>CurrentMtgRatesDataTable8[[#This Row],[Servicing Spread Non-Zero]]-K512</f>
        <v>9.1408869663434089E-3</v>
      </c>
      <c r="M513" s="16">
        <f>IF(I512&lt;&gt;0,CurrentMtgRatesDataTable8[[#This Row],[Rate]]-C512,M512)</f>
        <v>-7.0000000000000284E-2</v>
      </c>
    </row>
    <row r="514" spans="1:13">
      <c r="A514" s="12" t="s">
        <v>686</v>
      </c>
      <c r="B514" s="13">
        <v>3.40802093158428</v>
      </c>
      <c r="C514" s="13">
        <v>4.2300000000000004</v>
      </c>
      <c r="D514" s="15">
        <f t="shared" si="42"/>
        <v>1</v>
      </c>
      <c r="E514" s="15">
        <f t="shared" si="43"/>
        <v>0.2</v>
      </c>
      <c r="F514" s="15">
        <f t="shared" si="44"/>
        <v>1</v>
      </c>
      <c r="G514" s="15">
        <f t="shared" si="45"/>
        <v>0.68160418631685604</v>
      </c>
      <c r="H514" s="15">
        <f t="shared" si="46"/>
        <v>0.2</v>
      </c>
      <c r="I514" s="15">
        <f t="shared" si="47"/>
        <v>0</v>
      </c>
      <c r="J514" s="15">
        <f>IF(CurrentMtgRatesDataTable8[[#This Row],[WA CC]]&lt;&gt;0,C513-CurrentMtgRatesDataTable8[[#This Row],[WA CC]],0)</f>
        <v>0</v>
      </c>
      <c r="K514" s="16">
        <f>IF(CurrentMtgRatesDataTable8[[#This Row],[Servicing Spread]]&lt;=0,K513,CurrentMtgRatesDataTable8[[#This Row],[Servicing Spread]])</f>
        <v>0.86274866991849919</v>
      </c>
      <c r="L514" s="16">
        <f>CurrentMtgRatesDataTable8[[#This Row],[Servicing Spread Non-Zero]]-K513</f>
        <v>0</v>
      </c>
      <c r="M514" s="16">
        <f>IF(I513&lt;&gt;0,CurrentMtgRatesDataTable8[[#This Row],[Rate]]-C513,M513)</f>
        <v>3.500000000000103E-2</v>
      </c>
    </row>
    <row r="515" spans="1:13">
      <c r="A515" s="12" t="s">
        <v>400</v>
      </c>
      <c r="B515" s="13">
        <v>3.4214944697037502</v>
      </c>
      <c r="C515" s="13">
        <v>4.2300000000000004</v>
      </c>
      <c r="D515" s="15">
        <f t="shared" si="42"/>
        <v>5</v>
      </c>
      <c r="E515" s="15">
        <f t="shared" si="43"/>
        <v>0.2</v>
      </c>
      <c r="F515" s="15">
        <f t="shared" si="44"/>
        <v>2</v>
      </c>
      <c r="G515" s="15">
        <f t="shared" si="45"/>
        <v>1.3659030802576062</v>
      </c>
      <c r="H515" s="15">
        <f t="shared" si="46"/>
        <v>0.4</v>
      </c>
      <c r="I515" s="15">
        <f t="shared" si="47"/>
        <v>0</v>
      </c>
      <c r="J515" s="15">
        <f>IF(CurrentMtgRatesDataTable8[[#This Row],[WA CC]]&lt;&gt;0,C514-CurrentMtgRatesDataTable8[[#This Row],[WA CC]],0)</f>
        <v>0</v>
      </c>
      <c r="K515" s="16">
        <f>IF(CurrentMtgRatesDataTable8[[#This Row],[Servicing Spread]]&lt;=0,K514,CurrentMtgRatesDataTable8[[#This Row],[Servicing Spread]])</f>
        <v>0.86274866991849919</v>
      </c>
      <c r="L515" s="16">
        <f>CurrentMtgRatesDataTable8[[#This Row],[Servicing Spread Non-Zero]]-K514</f>
        <v>0</v>
      </c>
      <c r="M515" s="16">
        <f>IF(I514&lt;&gt;0,CurrentMtgRatesDataTable8[[#This Row],[Rate]]-C514,M514)</f>
        <v>3.500000000000103E-2</v>
      </c>
    </row>
    <row r="516" spans="1:13">
      <c r="A516" s="12" t="s">
        <v>268</v>
      </c>
      <c r="B516" s="13">
        <v>3.41581155049382</v>
      </c>
      <c r="C516" s="13">
        <v>4.2300000000000004</v>
      </c>
      <c r="D516" s="15">
        <f t="shared" si="42"/>
        <v>6</v>
      </c>
      <c r="E516" s="15">
        <f t="shared" si="43"/>
        <v>0.2</v>
      </c>
      <c r="F516" s="15">
        <f t="shared" si="44"/>
        <v>3</v>
      </c>
      <c r="G516" s="15">
        <f t="shared" si="45"/>
        <v>2.04906539035637</v>
      </c>
      <c r="H516" s="15">
        <f t="shared" si="46"/>
        <v>0.60000000000000009</v>
      </c>
      <c r="I516" s="15">
        <f t="shared" si="47"/>
        <v>0</v>
      </c>
      <c r="J516" s="15">
        <f>IF(CurrentMtgRatesDataTable8[[#This Row],[WA CC]]&lt;&gt;0,C515-CurrentMtgRatesDataTable8[[#This Row],[WA CC]],0)</f>
        <v>0</v>
      </c>
      <c r="K516" s="16">
        <f>IF(CurrentMtgRatesDataTable8[[#This Row],[Servicing Spread]]&lt;=0,K515,CurrentMtgRatesDataTable8[[#This Row],[Servicing Spread]])</f>
        <v>0.86274866991849919</v>
      </c>
      <c r="L516" s="16">
        <f>CurrentMtgRatesDataTable8[[#This Row],[Servicing Spread Non-Zero]]-K515</f>
        <v>0</v>
      </c>
      <c r="M516" s="16">
        <f>IF(I515&lt;&gt;0,CurrentMtgRatesDataTable8[[#This Row],[Rate]]-C515,M515)</f>
        <v>3.500000000000103E-2</v>
      </c>
    </row>
    <row r="517" spans="1:13">
      <c r="A517" s="12" t="s">
        <v>123</v>
      </c>
      <c r="B517" s="13">
        <v>3.3712594555921802</v>
      </c>
      <c r="C517" s="13">
        <v>4.2300000000000004</v>
      </c>
      <c r="D517" s="15">
        <f t="shared" ref="D517:D580" si="48">WEEKDAY(A517,14)</f>
        <v>7</v>
      </c>
      <c r="E517" s="15">
        <f t="shared" ref="E517:E580" si="49">VLOOKUP(D517,P$5:Q$11,2,FALSE)</f>
        <v>0.2</v>
      </c>
      <c r="F517" s="15">
        <f t="shared" ref="F517:F580" si="50">IF(AND(D517&gt;D516,F516&lt;6),F516+1,1)</f>
        <v>4</v>
      </c>
      <c r="G517" s="15">
        <f t="shared" ref="G517:G580" si="51">IF(F517&gt;F516,G516+B517*E517,B517*E517)</f>
        <v>2.7233172814748059</v>
      </c>
      <c r="H517" s="15">
        <f t="shared" ref="H517:H580" si="52">IF(AND(F517&lt;6,F517&gt;F516),E517+H516,E517)</f>
        <v>0.8</v>
      </c>
      <c r="I517" s="15">
        <f t="shared" ref="I517:I580" si="53">IF(F517&gt;F518,G517/H517,0)</f>
        <v>3.4041466018435074</v>
      </c>
      <c r="J517" s="15">
        <f>IF(CurrentMtgRatesDataTable8[[#This Row],[WA CC]]&lt;&gt;0,C516-CurrentMtgRatesDataTable8[[#This Row],[WA CC]],0)</f>
        <v>0.82585339815649306</v>
      </c>
      <c r="K517" s="16">
        <f>IF(CurrentMtgRatesDataTable8[[#This Row],[Servicing Spread]]&lt;=0,K516,CurrentMtgRatesDataTable8[[#This Row],[Servicing Spread]])</f>
        <v>0.82585339815649306</v>
      </c>
      <c r="L517" s="16">
        <f>CurrentMtgRatesDataTable8[[#This Row],[Servicing Spread Non-Zero]]-K516</f>
        <v>-3.6895271762006132E-2</v>
      </c>
      <c r="M517" s="16">
        <f>IF(I516&lt;&gt;0,CurrentMtgRatesDataTable8[[#This Row],[Rate]]-C516,M516)</f>
        <v>3.500000000000103E-2</v>
      </c>
    </row>
    <row r="518" spans="1:13">
      <c r="A518" s="12" t="s">
        <v>687</v>
      </c>
      <c r="B518" s="13">
        <v>3.3653149178353798</v>
      </c>
      <c r="C518" s="13">
        <v>4.2149999999999999</v>
      </c>
      <c r="D518" s="15">
        <f t="shared" si="48"/>
        <v>1</v>
      </c>
      <c r="E518" s="15">
        <f t="shared" si="49"/>
        <v>0.2</v>
      </c>
      <c r="F518" s="15">
        <f t="shared" si="50"/>
        <v>1</v>
      </c>
      <c r="G518" s="15">
        <f t="shared" si="51"/>
        <v>0.67306298356707606</v>
      </c>
      <c r="H518" s="15">
        <f t="shared" si="52"/>
        <v>0.2</v>
      </c>
      <c r="I518" s="15">
        <f t="shared" si="53"/>
        <v>0</v>
      </c>
      <c r="J518" s="15">
        <f>IF(CurrentMtgRatesDataTable8[[#This Row],[WA CC]]&lt;&gt;0,C517-CurrentMtgRatesDataTable8[[#This Row],[WA CC]],0)</f>
        <v>0</v>
      </c>
      <c r="K518" s="16">
        <f>IF(CurrentMtgRatesDataTable8[[#This Row],[Servicing Spread]]&lt;=0,K517,CurrentMtgRatesDataTable8[[#This Row],[Servicing Spread]])</f>
        <v>0.82585339815649306</v>
      </c>
      <c r="L518" s="16">
        <f>CurrentMtgRatesDataTable8[[#This Row],[Servicing Spread Non-Zero]]-K517</f>
        <v>0</v>
      </c>
      <c r="M518" s="16">
        <f>IF(I517&lt;&gt;0,CurrentMtgRatesDataTable8[[#This Row],[Rate]]-C517,M517)</f>
        <v>-1.5000000000000568E-2</v>
      </c>
    </row>
    <row r="519" spans="1:13">
      <c r="A519" s="12" t="s">
        <v>546</v>
      </c>
      <c r="B519" s="13">
        <v>3.34407232938596</v>
      </c>
      <c r="C519" s="13">
        <v>4.2149999999999999</v>
      </c>
      <c r="D519" s="15">
        <f t="shared" si="48"/>
        <v>2</v>
      </c>
      <c r="E519" s="15">
        <f t="shared" si="49"/>
        <v>0.2</v>
      </c>
      <c r="F519" s="15">
        <f t="shared" si="50"/>
        <v>2</v>
      </c>
      <c r="G519" s="15">
        <f t="shared" si="51"/>
        <v>1.3418774494442682</v>
      </c>
      <c r="H519" s="15">
        <f t="shared" si="52"/>
        <v>0.4</v>
      </c>
      <c r="I519" s="15">
        <f t="shared" si="53"/>
        <v>0</v>
      </c>
      <c r="J519" s="15">
        <f>IF(CurrentMtgRatesDataTable8[[#This Row],[WA CC]]&lt;&gt;0,C518-CurrentMtgRatesDataTable8[[#This Row],[WA CC]],0)</f>
        <v>0</v>
      </c>
      <c r="K519" s="16">
        <f>IF(CurrentMtgRatesDataTable8[[#This Row],[Servicing Spread]]&lt;=0,K518,CurrentMtgRatesDataTable8[[#This Row],[Servicing Spread]])</f>
        <v>0.82585339815649306</v>
      </c>
      <c r="L519" s="16">
        <f>CurrentMtgRatesDataTable8[[#This Row],[Servicing Spread Non-Zero]]-K518</f>
        <v>0</v>
      </c>
      <c r="M519" s="16">
        <f>IF(I518&lt;&gt;0,CurrentMtgRatesDataTable8[[#This Row],[Rate]]-C518,M518)</f>
        <v>-1.5000000000000568E-2</v>
      </c>
    </row>
    <row r="520" spans="1:13">
      <c r="A520" s="12" t="s">
        <v>401</v>
      </c>
      <c r="B520" s="13">
        <v>3.3514611406408399</v>
      </c>
      <c r="C520" s="13">
        <v>4.2149999999999999</v>
      </c>
      <c r="D520" s="15">
        <f t="shared" si="48"/>
        <v>5</v>
      </c>
      <c r="E520" s="15">
        <f t="shared" si="49"/>
        <v>0.2</v>
      </c>
      <c r="F520" s="15">
        <f t="shared" si="50"/>
        <v>3</v>
      </c>
      <c r="G520" s="15">
        <f t="shared" si="51"/>
        <v>2.0121696775724365</v>
      </c>
      <c r="H520" s="15">
        <f t="shared" si="52"/>
        <v>0.60000000000000009</v>
      </c>
      <c r="I520" s="15">
        <f t="shared" si="53"/>
        <v>0</v>
      </c>
      <c r="J520" s="15">
        <f>IF(CurrentMtgRatesDataTable8[[#This Row],[WA CC]]&lt;&gt;0,C519-CurrentMtgRatesDataTable8[[#This Row],[WA CC]],0)</f>
        <v>0</v>
      </c>
      <c r="K520" s="16">
        <f>IF(CurrentMtgRatesDataTable8[[#This Row],[Servicing Spread]]&lt;=0,K519,CurrentMtgRatesDataTable8[[#This Row],[Servicing Spread]])</f>
        <v>0.82585339815649306</v>
      </c>
      <c r="L520" s="16">
        <f>CurrentMtgRatesDataTable8[[#This Row],[Servicing Spread Non-Zero]]-K519</f>
        <v>0</v>
      </c>
      <c r="M520" s="16">
        <f>IF(I519&lt;&gt;0,CurrentMtgRatesDataTable8[[#This Row],[Rate]]-C519,M519)</f>
        <v>-1.5000000000000568E-2</v>
      </c>
    </row>
    <row r="521" spans="1:13">
      <c r="A521" s="12" t="s">
        <v>269</v>
      </c>
      <c r="B521" s="13">
        <v>3.3733743387763999</v>
      </c>
      <c r="C521" s="13">
        <v>4.2149999999999999</v>
      </c>
      <c r="D521" s="15">
        <f t="shared" si="48"/>
        <v>6</v>
      </c>
      <c r="E521" s="15">
        <f t="shared" si="49"/>
        <v>0.2</v>
      </c>
      <c r="F521" s="15">
        <f t="shared" si="50"/>
        <v>4</v>
      </c>
      <c r="G521" s="15">
        <f t="shared" si="51"/>
        <v>2.6868445453277165</v>
      </c>
      <c r="H521" s="15">
        <f t="shared" si="52"/>
        <v>0.8</v>
      </c>
      <c r="I521" s="15">
        <f t="shared" si="53"/>
        <v>0</v>
      </c>
      <c r="J521" s="15">
        <f>IF(CurrentMtgRatesDataTable8[[#This Row],[WA CC]]&lt;&gt;0,C520-CurrentMtgRatesDataTable8[[#This Row],[WA CC]],0)</f>
        <v>0</v>
      </c>
      <c r="K521" s="16">
        <f>IF(CurrentMtgRatesDataTable8[[#This Row],[Servicing Spread]]&lt;=0,K520,CurrentMtgRatesDataTable8[[#This Row],[Servicing Spread]])</f>
        <v>0.82585339815649306</v>
      </c>
      <c r="L521" s="16">
        <f>CurrentMtgRatesDataTable8[[#This Row],[Servicing Spread Non-Zero]]-K520</f>
        <v>0</v>
      </c>
      <c r="M521" s="16">
        <f>IF(I520&lt;&gt;0,CurrentMtgRatesDataTable8[[#This Row],[Rate]]-C520,M520)</f>
        <v>-1.5000000000000568E-2</v>
      </c>
    </row>
    <row r="522" spans="1:13">
      <c r="A522" s="12" t="s">
        <v>124</v>
      </c>
      <c r="B522" s="13">
        <v>3.3274269650204</v>
      </c>
      <c r="C522" s="13">
        <v>4.2149999999999999</v>
      </c>
      <c r="D522" s="15">
        <f t="shared" si="48"/>
        <v>7</v>
      </c>
      <c r="E522" s="15">
        <f t="shared" si="49"/>
        <v>0.2</v>
      </c>
      <c r="F522" s="15">
        <f t="shared" si="50"/>
        <v>5</v>
      </c>
      <c r="G522" s="15">
        <f t="shared" si="51"/>
        <v>3.3523299383317964</v>
      </c>
      <c r="H522" s="15">
        <f t="shared" si="52"/>
        <v>1</v>
      </c>
      <c r="I522" s="15">
        <f t="shared" si="53"/>
        <v>3.3523299383317964</v>
      </c>
      <c r="J522" s="15">
        <f>IF(CurrentMtgRatesDataTable8[[#This Row],[WA CC]]&lt;&gt;0,C521-CurrentMtgRatesDataTable8[[#This Row],[WA CC]],0)</f>
        <v>0.86267006166820348</v>
      </c>
      <c r="K522" s="16">
        <f>IF(CurrentMtgRatesDataTable8[[#This Row],[Servicing Spread]]&lt;=0,K521,CurrentMtgRatesDataTable8[[#This Row],[Servicing Spread]])</f>
        <v>0.86267006166820348</v>
      </c>
      <c r="L522" s="16">
        <f>CurrentMtgRatesDataTable8[[#This Row],[Servicing Spread Non-Zero]]-K521</f>
        <v>3.6816663511710424E-2</v>
      </c>
      <c r="M522" s="16">
        <f>IF(I521&lt;&gt;0,CurrentMtgRatesDataTable8[[#This Row],[Rate]]-C521,M521)</f>
        <v>-1.5000000000000568E-2</v>
      </c>
    </row>
    <row r="523" spans="1:13">
      <c r="A523" s="12" t="s">
        <v>688</v>
      </c>
      <c r="B523" s="13">
        <v>3.2875255326595201</v>
      </c>
      <c r="C523" s="13">
        <v>4.1100000000000003</v>
      </c>
      <c r="D523" s="15">
        <f t="shared" si="48"/>
        <v>1</v>
      </c>
      <c r="E523" s="15">
        <f t="shared" si="49"/>
        <v>0.2</v>
      </c>
      <c r="F523" s="15">
        <f t="shared" si="50"/>
        <v>1</v>
      </c>
      <c r="G523" s="15">
        <f t="shared" si="51"/>
        <v>0.65750510653190408</v>
      </c>
      <c r="H523" s="15">
        <f t="shared" si="52"/>
        <v>0.2</v>
      </c>
      <c r="I523" s="15">
        <f t="shared" si="53"/>
        <v>0</v>
      </c>
      <c r="J523" s="15">
        <f>IF(CurrentMtgRatesDataTable8[[#This Row],[WA CC]]&lt;&gt;0,C522-CurrentMtgRatesDataTable8[[#This Row],[WA CC]],0)</f>
        <v>0</v>
      </c>
      <c r="K523" s="16">
        <f>IF(CurrentMtgRatesDataTable8[[#This Row],[Servicing Spread]]&lt;=0,K522,CurrentMtgRatesDataTable8[[#This Row],[Servicing Spread]])</f>
        <v>0.86267006166820348</v>
      </c>
      <c r="L523" s="16">
        <f>CurrentMtgRatesDataTable8[[#This Row],[Servicing Spread Non-Zero]]-K522</f>
        <v>0</v>
      </c>
      <c r="M523" s="16">
        <f>IF(I522&lt;&gt;0,CurrentMtgRatesDataTable8[[#This Row],[Rate]]-C522,M522)</f>
        <v>-0.10499999999999954</v>
      </c>
    </row>
    <row r="524" spans="1:13">
      <c r="A524" s="12" t="s">
        <v>547</v>
      </c>
      <c r="B524" s="13">
        <v>3.27582122809376</v>
      </c>
      <c r="C524" s="13">
        <v>4.1100000000000003</v>
      </c>
      <c r="D524" s="15">
        <f t="shared" si="48"/>
        <v>2</v>
      </c>
      <c r="E524" s="15">
        <f t="shared" si="49"/>
        <v>0.2</v>
      </c>
      <c r="F524" s="15">
        <f t="shared" si="50"/>
        <v>2</v>
      </c>
      <c r="G524" s="15">
        <f t="shared" si="51"/>
        <v>1.3126693521506563</v>
      </c>
      <c r="H524" s="15">
        <f t="shared" si="52"/>
        <v>0.4</v>
      </c>
      <c r="I524" s="15">
        <f t="shared" si="53"/>
        <v>0</v>
      </c>
      <c r="J524" s="15">
        <f>IF(CurrentMtgRatesDataTable8[[#This Row],[WA CC]]&lt;&gt;0,C523-CurrentMtgRatesDataTable8[[#This Row],[WA CC]],0)</f>
        <v>0</v>
      </c>
      <c r="K524" s="16">
        <f>IF(CurrentMtgRatesDataTable8[[#This Row],[Servicing Spread]]&lt;=0,K523,CurrentMtgRatesDataTable8[[#This Row],[Servicing Spread]])</f>
        <v>0.86267006166820348</v>
      </c>
      <c r="L524" s="16">
        <f>CurrentMtgRatesDataTable8[[#This Row],[Servicing Spread Non-Zero]]-K523</f>
        <v>0</v>
      </c>
      <c r="M524" s="16">
        <f>IF(I523&lt;&gt;0,CurrentMtgRatesDataTable8[[#This Row],[Rate]]-C523,M523)</f>
        <v>-0.10499999999999954</v>
      </c>
    </row>
    <row r="525" spans="1:13">
      <c r="A525" s="12" t="s">
        <v>402</v>
      </c>
      <c r="B525" s="13">
        <v>3.28849941945206</v>
      </c>
      <c r="C525" s="13">
        <v>4.1100000000000003</v>
      </c>
      <c r="D525" s="15">
        <f t="shared" si="48"/>
        <v>5</v>
      </c>
      <c r="E525" s="15">
        <f t="shared" si="49"/>
        <v>0.2</v>
      </c>
      <c r="F525" s="15">
        <f t="shared" si="50"/>
        <v>3</v>
      </c>
      <c r="G525" s="15">
        <f t="shared" si="51"/>
        <v>1.9703692360410683</v>
      </c>
      <c r="H525" s="15">
        <f t="shared" si="52"/>
        <v>0.60000000000000009</v>
      </c>
      <c r="I525" s="15">
        <f t="shared" si="53"/>
        <v>0</v>
      </c>
      <c r="J525" s="15">
        <f>IF(CurrentMtgRatesDataTable8[[#This Row],[WA CC]]&lt;&gt;0,C524-CurrentMtgRatesDataTable8[[#This Row],[WA CC]],0)</f>
        <v>0</v>
      </c>
      <c r="K525" s="16">
        <f>IF(CurrentMtgRatesDataTable8[[#This Row],[Servicing Spread]]&lt;=0,K524,CurrentMtgRatesDataTable8[[#This Row],[Servicing Spread]])</f>
        <v>0.86267006166820348</v>
      </c>
      <c r="L525" s="16">
        <f>CurrentMtgRatesDataTable8[[#This Row],[Servicing Spread Non-Zero]]-K524</f>
        <v>0</v>
      </c>
      <c r="M525" s="16">
        <f>IF(I524&lt;&gt;0,CurrentMtgRatesDataTable8[[#This Row],[Rate]]-C524,M524)</f>
        <v>-0.10499999999999954</v>
      </c>
    </row>
    <row r="526" spans="1:13">
      <c r="A526" s="12" t="s">
        <v>270</v>
      </c>
      <c r="B526" s="13">
        <v>3.2676928756403698</v>
      </c>
      <c r="C526" s="13">
        <v>4.1100000000000003</v>
      </c>
      <c r="D526" s="15">
        <f t="shared" si="48"/>
        <v>6</v>
      </c>
      <c r="E526" s="15">
        <f t="shared" si="49"/>
        <v>0.2</v>
      </c>
      <c r="F526" s="15">
        <f t="shared" si="50"/>
        <v>4</v>
      </c>
      <c r="G526" s="15">
        <f t="shared" si="51"/>
        <v>2.6239078111691425</v>
      </c>
      <c r="H526" s="15">
        <f t="shared" si="52"/>
        <v>0.8</v>
      </c>
      <c r="I526" s="15">
        <f t="shared" si="53"/>
        <v>0</v>
      </c>
      <c r="J526" s="15">
        <f>IF(CurrentMtgRatesDataTable8[[#This Row],[WA CC]]&lt;&gt;0,C525-CurrentMtgRatesDataTable8[[#This Row],[WA CC]],0)</f>
        <v>0</v>
      </c>
      <c r="K526" s="16">
        <f>IF(CurrentMtgRatesDataTable8[[#This Row],[Servicing Spread]]&lt;=0,K525,CurrentMtgRatesDataTable8[[#This Row],[Servicing Spread]])</f>
        <v>0.86267006166820348</v>
      </c>
      <c r="L526" s="16">
        <f>CurrentMtgRatesDataTable8[[#This Row],[Servicing Spread Non-Zero]]-K525</f>
        <v>0</v>
      </c>
      <c r="M526" s="16">
        <f>IF(I525&lt;&gt;0,CurrentMtgRatesDataTable8[[#This Row],[Rate]]-C525,M525)</f>
        <v>-0.10499999999999954</v>
      </c>
    </row>
    <row r="527" spans="1:13">
      <c r="A527" s="12" t="s">
        <v>125</v>
      </c>
      <c r="B527" s="13">
        <v>3.2365593112173601</v>
      </c>
      <c r="C527" s="13">
        <v>4.1100000000000003</v>
      </c>
      <c r="D527" s="15">
        <f t="shared" si="48"/>
        <v>7</v>
      </c>
      <c r="E527" s="15">
        <f t="shared" si="49"/>
        <v>0.2</v>
      </c>
      <c r="F527" s="15">
        <f t="shared" si="50"/>
        <v>5</v>
      </c>
      <c r="G527" s="15">
        <f t="shared" si="51"/>
        <v>3.2712196734126144</v>
      </c>
      <c r="H527" s="15">
        <f t="shared" si="52"/>
        <v>1</v>
      </c>
      <c r="I527" s="15">
        <f t="shared" si="53"/>
        <v>3.2712196734126144</v>
      </c>
      <c r="J527" s="15">
        <f>IF(CurrentMtgRatesDataTable8[[#This Row],[WA CC]]&lt;&gt;0,C526-CurrentMtgRatesDataTable8[[#This Row],[WA CC]],0)</f>
        <v>0.83878032658738588</v>
      </c>
      <c r="K527" s="16">
        <f>IF(CurrentMtgRatesDataTable8[[#This Row],[Servicing Spread]]&lt;=0,K526,CurrentMtgRatesDataTable8[[#This Row],[Servicing Spread]])</f>
        <v>0.83878032658738588</v>
      </c>
      <c r="L527" s="16">
        <f>CurrentMtgRatesDataTable8[[#This Row],[Servicing Spread Non-Zero]]-K526</f>
        <v>-2.3889735080817598E-2</v>
      </c>
      <c r="M527" s="16">
        <f>IF(I526&lt;&gt;0,CurrentMtgRatesDataTable8[[#This Row],[Rate]]-C526,M526)</f>
        <v>-0.10499999999999954</v>
      </c>
    </row>
    <row r="528" spans="1:13">
      <c r="A528" s="12" t="s">
        <v>689</v>
      </c>
      <c r="B528" s="13">
        <v>3.2302009300383201</v>
      </c>
      <c r="C528" s="13">
        <v>4.1000000000000005</v>
      </c>
      <c r="D528" s="15">
        <f t="shared" si="48"/>
        <v>1</v>
      </c>
      <c r="E528" s="15">
        <f t="shared" si="49"/>
        <v>0.2</v>
      </c>
      <c r="F528" s="15">
        <f t="shared" si="50"/>
        <v>1</v>
      </c>
      <c r="G528" s="15">
        <f t="shared" si="51"/>
        <v>0.64604018600766411</v>
      </c>
      <c r="H528" s="15">
        <f t="shared" si="52"/>
        <v>0.2</v>
      </c>
      <c r="I528" s="15">
        <f t="shared" si="53"/>
        <v>0</v>
      </c>
      <c r="J528" s="15">
        <f>IF(CurrentMtgRatesDataTable8[[#This Row],[WA CC]]&lt;&gt;0,C527-CurrentMtgRatesDataTable8[[#This Row],[WA CC]],0)</f>
        <v>0</v>
      </c>
      <c r="K528" s="16">
        <f>IF(CurrentMtgRatesDataTable8[[#This Row],[Servicing Spread]]&lt;=0,K527,CurrentMtgRatesDataTable8[[#This Row],[Servicing Spread]])</f>
        <v>0.83878032658738588</v>
      </c>
      <c r="L528" s="16">
        <f>CurrentMtgRatesDataTable8[[#This Row],[Servicing Spread Non-Zero]]-K527</f>
        <v>0</v>
      </c>
      <c r="M528" s="16">
        <f>IF(I527&lt;&gt;0,CurrentMtgRatesDataTable8[[#This Row],[Rate]]-C527,M527)</f>
        <v>-9.9999999999997868E-3</v>
      </c>
    </row>
    <row r="529" spans="1:13">
      <c r="A529" s="12" t="s">
        <v>548</v>
      </c>
      <c r="B529" s="13">
        <v>3.26793441628852</v>
      </c>
      <c r="C529" s="13">
        <v>4.1000000000000005</v>
      </c>
      <c r="D529" s="15">
        <f t="shared" si="48"/>
        <v>2</v>
      </c>
      <c r="E529" s="15">
        <f t="shared" si="49"/>
        <v>0.2</v>
      </c>
      <c r="F529" s="15">
        <f t="shared" si="50"/>
        <v>2</v>
      </c>
      <c r="G529" s="15">
        <f t="shared" si="51"/>
        <v>1.2996270692653682</v>
      </c>
      <c r="H529" s="15">
        <f t="shared" si="52"/>
        <v>0.4</v>
      </c>
      <c r="I529" s="15">
        <f t="shared" si="53"/>
        <v>0</v>
      </c>
      <c r="J529" s="15">
        <f>IF(CurrentMtgRatesDataTable8[[#This Row],[WA CC]]&lt;&gt;0,C528-CurrentMtgRatesDataTable8[[#This Row],[WA CC]],0)</f>
        <v>0</v>
      </c>
      <c r="K529" s="16">
        <f>IF(CurrentMtgRatesDataTable8[[#This Row],[Servicing Spread]]&lt;=0,K528,CurrentMtgRatesDataTable8[[#This Row],[Servicing Spread]])</f>
        <v>0.83878032658738588</v>
      </c>
      <c r="L529" s="16">
        <f>CurrentMtgRatesDataTable8[[#This Row],[Servicing Spread Non-Zero]]-K528</f>
        <v>0</v>
      </c>
      <c r="M529" s="16">
        <f>IF(I528&lt;&gt;0,CurrentMtgRatesDataTable8[[#This Row],[Rate]]-C528,M528)</f>
        <v>-9.9999999999997868E-3</v>
      </c>
    </row>
    <row r="530" spans="1:13">
      <c r="A530" s="12" t="s">
        <v>403</v>
      </c>
      <c r="B530" s="13">
        <v>3.2957313796738501</v>
      </c>
      <c r="C530" s="13">
        <v>4.1000000000000005</v>
      </c>
      <c r="D530" s="15">
        <f t="shared" si="48"/>
        <v>5</v>
      </c>
      <c r="E530" s="15">
        <f t="shared" si="49"/>
        <v>0.2</v>
      </c>
      <c r="F530" s="15">
        <f t="shared" si="50"/>
        <v>3</v>
      </c>
      <c r="G530" s="15">
        <f t="shared" si="51"/>
        <v>1.9587733452001381</v>
      </c>
      <c r="H530" s="15">
        <f t="shared" si="52"/>
        <v>0.60000000000000009</v>
      </c>
      <c r="I530" s="15">
        <f t="shared" si="53"/>
        <v>0</v>
      </c>
      <c r="J530" s="15">
        <f>IF(CurrentMtgRatesDataTable8[[#This Row],[WA CC]]&lt;&gt;0,C529-CurrentMtgRatesDataTable8[[#This Row],[WA CC]],0)</f>
        <v>0</v>
      </c>
      <c r="K530" s="16">
        <f>IF(CurrentMtgRatesDataTable8[[#This Row],[Servicing Spread]]&lt;=0,K529,CurrentMtgRatesDataTable8[[#This Row],[Servicing Spread]])</f>
        <v>0.83878032658738588</v>
      </c>
      <c r="L530" s="16">
        <f>CurrentMtgRatesDataTable8[[#This Row],[Servicing Spread Non-Zero]]-K529</f>
        <v>0</v>
      </c>
      <c r="M530" s="16">
        <f>IF(I529&lt;&gt;0,CurrentMtgRatesDataTable8[[#This Row],[Rate]]-C529,M529)</f>
        <v>-9.9999999999997868E-3</v>
      </c>
    </row>
    <row r="531" spans="1:13">
      <c r="A531" s="12" t="s">
        <v>271</v>
      </c>
      <c r="B531" s="13">
        <v>3.2728026621506001</v>
      </c>
      <c r="C531" s="13">
        <v>4.1000000000000005</v>
      </c>
      <c r="D531" s="15">
        <f t="shared" si="48"/>
        <v>6</v>
      </c>
      <c r="E531" s="15">
        <f t="shared" si="49"/>
        <v>0.2</v>
      </c>
      <c r="F531" s="15">
        <f t="shared" si="50"/>
        <v>4</v>
      </c>
      <c r="G531" s="15">
        <f t="shared" si="51"/>
        <v>2.6133338776302582</v>
      </c>
      <c r="H531" s="15">
        <f t="shared" si="52"/>
        <v>0.8</v>
      </c>
      <c r="I531" s="15">
        <f t="shared" si="53"/>
        <v>0</v>
      </c>
      <c r="J531" s="15">
        <f>IF(CurrentMtgRatesDataTable8[[#This Row],[WA CC]]&lt;&gt;0,C530-CurrentMtgRatesDataTable8[[#This Row],[WA CC]],0)</f>
        <v>0</v>
      </c>
      <c r="K531" s="16">
        <f>IF(CurrentMtgRatesDataTable8[[#This Row],[Servicing Spread]]&lt;=0,K530,CurrentMtgRatesDataTable8[[#This Row],[Servicing Spread]])</f>
        <v>0.83878032658738588</v>
      </c>
      <c r="L531" s="16">
        <f>CurrentMtgRatesDataTable8[[#This Row],[Servicing Spread Non-Zero]]-K530</f>
        <v>0</v>
      </c>
      <c r="M531" s="16">
        <f>IF(I530&lt;&gt;0,CurrentMtgRatesDataTable8[[#This Row],[Rate]]-C530,M530)</f>
        <v>-9.9999999999997868E-3</v>
      </c>
    </row>
    <row r="532" spans="1:13">
      <c r="A532" s="12" t="s">
        <v>126</v>
      </c>
      <c r="B532" s="13">
        <v>3.1970892272743101</v>
      </c>
      <c r="C532" s="13">
        <v>4.1000000000000005</v>
      </c>
      <c r="D532" s="15">
        <f t="shared" si="48"/>
        <v>7</v>
      </c>
      <c r="E532" s="15">
        <f t="shared" si="49"/>
        <v>0.2</v>
      </c>
      <c r="F532" s="15">
        <f t="shared" si="50"/>
        <v>5</v>
      </c>
      <c r="G532" s="15">
        <f t="shared" si="51"/>
        <v>3.2527517230851202</v>
      </c>
      <c r="H532" s="15">
        <f t="shared" si="52"/>
        <v>1</v>
      </c>
      <c r="I532" s="15">
        <f t="shared" si="53"/>
        <v>3.2527517230851202</v>
      </c>
      <c r="J532" s="15">
        <f>IF(CurrentMtgRatesDataTable8[[#This Row],[WA CC]]&lt;&gt;0,C531-CurrentMtgRatesDataTable8[[#This Row],[WA CC]],0)</f>
        <v>0.84724827691488036</v>
      </c>
      <c r="K532" s="16">
        <f>IF(CurrentMtgRatesDataTable8[[#This Row],[Servicing Spread]]&lt;=0,K531,CurrentMtgRatesDataTable8[[#This Row],[Servicing Spread]])</f>
        <v>0.84724827691488036</v>
      </c>
      <c r="L532" s="16">
        <f>CurrentMtgRatesDataTable8[[#This Row],[Servicing Spread Non-Zero]]-K531</f>
        <v>8.4679503274944778E-3</v>
      </c>
      <c r="M532" s="16">
        <f>IF(I531&lt;&gt;0,CurrentMtgRatesDataTable8[[#This Row],[Rate]]-C531,M531)</f>
        <v>-9.9999999999997868E-3</v>
      </c>
    </row>
    <row r="533" spans="1:13">
      <c r="A533" s="12" t="s">
        <v>690</v>
      </c>
      <c r="B533" s="13">
        <v>3.1795097734540301</v>
      </c>
      <c r="C533" s="13">
        <v>4.04</v>
      </c>
      <c r="D533" s="15">
        <f t="shared" si="48"/>
        <v>1</v>
      </c>
      <c r="E533" s="15">
        <f t="shared" si="49"/>
        <v>0.2</v>
      </c>
      <c r="F533" s="15">
        <f t="shared" si="50"/>
        <v>1</v>
      </c>
      <c r="G533" s="15">
        <f t="shared" si="51"/>
        <v>0.63590195469080601</v>
      </c>
      <c r="H533" s="15">
        <f t="shared" si="52"/>
        <v>0.2</v>
      </c>
      <c r="I533" s="15">
        <f t="shared" si="53"/>
        <v>0</v>
      </c>
      <c r="J533" s="15">
        <f>IF(CurrentMtgRatesDataTable8[[#This Row],[WA CC]]&lt;&gt;0,C532-CurrentMtgRatesDataTable8[[#This Row],[WA CC]],0)</f>
        <v>0</v>
      </c>
      <c r="K533" s="16">
        <f>IF(CurrentMtgRatesDataTable8[[#This Row],[Servicing Spread]]&lt;=0,K532,CurrentMtgRatesDataTable8[[#This Row],[Servicing Spread]])</f>
        <v>0.84724827691488036</v>
      </c>
      <c r="L533" s="16">
        <f>CurrentMtgRatesDataTable8[[#This Row],[Servicing Spread Non-Zero]]-K532</f>
        <v>0</v>
      </c>
      <c r="M533" s="16">
        <f>IF(I532&lt;&gt;0,CurrentMtgRatesDataTable8[[#This Row],[Rate]]-C532,M532)</f>
        <v>-6.0000000000000497E-2</v>
      </c>
    </row>
    <row r="534" spans="1:13">
      <c r="A534" s="12" t="s">
        <v>549</v>
      </c>
      <c r="B534" s="13">
        <v>3.2071722937792901</v>
      </c>
      <c r="C534" s="13">
        <v>4.04</v>
      </c>
      <c r="D534" s="15">
        <f t="shared" si="48"/>
        <v>2</v>
      </c>
      <c r="E534" s="15">
        <f t="shared" si="49"/>
        <v>0.2</v>
      </c>
      <c r="F534" s="15">
        <f t="shared" si="50"/>
        <v>2</v>
      </c>
      <c r="G534" s="15">
        <f t="shared" si="51"/>
        <v>1.277336413446664</v>
      </c>
      <c r="H534" s="15">
        <f t="shared" si="52"/>
        <v>0.4</v>
      </c>
      <c r="I534" s="15">
        <f t="shared" si="53"/>
        <v>0</v>
      </c>
      <c r="J534" s="15">
        <f>IF(CurrentMtgRatesDataTable8[[#This Row],[WA CC]]&lt;&gt;0,C533-CurrentMtgRatesDataTable8[[#This Row],[WA CC]],0)</f>
        <v>0</v>
      </c>
      <c r="K534" s="16">
        <f>IF(CurrentMtgRatesDataTable8[[#This Row],[Servicing Spread]]&lt;=0,K533,CurrentMtgRatesDataTable8[[#This Row],[Servicing Spread]])</f>
        <v>0.84724827691488036</v>
      </c>
      <c r="L534" s="16">
        <f>CurrentMtgRatesDataTable8[[#This Row],[Servicing Spread Non-Zero]]-K533</f>
        <v>0</v>
      </c>
      <c r="M534" s="16">
        <f>IF(I533&lt;&gt;0,CurrentMtgRatesDataTable8[[#This Row],[Rate]]-C533,M533)</f>
        <v>-6.0000000000000497E-2</v>
      </c>
    </row>
    <row r="535" spans="1:13">
      <c r="A535" s="12" t="s">
        <v>404</v>
      </c>
      <c r="B535" s="13">
        <v>3.2249711814966302</v>
      </c>
      <c r="C535" s="13">
        <v>4.04</v>
      </c>
      <c r="D535" s="15">
        <f t="shared" si="48"/>
        <v>5</v>
      </c>
      <c r="E535" s="15">
        <f t="shared" si="49"/>
        <v>0.2</v>
      </c>
      <c r="F535" s="15">
        <f t="shared" si="50"/>
        <v>3</v>
      </c>
      <c r="G535" s="15">
        <f t="shared" si="51"/>
        <v>1.92233064974599</v>
      </c>
      <c r="H535" s="15">
        <f t="shared" si="52"/>
        <v>0.60000000000000009</v>
      </c>
      <c r="I535" s="15">
        <f t="shared" si="53"/>
        <v>0</v>
      </c>
      <c r="J535" s="15">
        <f>IF(CurrentMtgRatesDataTable8[[#This Row],[WA CC]]&lt;&gt;0,C534-CurrentMtgRatesDataTable8[[#This Row],[WA CC]],0)</f>
        <v>0</v>
      </c>
      <c r="K535" s="16">
        <f>IF(CurrentMtgRatesDataTable8[[#This Row],[Servicing Spread]]&lt;=0,K534,CurrentMtgRatesDataTable8[[#This Row],[Servicing Spread]])</f>
        <v>0.84724827691488036</v>
      </c>
      <c r="L535" s="16">
        <f>CurrentMtgRatesDataTable8[[#This Row],[Servicing Spread Non-Zero]]-K534</f>
        <v>0</v>
      </c>
      <c r="M535" s="16">
        <f>IF(I534&lt;&gt;0,CurrentMtgRatesDataTable8[[#This Row],[Rate]]-C534,M534)</f>
        <v>-6.0000000000000497E-2</v>
      </c>
    </row>
    <row r="536" spans="1:13">
      <c r="A536" s="12" t="s">
        <v>272</v>
      </c>
      <c r="B536" s="13">
        <v>3.1906249352690699</v>
      </c>
      <c r="C536" s="13">
        <v>4.04</v>
      </c>
      <c r="D536" s="15">
        <f t="shared" si="48"/>
        <v>6</v>
      </c>
      <c r="E536" s="15">
        <f t="shared" si="49"/>
        <v>0.2</v>
      </c>
      <c r="F536" s="15">
        <f t="shared" si="50"/>
        <v>4</v>
      </c>
      <c r="G536" s="15">
        <f t="shared" si="51"/>
        <v>2.5604556367998041</v>
      </c>
      <c r="H536" s="15">
        <f t="shared" si="52"/>
        <v>0.8</v>
      </c>
      <c r="I536" s="15">
        <f t="shared" si="53"/>
        <v>0</v>
      </c>
      <c r="J536" s="15">
        <f>IF(CurrentMtgRatesDataTable8[[#This Row],[WA CC]]&lt;&gt;0,C535-CurrentMtgRatesDataTable8[[#This Row],[WA CC]],0)</f>
        <v>0</v>
      </c>
      <c r="K536" s="16">
        <f>IF(CurrentMtgRatesDataTable8[[#This Row],[Servicing Spread]]&lt;=0,K535,CurrentMtgRatesDataTable8[[#This Row],[Servicing Spread]])</f>
        <v>0.84724827691488036</v>
      </c>
      <c r="L536" s="16">
        <f>CurrentMtgRatesDataTable8[[#This Row],[Servicing Spread Non-Zero]]-K535</f>
        <v>0</v>
      </c>
      <c r="M536" s="16">
        <f>IF(I535&lt;&gt;0,CurrentMtgRatesDataTable8[[#This Row],[Rate]]-C535,M535)</f>
        <v>-6.0000000000000497E-2</v>
      </c>
    </row>
    <row r="537" spans="1:13">
      <c r="A537" s="12" t="s">
        <v>127</v>
      </c>
      <c r="B537" s="13">
        <v>3.2003729321605299</v>
      </c>
      <c r="C537" s="13">
        <v>4.04</v>
      </c>
      <c r="D537" s="15">
        <f t="shared" si="48"/>
        <v>7</v>
      </c>
      <c r="E537" s="15">
        <f t="shared" si="49"/>
        <v>0.2</v>
      </c>
      <c r="F537" s="15">
        <f t="shared" si="50"/>
        <v>5</v>
      </c>
      <c r="G537" s="15">
        <f t="shared" si="51"/>
        <v>3.2005302232319099</v>
      </c>
      <c r="H537" s="15">
        <f t="shared" si="52"/>
        <v>1</v>
      </c>
      <c r="I537" s="15">
        <f t="shared" si="53"/>
        <v>3.2005302232319099</v>
      </c>
      <c r="J537" s="15">
        <f>IF(CurrentMtgRatesDataTable8[[#This Row],[WA CC]]&lt;&gt;0,C536-CurrentMtgRatesDataTable8[[#This Row],[WA CC]],0)</f>
        <v>0.83946977676809009</v>
      </c>
      <c r="K537" s="16">
        <f>IF(CurrentMtgRatesDataTable8[[#This Row],[Servicing Spread]]&lt;=0,K536,CurrentMtgRatesDataTable8[[#This Row],[Servicing Spread]])</f>
        <v>0.83946977676809009</v>
      </c>
      <c r="L537" s="16">
        <f>CurrentMtgRatesDataTable8[[#This Row],[Servicing Spread Non-Zero]]-K536</f>
        <v>-7.7785001467902681E-3</v>
      </c>
      <c r="M537" s="16">
        <f>IF(I536&lt;&gt;0,CurrentMtgRatesDataTable8[[#This Row],[Rate]]-C536,M536)</f>
        <v>-6.0000000000000497E-2</v>
      </c>
    </row>
    <row r="538" spans="1:13">
      <c r="A538" s="12" t="s">
        <v>691</v>
      </c>
      <c r="B538" s="13">
        <v>3.2144312113226099</v>
      </c>
      <c r="C538" s="13">
        <v>4.0200000000000005</v>
      </c>
      <c r="D538" s="15">
        <f t="shared" si="48"/>
        <v>1</v>
      </c>
      <c r="E538" s="15">
        <f t="shared" si="49"/>
        <v>0.2</v>
      </c>
      <c r="F538" s="15">
        <f t="shared" si="50"/>
        <v>1</v>
      </c>
      <c r="G538" s="15">
        <f t="shared" si="51"/>
        <v>0.64288624226452207</v>
      </c>
      <c r="H538" s="15">
        <f t="shared" si="52"/>
        <v>0.2</v>
      </c>
      <c r="I538" s="15">
        <f t="shared" si="53"/>
        <v>0</v>
      </c>
      <c r="J538" s="15">
        <f>IF(CurrentMtgRatesDataTable8[[#This Row],[WA CC]]&lt;&gt;0,C537-CurrentMtgRatesDataTable8[[#This Row],[WA CC]],0)</f>
        <v>0</v>
      </c>
      <c r="K538" s="16">
        <f>IF(CurrentMtgRatesDataTable8[[#This Row],[Servicing Spread]]&lt;=0,K537,CurrentMtgRatesDataTable8[[#This Row],[Servicing Spread]])</f>
        <v>0.83946977676809009</v>
      </c>
      <c r="L538" s="16">
        <f>CurrentMtgRatesDataTable8[[#This Row],[Servicing Spread Non-Zero]]-K537</f>
        <v>0</v>
      </c>
      <c r="M538" s="16">
        <f>IF(I537&lt;&gt;0,CurrentMtgRatesDataTable8[[#This Row],[Rate]]-C537,M537)</f>
        <v>-1.9999999999999574E-2</v>
      </c>
    </row>
    <row r="539" spans="1:13">
      <c r="A539" s="12" t="s">
        <v>550</v>
      </c>
      <c r="B539" s="13">
        <v>3.2062850314999101</v>
      </c>
      <c r="C539" s="13">
        <v>4.0200000000000005</v>
      </c>
      <c r="D539" s="15">
        <f t="shared" si="48"/>
        <v>2</v>
      </c>
      <c r="E539" s="15">
        <f t="shared" si="49"/>
        <v>0.2</v>
      </c>
      <c r="F539" s="15">
        <f t="shared" si="50"/>
        <v>2</v>
      </c>
      <c r="G539" s="15">
        <f t="shared" si="51"/>
        <v>1.2841432485645041</v>
      </c>
      <c r="H539" s="15">
        <f t="shared" si="52"/>
        <v>0.4</v>
      </c>
      <c r="I539" s="15">
        <f t="shared" si="53"/>
        <v>0</v>
      </c>
      <c r="J539" s="15">
        <f>IF(CurrentMtgRatesDataTable8[[#This Row],[WA CC]]&lt;&gt;0,C538-CurrentMtgRatesDataTable8[[#This Row],[WA CC]],0)</f>
        <v>0</v>
      </c>
      <c r="K539" s="16">
        <f>IF(CurrentMtgRatesDataTable8[[#This Row],[Servicing Spread]]&lt;=0,K538,CurrentMtgRatesDataTable8[[#This Row],[Servicing Spread]])</f>
        <v>0.83946977676809009</v>
      </c>
      <c r="L539" s="16">
        <f>CurrentMtgRatesDataTable8[[#This Row],[Servicing Spread Non-Zero]]-K538</f>
        <v>0</v>
      </c>
      <c r="M539" s="16">
        <f>IF(I538&lt;&gt;0,CurrentMtgRatesDataTable8[[#This Row],[Rate]]-C538,M538)</f>
        <v>-1.9999999999999574E-2</v>
      </c>
    </row>
    <row r="540" spans="1:13">
      <c r="A540" s="12" t="s">
        <v>273</v>
      </c>
      <c r="B540" s="13">
        <v>3.1863361498629699</v>
      </c>
      <c r="C540" s="13">
        <v>4.0200000000000005</v>
      </c>
      <c r="D540" s="15">
        <f t="shared" si="48"/>
        <v>6</v>
      </c>
      <c r="E540" s="15">
        <f t="shared" si="49"/>
        <v>0.2</v>
      </c>
      <c r="F540" s="15">
        <f t="shared" si="50"/>
        <v>3</v>
      </c>
      <c r="G540" s="15">
        <f t="shared" si="51"/>
        <v>1.9214104785370982</v>
      </c>
      <c r="H540" s="15">
        <f t="shared" si="52"/>
        <v>0.60000000000000009</v>
      </c>
      <c r="I540" s="15">
        <f t="shared" si="53"/>
        <v>0</v>
      </c>
      <c r="J540" s="15">
        <f>IF(CurrentMtgRatesDataTable8[[#This Row],[WA CC]]&lt;&gt;0,C539-CurrentMtgRatesDataTable8[[#This Row],[WA CC]],0)</f>
        <v>0</v>
      </c>
      <c r="K540" s="16">
        <f>IF(CurrentMtgRatesDataTable8[[#This Row],[Servicing Spread]]&lt;=0,K539,CurrentMtgRatesDataTable8[[#This Row],[Servicing Spread]])</f>
        <v>0.83946977676809009</v>
      </c>
      <c r="L540" s="16">
        <f>CurrentMtgRatesDataTable8[[#This Row],[Servicing Spread Non-Zero]]-K539</f>
        <v>0</v>
      </c>
      <c r="M540" s="16">
        <f>IF(I539&lt;&gt;0,CurrentMtgRatesDataTable8[[#This Row],[Rate]]-C539,M539)</f>
        <v>-1.9999999999999574E-2</v>
      </c>
    </row>
    <row r="541" spans="1:13">
      <c r="A541" s="12" t="s">
        <v>128</v>
      </c>
      <c r="B541" s="13">
        <v>3.0965824543668101</v>
      </c>
      <c r="C541" s="13">
        <v>4.0200000000000005</v>
      </c>
      <c r="D541" s="15">
        <f t="shared" si="48"/>
        <v>7</v>
      </c>
      <c r="E541" s="15">
        <f t="shared" si="49"/>
        <v>0.2</v>
      </c>
      <c r="F541" s="15">
        <f t="shared" si="50"/>
        <v>4</v>
      </c>
      <c r="G541" s="15">
        <f t="shared" si="51"/>
        <v>2.5407269694104602</v>
      </c>
      <c r="H541" s="15">
        <f t="shared" si="52"/>
        <v>0.8</v>
      </c>
      <c r="I541" s="15">
        <f t="shared" si="53"/>
        <v>3.1759087117630749</v>
      </c>
      <c r="J541" s="15">
        <f>IF(CurrentMtgRatesDataTable8[[#This Row],[WA CC]]&lt;&gt;0,C540-CurrentMtgRatesDataTable8[[#This Row],[WA CC]],0)</f>
        <v>0.84409128823692559</v>
      </c>
      <c r="K541" s="16">
        <f>IF(CurrentMtgRatesDataTable8[[#This Row],[Servicing Spread]]&lt;=0,K540,CurrentMtgRatesDataTable8[[#This Row],[Servicing Spread]])</f>
        <v>0.84409128823692559</v>
      </c>
      <c r="L541" s="16">
        <f>CurrentMtgRatesDataTable8[[#This Row],[Servicing Spread Non-Zero]]-K540</f>
        <v>4.621511468835493E-3</v>
      </c>
      <c r="M541" s="16">
        <f>IF(I540&lt;&gt;0,CurrentMtgRatesDataTable8[[#This Row],[Rate]]-C540,M540)</f>
        <v>-1.9999999999999574E-2</v>
      </c>
    </row>
    <row r="542" spans="1:13">
      <c r="A542" s="12" t="s">
        <v>692</v>
      </c>
      <c r="B542" s="13">
        <v>3.12360003836893</v>
      </c>
      <c r="C542" s="13">
        <v>4.0149999999999997</v>
      </c>
      <c r="D542" s="15">
        <f t="shared" si="48"/>
        <v>1</v>
      </c>
      <c r="E542" s="15">
        <f t="shared" si="49"/>
        <v>0.2</v>
      </c>
      <c r="F542" s="15">
        <f t="shared" si="50"/>
        <v>1</v>
      </c>
      <c r="G542" s="15">
        <f t="shared" si="51"/>
        <v>0.62472000767378599</v>
      </c>
      <c r="H542" s="15">
        <f t="shared" si="52"/>
        <v>0.2</v>
      </c>
      <c r="I542" s="15">
        <f t="shared" si="53"/>
        <v>0</v>
      </c>
      <c r="J542" s="15">
        <f>IF(CurrentMtgRatesDataTable8[[#This Row],[WA CC]]&lt;&gt;0,C541-CurrentMtgRatesDataTable8[[#This Row],[WA CC]],0)</f>
        <v>0</v>
      </c>
      <c r="K542" s="16">
        <f>IF(CurrentMtgRatesDataTable8[[#This Row],[Servicing Spread]]&lt;=0,K541,CurrentMtgRatesDataTable8[[#This Row],[Servicing Spread]])</f>
        <v>0.84409128823692559</v>
      </c>
      <c r="L542" s="16">
        <f>CurrentMtgRatesDataTable8[[#This Row],[Servicing Spread Non-Zero]]-K541</f>
        <v>0</v>
      </c>
      <c r="M542" s="16">
        <f>IF(I541&lt;&gt;0,CurrentMtgRatesDataTable8[[#This Row],[Rate]]-C541,M541)</f>
        <v>-5.0000000000007816E-3</v>
      </c>
    </row>
    <row r="543" spans="1:13">
      <c r="A543" s="12" t="s">
        <v>551</v>
      </c>
      <c r="B543" s="13">
        <v>3.1327170492887499</v>
      </c>
      <c r="C543" s="13">
        <v>4.0149999999999997</v>
      </c>
      <c r="D543" s="15">
        <f t="shared" si="48"/>
        <v>2</v>
      </c>
      <c r="E543" s="15">
        <f t="shared" si="49"/>
        <v>0.2</v>
      </c>
      <c r="F543" s="15">
        <f t="shared" si="50"/>
        <v>2</v>
      </c>
      <c r="G543" s="15">
        <f t="shared" si="51"/>
        <v>1.251263417531536</v>
      </c>
      <c r="H543" s="15">
        <f t="shared" si="52"/>
        <v>0.4</v>
      </c>
      <c r="I543" s="15">
        <f t="shared" si="53"/>
        <v>0</v>
      </c>
      <c r="J543" s="15">
        <f>IF(CurrentMtgRatesDataTable8[[#This Row],[WA CC]]&lt;&gt;0,C542-CurrentMtgRatesDataTable8[[#This Row],[WA CC]],0)</f>
        <v>0</v>
      </c>
      <c r="K543" s="16">
        <f>IF(CurrentMtgRatesDataTable8[[#This Row],[Servicing Spread]]&lt;=0,K542,CurrentMtgRatesDataTable8[[#This Row],[Servicing Spread]])</f>
        <v>0.84409128823692559</v>
      </c>
      <c r="L543" s="16">
        <f>CurrentMtgRatesDataTable8[[#This Row],[Servicing Spread Non-Zero]]-K542</f>
        <v>0</v>
      </c>
      <c r="M543" s="16">
        <f>IF(I542&lt;&gt;0,CurrentMtgRatesDataTable8[[#This Row],[Rate]]-C542,M542)</f>
        <v>-5.0000000000007816E-3</v>
      </c>
    </row>
    <row r="544" spans="1:13">
      <c r="A544" s="12" t="s">
        <v>405</v>
      </c>
      <c r="B544" s="13">
        <v>3.2077358231055602</v>
      </c>
      <c r="C544" s="13">
        <v>4.0149999999999997</v>
      </c>
      <c r="D544" s="15">
        <f t="shared" si="48"/>
        <v>5</v>
      </c>
      <c r="E544" s="15">
        <f t="shared" si="49"/>
        <v>0.2</v>
      </c>
      <c r="F544" s="15">
        <f t="shared" si="50"/>
        <v>3</v>
      </c>
      <c r="G544" s="15">
        <f t="shared" si="51"/>
        <v>1.8928105821526482</v>
      </c>
      <c r="H544" s="15">
        <f t="shared" si="52"/>
        <v>0.60000000000000009</v>
      </c>
      <c r="I544" s="15">
        <f t="shared" si="53"/>
        <v>0</v>
      </c>
      <c r="J544" s="15">
        <f>IF(CurrentMtgRatesDataTable8[[#This Row],[WA CC]]&lt;&gt;0,C543-CurrentMtgRatesDataTable8[[#This Row],[WA CC]],0)</f>
        <v>0</v>
      </c>
      <c r="K544" s="16">
        <f>IF(CurrentMtgRatesDataTable8[[#This Row],[Servicing Spread]]&lt;=0,K543,CurrentMtgRatesDataTable8[[#This Row],[Servicing Spread]])</f>
        <v>0.84409128823692559</v>
      </c>
      <c r="L544" s="16">
        <f>CurrentMtgRatesDataTable8[[#This Row],[Servicing Spread Non-Zero]]-K543</f>
        <v>0</v>
      </c>
      <c r="M544" s="16">
        <f>IF(I543&lt;&gt;0,CurrentMtgRatesDataTable8[[#This Row],[Rate]]-C543,M543)</f>
        <v>-5.0000000000007816E-3</v>
      </c>
    </row>
    <row r="545" spans="1:13">
      <c r="A545" s="12" t="s">
        <v>274</v>
      </c>
      <c r="B545" s="13">
        <v>3.2594551208520199</v>
      </c>
      <c r="C545" s="13">
        <v>4.0149999999999997</v>
      </c>
      <c r="D545" s="15">
        <f t="shared" si="48"/>
        <v>6</v>
      </c>
      <c r="E545" s="15">
        <f t="shared" si="49"/>
        <v>0.2</v>
      </c>
      <c r="F545" s="15">
        <f t="shared" si="50"/>
        <v>4</v>
      </c>
      <c r="G545" s="15">
        <f t="shared" si="51"/>
        <v>2.5447016063230521</v>
      </c>
      <c r="H545" s="15">
        <f t="shared" si="52"/>
        <v>0.8</v>
      </c>
      <c r="I545" s="15">
        <f t="shared" si="53"/>
        <v>0</v>
      </c>
      <c r="J545" s="15">
        <f>IF(CurrentMtgRatesDataTable8[[#This Row],[WA CC]]&lt;&gt;0,C544-CurrentMtgRatesDataTable8[[#This Row],[WA CC]],0)</f>
        <v>0</v>
      </c>
      <c r="K545" s="16">
        <f>IF(CurrentMtgRatesDataTable8[[#This Row],[Servicing Spread]]&lt;=0,K544,CurrentMtgRatesDataTable8[[#This Row],[Servicing Spread]])</f>
        <v>0.84409128823692559</v>
      </c>
      <c r="L545" s="16">
        <f>CurrentMtgRatesDataTable8[[#This Row],[Servicing Spread Non-Zero]]-K544</f>
        <v>0</v>
      </c>
      <c r="M545" s="16">
        <f>IF(I544&lt;&gt;0,CurrentMtgRatesDataTable8[[#This Row],[Rate]]-C544,M544)</f>
        <v>-5.0000000000007816E-3</v>
      </c>
    </row>
    <row r="546" spans="1:13">
      <c r="A546" s="12" t="s">
        <v>129</v>
      </c>
      <c r="B546" s="13">
        <v>3.2635254657079802</v>
      </c>
      <c r="C546" s="13">
        <v>4.0149999999999997</v>
      </c>
      <c r="D546" s="15">
        <f t="shared" si="48"/>
        <v>7</v>
      </c>
      <c r="E546" s="15">
        <f t="shared" si="49"/>
        <v>0.2</v>
      </c>
      <c r="F546" s="15">
        <f t="shared" si="50"/>
        <v>5</v>
      </c>
      <c r="G546" s="15">
        <f t="shared" si="51"/>
        <v>3.197406699464648</v>
      </c>
      <c r="H546" s="15">
        <f t="shared" si="52"/>
        <v>1</v>
      </c>
      <c r="I546" s="15">
        <f t="shared" si="53"/>
        <v>3.197406699464648</v>
      </c>
      <c r="J546" s="15">
        <f>IF(CurrentMtgRatesDataTable8[[#This Row],[WA CC]]&lt;&gt;0,C545-CurrentMtgRatesDataTable8[[#This Row],[WA CC]],0)</f>
        <v>0.81759330053535173</v>
      </c>
      <c r="K546" s="16">
        <f>IF(CurrentMtgRatesDataTable8[[#This Row],[Servicing Spread]]&lt;=0,K545,CurrentMtgRatesDataTable8[[#This Row],[Servicing Spread]])</f>
        <v>0.81759330053535173</v>
      </c>
      <c r="L546" s="16">
        <f>CurrentMtgRatesDataTable8[[#This Row],[Servicing Spread Non-Zero]]-K545</f>
        <v>-2.6497987701573855E-2</v>
      </c>
      <c r="M546" s="16">
        <f>IF(I545&lt;&gt;0,CurrentMtgRatesDataTable8[[#This Row],[Rate]]-C545,M545)</f>
        <v>-5.0000000000007816E-3</v>
      </c>
    </row>
    <row r="547" spans="1:13">
      <c r="A547" s="12" t="s">
        <v>693</v>
      </c>
      <c r="B547" s="13">
        <v>3.2377628105001701</v>
      </c>
      <c r="C547" s="13">
        <v>4.1000000000000005</v>
      </c>
      <c r="D547" s="15">
        <f t="shared" si="48"/>
        <v>1</v>
      </c>
      <c r="E547" s="15">
        <f t="shared" si="49"/>
        <v>0.2</v>
      </c>
      <c r="F547" s="15">
        <f t="shared" si="50"/>
        <v>1</v>
      </c>
      <c r="G547" s="15">
        <f t="shared" si="51"/>
        <v>0.64755256210003409</v>
      </c>
      <c r="H547" s="15">
        <f t="shared" si="52"/>
        <v>0.2</v>
      </c>
      <c r="I547" s="15">
        <f t="shared" si="53"/>
        <v>0</v>
      </c>
      <c r="J547" s="15">
        <f>IF(CurrentMtgRatesDataTable8[[#This Row],[WA CC]]&lt;&gt;0,C546-CurrentMtgRatesDataTable8[[#This Row],[WA CC]],0)</f>
        <v>0</v>
      </c>
      <c r="K547" s="16">
        <f>IF(CurrentMtgRatesDataTable8[[#This Row],[Servicing Spread]]&lt;=0,K546,CurrentMtgRatesDataTable8[[#This Row],[Servicing Spread]])</f>
        <v>0.81759330053535173</v>
      </c>
      <c r="L547" s="16">
        <f>CurrentMtgRatesDataTable8[[#This Row],[Servicing Spread Non-Zero]]-K546</f>
        <v>0</v>
      </c>
      <c r="M547" s="16">
        <f>IF(I546&lt;&gt;0,CurrentMtgRatesDataTable8[[#This Row],[Rate]]-C546,M546)</f>
        <v>8.5000000000000853E-2</v>
      </c>
    </row>
    <row r="548" spans="1:13">
      <c r="A548" s="12" t="s">
        <v>552</v>
      </c>
      <c r="B548" s="13">
        <v>3.24953377621733</v>
      </c>
      <c r="C548" s="13">
        <v>4.1000000000000005</v>
      </c>
      <c r="D548" s="15">
        <f t="shared" si="48"/>
        <v>2</v>
      </c>
      <c r="E548" s="15">
        <f t="shared" si="49"/>
        <v>0.2</v>
      </c>
      <c r="F548" s="15">
        <f t="shared" si="50"/>
        <v>2</v>
      </c>
      <c r="G548" s="15">
        <f t="shared" si="51"/>
        <v>1.2974593173435003</v>
      </c>
      <c r="H548" s="15">
        <f t="shared" si="52"/>
        <v>0.4</v>
      </c>
      <c r="I548" s="15">
        <f t="shared" si="53"/>
        <v>0</v>
      </c>
      <c r="J548" s="15">
        <f>IF(CurrentMtgRatesDataTable8[[#This Row],[WA CC]]&lt;&gt;0,C547-CurrentMtgRatesDataTable8[[#This Row],[WA CC]],0)</f>
        <v>0</v>
      </c>
      <c r="K548" s="16">
        <f>IF(CurrentMtgRatesDataTable8[[#This Row],[Servicing Spread]]&lt;=0,K547,CurrentMtgRatesDataTable8[[#This Row],[Servicing Spread]])</f>
        <v>0.81759330053535173</v>
      </c>
      <c r="L548" s="16">
        <f>CurrentMtgRatesDataTable8[[#This Row],[Servicing Spread Non-Zero]]-K547</f>
        <v>0</v>
      </c>
      <c r="M548" s="16">
        <f>IF(I547&lt;&gt;0,CurrentMtgRatesDataTable8[[#This Row],[Rate]]-C547,M547)</f>
        <v>8.5000000000000853E-2</v>
      </c>
    </row>
    <row r="549" spans="1:13">
      <c r="A549" s="12" t="s">
        <v>406</v>
      </c>
      <c r="B549" s="13">
        <v>3.2647835350343399</v>
      </c>
      <c r="C549" s="13">
        <v>4.1000000000000005</v>
      </c>
      <c r="D549" s="15">
        <f t="shared" si="48"/>
        <v>5</v>
      </c>
      <c r="E549" s="15">
        <f t="shared" si="49"/>
        <v>0.2</v>
      </c>
      <c r="F549" s="15">
        <f t="shared" si="50"/>
        <v>3</v>
      </c>
      <c r="G549" s="15">
        <f t="shared" si="51"/>
        <v>1.9504160243503683</v>
      </c>
      <c r="H549" s="15">
        <f t="shared" si="52"/>
        <v>0.60000000000000009</v>
      </c>
      <c r="I549" s="15">
        <f t="shared" si="53"/>
        <v>0</v>
      </c>
      <c r="J549" s="15">
        <f>IF(CurrentMtgRatesDataTable8[[#This Row],[WA CC]]&lt;&gt;0,C548-CurrentMtgRatesDataTable8[[#This Row],[WA CC]],0)</f>
        <v>0</v>
      </c>
      <c r="K549" s="16">
        <f>IF(CurrentMtgRatesDataTable8[[#This Row],[Servicing Spread]]&lt;=0,K548,CurrentMtgRatesDataTable8[[#This Row],[Servicing Spread]])</f>
        <v>0.81759330053535173</v>
      </c>
      <c r="L549" s="16">
        <f>CurrentMtgRatesDataTable8[[#This Row],[Servicing Spread Non-Zero]]-K548</f>
        <v>0</v>
      </c>
      <c r="M549" s="16">
        <f>IF(I548&lt;&gt;0,CurrentMtgRatesDataTable8[[#This Row],[Rate]]-C548,M548)</f>
        <v>8.5000000000000853E-2</v>
      </c>
    </row>
    <row r="550" spans="1:13">
      <c r="A550" s="12" t="s">
        <v>275</v>
      </c>
      <c r="B550" s="13">
        <v>3.2863723435874199</v>
      </c>
      <c r="C550" s="13">
        <v>4.1000000000000005</v>
      </c>
      <c r="D550" s="15">
        <f t="shared" si="48"/>
        <v>6</v>
      </c>
      <c r="E550" s="15">
        <f t="shared" si="49"/>
        <v>0.2</v>
      </c>
      <c r="F550" s="15">
        <f t="shared" si="50"/>
        <v>4</v>
      </c>
      <c r="G550" s="15">
        <f t="shared" si="51"/>
        <v>2.6076904930678522</v>
      </c>
      <c r="H550" s="15">
        <f t="shared" si="52"/>
        <v>0.8</v>
      </c>
      <c r="I550" s="15">
        <f t="shared" si="53"/>
        <v>0</v>
      </c>
      <c r="J550" s="15">
        <f>IF(CurrentMtgRatesDataTable8[[#This Row],[WA CC]]&lt;&gt;0,C549-CurrentMtgRatesDataTable8[[#This Row],[WA CC]],0)</f>
        <v>0</v>
      </c>
      <c r="K550" s="16">
        <f>IF(CurrentMtgRatesDataTable8[[#This Row],[Servicing Spread]]&lt;=0,K549,CurrentMtgRatesDataTable8[[#This Row],[Servicing Spread]])</f>
        <v>0.81759330053535173</v>
      </c>
      <c r="L550" s="16">
        <f>CurrentMtgRatesDataTable8[[#This Row],[Servicing Spread Non-Zero]]-K549</f>
        <v>0</v>
      </c>
      <c r="M550" s="16">
        <f>IF(I549&lt;&gt;0,CurrentMtgRatesDataTable8[[#This Row],[Rate]]-C549,M549)</f>
        <v>8.5000000000000853E-2</v>
      </c>
    </row>
    <row r="551" spans="1:13">
      <c r="A551" s="12" t="s">
        <v>130</v>
      </c>
      <c r="B551" s="13">
        <v>3.2835967922496798</v>
      </c>
      <c r="C551" s="13">
        <v>4.1000000000000005</v>
      </c>
      <c r="D551" s="15">
        <f t="shared" si="48"/>
        <v>7</v>
      </c>
      <c r="E551" s="15">
        <f t="shared" si="49"/>
        <v>0.2</v>
      </c>
      <c r="F551" s="15">
        <f t="shared" si="50"/>
        <v>5</v>
      </c>
      <c r="G551" s="15">
        <f t="shared" si="51"/>
        <v>3.2644098515177884</v>
      </c>
      <c r="H551" s="15">
        <f t="shared" si="52"/>
        <v>1</v>
      </c>
      <c r="I551" s="15">
        <f t="shared" si="53"/>
        <v>3.2644098515177884</v>
      </c>
      <c r="J551" s="15">
        <f>IF(CurrentMtgRatesDataTable8[[#This Row],[WA CC]]&lt;&gt;0,C550-CurrentMtgRatesDataTable8[[#This Row],[WA CC]],0)</f>
        <v>0.83559014848221214</v>
      </c>
      <c r="K551" s="16">
        <f>IF(CurrentMtgRatesDataTable8[[#This Row],[Servicing Spread]]&lt;=0,K550,CurrentMtgRatesDataTable8[[#This Row],[Servicing Spread]])</f>
        <v>0.83559014848221214</v>
      </c>
      <c r="L551" s="16">
        <f>CurrentMtgRatesDataTable8[[#This Row],[Servicing Spread Non-Zero]]-K550</f>
        <v>1.7996847946860406E-2</v>
      </c>
      <c r="M551" s="16">
        <f>IF(I550&lt;&gt;0,CurrentMtgRatesDataTable8[[#This Row],[Rate]]-C550,M550)</f>
        <v>8.5000000000000853E-2</v>
      </c>
    </row>
    <row r="552" spans="1:13">
      <c r="A552" s="12" t="s">
        <v>694</v>
      </c>
      <c r="B552" s="13">
        <v>3.2368252535266899</v>
      </c>
      <c r="C552" s="13">
        <v>4.07</v>
      </c>
      <c r="D552" s="15">
        <f t="shared" si="48"/>
        <v>1</v>
      </c>
      <c r="E552" s="15">
        <f t="shared" si="49"/>
        <v>0.2</v>
      </c>
      <c r="F552" s="15">
        <f t="shared" si="50"/>
        <v>1</v>
      </c>
      <c r="G552" s="15">
        <f t="shared" si="51"/>
        <v>0.64736505070533801</v>
      </c>
      <c r="H552" s="15">
        <f t="shared" si="52"/>
        <v>0.2</v>
      </c>
      <c r="I552" s="15">
        <f t="shared" si="53"/>
        <v>0</v>
      </c>
      <c r="J552" s="15">
        <f>IF(CurrentMtgRatesDataTable8[[#This Row],[WA CC]]&lt;&gt;0,C551-CurrentMtgRatesDataTable8[[#This Row],[WA CC]],0)</f>
        <v>0</v>
      </c>
      <c r="K552" s="16">
        <f>IF(CurrentMtgRatesDataTable8[[#This Row],[Servicing Spread]]&lt;=0,K551,CurrentMtgRatesDataTable8[[#This Row],[Servicing Spread]])</f>
        <v>0.83559014848221214</v>
      </c>
      <c r="L552" s="16">
        <f>CurrentMtgRatesDataTable8[[#This Row],[Servicing Spread Non-Zero]]-K551</f>
        <v>0</v>
      </c>
      <c r="M552" s="16">
        <f>IF(I551&lt;&gt;0,CurrentMtgRatesDataTable8[[#This Row],[Rate]]-C551,M551)</f>
        <v>-3.0000000000000249E-2</v>
      </c>
    </row>
    <row r="553" spans="1:13">
      <c r="A553" s="12" t="s">
        <v>553</v>
      </c>
      <c r="B553" s="13">
        <v>3.2532056158969298</v>
      </c>
      <c r="C553" s="13">
        <v>4.07</v>
      </c>
      <c r="D553" s="15">
        <f t="shared" si="48"/>
        <v>2</v>
      </c>
      <c r="E553" s="15">
        <f t="shared" si="49"/>
        <v>0.2</v>
      </c>
      <c r="F553" s="15">
        <f t="shared" si="50"/>
        <v>2</v>
      </c>
      <c r="G553" s="15">
        <f t="shared" si="51"/>
        <v>1.2980061738847239</v>
      </c>
      <c r="H553" s="15">
        <f t="shared" si="52"/>
        <v>0.4</v>
      </c>
      <c r="I553" s="15">
        <f t="shared" si="53"/>
        <v>0</v>
      </c>
      <c r="J553" s="15">
        <f>IF(CurrentMtgRatesDataTable8[[#This Row],[WA CC]]&lt;&gt;0,C552-CurrentMtgRatesDataTable8[[#This Row],[WA CC]],0)</f>
        <v>0</v>
      </c>
      <c r="K553" s="16">
        <f>IF(CurrentMtgRatesDataTable8[[#This Row],[Servicing Spread]]&lt;=0,K552,CurrentMtgRatesDataTable8[[#This Row],[Servicing Spread]])</f>
        <v>0.83559014848221214</v>
      </c>
      <c r="L553" s="16">
        <f>CurrentMtgRatesDataTable8[[#This Row],[Servicing Spread Non-Zero]]-K552</f>
        <v>0</v>
      </c>
      <c r="M553" s="16">
        <f>IF(I552&lt;&gt;0,CurrentMtgRatesDataTable8[[#This Row],[Rate]]-C552,M552)</f>
        <v>-3.0000000000000249E-2</v>
      </c>
    </row>
    <row r="554" spans="1:13">
      <c r="A554" s="12" t="s">
        <v>407</v>
      </c>
      <c r="B554" s="13">
        <v>3.2401980086341502</v>
      </c>
      <c r="C554" s="13">
        <v>4.07</v>
      </c>
      <c r="D554" s="15">
        <f t="shared" si="48"/>
        <v>5</v>
      </c>
      <c r="E554" s="15">
        <f t="shared" si="49"/>
        <v>0.2</v>
      </c>
      <c r="F554" s="15">
        <f t="shared" si="50"/>
        <v>3</v>
      </c>
      <c r="G554" s="15">
        <f t="shared" si="51"/>
        <v>1.9460457756115539</v>
      </c>
      <c r="H554" s="15">
        <f t="shared" si="52"/>
        <v>0.60000000000000009</v>
      </c>
      <c r="I554" s="15">
        <f t="shared" si="53"/>
        <v>0</v>
      </c>
      <c r="J554" s="15">
        <f>IF(CurrentMtgRatesDataTable8[[#This Row],[WA CC]]&lt;&gt;0,C553-CurrentMtgRatesDataTable8[[#This Row],[WA CC]],0)</f>
        <v>0</v>
      </c>
      <c r="K554" s="16">
        <f>IF(CurrentMtgRatesDataTable8[[#This Row],[Servicing Spread]]&lt;=0,K553,CurrentMtgRatesDataTable8[[#This Row],[Servicing Spread]])</f>
        <v>0.83559014848221214</v>
      </c>
      <c r="L554" s="16">
        <f>CurrentMtgRatesDataTable8[[#This Row],[Servicing Spread Non-Zero]]-K553</f>
        <v>0</v>
      </c>
      <c r="M554" s="16">
        <f>IF(I553&lt;&gt;0,CurrentMtgRatesDataTable8[[#This Row],[Rate]]-C553,M553)</f>
        <v>-3.0000000000000249E-2</v>
      </c>
    </row>
    <row r="555" spans="1:13">
      <c r="A555" s="12" t="s">
        <v>276</v>
      </c>
      <c r="B555" s="13">
        <v>3.2955237008358602</v>
      </c>
      <c r="C555" s="13">
        <v>4.07</v>
      </c>
      <c r="D555" s="15">
        <f t="shared" si="48"/>
        <v>6</v>
      </c>
      <c r="E555" s="15">
        <f t="shared" si="49"/>
        <v>0.2</v>
      </c>
      <c r="F555" s="15">
        <f t="shared" si="50"/>
        <v>4</v>
      </c>
      <c r="G555" s="15">
        <f t="shared" si="51"/>
        <v>2.605150515778726</v>
      </c>
      <c r="H555" s="15">
        <f t="shared" si="52"/>
        <v>0.8</v>
      </c>
      <c r="I555" s="15">
        <f t="shared" si="53"/>
        <v>0</v>
      </c>
      <c r="J555" s="15">
        <f>IF(CurrentMtgRatesDataTable8[[#This Row],[WA CC]]&lt;&gt;0,C554-CurrentMtgRatesDataTable8[[#This Row],[WA CC]],0)</f>
        <v>0</v>
      </c>
      <c r="K555" s="16">
        <f>IF(CurrentMtgRatesDataTable8[[#This Row],[Servicing Spread]]&lt;=0,K554,CurrentMtgRatesDataTable8[[#This Row],[Servicing Spread]])</f>
        <v>0.83559014848221214</v>
      </c>
      <c r="L555" s="16">
        <f>CurrentMtgRatesDataTable8[[#This Row],[Servicing Spread Non-Zero]]-K554</f>
        <v>0</v>
      </c>
      <c r="M555" s="16">
        <f>IF(I554&lt;&gt;0,CurrentMtgRatesDataTable8[[#This Row],[Rate]]-C554,M554)</f>
        <v>-3.0000000000000249E-2</v>
      </c>
    </row>
    <row r="556" spans="1:13">
      <c r="A556" s="12" t="s">
        <v>131</v>
      </c>
      <c r="B556" s="13">
        <v>3.2554507349207298</v>
      </c>
      <c r="C556" s="13">
        <v>4.07</v>
      </c>
      <c r="D556" s="15">
        <f t="shared" si="48"/>
        <v>7</v>
      </c>
      <c r="E556" s="15">
        <f t="shared" si="49"/>
        <v>0.2</v>
      </c>
      <c r="F556" s="15">
        <f t="shared" si="50"/>
        <v>5</v>
      </c>
      <c r="G556" s="15">
        <f t="shared" si="51"/>
        <v>3.2562406627628722</v>
      </c>
      <c r="H556" s="15">
        <f t="shared" si="52"/>
        <v>1</v>
      </c>
      <c r="I556" s="15">
        <f t="shared" si="53"/>
        <v>3.2562406627628722</v>
      </c>
      <c r="J556" s="15">
        <f>IF(CurrentMtgRatesDataTable8[[#This Row],[WA CC]]&lt;&gt;0,C555-CurrentMtgRatesDataTable8[[#This Row],[WA CC]],0)</f>
        <v>0.81375933723712812</v>
      </c>
      <c r="K556" s="16">
        <f>IF(CurrentMtgRatesDataTable8[[#This Row],[Servicing Spread]]&lt;=0,K555,CurrentMtgRatesDataTable8[[#This Row],[Servicing Spread]])</f>
        <v>0.81375933723712812</v>
      </c>
      <c r="L556" s="16">
        <f>CurrentMtgRatesDataTable8[[#This Row],[Servicing Spread Non-Zero]]-K555</f>
        <v>-2.1830811245084014E-2</v>
      </c>
      <c r="M556" s="16">
        <f>IF(I555&lt;&gt;0,CurrentMtgRatesDataTable8[[#This Row],[Rate]]-C555,M555)</f>
        <v>-3.0000000000000249E-2</v>
      </c>
    </row>
    <row r="557" spans="1:13">
      <c r="A557" s="12" t="s">
        <v>695</v>
      </c>
      <c r="B557" s="13">
        <v>3.2406996477189098</v>
      </c>
      <c r="C557" s="13">
        <v>4.0149999999999997</v>
      </c>
      <c r="D557" s="15">
        <f t="shared" si="48"/>
        <v>1</v>
      </c>
      <c r="E557" s="15">
        <f t="shared" si="49"/>
        <v>0.2</v>
      </c>
      <c r="F557" s="15">
        <f t="shared" si="50"/>
        <v>1</v>
      </c>
      <c r="G557" s="15">
        <f t="shared" si="51"/>
        <v>0.64813992954378197</v>
      </c>
      <c r="H557" s="15">
        <f t="shared" si="52"/>
        <v>0.2</v>
      </c>
      <c r="I557" s="15">
        <f t="shared" si="53"/>
        <v>0</v>
      </c>
      <c r="J557" s="15">
        <f>IF(CurrentMtgRatesDataTable8[[#This Row],[WA CC]]&lt;&gt;0,C556-CurrentMtgRatesDataTable8[[#This Row],[WA CC]],0)</f>
        <v>0</v>
      </c>
      <c r="K557" s="16">
        <f>IF(CurrentMtgRatesDataTable8[[#This Row],[Servicing Spread]]&lt;=0,K556,CurrentMtgRatesDataTable8[[#This Row],[Servicing Spread]])</f>
        <v>0.81375933723712812</v>
      </c>
      <c r="L557" s="16">
        <f>CurrentMtgRatesDataTable8[[#This Row],[Servicing Spread Non-Zero]]-K556</f>
        <v>0</v>
      </c>
      <c r="M557" s="16">
        <f>IF(I556&lt;&gt;0,CurrentMtgRatesDataTable8[[#This Row],[Rate]]-C556,M556)</f>
        <v>-5.5000000000000604E-2</v>
      </c>
    </row>
    <row r="558" spans="1:13">
      <c r="A558" s="12" t="s">
        <v>554</v>
      </c>
      <c r="B558" s="13">
        <v>3.2387092672418598</v>
      </c>
      <c r="C558" s="13">
        <v>4.0149999999999997</v>
      </c>
      <c r="D558" s="15">
        <f t="shared" si="48"/>
        <v>2</v>
      </c>
      <c r="E558" s="15">
        <f t="shared" si="49"/>
        <v>0.2</v>
      </c>
      <c r="F558" s="15">
        <f t="shared" si="50"/>
        <v>2</v>
      </c>
      <c r="G558" s="15">
        <f t="shared" si="51"/>
        <v>1.2958817829921538</v>
      </c>
      <c r="H558" s="15">
        <f t="shared" si="52"/>
        <v>0.4</v>
      </c>
      <c r="I558" s="15">
        <f t="shared" si="53"/>
        <v>0</v>
      </c>
      <c r="J558" s="15">
        <f>IF(CurrentMtgRatesDataTable8[[#This Row],[WA CC]]&lt;&gt;0,C557-CurrentMtgRatesDataTable8[[#This Row],[WA CC]],0)</f>
        <v>0</v>
      </c>
      <c r="K558" s="16">
        <f>IF(CurrentMtgRatesDataTable8[[#This Row],[Servicing Spread]]&lt;=0,K557,CurrentMtgRatesDataTable8[[#This Row],[Servicing Spread]])</f>
        <v>0.81375933723712812</v>
      </c>
      <c r="L558" s="16">
        <f>CurrentMtgRatesDataTable8[[#This Row],[Servicing Spread Non-Zero]]-K557</f>
        <v>0</v>
      </c>
      <c r="M558" s="16">
        <f>IF(I557&lt;&gt;0,CurrentMtgRatesDataTable8[[#This Row],[Rate]]-C557,M557)</f>
        <v>-5.5000000000000604E-2</v>
      </c>
    </row>
    <row r="559" spans="1:13">
      <c r="A559" s="12" t="s">
        <v>408</v>
      </c>
      <c r="B559" s="13">
        <v>3.2420059350164898</v>
      </c>
      <c r="C559" s="13">
        <v>4.0149999999999997</v>
      </c>
      <c r="D559" s="15">
        <f t="shared" si="48"/>
        <v>5</v>
      </c>
      <c r="E559" s="15">
        <f t="shared" si="49"/>
        <v>0.2</v>
      </c>
      <c r="F559" s="15">
        <f t="shared" si="50"/>
        <v>3</v>
      </c>
      <c r="G559" s="15">
        <f t="shared" si="51"/>
        <v>1.9442829699954518</v>
      </c>
      <c r="H559" s="15">
        <f t="shared" si="52"/>
        <v>0.60000000000000009</v>
      </c>
      <c r="I559" s="15">
        <f t="shared" si="53"/>
        <v>0</v>
      </c>
      <c r="J559" s="15">
        <f>IF(CurrentMtgRatesDataTable8[[#This Row],[WA CC]]&lt;&gt;0,C558-CurrentMtgRatesDataTable8[[#This Row],[WA CC]],0)</f>
        <v>0</v>
      </c>
      <c r="K559" s="16">
        <f>IF(CurrentMtgRatesDataTable8[[#This Row],[Servicing Spread]]&lt;=0,K558,CurrentMtgRatesDataTable8[[#This Row],[Servicing Spread]])</f>
        <v>0.81375933723712812</v>
      </c>
      <c r="L559" s="16">
        <f>CurrentMtgRatesDataTable8[[#This Row],[Servicing Spread Non-Zero]]-K558</f>
        <v>0</v>
      </c>
      <c r="M559" s="16">
        <f>IF(I558&lt;&gt;0,CurrentMtgRatesDataTable8[[#This Row],[Rate]]-C558,M558)</f>
        <v>-5.5000000000000604E-2</v>
      </c>
    </row>
    <row r="560" spans="1:13">
      <c r="A560" s="12" t="s">
        <v>277</v>
      </c>
      <c r="B560" s="13">
        <v>3.2180523990892298</v>
      </c>
      <c r="C560" s="13">
        <v>4.0149999999999997</v>
      </c>
      <c r="D560" s="15">
        <f t="shared" si="48"/>
        <v>6</v>
      </c>
      <c r="E560" s="15">
        <f t="shared" si="49"/>
        <v>0.2</v>
      </c>
      <c r="F560" s="15">
        <f t="shared" si="50"/>
        <v>4</v>
      </c>
      <c r="G560" s="15">
        <f t="shared" si="51"/>
        <v>2.5878934498132979</v>
      </c>
      <c r="H560" s="15">
        <f t="shared" si="52"/>
        <v>0.8</v>
      </c>
      <c r="I560" s="15">
        <f t="shared" si="53"/>
        <v>0</v>
      </c>
      <c r="J560" s="15">
        <f>IF(CurrentMtgRatesDataTable8[[#This Row],[WA CC]]&lt;&gt;0,C559-CurrentMtgRatesDataTable8[[#This Row],[WA CC]],0)</f>
        <v>0</v>
      </c>
      <c r="K560" s="16">
        <f>IF(CurrentMtgRatesDataTable8[[#This Row],[Servicing Spread]]&lt;=0,K559,CurrentMtgRatesDataTable8[[#This Row],[Servicing Spread]])</f>
        <v>0.81375933723712812</v>
      </c>
      <c r="L560" s="16">
        <f>CurrentMtgRatesDataTable8[[#This Row],[Servicing Spread Non-Zero]]-K559</f>
        <v>0</v>
      </c>
      <c r="M560" s="16">
        <f>IF(I559&lt;&gt;0,CurrentMtgRatesDataTable8[[#This Row],[Rate]]-C559,M559)</f>
        <v>-5.5000000000000604E-2</v>
      </c>
    </row>
    <row r="561" spans="1:13">
      <c r="A561" s="12" t="s">
        <v>132</v>
      </c>
      <c r="B561" s="13">
        <v>3.1948973800231402</v>
      </c>
      <c r="C561" s="13">
        <v>4.0149999999999997</v>
      </c>
      <c r="D561" s="15">
        <f t="shared" si="48"/>
        <v>7</v>
      </c>
      <c r="E561" s="15">
        <f t="shared" si="49"/>
        <v>0.2</v>
      </c>
      <c r="F561" s="15">
        <f t="shared" si="50"/>
        <v>5</v>
      </c>
      <c r="G561" s="15">
        <f t="shared" si="51"/>
        <v>3.2268729258179261</v>
      </c>
      <c r="H561" s="15">
        <f t="shared" si="52"/>
        <v>1</v>
      </c>
      <c r="I561" s="15">
        <f t="shared" si="53"/>
        <v>3.2268729258179261</v>
      </c>
      <c r="J561" s="15">
        <f>IF(CurrentMtgRatesDataTable8[[#This Row],[WA CC]]&lt;&gt;0,C560-CurrentMtgRatesDataTable8[[#This Row],[WA CC]],0)</f>
        <v>0.78812707418207362</v>
      </c>
      <c r="K561" s="16">
        <f>IF(CurrentMtgRatesDataTable8[[#This Row],[Servicing Spread]]&lt;=0,K560,CurrentMtgRatesDataTable8[[#This Row],[Servicing Spread]])</f>
        <v>0.78812707418207362</v>
      </c>
      <c r="L561" s="16">
        <f>CurrentMtgRatesDataTable8[[#This Row],[Servicing Spread Non-Zero]]-K560</f>
        <v>-2.5632263055054505E-2</v>
      </c>
      <c r="M561" s="16">
        <f>IF(I560&lt;&gt;0,CurrentMtgRatesDataTable8[[#This Row],[Rate]]-C560,M560)</f>
        <v>-5.5000000000000604E-2</v>
      </c>
    </row>
    <row r="562" spans="1:13">
      <c r="A562" s="12" t="s">
        <v>696</v>
      </c>
      <c r="B562" s="13">
        <v>3.1705026484021301</v>
      </c>
      <c r="C562" s="13">
        <v>3.9950000000000001</v>
      </c>
      <c r="D562" s="15">
        <f t="shared" si="48"/>
        <v>1</v>
      </c>
      <c r="E562" s="15">
        <f t="shared" si="49"/>
        <v>0.2</v>
      </c>
      <c r="F562" s="15">
        <f t="shared" si="50"/>
        <v>1</v>
      </c>
      <c r="G562" s="15">
        <f t="shared" si="51"/>
        <v>0.63410052968042607</v>
      </c>
      <c r="H562" s="15">
        <f t="shared" si="52"/>
        <v>0.2</v>
      </c>
      <c r="I562" s="15">
        <f t="shared" si="53"/>
        <v>0</v>
      </c>
      <c r="J562" s="15">
        <f>IF(CurrentMtgRatesDataTable8[[#This Row],[WA CC]]&lt;&gt;0,C561-CurrentMtgRatesDataTable8[[#This Row],[WA CC]],0)</f>
        <v>0</v>
      </c>
      <c r="K562" s="16">
        <f>IF(CurrentMtgRatesDataTable8[[#This Row],[Servicing Spread]]&lt;=0,K561,CurrentMtgRatesDataTable8[[#This Row],[Servicing Spread]])</f>
        <v>0.78812707418207362</v>
      </c>
      <c r="L562" s="16">
        <f>CurrentMtgRatesDataTable8[[#This Row],[Servicing Spread Non-Zero]]-K561</f>
        <v>0</v>
      </c>
      <c r="M562" s="16">
        <f>IF(I561&lt;&gt;0,CurrentMtgRatesDataTable8[[#This Row],[Rate]]-C561,M561)</f>
        <v>-1.9999999999999574E-2</v>
      </c>
    </row>
    <row r="563" spans="1:13">
      <c r="A563" s="12" t="s">
        <v>555</v>
      </c>
      <c r="B563" s="13">
        <v>3.1723768258530498</v>
      </c>
      <c r="C563" s="13">
        <v>3.9950000000000001</v>
      </c>
      <c r="D563" s="15">
        <f t="shared" si="48"/>
        <v>2</v>
      </c>
      <c r="E563" s="15">
        <f t="shared" si="49"/>
        <v>0.2</v>
      </c>
      <c r="F563" s="15">
        <f t="shared" si="50"/>
        <v>2</v>
      </c>
      <c r="G563" s="15">
        <f t="shared" si="51"/>
        <v>1.2685758948510362</v>
      </c>
      <c r="H563" s="15">
        <f t="shared" si="52"/>
        <v>0.4</v>
      </c>
      <c r="I563" s="15">
        <f t="shared" si="53"/>
        <v>0</v>
      </c>
      <c r="J563" s="15">
        <f>IF(CurrentMtgRatesDataTable8[[#This Row],[WA CC]]&lt;&gt;0,C562-CurrentMtgRatesDataTable8[[#This Row],[WA CC]],0)</f>
        <v>0</v>
      </c>
      <c r="K563" s="16">
        <f>IF(CurrentMtgRatesDataTable8[[#This Row],[Servicing Spread]]&lt;=0,K562,CurrentMtgRatesDataTable8[[#This Row],[Servicing Spread]])</f>
        <v>0.78812707418207362</v>
      </c>
      <c r="L563" s="16">
        <f>CurrentMtgRatesDataTable8[[#This Row],[Servicing Spread Non-Zero]]-K562</f>
        <v>0</v>
      </c>
      <c r="M563" s="16">
        <f>IF(I562&lt;&gt;0,CurrentMtgRatesDataTable8[[#This Row],[Rate]]-C562,M562)</f>
        <v>-1.9999999999999574E-2</v>
      </c>
    </row>
    <row r="564" spans="1:13">
      <c r="A564" s="12" t="s">
        <v>409</v>
      </c>
      <c r="B564" s="13">
        <v>3.16005861973392</v>
      </c>
      <c r="C564" s="13">
        <v>3.9950000000000001</v>
      </c>
      <c r="D564" s="15">
        <f t="shared" si="48"/>
        <v>5</v>
      </c>
      <c r="E564" s="15">
        <f t="shared" si="49"/>
        <v>0.2</v>
      </c>
      <c r="F564" s="15">
        <f t="shared" si="50"/>
        <v>3</v>
      </c>
      <c r="G564" s="15">
        <f t="shared" si="51"/>
        <v>1.9005876187978203</v>
      </c>
      <c r="H564" s="15">
        <f t="shared" si="52"/>
        <v>0.60000000000000009</v>
      </c>
      <c r="I564" s="15">
        <f t="shared" si="53"/>
        <v>0</v>
      </c>
      <c r="J564" s="15">
        <f>IF(CurrentMtgRatesDataTable8[[#This Row],[WA CC]]&lt;&gt;0,C563-CurrentMtgRatesDataTable8[[#This Row],[WA CC]],0)</f>
        <v>0</v>
      </c>
      <c r="K564" s="16">
        <f>IF(CurrentMtgRatesDataTable8[[#This Row],[Servicing Spread]]&lt;=0,K563,CurrentMtgRatesDataTable8[[#This Row],[Servicing Spread]])</f>
        <v>0.78812707418207362</v>
      </c>
      <c r="L564" s="16">
        <f>CurrentMtgRatesDataTable8[[#This Row],[Servicing Spread Non-Zero]]-K563</f>
        <v>0</v>
      </c>
      <c r="M564" s="16">
        <f>IF(I563&lt;&gt;0,CurrentMtgRatesDataTable8[[#This Row],[Rate]]-C563,M563)</f>
        <v>-1.9999999999999574E-2</v>
      </c>
    </row>
    <row r="565" spans="1:13">
      <c r="A565" s="12" t="s">
        <v>278</v>
      </c>
      <c r="B565" s="13">
        <v>3.2107808202984001</v>
      </c>
      <c r="C565" s="13">
        <v>3.9950000000000001</v>
      </c>
      <c r="D565" s="15">
        <f t="shared" si="48"/>
        <v>6</v>
      </c>
      <c r="E565" s="15">
        <f t="shared" si="49"/>
        <v>0.2</v>
      </c>
      <c r="F565" s="15">
        <f t="shared" si="50"/>
        <v>4</v>
      </c>
      <c r="G565" s="15">
        <f t="shared" si="51"/>
        <v>2.5427437828575004</v>
      </c>
      <c r="H565" s="15">
        <f t="shared" si="52"/>
        <v>0.8</v>
      </c>
      <c r="I565" s="15">
        <f t="shared" si="53"/>
        <v>0</v>
      </c>
      <c r="J565" s="15">
        <f>IF(CurrentMtgRatesDataTable8[[#This Row],[WA CC]]&lt;&gt;0,C564-CurrentMtgRatesDataTable8[[#This Row],[WA CC]],0)</f>
        <v>0</v>
      </c>
      <c r="K565" s="16">
        <f>IF(CurrentMtgRatesDataTable8[[#This Row],[Servicing Spread]]&lt;=0,K564,CurrentMtgRatesDataTable8[[#This Row],[Servicing Spread]])</f>
        <v>0.78812707418207362</v>
      </c>
      <c r="L565" s="16">
        <f>CurrentMtgRatesDataTable8[[#This Row],[Servicing Spread Non-Zero]]-K564</f>
        <v>0</v>
      </c>
      <c r="M565" s="16">
        <f>IF(I564&lt;&gt;0,CurrentMtgRatesDataTable8[[#This Row],[Rate]]-C564,M564)</f>
        <v>-1.9999999999999574E-2</v>
      </c>
    </row>
    <row r="566" spans="1:13">
      <c r="A566" s="12" t="s">
        <v>133</v>
      </c>
      <c r="B566" s="13">
        <v>3.25804857470149</v>
      </c>
      <c r="C566" s="13">
        <v>3.9950000000000001</v>
      </c>
      <c r="D566" s="15">
        <f t="shared" si="48"/>
        <v>7</v>
      </c>
      <c r="E566" s="15">
        <f t="shared" si="49"/>
        <v>0.2</v>
      </c>
      <c r="F566" s="15">
        <f t="shared" si="50"/>
        <v>5</v>
      </c>
      <c r="G566" s="15">
        <f t="shared" si="51"/>
        <v>3.1943534977977985</v>
      </c>
      <c r="H566" s="15">
        <f t="shared" si="52"/>
        <v>1</v>
      </c>
      <c r="I566" s="15">
        <f t="shared" si="53"/>
        <v>3.1943534977977985</v>
      </c>
      <c r="J566" s="15">
        <f>IF(CurrentMtgRatesDataTable8[[#This Row],[WA CC]]&lt;&gt;0,C565-CurrentMtgRatesDataTable8[[#This Row],[WA CC]],0)</f>
        <v>0.80064650220220157</v>
      </c>
      <c r="K566" s="16">
        <f>IF(CurrentMtgRatesDataTable8[[#This Row],[Servicing Spread]]&lt;=0,K565,CurrentMtgRatesDataTable8[[#This Row],[Servicing Spread]])</f>
        <v>0.80064650220220157</v>
      </c>
      <c r="L566" s="16">
        <f>CurrentMtgRatesDataTable8[[#This Row],[Servicing Spread Non-Zero]]-K565</f>
        <v>1.2519428020127954E-2</v>
      </c>
      <c r="M566" s="16">
        <f>IF(I565&lt;&gt;0,CurrentMtgRatesDataTable8[[#This Row],[Rate]]-C565,M565)</f>
        <v>-1.9999999999999574E-2</v>
      </c>
    </row>
    <row r="567" spans="1:13">
      <c r="A567" s="12" t="s">
        <v>697</v>
      </c>
      <c r="B567" s="13">
        <v>3.2816971853818702</v>
      </c>
      <c r="C567" s="13">
        <v>4.0750000000000002</v>
      </c>
      <c r="D567" s="15">
        <f t="shared" si="48"/>
        <v>1</v>
      </c>
      <c r="E567" s="15">
        <f t="shared" si="49"/>
        <v>0.2</v>
      </c>
      <c r="F567" s="15">
        <f t="shared" si="50"/>
        <v>1</v>
      </c>
      <c r="G567" s="15">
        <f t="shared" si="51"/>
        <v>0.6563394370763741</v>
      </c>
      <c r="H567" s="15">
        <f t="shared" si="52"/>
        <v>0.2</v>
      </c>
      <c r="I567" s="15">
        <f t="shared" si="53"/>
        <v>0</v>
      </c>
      <c r="J567" s="15">
        <f>IF(CurrentMtgRatesDataTable8[[#This Row],[WA CC]]&lt;&gt;0,C566-CurrentMtgRatesDataTable8[[#This Row],[WA CC]],0)</f>
        <v>0</v>
      </c>
      <c r="K567" s="16">
        <f>IF(CurrentMtgRatesDataTable8[[#This Row],[Servicing Spread]]&lt;=0,K566,CurrentMtgRatesDataTable8[[#This Row],[Servicing Spread]])</f>
        <v>0.80064650220220157</v>
      </c>
      <c r="L567" s="16">
        <f>CurrentMtgRatesDataTable8[[#This Row],[Servicing Spread Non-Zero]]-K566</f>
        <v>0</v>
      </c>
      <c r="M567" s="16">
        <f>IF(I566&lt;&gt;0,CurrentMtgRatesDataTable8[[#This Row],[Rate]]-C566,M566)</f>
        <v>8.0000000000000071E-2</v>
      </c>
    </row>
    <row r="568" spans="1:13">
      <c r="A568" s="12" t="s">
        <v>410</v>
      </c>
      <c r="B568" s="13">
        <v>3.2664759262762</v>
      </c>
      <c r="C568" s="13">
        <v>4.0750000000000002</v>
      </c>
      <c r="D568" s="15">
        <f t="shared" si="48"/>
        <v>5</v>
      </c>
      <c r="E568" s="15">
        <f t="shared" si="49"/>
        <v>0.2</v>
      </c>
      <c r="F568" s="15">
        <f t="shared" si="50"/>
        <v>2</v>
      </c>
      <c r="G568" s="15">
        <f t="shared" si="51"/>
        <v>1.3096346223316142</v>
      </c>
      <c r="H568" s="15">
        <f t="shared" si="52"/>
        <v>0.4</v>
      </c>
      <c r="I568" s="15">
        <f t="shared" si="53"/>
        <v>0</v>
      </c>
      <c r="J568" s="15">
        <f>IF(CurrentMtgRatesDataTable8[[#This Row],[WA CC]]&lt;&gt;0,C567-CurrentMtgRatesDataTable8[[#This Row],[WA CC]],0)</f>
        <v>0</v>
      </c>
      <c r="K568" s="16">
        <f>IF(CurrentMtgRatesDataTable8[[#This Row],[Servicing Spread]]&lt;=0,K567,CurrentMtgRatesDataTable8[[#This Row],[Servicing Spread]])</f>
        <v>0.80064650220220157</v>
      </c>
      <c r="L568" s="16">
        <f>CurrentMtgRatesDataTable8[[#This Row],[Servicing Spread Non-Zero]]-K567</f>
        <v>0</v>
      </c>
      <c r="M568" s="16">
        <f>IF(I567&lt;&gt;0,CurrentMtgRatesDataTable8[[#This Row],[Rate]]-C567,M567)</f>
        <v>8.0000000000000071E-2</v>
      </c>
    </row>
    <row r="569" spans="1:13">
      <c r="A569" s="12" t="s">
        <v>279</v>
      </c>
      <c r="B569" s="13">
        <v>3.2329417252497299</v>
      </c>
      <c r="C569" s="13">
        <v>4.0750000000000002</v>
      </c>
      <c r="D569" s="15">
        <f t="shared" si="48"/>
        <v>6</v>
      </c>
      <c r="E569" s="15">
        <f t="shared" si="49"/>
        <v>0.2</v>
      </c>
      <c r="F569" s="15">
        <f t="shared" si="50"/>
        <v>3</v>
      </c>
      <c r="G569" s="15">
        <f t="shared" si="51"/>
        <v>1.9562229673815601</v>
      </c>
      <c r="H569" s="15">
        <f t="shared" si="52"/>
        <v>0.60000000000000009</v>
      </c>
      <c r="I569" s="15">
        <f t="shared" si="53"/>
        <v>0</v>
      </c>
      <c r="J569" s="15">
        <f>IF(CurrentMtgRatesDataTable8[[#This Row],[WA CC]]&lt;&gt;0,C568-CurrentMtgRatesDataTable8[[#This Row],[WA CC]],0)</f>
        <v>0</v>
      </c>
      <c r="K569" s="16">
        <f>IF(CurrentMtgRatesDataTable8[[#This Row],[Servicing Spread]]&lt;=0,K568,CurrentMtgRatesDataTable8[[#This Row],[Servicing Spread]])</f>
        <v>0.80064650220220157</v>
      </c>
      <c r="L569" s="16">
        <f>CurrentMtgRatesDataTable8[[#This Row],[Servicing Spread Non-Zero]]-K568</f>
        <v>0</v>
      </c>
      <c r="M569" s="16">
        <f>IF(I568&lt;&gt;0,CurrentMtgRatesDataTable8[[#This Row],[Rate]]-C568,M568)</f>
        <v>8.0000000000000071E-2</v>
      </c>
    </row>
    <row r="570" spans="1:13">
      <c r="A570" s="12" t="s">
        <v>134</v>
      </c>
      <c r="B570" s="13">
        <v>3.2185084565507598</v>
      </c>
      <c r="C570" s="13">
        <v>4.0750000000000002</v>
      </c>
      <c r="D570" s="15">
        <f t="shared" si="48"/>
        <v>7</v>
      </c>
      <c r="E570" s="15">
        <f t="shared" si="49"/>
        <v>0.2</v>
      </c>
      <c r="F570" s="15">
        <f t="shared" si="50"/>
        <v>4</v>
      </c>
      <c r="G570" s="15">
        <f t="shared" si="51"/>
        <v>2.599924658691712</v>
      </c>
      <c r="H570" s="15">
        <f t="shared" si="52"/>
        <v>0.8</v>
      </c>
      <c r="I570" s="15">
        <f t="shared" si="53"/>
        <v>3.2499058233646396</v>
      </c>
      <c r="J570" s="15">
        <f>IF(CurrentMtgRatesDataTable8[[#This Row],[WA CC]]&lt;&gt;0,C569-CurrentMtgRatesDataTable8[[#This Row],[WA CC]],0)</f>
        <v>0.82509417663536055</v>
      </c>
      <c r="K570" s="16">
        <f>IF(CurrentMtgRatesDataTable8[[#This Row],[Servicing Spread]]&lt;=0,K569,CurrentMtgRatesDataTable8[[#This Row],[Servicing Spread]])</f>
        <v>0.82509417663536055</v>
      </c>
      <c r="L570" s="16">
        <f>CurrentMtgRatesDataTable8[[#This Row],[Servicing Spread Non-Zero]]-K569</f>
        <v>2.4447674433158983E-2</v>
      </c>
      <c r="M570" s="16">
        <f>IF(I569&lt;&gt;0,CurrentMtgRatesDataTable8[[#This Row],[Rate]]-C569,M569)</f>
        <v>8.0000000000000071E-2</v>
      </c>
    </row>
    <row r="571" spans="1:13">
      <c r="A571" s="12" t="s">
        <v>698</v>
      </c>
      <c r="B571" s="13">
        <v>3.20098644724558</v>
      </c>
      <c r="C571" s="13">
        <v>4.03</v>
      </c>
      <c r="D571" s="15">
        <f t="shared" si="48"/>
        <v>1</v>
      </c>
      <c r="E571" s="15">
        <f t="shared" si="49"/>
        <v>0.2</v>
      </c>
      <c r="F571" s="15">
        <f t="shared" si="50"/>
        <v>1</v>
      </c>
      <c r="G571" s="15">
        <f t="shared" si="51"/>
        <v>0.64019728944911602</v>
      </c>
      <c r="H571" s="15">
        <f t="shared" si="52"/>
        <v>0.2</v>
      </c>
      <c r="I571" s="15">
        <f t="shared" si="53"/>
        <v>0</v>
      </c>
      <c r="J571" s="15">
        <f>IF(CurrentMtgRatesDataTable8[[#This Row],[WA CC]]&lt;&gt;0,C570-CurrentMtgRatesDataTable8[[#This Row],[WA CC]],0)</f>
        <v>0</v>
      </c>
      <c r="K571" s="16">
        <f>IF(CurrentMtgRatesDataTable8[[#This Row],[Servicing Spread]]&lt;=0,K570,CurrentMtgRatesDataTable8[[#This Row],[Servicing Spread]])</f>
        <v>0.82509417663536055</v>
      </c>
      <c r="L571" s="16">
        <f>CurrentMtgRatesDataTable8[[#This Row],[Servicing Spread Non-Zero]]-K570</f>
        <v>0</v>
      </c>
      <c r="M571" s="16">
        <f>IF(I570&lt;&gt;0,CurrentMtgRatesDataTable8[[#This Row],[Rate]]-C570,M570)</f>
        <v>-4.4999999999999929E-2</v>
      </c>
    </row>
    <row r="572" spans="1:13">
      <c r="A572" s="12" t="s">
        <v>556</v>
      </c>
      <c r="B572" s="13">
        <v>3.1874045932907902</v>
      </c>
      <c r="C572" s="13">
        <v>4.03</v>
      </c>
      <c r="D572" s="15">
        <f t="shared" si="48"/>
        <v>2</v>
      </c>
      <c r="E572" s="15">
        <f t="shared" si="49"/>
        <v>0.2</v>
      </c>
      <c r="F572" s="15">
        <f t="shared" si="50"/>
        <v>2</v>
      </c>
      <c r="G572" s="15">
        <f t="shared" si="51"/>
        <v>1.2776782081072739</v>
      </c>
      <c r="H572" s="15">
        <f t="shared" si="52"/>
        <v>0.4</v>
      </c>
      <c r="I572" s="15">
        <f t="shared" si="53"/>
        <v>0</v>
      </c>
      <c r="J572" s="15">
        <f>IF(CurrentMtgRatesDataTable8[[#This Row],[WA CC]]&lt;&gt;0,C571-CurrentMtgRatesDataTable8[[#This Row],[WA CC]],0)</f>
        <v>0</v>
      </c>
      <c r="K572" s="16">
        <f>IF(CurrentMtgRatesDataTable8[[#This Row],[Servicing Spread]]&lt;=0,K571,CurrentMtgRatesDataTable8[[#This Row],[Servicing Spread]])</f>
        <v>0.82509417663536055</v>
      </c>
      <c r="L572" s="16">
        <f>CurrentMtgRatesDataTable8[[#This Row],[Servicing Spread Non-Zero]]-K571</f>
        <v>0</v>
      </c>
      <c r="M572" s="16">
        <f>IF(I571&lt;&gt;0,CurrentMtgRatesDataTable8[[#This Row],[Rate]]-C571,M571)</f>
        <v>-4.4999999999999929E-2</v>
      </c>
    </row>
    <row r="573" spans="1:13">
      <c r="A573" s="12" t="s">
        <v>411</v>
      </c>
      <c r="B573" s="13">
        <v>3.22381281335216</v>
      </c>
      <c r="C573" s="13">
        <v>4.03</v>
      </c>
      <c r="D573" s="15">
        <f t="shared" si="48"/>
        <v>5</v>
      </c>
      <c r="E573" s="15">
        <f t="shared" si="49"/>
        <v>0.2</v>
      </c>
      <c r="F573" s="15">
        <f t="shared" si="50"/>
        <v>3</v>
      </c>
      <c r="G573" s="15">
        <f t="shared" si="51"/>
        <v>1.922440770777706</v>
      </c>
      <c r="H573" s="15">
        <f t="shared" si="52"/>
        <v>0.60000000000000009</v>
      </c>
      <c r="I573" s="15">
        <f t="shared" si="53"/>
        <v>0</v>
      </c>
      <c r="J573" s="15">
        <f>IF(CurrentMtgRatesDataTable8[[#This Row],[WA CC]]&lt;&gt;0,C572-CurrentMtgRatesDataTable8[[#This Row],[WA CC]],0)</f>
        <v>0</v>
      </c>
      <c r="K573" s="16">
        <f>IF(CurrentMtgRatesDataTable8[[#This Row],[Servicing Spread]]&lt;=0,K572,CurrentMtgRatesDataTable8[[#This Row],[Servicing Spread]])</f>
        <v>0.82509417663536055</v>
      </c>
      <c r="L573" s="16">
        <f>CurrentMtgRatesDataTable8[[#This Row],[Servicing Spread Non-Zero]]-K572</f>
        <v>0</v>
      </c>
      <c r="M573" s="16">
        <f>IF(I572&lt;&gt;0,CurrentMtgRatesDataTable8[[#This Row],[Rate]]-C572,M572)</f>
        <v>-4.4999999999999929E-2</v>
      </c>
    </row>
    <row r="574" spans="1:13">
      <c r="A574" s="12" t="s">
        <v>280</v>
      </c>
      <c r="B574" s="13">
        <v>3.2327612765480098</v>
      </c>
      <c r="C574" s="13">
        <v>4.03</v>
      </c>
      <c r="D574" s="15">
        <f t="shared" si="48"/>
        <v>6</v>
      </c>
      <c r="E574" s="15">
        <f t="shared" si="49"/>
        <v>0.2</v>
      </c>
      <c r="F574" s="15">
        <f t="shared" si="50"/>
        <v>4</v>
      </c>
      <c r="G574" s="15">
        <f t="shared" si="51"/>
        <v>2.5689930260873082</v>
      </c>
      <c r="H574" s="15">
        <f t="shared" si="52"/>
        <v>0.8</v>
      </c>
      <c r="I574" s="15">
        <f t="shared" si="53"/>
        <v>0</v>
      </c>
      <c r="J574" s="15">
        <f>IF(CurrentMtgRatesDataTable8[[#This Row],[WA CC]]&lt;&gt;0,C573-CurrentMtgRatesDataTable8[[#This Row],[WA CC]],0)</f>
        <v>0</v>
      </c>
      <c r="K574" s="16">
        <f>IF(CurrentMtgRatesDataTable8[[#This Row],[Servicing Spread]]&lt;=0,K573,CurrentMtgRatesDataTable8[[#This Row],[Servicing Spread]])</f>
        <v>0.82509417663536055</v>
      </c>
      <c r="L574" s="16">
        <f>CurrentMtgRatesDataTable8[[#This Row],[Servicing Spread Non-Zero]]-K573</f>
        <v>0</v>
      </c>
      <c r="M574" s="16">
        <f>IF(I573&lt;&gt;0,CurrentMtgRatesDataTable8[[#This Row],[Rate]]-C573,M573)</f>
        <v>-4.4999999999999929E-2</v>
      </c>
    </row>
    <row r="575" spans="1:13">
      <c r="A575" s="12" t="s">
        <v>135</v>
      </c>
      <c r="B575" s="13">
        <v>3.23587971649664</v>
      </c>
      <c r="C575" s="13">
        <v>4.03</v>
      </c>
      <c r="D575" s="15">
        <f t="shared" si="48"/>
        <v>7</v>
      </c>
      <c r="E575" s="15">
        <f t="shared" si="49"/>
        <v>0.2</v>
      </c>
      <c r="F575" s="15">
        <f t="shared" si="50"/>
        <v>5</v>
      </c>
      <c r="G575" s="15">
        <f t="shared" si="51"/>
        <v>3.2161689693866364</v>
      </c>
      <c r="H575" s="15">
        <f t="shared" si="52"/>
        <v>1</v>
      </c>
      <c r="I575" s="15">
        <f t="shared" si="53"/>
        <v>3.2161689693866364</v>
      </c>
      <c r="J575" s="15">
        <f>IF(CurrentMtgRatesDataTable8[[#This Row],[WA CC]]&lt;&gt;0,C574-CurrentMtgRatesDataTable8[[#This Row],[WA CC]],0)</f>
        <v>0.81383103061336382</v>
      </c>
      <c r="K575" s="16">
        <f>IF(CurrentMtgRatesDataTable8[[#This Row],[Servicing Spread]]&lt;=0,K574,CurrentMtgRatesDataTable8[[#This Row],[Servicing Spread]])</f>
        <v>0.81383103061336382</v>
      </c>
      <c r="L575" s="16">
        <f>CurrentMtgRatesDataTable8[[#This Row],[Servicing Spread Non-Zero]]-K574</f>
        <v>-1.1263146021996739E-2</v>
      </c>
      <c r="M575" s="16">
        <f>IF(I574&lt;&gt;0,CurrentMtgRatesDataTable8[[#This Row],[Rate]]-C574,M574)</f>
        <v>-4.4999999999999929E-2</v>
      </c>
    </row>
    <row r="576" spans="1:13">
      <c r="A576" s="12" t="s">
        <v>699</v>
      </c>
      <c r="B576" s="13">
        <v>3.1839990162061</v>
      </c>
      <c r="C576" s="13">
        <v>4.03</v>
      </c>
      <c r="D576" s="15">
        <f t="shared" si="48"/>
        <v>1</v>
      </c>
      <c r="E576" s="15">
        <f t="shared" si="49"/>
        <v>0.2</v>
      </c>
      <c r="F576" s="15">
        <f t="shared" si="50"/>
        <v>1</v>
      </c>
      <c r="G576" s="15">
        <f t="shared" si="51"/>
        <v>0.6367998032412201</v>
      </c>
      <c r="H576" s="15">
        <f t="shared" si="52"/>
        <v>0.2</v>
      </c>
      <c r="I576" s="15">
        <f t="shared" si="53"/>
        <v>0</v>
      </c>
      <c r="J576" s="15">
        <f>IF(CurrentMtgRatesDataTable8[[#This Row],[WA CC]]&lt;&gt;0,C575-CurrentMtgRatesDataTable8[[#This Row],[WA CC]],0)</f>
        <v>0</v>
      </c>
      <c r="K576" s="16">
        <f>IF(CurrentMtgRatesDataTable8[[#This Row],[Servicing Spread]]&lt;=0,K575,CurrentMtgRatesDataTable8[[#This Row],[Servicing Spread]])</f>
        <v>0.81383103061336382</v>
      </c>
      <c r="L576" s="16">
        <f>CurrentMtgRatesDataTable8[[#This Row],[Servicing Spread Non-Zero]]-K575</f>
        <v>0</v>
      </c>
      <c r="M576" s="16">
        <f>IF(I575&lt;&gt;0,CurrentMtgRatesDataTable8[[#This Row],[Rate]]-C575,M575)</f>
        <v>0</v>
      </c>
    </row>
    <row r="577" spans="1:13">
      <c r="A577" s="12" t="s">
        <v>557</v>
      </c>
      <c r="B577" s="13">
        <v>3.1834552504580702</v>
      </c>
      <c r="C577" s="13">
        <v>4.03</v>
      </c>
      <c r="D577" s="15">
        <f t="shared" si="48"/>
        <v>2</v>
      </c>
      <c r="E577" s="15">
        <f t="shared" si="49"/>
        <v>0.2</v>
      </c>
      <c r="F577" s="15">
        <f t="shared" si="50"/>
        <v>2</v>
      </c>
      <c r="G577" s="15">
        <f t="shared" si="51"/>
        <v>1.2734908533328342</v>
      </c>
      <c r="H577" s="15">
        <f t="shared" si="52"/>
        <v>0.4</v>
      </c>
      <c r="I577" s="15">
        <f t="shared" si="53"/>
        <v>0</v>
      </c>
      <c r="J577" s="15">
        <f>IF(CurrentMtgRatesDataTable8[[#This Row],[WA CC]]&lt;&gt;0,C576-CurrentMtgRatesDataTable8[[#This Row],[WA CC]],0)</f>
        <v>0</v>
      </c>
      <c r="K577" s="16">
        <f>IF(CurrentMtgRatesDataTable8[[#This Row],[Servicing Spread]]&lt;=0,K576,CurrentMtgRatesDataTable8[[#This Row],[Servicing Spread]])</f>
        <v>0.81383103061336382</v>
      </c>
      <c r="L577" s="16">
        <f>CurrentMtgRatesDataTable8[[#This Row],[Servicing Spread Non-Zero]]-K576</f>
        <v>0</v>
      </c>
      <c r="M577" s="16">
        <f>IF(I576&lt;&gt;0,CurrentMtgRatesDataTable8[[#This Row],[Rate]]-C576,M576)</f>
        <v>0</v>
      </c>
    </row>
    <row r="578" spans="1:13">
      <c r="A578" s="12" t="s">
        <v>412</v>
      </c>
      <c r="B578" s="13">
        <v>3.1797287048205698</v>
      </c>
      <c r="C578" s="13">
        <v>4.03</v>
      </c>
      <c r="D578" s="15">
        <f t="shared" si="48"/>
        <v>5</v>
      </c>
      <c r="E578" s="15">
        <f t="shared" si="49"/>
        <v>0.2</v>
      </c>
      <c r="F578" s="15">
        <f t="shared" si="50"/>
        <v>3</v>
      </c>
      <c r="G578" s="15">
        <f t="shared" si="51"/>
        <v>1.9094365942969482</v>
      </c>
      <c r="H578" s="15">
        <f t="shared" si="52"/>
        <v>0.60000000000000009</v>
      </c>
      <c r="I578" s="15">
        <f t="shared" si="53"/>
        <v>0</v>
      </c>
      <c r="J578" s="15">
        <f>IF(CurrentMtgRatesDataTable8[[#This Row],[WA CC]]&lt;&gt;0,C577-CurrentMtgRatesDataTable8[[#This Row],[WA CC]],0)</f>
        <v>0</v>
      </c>
      <c r="K578" s="16">
        <f>IF(CurrentMtgRatesDataTable8[[#This Row],[Servicing Spread]]&lt;=0,K577,CurrentMtgRatesDataTable8[[#This Row],[Servicing Spread]])</f>
        <v>0.81383103061336382</v>
      </c>
      <c r="L578" s="16">
        <f>CurrentMtgRatesDataTable8[[#This Row],[Servicing Spread Non-Zero]]-K577</f>
        <v>0</v>
      </c>
      <c r="M578" s="16">
        <f>IF(I577&lt;&gt;0,CurrentMtgRatesDataTable8[[#This Row],[Rate]]-C577,M577)</f>
        <v>0</v>
      </c>
    </row>
    <row r="579" spans="1:13">
      <c r="A579" s="12" t="s">
        <v>281</v>
      </c>
      <c r="B579" s="13">
        <v>3.1713427686584299</v>
      </c>
      <c r="C579" s="13">
        <v>4.03</v>
      </c>
      <c r="D579" s="15">
        <f t="shared" si="48"/>
        <v>6</v>
      </c>
      <c r="E579" s="15">
        <f t="shared" si="49"/>
        <v>0.2</v>
      </c>
      <c r="F579" s="15">
        <f t="shared" si="50"/>
        <v>4</v>
      </c>
      <c r="G579" s="15">
        <f t="shared" si="51"/>
        <v>2.5437051480286343</v>
      </c>
      <c r="H579" s="15">
        <f t="shared" si="52"/>
        <v>0.8</v>
      </c>
      <c r="I579" s="15">
        <f t="shared" si="53"/>
        <v>0</v>
      </c>
      <c r="J579" s="15">
        <f>IF(CurrentMtgRatesDataTable8[[#This Row],[WA CC]]&lt;&gt;0,C578-CurrentMtgRatesDataTable8[[#This Row],[WA CC]],0)</f>
        <v>0</v>
      </c>
      <c r="K579" s="16">
        <f>IF(CurrentMtgRatesDataTable8[[#This Row],[Servicing Spread]]&lt;=0,K578,CurrentMtgRatesDataTable8[[#This Row],[Servicing Spread]])</f>
        <v>0.81383103061336382</v>
      </c>
      <c r="L579" s="16">
        <f>CurrentMtgRatesDataTable8[[#This Row],[Servicing Spread Non-Zero]]-K578</f>
        <v>0</v>
      </c>
      <c r="M579" s="16">
        <f>IF(I578&lt;&gt;0,CurrentMtgRatesDataTable8[[#This Row],[Rate]]-C578,M578)</f>
        <v>0</v>
      </c>
    </row>
    <row r="580" spans="1:13">
      <c r="A580" s="12" t="s">
        <v>136</v>
      </c>
      <c r="B580" s="13">
        <v>3.18443166753908</v>
      </c>
      <c r="C580" s="13">
        <v>4.03</v>
      </c>
      <c r="D580" s="15">
        <f t="shared" si="48"/>
        <v>7</v>
      </c>
      <c r="E580" s="15">
        <f t="shared" si="49"/>
        <v>0.2</v>
      </c>
      <c r="F580" s="15">
        <f t="shared" si="50"/>
        <v>5</v>
      </c>
      <c r="G580" s="15">
        <f t="shared" si="51"/>
        <v>3.1805914815364504</v>
      </c>
      <c r="H580" s="15">
        <f t="shared" si="52"/>
        <v>1</v>
      </c>
      <c r="I580" s="15">
        <f t="shared" si="53"/>
        <v>3.1805914815364504</v>
      </c>
      <c r="J580" s="15">
        <f>IF(CurrentMtgRatesDataTable8[[#This Row],[WA CC]]&lt;&gt;0,C579-CurrentMtgRatesDataTable8[[#This Row],[WA CC]],0)</f>
        <v>0.84940851846354981</v>
      </c>
      <c r="K580" s="16">
        <f>IF(CurrentMtgRatesDataTable8[[#This Row],[Servicing Spread]]&lt;=0,K579,CurrentMtgRatesDataTable8[[#This Row],[Servicing Spread]])</f>
        <v>0.84940851846354981</v>
      </c>
      <c r="L580" s="16">
        <f>CurrentMtgRatesDataTable8[[#This Row],[Servicing Spread Non-Zero]]-K579</f>
        <v>3.5577487850185996E-2</v>
      </c>
      <c r="M580" s="16">
        <f>IF(I579&lt;&gt;0,CurrentMtgRatesDataTable8[[#This Row],[Rate]]-C579,M579)</f>
        <v>0</v>
      </c>
    </row>
    <row r="581" spans="1:13">
      <c r="A581" s="12" t="s">
        <v>700</v>
      </c>
      <c r="B581" s="13">
        <v>3.2359256063250199</v>
      </c>
      <c r="C581" s="13">
        <v>4.0200000000000005</v>
      </c>
      <c r="D581" s="15">
        <f t="shared" ref="D581:D644" si="54">WEEKDAY(A581,14)</f>
        <v>1</v>
      </c>
      <c r="E581" s="15">
        <f t="shared" ref="E581:E644" si="55">VLOOKUP(D581,P$5:Q$11,2,FALSE)</f>
        <v>0.2</v>
      </c>
      <c r="F581" s="15">
        <f t="shared" ref="F581:F644" si="56">IF(AND(D581&gt;D580,F580&lt;6),F580+1,1)</f>
        <v>1</v>
      </c>
      <c r="G581" s="15">
        <f t="shared" ref="G581:G644" si="57">IF(F581&gt;F580,G580+B581*E581,B581*E581)</f>
        <v>0.64718512126500405</v>
      </c>
      <c r="H581" s="15">
        <f t="shared" ref="H581:H644" si="58">IF(AND(F581&lt;6,F581&gt;F580),E581+H580,E581)</f>
        <v>0.2</v>
      </c>
      <c r="I581" s="15">
        <f t="shared" ref="I581:I644" si="59">IF(F581&gt;F582,G581/H581,0)</f>
        <v>0</v>
      </c>
      <c r="J581" s="15">
        <f>IF(CurrentMtgRatesDataTable8[[#This Row],[WA CC]]&lt;&gt;0,C580-CurrentMtgRatesDataTable8[[#This Row],[WA CC]],0)</f>
        <v>0</v>
      </c>
      <c r="K581" s="16">
        <f>IF(CurrentMtgRatesDataTable8[[#This Row],[Servicing Spread]]&lt;=0,K580,CurrentMtgRatesDataTable8[[#This Row],[Servicing Spread]])</f>
        <v>0.84940851846354981</v>
      </c>
      <c r="L581" s="16">
        <f>CurrentMtgRatesDataTable8[[#This Row],[Servicing Spread Non-Zero]]-K580</f>
        <v>0</v>
      </c>
      <c r="M581" s="16">
        <f>IF(I580&lt;&gt;0,CurrentMtgRatesDataTable8[[#This Row],[Rate]]-C580,M580)</f>
        <v>-9.9999999999997868E-3</v>
      </c>
    </row>
    <row r="582" spans="1:13">
      <c r="A582" s="12" t="s">
        <v>558</v>
      </c>
      <c r="B582" s="13">
        <v>3.1915306555493599</v>
      </c>
      <c r="C582" s="13">
        <v>4.0200000000000005</v>
      </c>
      <c r="D582" s="15">
        <f t="shared" si="54"/>
        <v>2</v>
      </c>
      <c r="E582" s="15">
        <f t="shared" si="55"/>
        <v>0.2</v>
      </c>
      <c r="F582" s="15">
        <f t="shared" si="56"/>
        <v>2</v>
      </c>
      <c r="G582" s="15">
        <f t="shared" si="57"/>
        <v>1.285491252374876</v>
      </c>
      <c r="H582" s="15">
        <f t="shared" si="58"/>
        <v>0.4</v>
      </c>
      <c r="I582" s="15">
        <f t="shared" si="59"/>
        <v>0</v>
      </c>
      <c r="J582" s="15">
        <f>IF(CurrentMtgRatesDataTable8[[#This Row],[WA CC]]&lt;&gt;0,C581-CurrentMtgRatesDataTable8[[#This Row],[WA CC]],0)</f>
        <v>0</v>
      </c>
      <c r="K582" s="16">
        <f>IF(CurrentMtgRatesDataTable8[[#This Row],[Servicing Spread]]&lt;=0,K581,CurrentMtgRatesDataTable8[[#This Row],[Servicing Spread]])</f>
        <v>0.84940851846354981</v>
      </c>
      <c r="L582" s="16">
        <f>CurrentMtgRatesDataTable8[[#This Row],[Servicing Spread Non-Zero]]-K581</f>
        <v>0</v>
      </c>
      <c r="M582" s="16">
        <f>IF(I581&lt;&gt;0,CurrentMtgRatesDataTable8[[#This Row],[Rate]]-C581,M581)</f>
        <v>-9.9999999999997868E-3</v>
      </c>
    </row>
    <row r="583" spans="1:13">
      <c r="A583" s="12" t="s">
        <v>413</v>
      </c>
      <c r="B583" s="13">
        <v>3.2049602013827001</v>
      </c>
      <c r="C583" s="13">
        <v>4.0200000000000005</v>
      </c>
      <c r="D583" s="15">
        <f t="shared" si="54"/>
        <v>5</v>
      </c>
      <c r="E583" s="15">
        <f t="shared" si="55"/>
        <v>0.2</v>
      </c>
      <c r="F583" s="15">
        <f t="shared" si="56"/>
        <v>3</v>
      </c>
      <c r="G583" s="15">
        <f t="shared" si="57"/>
        <v>1.9264832926514162</v>
      </c>
      <c r="H583" s="15">
        <f t="shared" si="58"/>
        <v>0.60000000000000009</v>
      </c>
      <c r="I583" s="15">
        <f t="shared" si="59"/>
        <v>0</v>
      </c>
      <c r="J583" s="15">
        <f>IF(CurrentMtgRatesDataTable8[[#This Row],[WA CC]]&lt;&gt;0,C582-CurrentMtgRatesDataTable8[[#This Row],[WA CC]],0)</f>
        <v>0</v>
      </c>
      <c r="K583" s="16">
        <f>IF(CurrentMtgRatesDataTable8[[#This Row],[Servicing Spread]]&lt;=0,K582,CurrentMtgRatesDataTable8[[#This Row],[Servicing Spread]])</f>
        <v>0.84940851846354981</v>
      </c>
      <c r="L583" s="16">
        <f>CurrentMtgRatesDataTable8[[#This Row],[Servicing Spread Non-Zero]]-K582</f>
        <v>0</v>
      </c>
      <c r="M583" s="16">
        <f>IF(I582&lt;&gt;0,CurrentMtgRatesDataTable8[[#This Row],[Rate]]-C582,M582)</f>
        <v>-9.9999999999997868E-3</v>
      </c>
    </row>
    <row r="584" spans="1:13">
      <c r="A584" s="12" t="s">
        <v>282</v>
      </c>
      <c r="B584" s="13">
        <v>3.1823757597493798</v>
      </c>
      <c r="C584" s="13">
        <v>4.0200000000000005</v>
      </c>
      <c r="D584" s="15">
        <f t="shared" si="54"/>
        <v>6</v>
      </c>
      <c r="E584" s="15">
        <f t="shared" si="55"/>
        <v>0.2</v>
      </c>
      <c r="F584" s="15">
        <f t="shared" si="56"/>
        <v>4</v>
      </c>
      <c r="G584" s="15">
        <f t="shared" si="57"/>
        <v>2.5629584446012923</v>
      </c>
      <c r="H584" s="15">
        <f t="shared" si="58"/>
        <v>0.8</v>
      </c>
      <c r="I584" s="15">
        <f t="shared" si="59"/>
        <v>0</v>
      </c>
      <c r="J584" s="15">
        <f>IF(CurrentMtgRatesDataTable8[[#This Row],[WA CC]]&lt;&gt;0,C583-CurrentMtgRatesDataTable8[[#This Row],[WA CC]],0)</f>
        <v>0</v>
      </c>
      <c r="K584" s="16">
        <f>IF(CurrentMtgRatesDataTable8[[#This Row],[Servicing Spread]]&lt;=0,K583,CurrentMtgRatesDataTable8[[#This Row],[Servicing Spread]])</f>
        <v>0.84940851846354981</v>
      </c>
      <c r="L584" s="16">
        <f>CurrentMtgRatesDataTable8[[#This Row],[Servicing Spread Non-Zero]]-K583</f>
        <v>0</v>
      </c>
      <c r="M584" s="16">
        <f>IF(I583&lt;&gt;0,CurrentMtgRatesDataTable8[[#This Row],[Rate]]-C583,M583)</f>
        <v>-9.9999999999997868E-3</v>
      </c>
    </row>
    <row r="585" spans="1:13">
      <c r="A585" s="12" t="s">
        <v>137</v>
      </c>
      <c r="B585" s="13">
        <v>3.2657922043638301</v>
      </c>
      <c r="C585" s="13">
        <v>4.0200000000000005</v>
      </c>
      <c r="D585" s="15">
        <f t="shared" si="54"/>
        <v>7</v>
      </c>
      <c r="E585" s="15">
        <f t="shared" si="55"/>
        <v>0.2</v>
      </c>
      <c r="F585" s="15">
        <f t="shared" si="56"/>
        <v>5</v>
      </c>
      <c r="G585" s="15">
        <f t="shared" si="57"/>
        <v>3.2161168854740585</v>
      </c>
      <c r="H585" s="15">
        <f t="shared" si="58"/>
        <v>1</v>
      </c>
      <c r="I585" s="15">
        <f t="shared" si="59"/>
        <v>3.2161168854740585</v>
      </c>
      <c r="J585" s="15">
        <f>IF(CurrentMtgRatesDataTable8[[#This Row],[WA CC]]&lt;&gt;0,C584-CurrentMtgRatesDataTable8[[#This Row],[WA CC]],0)</f>
        <v>0.80388311452594197</v>
      </c>
      <c r="K585" s="16">
        <f>IF(CurrentMtgRatesDataTable8[[#This Row],[Servicing Spread]]&lt;=0,K584,CurrentMtgRatesDataTable8[[#This Row],[Servicing Spread]])</f>
        <v>0.80388311452594197</v>
      </c>
      <c r="L585" s="16">
        <f>CurrentMtgRatesDataTable8[[#This Row],[Servicing Spread Non-Zero]]-K584</f>
        <v>-4.5525403937607845E-2</v>
      </c>
      <c r="M585" s="16">
        <f>IF(I584&lt;&gt;0,CurrentMtgRatesDataTable8[[#This Row],[Rate]]-C584,M584)</f>
        <v>-9.9999999999997868E-3</v>
      </c>
    </row>
    <row r="586" spans="1:13">
      <c r="A586" s="12" t="s">
        <v>701</v>
      </c>
      <c r="B586" s="13">
        <v>3.2761065930147799</v>
      </c>
      <c r="C586" s="13">
        <v>4.0649999999999995</v>
      </c>
      <c r="D586" s="15">
        <f t="shared" si="54"/>
        <v>1</v>
      </c>
      <c r="E586" s="15">
        <f t="shared" si="55"/>
        <v>0.2</v>
      </c>
      <c r="F586" s="15">
        <f t="shared" si="56"/>
        <v>1</v>
      </c>
      <c r="G586" s="15">
        <f t="shared" si="57"/>
        <v>0.65522131860295607</v>
      </c>
      <c r="H586" s="15">
        <f t="shared" si="58"/>
        <v>0.2</v>
      </c>
      <c r="I586" s="15">
        <f t="shared" si="59"/>
        <v>0</v>
      </c>
      <c r="J586" s="15">
        <f>IF(CurrentMtgRatesDataTable8[[#This Row],[WA CC]]&lt;&gt;0,C585-CurrentMtgRatesDataTable8[[#This Row],[WA CC]],0)</f>
        <v>0</v>
      </c>
      <c r="K586" s="16">
        <f>IF(CurrentMtgRatesDataTable8[[#This Row],[Servicing Spread]]&lt;=0,K585,CurrentMtgRatesDataTable8[[#This Row],[Servicing Spread]])</f>
        <v>0.80388311452594197</v>
      </c>
      <c r="L586" s="16">
        <f>CurrentMtgRatesDataTable8[[#This Row],[Servicing Spread Non-Zero]]-K585</f>
        <v>0</v>
      </c>
      <c r="M586" s="16">
        <f>IF(I585&lt;&gt;0,CurrentMtgRatesDataTable8[[#This Row],[Rate]]-C585,M585)</f>
        <v>4.4999999999999041E-2</v>
      </c>
    </row>
    <row r="587" spans="1:13">
      <c r="A587" s="12" t="s">
        <v>559</v>
      </c>
      <c r="B587" s="13">
        <v>3.2284236378811801</v>
      </c>
      <c r="C587" s="13">
        <v>4.0649999999999995</v>
      </c>
      <c r="D587" s="15">
        <f t="shared" si="54"/>
        <v>2</v>
      </c>
      <c r="E587" s="15">
        <f t="shared" si="55"/>
        <v>0.2</v>
      </c>
      <c r="F587" s="15">
        <f t="shared" si="56"/>
        <v>2</v>
      </c>
      <c r="G587" s="15">
        <f t="shared" si="57"/>
        <v>1.3009060461791921</v>
      </c>
      <c r="H587" s="15">
        <f t="shared" si="58"/>
        <v>0.4</v>
      </c>
      <c r="I587" s="15">
        <f t="shared" si="59"/>
        <v>0</v>
      </c>
      <c r="J587" s="15">
        <f>IF(CurrentMtgRatesDataTable8[[#This Row],[WA CC]]&lt;&gt;0,C586-CurrentMtgRatesDataTable8[[#This Row],[WA CC]],0)</f>
        <v>0</v>
      </c>
      <c r="K587" s="16">
        <f>IF(CurrentMtgRatesDataTable8[[#This Row],[Servicing Spread]]&lt;=0,K586,CurrentMtgRatesDataTable8[[#This Row],[Servicing Spread]])</f>
        <v>0.80388311452594197</v>
      </c>
      <c r="L587" s="16">
        <f>CurrentMtgRatesDataTable8[[#This Row],[Servicing Spread Non-Zero]]-K586</f>
        <v>0</v>
      </c>
      <c r="M587" s="16">
        <f>IF(I586&lt;&gt;0,CurrentMtgRatesDataTable8[[#This Row],[Rate]]-C586,M586)</f>
        <v>4.4999999999999041E-2</v>
      </c>
    </row>
    <row r="588" spans="1:13">
      <c r="A588" s="12" t="s">
        <v>414</v>
      </c>
      <c r="B588" s="13">
        <v>3.2178217897536898</v>
      </c>
      <c r="C588" s="13">
        <v>4.0649999999999995</v>
      </c>
      <c r="D588" s="15">
        <f t="shared" si="54"/>
        <v>5</v>
      </c>
      <c r="E588" s="15">
        <f t="shared" si="55"/>
        <v>0.2</v>
      </c>
      <c r="F588" s="15">
        <f t="shared" si="56"/>
        <v>3</v>
      </c>
      <c r="G588" s="15">
        <f t="shared" si="57"/>
        <v>1.9444704041299301</v>
      </c>
      <c r="H588" s="15">
        <f t="shared" si="58"/>
        <v>0.60000000000000009</v>
      </c>
      <c r="I588" s="15">
        <f t="shared" si="59"/>
        <v>0</v>
      </c>
      <c r="J588" s="15">
        <f>IF(CurrentMtgRatesDataTable8[[#This Row],[WA CC]]&lt;&gt;0,C587-CurrentMtgRatesDataTable8[[#This Row],[WA CC]],0)</f>
        <v>0</v>
      </c>
      <c r="K588" s="16">
        <f>IF(CurrentMtgRatesDataTable8[[#This Row],[Servicing Spread]]&lt;=0,K587,CurrentMtgRatesDataTable8[[#This Row],[Servicing Spread]])</f>
        <v>0.80388311452594197</v>
      </c>
      <c r="L588" s="16">
        <f>CurrentMtgRatesDataTable8[[#This Row],[Servicing Spread Non-Zero]]-K587</f>
        <v>0</v>
      </c>
      <c r="M588" s="16">
        <f>IF(I587&lt;&gt;0,CurrentMtgRatesDataTable8[[#This Row],[Rate]]-C587,M587)</f>
        <v>4.4999999999999041E-2</v>
      </c>
    </row>
    <row r="589" spans="1:13">
      <c r="A589" s="12" t="s">
        <v>283</v>
      </c>
      <c r="B589" s="13">
        <v>3.21632428795722</v>
      </c>
      <c r="C589" s="13">
        <v>4.0649999999999995</v>
      </c>
      <c r="D589" s="15">
        <f t="shared" si="54"/>
        <v>6</v>
      </c>
      <c r="E589" s="15">
        <f t="shared" si="55"/>
        <v>0.2</v>
      </c>
      <c r="F589" s="15">
        <f t="shared" si="56"/>
        <v>4</v>
      </c>
      <c r="G589" s="15">
        <f t="shared" si="57"/>
        <v>2.5877352617213742</v>
      </c>
      <c r="H589" s="15">
        <f t="shared" si="58"/>
        <v>0.8</v>
      </c>
      <c r="I589" s="15">
        <f t="shared" si="59"/>
        <v>0</v>
      </c>
      <c r="J589" s="15">
        <f>IF(CurrentMtgRatesDataTable8[[#This Row],[WA CC]]&lt;&gt;0,C588-CurrentMtgRatesDataTable8[[#This Row],[WA CC]],0)</f>
        <v>0</v>
      </c>
      <c r="K589" s="16">
        <f>IF(CurrentMtgRatesDataTable8[[#This Row],[Servicing Spread]]&lt;=0,K588,CurrentMtgRatesDataTable8[[#This Row],[Servicing Spread]])</f>
        <v>0.80388311452594197</v>
      </c>
      <c r="L589" s="16">
        <f>CurrentMtgRatesDataTable8[[#This Row],[Servicing Spread Non-Zero]]-K588</f>
        <v>0</v>
      </c>
      <c r="M589" s="16">
        <f>IF(I588&lt;&gt;0,CurrentMtgRatesDataTable8[[#This Row],[Rate]]-C588,M588)</f>
        <v>4.4999999999999041E-2</v>
      </c>
    </row>
    <row r="590" spans="1:13">
      <c r="A590" s="12" t="s">
        <v>138</v>
      </c>
      <c r="B590" s="13">
        <v>3.2168042301856699</v>
      </c>
      <c r="C590" s="13">
        <v>4.0649999999999995</v>
      </c>
      <c r="D590" s="15">
        <f t="shared" si="54"/>
        <v>7</v>
      </c>
      <c r="E590" s="15">
        <f t="shared" si="55"/>
        <v>0.2</v>
      </c>
      <c r="F590" s="15">
        <f t="shared" si="56"/>
        <v>5</v>
      </c>
      <c r="G590" s="15">
        <f t="shared" si="57"/>
        <v>3.2310961077585083</v>
      </c>
      <c r="H590" s="15">
        <f t="shared" si="58"/>
        <v>1</v>
      </c>
      <c r="I590" s="15">
        <f t="shared" si="59"/>
        <v>3.2310961077585083</v>
      </c>
      <c r="J590" s="15">
        <f>IF(CurrentMtgRatesDataTable8[[#This Row],[WA CC]]&lt;&gt;0,C589-CurrentMtgRatesDataTable8[[#This Row],[WA CC]],0)</f>
        <v>0.8339038922414912</v>
      </c>
      <c r="K590" s="16">
        <f>IF(CurrentMtgRatesDataTable8[[#This Row],[Servicing Spread]]&lt;=0,K589,CurrentMtgRatesDataTable8[[#This Row],[Servicing Spread]])</f>
        <v>0.8339038922414912</v>
      </c>
      <c r="L590" s="16">
        <f>CurrentMtgRatesDataTable8[[#This Row],[Servicing Spread Non-Zero]]-K589</f>
        <v>3.0020777715549229E-2</v>
      </c>
      <c r="M590" s="16">
        <f>IF(I589&lt;&gt;0,CurrentMtgRatesDataTable8[[#This Row],[Rate]]-C589,M589)</f>
        <v>4.4999999999999041E-2</v>
      </c>
    </row>
    <row r="591" spans="1:13">
      <c r="A591" s="12" t="s">
        <v>702</v>
      </c>
      <c r="B591" s="13">
        <v>3.1812952620623198</v>
      </c>
      <c r="C591" s="13">
        <v>4.0200000000000005</v>
      </c>
      <c r="D591" s="15">
        <f t="shared" si="54"/>
        <v>1</v>
      </c>
      <c r="E591" s="15">
        <f t="shared" si="55"/>
        <v>0.2</v>
      </c>
      <c r="F591" s="15">
        <f t="shared" si="56"/>
        <v>1</v>
      </c>
      <c r="G591" s="15">
        <f t="shared" si="57"/>
        <v>0.63625905241246405</v>
      </c>
      <c r="H591" s="15">
        <f t="shared" si="58"/>
        <v>0.2</v>
      </c>
      <c r="I591" s="15">
        <f t="shared" si="59"/>
        <v>0</v>
      </c>
      <c r="J591" s="15">
        <f>IF(CurrentMtgRatesDataTable8[[#This Row],[WA CC]]&lt;&gt;0,C590-CurrentMtgRatesDataTable8[[#This Row],[WA CC]],0)</f>
        <v>0</v>
      </c>
      <c r="K591" s="16">
        <f>IF(CurrentMtgRatesDataTable8[[#This Row],[Servicing Spread]]&lt;=0,K590,CurrentMtgRatesDataTable8[[#This Row],[Servicing Spread]])</f>
        <v>0.8339038922414912</v>
      </c>
      <c r="L591" s="16">
        <f>CurrentMtgRatesDataTable8[[#This Row],[Servicing Spread Non-Zero]]-K590</f>
        <v>0</v>
      </c>
      <c r="M591" s="16">
        <f>IF(I590&lt;&gt;0,CurrentMtgRatesDataTable8[[#This Row],[Rate]]-C590,M590)</f>
        <v>-4.4999999999999041E-2</v>
      </c>
    </row>
    <row r="592" spans="1:13">
      <c r="A592" s="12" t="s">
        <v>560</v>
      </c>
      <c r="B592" s="13">
        <v>3.1721768972748698</v>
      </c>
      <c r="C592" s="13">
        <v>4.0200000000000005</v>
      </c>
      <c r="D592" s="15">
        <f t="shared" si="54"/>
        <v>2</v>
      </c>
      <c r="E592" s="15">
        <f t="shared" si="55"/>
        <v>0.2</v>
      </c>
      <c r="F592" s="15">
        <f t="shared" si="56"/>
        <v>2</v>
      </c>
      <c r="G592" s="15">
        <f t="shared" si="57"/>
        <v>1.270694431867438</v>
      </c>
      <c r="H592" s="15">
        <f t="shared" si="58"/>
        <v>0.4</v>
      </c>
      <c r="I592" s="15">
        <f t="shared" si="59"/>
        <v>0</v>
      </c>
      <c r="J592" s="15">
        <f>IF(CurrentMtgRatesDataTable8[[#This Row],[WA CC]]&lt;&gt;0,C591-CurrentMtgRatesDataTable8[[#This Row],[WA CC]],0)</f>
        <v>0</v>
      </c>
      <c r="K592" s="16">
        <f>IF(CurrentMtgRatesDataTable8[[#This Row],[Servicing Spread]]&lt;=0,K591,CurrentMtgRatesDataTable8[[#This Row],[Servicing Spread]])</f>
        <v>0.8339038922414912</v>
      </c>
      <c r="L592" s="16">
        <f>CurrentMtgRatesDataTable8[[#This Row],[Servicing Spread Non-Zero]]-K591</f>
        <v>0</v>
      </c>
      <c r="M592" s="16">
        <f>IF(I591&lt;&gt;0,CurrentMtgRatesDataTable8[[#This Row],[Rate]]-C591,M591)</f>
        <v>-4.4999999999999041E-2</v>
      </c>
    </row>
    <row r="593" spans="1:13">
      <c r="A593" s="12" t="s">
        <v>415</v>
      </c>
      <c r="B593" s="13">
        <v>3.1826449451887</v>
      </c>
      <c r="C593" s="13">
        <v>4.0200000000000005</v>
      </c>
      <c r="D593" s="15">
        <f t="shared" si="54"/>
        <v>5</v>
      </c>
      <c r="E593" s="15">
        <f t="shared" si="55"/>
        <v>0.2</v>
      </c>
      <c r="F593" s="15">
        <f t="shared" si="56"/>
        <v>3</v>
      </c>
      <c r="G593" s="15">
        <f t="shared" si="57"/>
        <v>1.9072234209051779</v>
      </c>
      <c r="H593" s="15">
        <f t="shared" si="58"/>
        <v>0.60000000000000009</v>
      </c>
      <c r="I593" s="15">
        <f t="shared" si="59"/>
        <v>0</v>
      </c>
      <c r="J593" s="15">
        <f>IF(CurrentMtgRatesDataTable8[[#This Row],[WA CC]]&lt;&gt;0,C592-CurrentMtgRatesDataTable8[[#This Row],[WA CC]],0)</f>
        <v>0</v>
      </c>
      <c r="K593" s="16">
        <f>IF(CurrentMtgRatesDataTable8[[#This Row],[Servicing Spread]]&lt;=0,K592,CurrentMtgRatesDataTable8[[#This Row],[Servicing Spread]])</f>
        <v>0.8339038922414912</v>
      </c>
      <c r="L593" s="16">
        <f>CurrentMtgRatesDataTable8[[#This Row],[Servicing Spread Non-Zero]]-K592</f>
        <v>0</v>
      </c>
      <c r="M593" s="16">
        <f>IF(I592&lt;&gt;0,CurrentMtgRatesDataTable8[[#This Row],[Rate]]-C592,M592)</f>
        <v>-4.4999999999999041E-2</v>
      </c>
    </row>
    <row r="594" spans="1:13">
      <c r="A594" s="12" t="s">
        <v>284</v>
      </c>
      <c r="B594" s="13">
        <v>3.1921232293895798</v>
      </c>
      <c r="C594" s="13">
        <v>4.0200000000000005</v>
      </c>
      <c r="D594" s="15">
        <f t="shared" si="54"/>
        <v>6</v>
      </c>
      <c r="E594" s="15">
        <f t="shared" si="55"/>
        <v>0.2</v>
      </c>
      <c r="F594" s="15">
        <f t="shared" si="56"/>
        <v>4</v>
      </c>
      <c r="G594" s="15">
        <f t="shared" si="57"/>
        <v>2.5456480667830941</v>
      </c>
      <c r="H594" s="15">
        <f t="shared" si="58"/>
        <v>0.8</v>
      </c>
      <c r="I594" s="15">
        <f t="shared" si="59"/>
        <v>0</v>
      </c>
      <c r="J594" s="15">
        <f>IF(CurrentMtgRatesDataTable8[[#This Row],[WA CC]]&lt;&gt;0,C593-CurrentMtgRatesDataTable8[[#This Row],[WA CC]],0)</f>
        <v>0</v>
      </c>
      <c r="K594" s="16">
        <f>IF(CurrentMtgRatesDataTable8[[#This Row],[Servicing Spread]]&lt;=0,K593,CurrentMtgRatesDataTable8[[#This Row],[Servicing Spread]])</f>
        <v>0.8339038922414912</v>
      </c>
      <c r="L594" s="16">
        <f>CurrentMtgRatesDataTable8[[#This Row],[Servicing Spread Non-Zero]]-K593</f>
        <v>0</v>
      </c>
      <c r="M594" s="16">
        <f>IF(I593&lt;&gt;0,CurrentMtgRatesDataTable8[[#This Row],[Rate]]-C593,M593)</f>
        <v>-4.4999999999999041E-2</v>
      </c>
    </row>
    <row r="595" spans="1:13">
      <c r="A595" s="12" t="s">
        <v>139</v>
      </c>
      <c r="B595" s="13">
        <v>3.1611594965890202</v>
      </c>
      <c r="C595" s="13">
        <v>4.0200000000000005</v>
      </c>
      <c r="D595" s="15">
        <f t="shared" si="54"/>
        <v>7</v>
      </c>
      <c r="E595" s="15">
        <f t="shared" si="55"/>
        <v>0.2</v>
      </c>
      <c r="F595" s="15">
        <f t="shared" si="56"/>
        <v>5</v>
      </c>
      <c r="G595" s="15">
        <f t="shared" si="57"/>
        <v>3.1778799661008983</v>
      </c>
      <c r="H595" s="15">
        <f t="shared" si="58"/>
        <v>1</v>
      </c>
      <c r="I595" s="15">
        <f t="shared" si="59"/>
        <v>3.1778799661008983</v>
      </c>
      <c r="J595" s="15">
        <f>IF(CurrentMtgRatesDataTable8[[#This Row],[WA CC]]&lt;&gt;0,C594-CurrentMtgRatesDataTable8[[#This Row],[WA CC]],0)</f>
        <v>0.84212003389910217</v>
      </c>
      <c r="K595" s="16">
        <f>IF(CurrentMtgRatesDataTable8[[#This Row],[Servicing Spread]]&lt;=0,K594,CurrentMtgRatesDataTable8[[#This Row],[Servicing Spread]])</f>
        <v>0.84212003389910217</v>
      </c>
      <c r="L595" s="16">
        <f>CurrentMtgRatesDataTable8[[#This Row],[Servicing Spread Non-Zero]]-K594</f>
        <v>8.2161416576109758E-3</v>
      </c>
      <c r="M595" s="16">
        <f>IF(I594&lt;&gt;0,CurrentMtgRatesDataTable8[[#This Row],[Rate]]-C594,M594)</f>
        <v>-4.4999999999999041E-2</v>
      </c>
    </row>
    <row r="596" spans="1:13">
      <c r="A596" s="12" t="s">
        <v>703</v>
      </c>
      <c r="B596" s="13">
        <v>3.1399551635126901</v>
      </c>
      <c r="C596" s="13">
        <v>3.9749999999999996</v>
      </c>
      <c r="D596" s="15">
        <f t="shared" si="54"/>
        <v>1</v>
      </c>
      <c r="E596" s="15">
        <f t="shared" si="55"/>
        <v>0.2</v>
      </c>
      <c r="F596" s="15">
        <f t="shared" si="56"/>
        <v>1</v>
      </c>
      <c r="G596" s="15">
        <f t="shared" si="57"/>
        <v>0.62799103270253809</v>
      </c>
      <c r="H596" s="15">
        <f t="shared" si="58"/>
        <v>0.2</v>
      </c>
      <c r="I596" s="15">
        <f t="shared" si="59"/>
        <v>0</v>
      </c>
      <c r="J596" s="15">
        <f>IF(CurrentMtgRatesDataTable8[[#This Row],[WA CC]]&lt;&gt;0,C595-CurrentMtgRatesDataTable8[[#This Row],[WA CC]],0)</f>
        <v>0</v>
      </c>
      <c r="K596" s="16">
        <f>IF(CurrentMtgRatesDataTable8[[#This Row],[Servicing Spread]]&lt;=0,K595,CurrentMtgRatesDataTable8[[#This Row],[Servicing Spread]])</f>
        <v>0.84212003389910217</v>
      </c>
      <c r="L596" s="16">
        <f>CurrentMtgRatesDataTable8[[#This Row],[Servicing Spread Non-Zero]]-K595</f>
        <v>0</v>
      </c>
      <c r="M596" s="16">
        <f>IF(I595&lt;&gt;0,CurrentMtgRatesDataTable8[[#This Row],[Rate]]-C595,M595)</f>
        <v>-4.5000000000000817E-2</v>
      </c>
    </row>
    <row r="597" spans="1:13">
      <c r="A597" s="12" t="s">
        <v>561</v>
      </c>
      <c r="B597" s="13">
        <v>3.0935764216510502</v>
      </c>
      <c r="C597" s="13">
        <v>3.9749999999999996</v>
      </c>
      <c r="D597" s="15">
        <f t="shared" si="54"/>
        <v>2</v>
      </c>
      <c r="E597" s="15">
        <f t="shared" si="55"/>
        <v>0.2</v>
      </c>
      <c r="F597" s="15">
        <f t="shared" si="56"/>
        <v>2</v>
      </c>
      <c r="G597" s="15">
        <f t="shared" si="57"/>
        <v>1.2467063170327481</v>
      </c>
      <c r="H597" s="15">
        <f t="shared" si="58"/>
        <v>0.4</v>
      </c>
      <c r="I597" s="15">
        <f t="shared" si="59"/>
        <v>0</v>
      </c>
      <c r="J597" s="15">
        <f>IF(CurrentMtgRatesDataTable8[[#This Row],[WA CC]]&lt;&gt;0,C596-CurrentMtgRatesDataTable8[[#This Row],[WA CC]],0)</f>
        <v>0</v>
      </c>
      <c r="K597" s="16">
        <f>IF(CurrentMtgRatesDataTable8[[#This Row],[Servicing Spread]]&lt;=0,K596,CurrentMtgRatesDataTable8[[#This Row],[Servicing Spread]])</f>
        <v>0.84212003389910217</v>
      </c>
      <c r="L597" s="16">
        <f>CurrentMtgRatesDataTable8[[#This Row],[Servicing Spread Non-Zero]]-K596</f>
        <v>0</v>
      </c>
      <c r="M597" s="16">
        <f>IF(I596&lt;&gt;0,CurrentMtgRatesDataTable8[[#This Row],[Rate]]-C596,M596)</f>
        <v>-4.5000000000000817E-2</v>
      </c>
    </row>
    <row r="598" spans="1:13">
      <c r="A598" s="12" t="s">
        <v>416</v>
      </c>
      <c r="B598" s="13">
        <v>3.1399786597886301</v>
      </c>
      <c r="C598" s="13">
        <v>3.9749999999999996</v>
      </c>
      <c r="D598" s="15">
        <f t="shared" si="54"/>
        <v>5</v>
      </c>
      <c r="E598" s="15">
        <f t="shared" si="55"/>
        <v>0.2</v>
      </c>
      <c r="F598" s="15">
        <f t="shared" si="56"/>
        <v>3</v>
      </c>
      <c r="G598" s="15">
        <f t="shared" si="57"/>
        <v>1.8747020489904742</v>
      </c>
      <c r="H598" s="15">
        <f t="shared" si="58"/>
        <v>0.60000000000000009</v>
      </c>
      <c r="I598" s="15">
        <f t="shared" si="59"/>
        <v>0</v>
      </c>
      <c r="J598" s="15">
        <f>IF(CurrentMtgRatesDataTable8[[#This Row],[WA CC]]&lt;&gt;0,C597-CurrentMtgRatesDataTable8[[#This Row],[WA CC]],0)</f>
        <v>0</v>
      </c>
      <c r="K598" s="16">
        <f>IF(CurrentMtgRatesDataTable8[[#This Row],[Servicing Spread]]&lt;=0,K597,CurrentMtgRatesDataTable8[[#This Row],[Servicing Spread]])</f>
        <v>0.84212003389910217</v>
      </c>
      <c r="L598" s="16">
        <f>CurrentMtgRatesDataTable8[[#This Row],[Servicing Spread Non-Zero]]-K597</f>
        <v>0</v>
      </c>
      <c r="M598" s="16">
        <f>IF(I597&lt;&gt;0,CurrentMtgRatesDataTable8[[#This Row],[Rate]]-C597,M597)</f>
        <v>-4.5000000000000817E-2</v>
      </c>
    </row>
    <row r="599" spans="1:13">
      <c r="A599" s="12" t="s">
        <v>285</v>
      </c>
      <c r="B599" s="13">
        <v>3.1648384217316798</v>
      </c>
      <c r="C599" s="13">
        <v>3.9749999999999996</v>
      </c>
      <c r="D599" s="15">
        <f t="shared" si="54"/>
        <v>6</v>
      </c>
      <c r="E599" s="15">
        <f t="shared" si="55"/>
        <v>0.2</v>
      </c>
      <c r="F599" s="15">
        <f t="shared" si="56"/>
        <v>4</v>
      </c>
      <c r="G599" s="15">
        <f t="shared" si="57"/>
        <v>2.5076697333368103</v>
      </c>
      <c r="H599" s="15">
        <f t="shared" si="58"/>
        <v>0.8</v>
      </c>
      <c r="I599" s="15">
        <f t="shared" si="59"/>
        <v>0</v>
      </c>
      <c r="J599" s="15">
        <f>IF(CurrentMtgRatesDataTable8[[#This Row],[WA CC]]&lt;&gt;0,C598-CurrentMtgRatesDataTable8[[#This Row],[WA CC]],0)</f>
        <v>0</v>
      </c>
      <c r="K599" s="16">
        <f>IF(CurrentMtgRatesDataTable8[[#This Row],[Servicing Spread]]&lt;=0,K598,CurrentMtgRatesDataTable8[[#This Row],[Servicing Spread]])</f>
        <v>0.84212003389910217</v>
      </c>
      <c r="L599" s="16">
        <f>CurrentMtgRatesDataTable8[[#This Row],[Servicing Spread Non-Zero]]-K598</f>
        <v>0</v>
      </c>
      <c r="M599" s="16">
        <f>IF(I598&lt;&gt;0,CurrentMtgRatesDataTable8[[#This Row],[Rate]]-C598,M598)</f>
        <v>-4.5000000000000817E-2</v>
      </c>
    </row>
    <row r="600" spans="1:13">
      <c r="A600" s="12" t="s">
        <v>140</v>
      </c>
      <c r="B600" s="13">
        <v>3.1828839679523702</v>
      </c>
      <c r="C600" s="13">
        <v>3.9749999999999996</v>
      </c>
      <c r="D600" s="15">
        <f t="shared" si="54"/>
        <v>7</v>
      </c>
      <c r="E600" s="15">
        <f t="shared" si="55"/>
        <v>0.2</v>
      </c>
      <c r="F600" s="15">
        <f t="shared" si="56"/>
        <v>5</v>
      </c>
      <c r="G600" s="15">
        <f t="shared" si="57"/>
        <v>3.1442465269272843</v>
      </c>
      <c r="H600" s="15">
        <f t="shared" si="58"/>
        <v>1</v>
      </c>
      <c r="I600" s="15">
        <f t="shared" si="59"/>
        <v>3.1442465269272843</v>
      </c>
      <c r="J600" s="15">
        <f>IF(CurrentMtgRatesDataTable8[[#This Row],[WA CC]]&lt;&gt;0,C599-CurrentMtgRatesDataTable8[[#This Row],[WA CC]],0)</f>
        <v>0.8307534730727153</v>
      </c>
      <c r="K600" s="16">
        <f>IF(CurrentMtgRatesDataTable8[[#This Row],[Servicing Spread]]&lt;=0,K599,CurrentMtgRatesDataTable8[[#This Row],[Servicing Spread]])</f>
        <v>0.8307534730727153</v>
      </c>
      <c r="L600" s="16">
        <f>CurrentMtgRatesDataTable8[[#This Row],[Servicing Spread Non-Zero]]-K599</f>
        <v>-1.1366560826386873E-2</v>
      </c>
      <c r="M600" s="16">
        <f>IF(I599&lt;&gt;0,CurrentMtgRatesDataTable8[[#This Row],[Rate]]-C599,M599)</f>
        <v>-4.5000000000000817E-2</v>
      </c>
    </row>
    <row r="601" spans="1:13">
      <c r="A601" s="12" t="s">
        <v>704</v>
      </c>
      <c r="B601" s="13">
        <v>3.1567795766011701</v>
      </c>
      <c r="C601" s="13">
        <v>3.9749999999999996</v>
      </c>
      <c r="D601" s="15">
        <f t="shared" si="54"/>
        <v>1</v>
      </c>
      <c r="E601" s="15">
        <f t="shared" si="55"/>
        <v>0.2</v>
      </c>
      <c r="F601" s="15">
        <f t="shared" si="56"/>
        <v>1</v>
      </c>
      <c r="G601" s="15">
        <f t="shared" si="57"/>
        <v>0.63135591532023405</v>
      </c>
      <c r="H601" s="15">
        <f t="shared" si="58"/>
        <v>0.2</v>
      </c>
      <c r="I601" s="15">
        <f t="shared" si="59"/>
        <v>0</v>
      </c>
      <c r="J601" s="15">
        <f>IF(CurrentMtgRatesDataTable8[[#This Row],[WA CC]]&lt;&gt;0,C600-CurrentMtgRatesDataTable8[[#This Row],[WA CC]],0)</f>
        <v>0</v>
      </c>
      <c r="K601" s="16">
        <f>IF(CurrentMtgRatesDataTable8[[#This Row],[Servicing Spread]]&lt;=0,K600,CurrentMtgRatesDataTable8[[#This Row],[Servicing Spread]])</f>
        <v>0.8307534730727153</v>
      </c>
      <c r="L601" s="16">
        <f>CurrentMtgRatesDataTable8[[#This Row],[Servicing Spread Non-Zero]]-K600</f>
        <v>0</v>
      </c>
      <c r="M601" s="16">
        <f>IF(I600&lt;&gt;0,CurrentMtgRatesDataTable8[[#This Row],[Rate]]-C600,M600)</f>
        <v>0</v>
      </c>
    </row>
    <row r="602" spans="1:13">
      <c r="A602" s="12" t="s">
        <v>562</v>
      </c>
      <c r="B602" s="13">
        <v>3.1508216358267802</v>
      </c>
      <c r="C602" s="13">
        <v>3.9749999999999996</v>
      </c>
      <c r="D602" s="15">
        <f t="shared" si="54"/>
        <v>2</v>
      </c>
      <c r="E602" s="15">
        <f t="shared" si="55"/>
        <v>0.2</v>
      </c>
      <c r="F602" s="15">
        <f t="shared" si="56"/>
        <v>2</v>
      </c>
      <c r="G602" s="15">
        <f t="shared" si="57"/>
        <v>1.2615202424855902</v>
      </c>
      <c r="H602" s="15">
        <f t="shared" si="58"/>
        <v>0.4</v>
      </c>
      <c r="I602" s="15">
        <f t="shared" si="59"/>
        <v>0</v>
      </c>
      <c r="J602" s="15">
        <f>IF(CurrentMtgRatesDataTable8[[#This Row],[WA CC]]&lt;&gt;0,C601-CurrentMtgRatesDataTable8[[#This Row],[WA CC]],0)</f>
        <v>0</v>
      </c>
      <c r="K602" s="16">
        <f>IF(CurrentMtgRatesDataTable8[[#This Row],[Servicing Spread]]&lt;=0,K601,CurrentMtgRatesDataTable8[[#This Row],[Servicing Spread]])</f>
        <v>0.8307534730727153</v>
      </c>
      <c r="L602" s="16">
        <f>CurrentMtgRatesDataTable8[[#This Row],[Servicing Spread Non-Zero]]-K601</f>
        <v>0</v>
      </c>
      <c r="M602" s="16">
        <f>IF(I601&lt;&gt;0,CurrentMtgRatesDataTable8[[#This Row],[Rate]]-C601,M601)</f>
        <v>0</v>
      </c>
    </row>
    <row r="603" spans="1:13">
      <c r="A603" s="12" t="s">
        <v>417</v>
      </c>
      <c r="B603" s="13">
        <v>3.1385592562937199</v>
      </c>
      <c r="C603" s="13">
        <v>3.9749999999999996</v>
      </c>
      <c r="D603" s="15">
        <f t="shared" si="54"/>
        <v>5</v>
      </c>
      <c r="E603" s="15">
        <f t="shared" si="55"/>
        <v>0.2</v>
      </c>
      <c r="F603" s="15">
        <f t="shared" si="56"/>
        <v>3</v>
      </c>
      <c r="G603" s="15">
        <f t="shared" si="57"/>
        <v>1.8892320937443343</v>
      </c>
      <c r="H603" s="15">
        <f t="shared" si="58"/>
        <v>0.60000000000000009</v>
      </c>
      <c r="I603" s="15">
        <f t="shared" si="59"/>
        <v>0</v>
      </c>
      <c r="J603" s="15">
        <f>IF(CurrentMtgRatesDataTable8[[#This Row],[WA CC]]&lt;&gt;0,C602-CurrentMtgRatesDataTable8[[#This Row],[WA CC]],0)</f>
        <v>0</v>
      </c>
      <c r="K603" s="16">
        <f>IF(CurrentMtgRatesDataTable8[[#This Row],[Servicing Spread]]&lt;=0,K602,CurrentMtgRatesDataTable8[[#This Row],[Servicing Spread]])</f>
        <v>0.8307534730727153</v>
      </c>
      <c r="L603" s="16">
        <f>CurrentMtgRatesDataTable8[[#This Row],[Servicing Spread Non-Zero]]-K602</f>
        <v>0</v>
      </c>
      <c r="M603" s="16">
        <f>IF(I602&lt;&gt;0,CurrentMtgRatesDataTable8[[#This Row],[Rate]]-C602,M602)</f>
        <v>0</v>
      </c>
    </row>
    <row r="604" spans="1:13">
      <c r="A604" s="12" t="s">
        <v>286</v>
      </c>
      <c r="B604" s="13">
        <v>3.12943696082093</v>
      </c>
      <c r="C604" s="13">
        <v>3.9749999999999996</v>
      </c>
      <c r="D604" s="15">
        <f t="shared" si="54"/>
        <v>6</v>
      </c>
      <c r="E604" s="15">
        <f t="shared" si="55"/>
        <v>0.2</v>
      </c>
      <c r="F604" s="15">
        <f t="shared" si="56"/>
        <v>4</v>
      </c>
      <c r="G604" s="15">
        <f t="shared" si="57"/>
        <v>2.5151194859085204</v>
      </c>
      <c r="H604" s="15">
        <f t="shared" si="58"/>
        <v>0.8</v>
      </c>
      <c r="I604" s="15">
        <f t="shared" si="59"/>
        <v>0</v>
      </c>
      <c r="J604" s="15">
        <f>IF(CurrentMtgRatesDataTable8[[#This Row],[WA CC]]&lt;&gt;0,C603-CurrentMtgRatesDataTable8[[#This Row],[WA CC]],0)</f>
        <v>0</v>
      </c>
      <c r="K604" s="16">
        <f>IF(CurrentMtgRatesDataTable8[[#This Row],[Servicing Spread]]&lt;=0,K603,CurrentMtgRatesDataTable8[[#This Row],[Servicing Spread]])</f>
        <v>0.8307534730727153</v>
      </c>
      <c r="L604" s="16">
        <f>CurrentMtgRatesDataTable8[[#This Row],[Servicing Spread Non-Zero]]-K603</f>
        <v>0</v>
      </c>
      <c r="M604" s="16">
        <f>IF(I603&lt;&gt;0,CurrentMtgRatesDataTable8[[#This Row],[Rate]]-C603,M603)</f>
        <v>0</v>
      </c>
    </row>
    <row r="605" spans="1:13">
      <c r="A605" s="12" t="s">
        <v>141</v>
      </c>
      <c r="B605" s="13">
        <v>3.09887022841253</v>
      </c>
      <c r="C605" s="13">
        <v>3.9749999999999996</v>
      </c>
      <c r="D605" s="15">
        <f t="shared" si="54"/>
        <v>7</v>
      </c>
      <c r="E605" s="15">
        <f t="shared" si="55"/>
        <v>0.2</v>
      </c>
      <c r="F605" s="15">
        <f t="shared" si="56"/>
        <v>5</v>
      </c>
      <c r="G605" s="15">
        <f t="shared" si="57"/>
        <v>3.1348935315910262</v>
      </c>
      <c r="H605" s="15">
        <f t="shared" si="58"/>
        <v>1</v>
      </c>
      <c r="I605" s="15">
        <f t="shared" si="59"/>
        <v>3.1348935315910262</v>
      </c>
      <c r="J605" s="15">
        <f>IF(CurrentMtgRatesDataTable8[[#This Row],[WA CC]]&lt;&gt;0,C604-CurrentMtgRatesDataTable8[[#This Row],[WA CC]],0)</f>
        <v>0.84010646840897341</v>
      </c>
      <c r="K605" s="16">
        <f>IF(CurrentMtgRatesDataTable8[[#This Row],[Servicing Spread]]&lt;=0,K604,CurrentMtgRatesDataTable8[[#This Row],[Servicing Spread]])</f>
        <v>0.84010646840897341</v>
      </c>
      <c r="L605" s="16">
        <f>CurrentMtgRatesDataTable8[[#This Row],[Servicing Spread Non-Zero]]-K604</f>
        <v>9.3529953362581075E-3</v>
      </c>
      <c r="M605" s="16">
        <f>IF(I604&lt;&gt;0,CurrentMtgRatesDataTable8[[#This Row],[Rate]]-C604,M604)</f>
        <v>0</v>
      </c>
    </row>
    <row r="606" spans="1:13">
      <c r="A606" s="12" t="s">
        <v>705</v>
      </c>
      <c r="B606" s="13">
        <v>3.0781225342059799</v>
      </c>
      <c r="C606" s="13">
        <v>3.9749999999999996</v>
      </c>
      <c r="D606" s="15">
        <f t="shared" si="54"/>
        <v>1</v>
      </c>
      <c r="E606" s="15">
        <f t="shared" si="55"/>
        <v>0.2</v>
      </c>
      <c r="F606" s="15">
        <f t="shared" si="56"/>
        <v>1</v>
      </c>
      <c r="G606" s="15">
        <f t="shared" si="57"/>
        <v>0.61562450684119607</v>
      </c>
      <c r="H606" s="15">
        <f t="shared" si="58"/>
        <v>0.2</v>
      </c>
      <c r="I606" s="15">
        <f t="shared" si="59"/>
        <v>0</v>
      </c>
      <c r="J606" s="15">
        <f>IF(CurrentMtgRatesDataTable8[[#This Row],[WA CC]]&lt;&gt;0,C605-CurrentMtgRatesDataTable8[[#This Row],[WA CC]],0)</f>
        <v>0</v>
      </c>
      <c r="K606" s="16">
        <f>IF(CurrentMtgRatesDataTable8[[#This Row],[Servicing Spread]]&lt;=0,K605,CurrentMtgRatesDataTable8[[#This Row],[Servicing Spread]])</f>
        <v>0.84010646840897341</v>
      </c>
      <c r="L606" s="16">
        <f>CurrentMtgRatesDataTable8[[#This Row],[Servicing Spread Non-Zero]]-K605</f>
        <v>0</v>
      </c>
      <c r="M606" s="16">
        <f>IF(I605&lt;&gt;0,CurrentMtgRatesDataTable8[[#This Row],[Rate]]-C605,M605)</f>
        <v>0</v>
      </c>
    </row>
    <row r="607" spans="1:13">
      <c r="A607" s="12" t="s">
        <v>563</v>
      </c>
      <c r="B607" s="13">
        <v>3.0803371977218901</v>
      </c>
      <c r="C607" s="13">
        <v>3.9749999999999996</v>
      </c>
      <c r="D607" s="15">
        <f t="shared" si="54"/>
        <v>2</v>
      </c>
      <c r="E607" s="15">
        <f t="shared" si="55"/>
        <v>0.2</v>
      </c>
      <c r="F607" s="15">
        <f t="shared" si="56"/>
        <v>2</v>
      </c>
      <c r="G607" s="15">
        <f t="shared" si="57"/>
        <v>1.231691946385574</v>
      </c>
      <c r="H607" s="15">
        <f t="shared" si="58"/>
        <v>0.4</v>
      </c>
      <c r="I607" s="15">
        <f t="shared" si="59"/>
        <v>0</v>
      </c>
      <c r="J607" s="15">
        <f>IF(CurrentMtgRatesDataTable8[[#This Row],[WA CC]]&lt;&gt;0,C606-CurrentMtgRatesDataTable8[[#This Row],[WA CC]],0)</f>
        <v>0</v>
      </c>
      <c r="K607" s="16">
        <f>IF(CurrentMtgRatesDataTable8[[#This Row],[Servicing Spread]]&lt;=0,K606,CurrentMtgRatesDataTable8[[#This Row],[Servicing Spread]])</f>
        <v>0.84010646840897341</v>
      </c>
      <c r="L607" s="16">
        <f>CurrentMtgRatesDataTable8[[#This Row],[Servicing Spread Non-Zero]]-K606</f>
        <v>0</v>
      </c>
      <c r="M607" s="16">
        <f>IF(I606&lt;&gt;0,CurrentMtgRatesDataTable8[[#This Row],[Rate]]-C606,M606)</f>
        <v>0</v>
      </c>
    </row>
    <row r="608" spans="1:13">
      <c r="A608" s="12" t="s">
        <v>287</v>
      </c>
      <c r="B608" s="13">
        <v>3.1334692922129599</v>
      </c>
      <c r="C608" s="13">
        <v>3.9749999999999996</v>
      </c>
      <c r="D608" s="15">
        <f t="shared" si="54"/>
        <v>6</v>
      </c>
      <c r="E608" s="15">
        <f t="shared" si="55"/>
        <v>0.2</v>
      </c>
      <c r="F608" s="15">
        <f t="shared" si="56"/>
        <v>3</v>
      </c>
      <c r="G608" s="15">
        <f t="shared" si="57"/>
        <v>1.8583858048281661</v>
      </c>
      <c r="H608" s="15">
        <f t="shared" si="58"/>
        <v>0.60000000000000009</v>
      </c>
      <c r="I608" s="15">
        <f t="shared" si="59"/>
        <v>0</v>
      </c>
      <c r="J608" s="15">
        <f>IF(CurrentMtgRatesDataTable8[[#This Row],[WA CC]]&lt;&gt;0,C607-CurrentMtgRatesDataTable8[[#This Row],[WA CC]],0)</f>
        <v>0</v>
      </c>
      <c r="K608" s="16">
        <f>IF(CurrentMtgRatesDataTable8[[#This Row],[Servicing Spread]]&lt;=0,K607,CurrentMtgRatesDataTable8[[#This Row],[Servicing Spread]])</f>
        <v>0.84010646840897341</v>
      </c>
      <c r="L608" s="16">
        <f>CurrentMtgRatesDataTable8[[#This Row],[Servicing Spread Non-Zero]]-K607</f>
        <v>0</v>
      </c>
      <c r="M608" s="16">
        <f>IF(I607&lt;&gt;0,CurrentMtgRatesDataTable8[[#This Row],[Rate]]-C607,M607)</f>
        <v>0</v>
      </c>
    </row>
    <row r="609" spans="1:13">
      <c r="A609" s="12" t="s">
        <v>142</v>
      </c>
      <c r="B609" s="13">
        <v>3.1253552915520499</v>
      </c>
      <c r="C609" s="13">
        <v>3.9749999999999996</v>
      </c>
      <c r="D609" s="15">
        <f t="shared" si="54"/>
        <v>7</v>
      </c>
      <c r="E609" s="15">
        <f t="shared" si="55"/>
        <v>0.2</v>
      </c>
      <c r="F609" s="15">
        <f t="shared" si="56"/>
        <v>4</v>
      </c>
      <c r="G609" s="15">
        <f t="shared" si="57"/>
        <v>2.4834568631385761</v>
      </c>
      <c r="H609" s="15">
        <f t="shared" si="58"/>
        <v>0.8</v>
      </c>
      <c r="I609" s="15">
        <f t="shared" si="59"/>
        <v>3.1043210789232201</v>
      </c>
      <c r="J609" s="15">
        <f>IF(CurrentMtgRatesDataTable8[[#This Row],[WA CC]]&lt;&gt;0,C608-CurrentMtgRatesDataTable8[[#This Row],[WA CC]],0)</f>
        <v>0.87067892107677958</v>
      </c>
      <c r="K609" s="16">
        <f>IF(CurrentMtgRatesDataTable8[[#This Row],[Servicing Spread]]&lt;=0,K608,CurrentMtgRatesDataTable8[[#This Row],[Servicing Spread]])</f>
        <v>0.87067892107677958</v>
      </c>
      <c r="L609" s="16">
        <f>CurrentMtgRatesDataTable8[[#This Row],[Servicing Spread Non-Zero]]-K608</f>
        <v>3.0572452667806171E-2</v>
      </c>
      <c r="M609" s="16">
        <f>IF(I608&lt;&gt;0,CurrentMtgRatesDataTable8[[#This Row],[Rate]]-C608,M608)</f>
        <v>0</v>
      </c>
    </row>
    <row r="610" spans="1:13">
      <c r="A610" s="12" t="s">
        <v>706</v>
      </c>
      <c r="B610" s="13">
        <v>3.1528316914569898</v>
      </c>
      <c r="C610" s="13">
        <v>3.9950000000000001</v>
      </c>
      <c r="D610" s="15">
        <f t="shared" si="54"/>
        <v>1</v>
      </c>
      <c r="E610" s="15">
        <f t="shared" si="55"/>
        <v>0.2</v>
      </c>
      <c r="F610" s="15">
        <f t="shared" si="56"/>
        <v>1</v>
      </c>
      <c r="G610" s="15">
        <f t="shared" si="57"/>
        <v>0.63056633829139797</v>
      </c>
      <c r="H610" s="15">
        <f t="shared" si="58"/>
        <v>0.2</v>
      </c>
      <c r="I610" s="15">
        <f t="shared" si="59"/>
        <v>0</v>
      </c>
      <c r="J610" s="15">
        <f>IF(CurrentMtgRatesDataTable8[[#This Row],[WA CC]]&lt;&gt;0,C609-CurrentMtgRatesDataTable8[[#This Row],[WA CC]],0)</f>
        <v>0</v>
      </c>
      <c r="K610" s="16">
        <f>IF(CurrentMtgRatesDataTable8[[#This Row],[Servicing Spread]]&lt;=0,K609,CurrentMtgRatesDataTable8[[#This Row],[Servicing Spread]])</f>
        <v>0.87067892107677958</v>
      </c>
      <c r="L610" s="16">
        <f>CurrentMtgRatesDataTable8[[#This Row],[Servicing Spread Non-Zero]]-K609</f>
        <v>0</v>
      </c>
      <c r="M610" s="16">
        <f>IF(I609&lt;&gt;0,CurrentMtgRatesDataTable8[[#This Row],[Rate]]-C609,M609)</f>
        <v>2.0000000000000462E-2</v>
      </c>
    </row>
    <row r="611" spans="1:13">
      <c r="A611" s="12" t="s">
        <v>564</v>
      </c>
      <c r="B611" s="13">
        <v>3.1681849384338299</v>
      </c>
      <c r="C611" s="13">
        <v>3.9950000000000001</v>
      </c>
      <c r="D611" s="15">
        <f t="shared" si="54"/>
        <v>2</v>
      </c>
      <c r="E611" s="15">
        <f t="shared" si="55"/>
        <v>0.2</v>
      </c>
      <c r="F611" s="15">
        <f t="shared" si="56"/>
        <v>2</v>
      </c>
      <c r="G611" s="15">
        <f t="shared" si="57"/>
        <v>1.264203325978164</v>
      </c>
      <c r="H611" s="15">
        <f t="shared" si="58"/>
        <v>0.4</v>
      </c>
      <c r="I611" s="15">
        <f t="shared" si="59"/>
        <v>0</v>
      </c>
      <c r="J611" s="15">
        <f>IF(CurrentMtgRatesDataTable8[[#This Row],[WA CC]]&lt;&gt;0,C610-CurrentMtgRatesDataTable8[[#This Row],[WA CC]],0)</f>
        <v>0</v>
      </c>
      <c r="K611" s="16">
        <f>IF(CurrentMtgRatesDataTable8[[#This Row],[Servicing Spread]]&lt;=0,K610,CurrentMtgRatesDataTable8[[#This Row],[Servicing Spread]])</f>
        <v>0.87067892107677958</v>
      </c>
      <c r="L611" s="16">
        <f>CurrentMtgRatesDataTable8[[#This Row],[Servicing Spread Non-Zero]]-K610</f>
        <v>0</v>
      </c>
      <c r="M611" s="16">
        <f>IF(I610&lt;&gt;0,CurrentMtgRatesDataTable8[[#This Row],[Rate]]-C610,M610)</f>
        <v>2.0000000000000462E-2</v>
      </c>
    </row>
    <row r="612" spans="1:13">
      <c r="A612" s="12" t="s">
        <v>418</v>
      </c>
      <c r="B612" s="13">
        <v>3.1760802516618698</v>
      </c>
      <c r="C612" s="13">
        <v>3.9950000000000001</v>
      </c>
      <c r="D612" s="15">
        <f t="shared" si="54"/>
        <v>5</v>
      </c>
      <c r="E612" s="15">
        <f t="shared" si="55"/>
        <v>0.2</v>
      </c>
      <c r="F612" s="15">
        <f t="shared" si="56"/>
        <v>3</v>
      </c>
      <c r="G612" s="15">
        <f t="shared" si="57"/>
        <v>1.899419376310538</v>
      </c>
      <c r="H612" s="15">
        <f t="shared" si="58"/>
        <v>0.60000000000000009</v>
      </c>
      <c r="I612" s="15">
        <f t="shared" si="59"/>
        <v>0</v>
      </c>
      <c r="J612" s="15">
        <f>IF(CurrentMtgRatesDataTable8[[#This Row],[WA CC]]&lt;&gt;0,C611-CurrentMtgRatesDataTable8[[#This Row],[WA CC]],0)</f>
        <v>0</v>
      </c>
      <c r="K612" s="16">
        <f>IF(CurrentMtgRatesDataTable8[[#This Row],[Servicing Spread]]&lt;=0,K611,CurrentMtgRatesDataTable8[[#This Row],[Servicing Spread]])</f>
        <v>0.87067892107677958</v>
      </c>
      <c r="L612" s="16">
        <f>CurrentMtgRatesDataTable8[[#This Row],[Servicing Spread Non-Zero]]-K611</f>
        <v>0</v>
      </c>
      <c r="M612" s="16">
        <f>IF(I611&lt;&gt;0,CurrentMtgRatesDataTable8[[#This Row],[Rate]]-C611,M611)</f>
        <v>2.0000000000000462E-2</v>
      </c>
    </row>
    <row r="613" spans="1:13">
      <c r="A613" s="12" t="s">
        <v>288</v>
      </c>
      <c r="B613" s="13">
        <v>3.20426354311416</v>
      </c>
      <c r="C613" s="13">
        <v>3.9950000000000001</v>
      </c>
      <c r="D613" s="15">
        <f t="shared" si="54"/>
        <v>6</v>
      </c>
      <c r="E613" s="15">
        <f t="shared" si="55"/>
        <v>0.2</v>
      </c>
      <c r="F613" s="15">
        <f t="shared" si="56"/>
        <v>4</v>
      </c>
      <c r="G613" s="15">
        <f t="shared" si="57"/>
        <v>2.54027208493337</v>
      </c>
      <c r="H613" s="15">
        <f t="shared" si="58"/>
        <v>0.8</v>
      </c>
      <c r="I613" s="15">
        <f t="shared" si="59"/>
        <v>0</v>
      </c>
      <c r="J613" s="15">
        <f>IF(CurrentMtgRatesDataTable8[[#This Row],[WA CC]]&lt;&gt;0,C612-CurrentMtgRatesDataTable8[[#This Row],[WA CC]],0)</f>
        <v>0</v>
      </c>
      <c r="K613" s="16">
        <f>IF(CurrentMtgRatesDataTable8[[#This Row],[Servicing Spread]]&lt;=0,K612,CurrentMtgRatesDataTable8[[#This Row],[Servicing Spread]])</f>
        <v>0.87067892107677958</v>
      </c>
      <c r="L613" s="16">
        <f>CurrentMtgRatesDataTable8[[#This Row],[Servicing Spread Non-Zero]]-K612</f>
        <v>0</v>
      </c>
      <c r="M613" s="16">
        <f>IF(I612&lt;&gt;0,CurrentMtgRatesDataTable8[[#This Row],[Rate]]-C612,M612)</f>
        <v>2.0000000000000462E-2</v>
      </c>
    </row>
    <row r="614" spans="1:13">
      <c r="A614" s="12" t="s">
        <v>143</v>
      </c>
      <c r="B614" s="13">
        <v>3.23966504008277</v>
      </c>
      <c r="C614" s="13">
        <v>3.9950000000000001</v>
      </c>
      <c r="D614" s="15">
        <f t="shared" si="54"/>
        <v>7</v>
      </c>
      <c r="E614" s="15">
        <f t="shared" si="55"/>
        <v>0.2</v>
      </c>
      <c r="F614" s="15">
        <f t="shared" si="56"/>
        <v>5</v>
      </c>
      <c r="G614" s="15">
        <f t="shared" si="57"/>
        <v>3.1882050929499242</v>
      </c>
      <c r="H614" s="15">
        <f t="shared" si="58"/>
        <v>1</v>
      </c>
      <c r="I614" s="15">
        <f t="shared" si="59"/>
        <v>3.1882050929499242</v>
      </c>
      <c r="J614" s="15">
        <f>IF(CurrentMtgRatesDataTable8[[#This Row],[WA CC]]&lt;&gt;0,C613-CurrentMtgRatesDataTable8[[#This Row],[WA CC]],0)</f>
        <v>0.80679490705007595</v>
      </c>
      <c r="K614" s="16">
        <f>IF(CurrentMtgRatesDataTable8[[#This Row],[Servicing Spread]]&lt;=0,K613,CurrentMtgRatesDataTable8[[#This Row],[Servicing Spread]])</f>
        <v>0.80679490705007595</v>
      </c>
      <c r="L614" s="16">
        <f>CurrentMtgRatesDataTable8[[#This Row],[Servicing Spread Non-Zero]]-K613</f>
        <v>-6.3884014026703628E-2</v>
      </c>
      <c r="M614" s="16">
        <f>IF(I613&lt;&gt;0,CurrentMtgRatesDataTable8[[#This Row],[Rate]]-C613,M613)</f>
        <v>2.0000000000000462E-2</v>
      </c>
    </row>
    <row r="615" spans="1:13">
      <c r="A615" s="12" t="s">
        <v>707</v>
      </c>
      <c r="B615" s="13">
        <v>3.2385398598967701</v>
      </c>
      <c r="C615" s="13">
        <v>4.1050000000000004</v>
      </c>
      <c r="D615" s="15">
        <f t="shared" si="54"/>
        <v>1</v>
      </c>
      <c r="E615" s="15">
        <f t="shared" si="55"/>
        <v>0.2</v>
      </c>
      <c r="F615" s="15">
        <f t="shared" si="56"/>
        <v>1</v>
      </c>
      <c r="G615" s="15">
        <f t="shared" si="57"/>
        <v>0.64770797197935404</v>
      </c>
      <c r="H615" s="15">
        <f t="shared" si="58"/>
        <v>0.2</v>
      </c>
      <c r="I615" s="15">
        <f t="shared" si="59"/>
        <v>0</v>
      </c>
      <c r="J615" s="15">
        <f>IF(CurrentMtgRatesDataTable8[[#This Row],[WA CC]]&lt;&gt;0,C614-CurrentMtgRatesDataTable8[[#This Row],[WA CC]],0)</f>
        <v>0</v>
      </c>
      <c r="K615" s="16">
        <f>IF(CurrentMtgRatesDataTable8[[#This Row],[Servicing Spread]]&lt;=0,K614,CurrentMtgRatesDataTable8[[#This Row],[Servicing Spread]])</f>
        <v>0.80679490705007595</v>
      </c>
      <c r="L615" s="16">
        <f>CurrentMtgRatesDataTable8[[#This Row],[Servicing Spread Non-Zero]]-K614</f>
        <v>0</v>
      </c>
      <c r="M615" s="16">
        <f>IF(I614&lt;&gt;0,CurrentMtgRatesDataTable8[[#This Row],[Rate]]-C614,M614)</f>
        <v>0.11000000000000032</v>
      </c>
    </row>
    <row r="616" spans="1:13">
      <c r="A616" s="12" t="s">
        <v>565</v>
      </c>
      <c r="B616" s="13">
        <v>3.3013053863626398</v>
      </c>
      <c r="C616" s="13">
        <v>4.1050000000000004</v>
      </c>
      <c r="D616" s="15">
        <f t="shared" si="54"/>
        <v>2</v>
      </c>
      <c r="E616" s="15">
        <f t="shared" si="55"/>
        <v>0.2</v>
      </c>
      <c r="F616" s="15">
        <f t="shared" si="56"/>
        <v>2</v>
      </c>
      <c r="G616" s="15">
        <f t="shared" si="57"/>
        <v>1.3079690492518821</v>
      </c>
      <c r="H616" s="15">
        <f t="shared" si="58"/>
        <v>0.4</v>
      </c>
      <c r="I616" s="15">
        <f t="shared" si="59"/>
        <v>0</v>
      </c>
      <c r="J616" s="15">
        <f>IF(CurrentMtgRatesDataTable8[[#This Row],[WA CC]]&lt;&gt;0,C615-CurrentMtgRatesDataTable8[[#This Row],[WA CC]],0)</f>
        <v>0</v>
      </c>
      <c r="K616" s="16">
        <f>IF(CurrentMtgRatesDataTable8[[#This Row],[Servicing Spread]]&lt;=0,K615,CurrentMtgRatesDataTable8[[#This Row],[Servicing Spread]])</f>
        <v>0.80679490705007595</v>
      </c>
      <c r="L616" s="16">
        <f>CurrentMtgRatesDataTable8[[#This Row],[Servicing Spread Non-Zero]]-K615</f>
        <v>0</v>
      </c>
      <c r="M616" s="16">
        <f>IF(I615&lt;&gt;0,CurrentMtgRatesDataTable8[[#This Row],[Rate]]-C615,M615)</f>
        <v>0.11000000000000032</v>
      </c>
    </row>
    <row r="617" spans="1:13">
      <c r="A617" s="12" t="s">
        <v>419</v>
      </c>
      <c r="B617" s="13">
        <v>3.2813411057709199</v>
      </c>
      <c r="C617" s="13">
        <v>4.1050000000000004</v>
      </c>
      <c r="D617" s="15">
        <f t="shared" si="54"/>
        <v>5</v>
      </c>
      <c r="E617" s="15">
        <f t="shared" si="55"/>
        <v>0.2</v>
      </c>
      <c r="F617" s="15">
        <f t="shared" si="56"/>
        <v>3</v>
      </c>
      <c r="G617" s="15">
        <f t="shared" si="57"/>
        <v>1.9642372704060662</v>
      </c>
      <c r="H617" s="15">
        <f t="shared" si="58"/>
        <v>0.60000000000000009</v>
      </c>
      <c r="I617" s="15">
        <f t="shared" si="59"/>
        <v>0</v>
      </c>
      <c r="J617" s="15">
        <f>IF(CurrentMtgRatesDataTable8[[#This Row],[WA CC]]&lt;&gt;0,C616-CurrentMtgRatesDataTable8[[#This Row],[WA CC]],0)</f>
        <v>0</v>
      </c>
      <c r="K617" s="16">
        <f>IF(CurrentMtgRatesDataTable8[[#This Row],[Servicing Spread]]&lt;=0,K616,CurrentMtgRatesDataTable8[[#This Row],[Servicing Spread]])</f>
        <v>0.80679490705007595</v>
      </c>
      <c r="L617" s="16">
        <f>CurrentMtgRatesDataTable8[[#This Row],[Servicing Spread Non-Zero]]-K616</f>
        <v>0</v>
      </c>
      <c r="M617" s="16">
        <f>IF(I616&lt;&gt;0,CurrentMtgRatesDataTable8[[#This Row],[Rate]]-C616,M616)</f>
        <v>0.11000000000000032</v>
      </c>
    </row>
    <row r="618" spans="1:13">
      <c r="A618" s="12" t="s">
        <v>289</v>
      </c>
      <c r="B618" s="13">
        <v>3.28408302284724</v>
      </c>
      <c r="C618" s="13">
        <v>4.1050000000000004</v>
      </c>
      <c r="D618" s="15">
        <f t="shared" si="54"/>
        <v>6</v>
      </c>
      <c r="E618" s="15">
        <f t="shared" si="55"/>
        <v>0.2</v>
      </c>
      <c r="F618" s="15">
        <f t="shared" si="56"/>
        <v>4</v>
      </c>
      <c r="G618" s="15">
        <f t="shared" si="57"/>
        <v>2.6210538749755141</v>
      </c>
      <c r="H618" s="15">
        <f t="shared" si="58"/>
        <v>0.8</v>
      </c>
      <c r="I618" s="15">
        <f t="shared" si="59"/>
        <v>0</v>
      </c>
      <c r="J618" s="15">
        <f>IF(CurrentMtgRatesDataTable8[[#This Row],[WA CC]]&lt;&gt;0,C617-CurrentMtgRatesDataTable8[[#This Row],[WA CC]],0)</f>
        <v>0</v>
      </c>
      <c r="K618" s="16">
        <f>IF(CurrentMtgRatesDataTable8[[#This Row],[Servicing Spread]]&lt;=0,K617,CurrentMtgRatesDataTable8[[#This Row],[Servicing Spread]])</f>
        <v>0.80679490705007595</v>
      </c>
      <c r="L618" s="16">
        <f>CurrentMtgRatesDataTable8[[#This Row],[Servicing Spread Non-Zero]]-K617</f>
        <v>0</v>
      </c>
      <c r="M618" s="16">
        <f>IF(I617&lt;&gt;0,CurrentMtgRatesDataTable8[[#This Row],[Rate]]-C617,M617)</f>
        <v>0.11000000000000032</v>
      </c>
    </row>
    <row r="619" spans="1:13">
      <c r="A619" s="12" t="s">
        <v>144</v>
      </c>
      <c r="B619" s="13">
        <v>3.2889456294412902</v>
      </c>
      <c r="C619" s="13">
        <v>4.1050000000000004</v>
      </c>
      <c r="D619" s="15">
        <f t="shared" si="54"/>
        <v>7</v>
      </c>
      <c r="E619" s="15">
        <f t="shared" si="55"/>
        <v>0.2</v>
      </c>
      <c r="F619" s="15">
        <f t="shared" si="56"/>
        <v>5</v>
      </c>
      <c r="G619" s="15">
        <f t="shared" si="57"/>
        <v>3.2788430008637723</v>
      </c>
      <c r="H619" s="15">
        <f t="shared" si="58"/>
        <v>1</v>
      </c>
      <c r="I619" s="15">
        <f t="shared" si="59"/>
        <v>3.2788430008637723</v>
      </c>
      <c r="J619" s="15">
        <f>IF(CurrentMtgRatesDataTable8[[#This Row],[WA CC]]&lt;&gt;0,C618-CurrentMtgRatesDataTable8[[#This Row],[WA CC]],0)</f>
        <v>0.82615699913622809</v>
      </c>
      <c r="K619" s="16">
        <f>IF(CurrentMtgRatesDataTable8[[#This Row],[Servicing Spread]]&lt;=0,K618,CurrentMtgRatesDataTable8[[#This Row],[Servicing Spread]])</f>
        <v>0.82615699913622809</v>
      </c>
      <c r="L619" s="16">
        <f>CurrentMtgRatesDataTable8[[#This Row],[Servicing Spread Non-Zero]]-K618</f>
        <v>1.9362092086152138E-2</v>
      </c>
      <c r="M619" s="16">
        <f>IF(I618&lt;&gt;0,CurrentMtgRatesDataTable8[[#This Row],[Rate]]-C618,M618)</f>
        <v>0.11000000000000032</v>
      </c>
    </row>
    <row r="620" spans="1:13">
      <c r="A620" s="12" t="s">
        <v>708</v>
      </c>
      <c r="B620" s="13">
        <v>3.3001731665241301</v>
      </c>
      <c r="C620" s="13">
        <v>4.0750000000000002</v>
      </c>
      <c r="D620" s="15">
        <f t="shared" si="54"/>
        <v>1</v>
      </c>
      <c r="E620" s="15">
        <f t="shared" si="55"/>
        <v>0.2</v>
      </c>
      <c r="F620" s="15">
        <f t="shared" si="56"/>
        <v>1</v>
      </c>
      <c r="G620" s="15">
        <f t="shared" si="57"/>
        <v>0.66003463330482603</v>
      </c>
      <c r="H620" s="15">
        <f t="shared" si="58"/>
        <v>0.2</v>
      </c>
      <c r="I620" s="15">
        <f t="shared" si="59"/>
        <v>0</v>
      </c>
      <c r="J620" s="15">
        <f>IF(CurrentMtgRatesDataTable8[[#This Row],[WA CC]]&lt;&gt;0,C619-CurrentMtgRatesDataTable8[[#This Row],[WA CC]],0)</f>
        <v>0</v>
      </c>
      <c r="K620" s="16">
        <f>IF(CurrentMtgRatesDataTable8[[#This Row],[Servicing Spread]]&lt;=0,K619,CurrentMtgRatesDataTable8[[#This Row],[Servicing Spread]])</f>
        <v>0.82615699913622809</v>
      </c>
      <c r="L620" s="16">
        <f>CurrentMtgRatesDataTable8[[#This Row],[Servicing Spread Non-Zero]]-K619</f>
        <v>0</v>
      </c>
      <c r="M620" s="16">
        <f>IF(I619&lt;&gt;0,CurrentMtgRatesDataTable8[[#This Row],[Rate]]-C619,M619)</f>
        <v>-3.0000000000000249E-2</v>
      </c>
    </row>
    <row r="621" spans="1:13">
      <c r="A621" s="12" t="s">
        <v>566</v>
      </c>
      <c r="B621" s="13">
        <v>3.2564979130093699</v>
      </c>
      <c r="C621" s="13">
        <v>4.0750000000000002</v>
      </c>
      <c r="D621" s="15">
        <f t="shared" si="54"/>
        <v>2</v>
      </c>
      <c r="E621" s="15">
        <f t="shared" si="55"/>
        <v>0.2</v>
      </c>
      <c r="F621" s="15">
        <f t="shared" si="56"/>
        <v>2</v>
      </c>
      <c r="G621" s="15">
        <f t="shared" si="57"/>
        <v>1.3113342159067001</v>
      </c>
      <c r="H621" s="15">
        <f t="shared" si="58"/>
        <v>0.4</v>
      </c>
      <c r="I621" s="15">
        <f t="shared" si="59"/>
        <v>0</v>
      </c>
      <c r="J621" s="15">
        <f>IF(CurrentMtgRatesDataTable8[[#This Row],[WA CC]]&lt;&gt;0,C620-CurrentMtgRatesDataTable8[[#This Row],[WA CC]],0)</f>
        <v>0</v>
      </c>
      <c r="K621" s="16">
        <f>IF(CurrentMtgRatesDataTable8[[#This Row],[Servicing Spread]]&lt;=0,K620,CurrentMtgRatesDataTable8[[#This Row],[Servicing Spread]])</f>
        <v>0.82615699913622809</v>
      </c>
      <c r="L621" s="16">
        <f>CurrentMtgRatesDataTable8[[#This Row],[Servicing Spread Non-Zero]]-K620</f>
        <v>0</v>
      </c>
      <c r="M621" s="16">
        <f>IF(I620&lt;&gt;0,CurrentMtgRatesDataTable8[[#This Row],[Rate]]-C620,M620)</f>
        <v>-3.0000000000000249E-2</v>
      </c>
    </row>
    <row r="622" spans="1:13">
      <c r="A622" s="12" t="s">
        <v>420</v>
      </c>
      <c r="B622" s="13">
        <v>3.2397623305872298</v>
      </c>
      <c r="C622" s="13">
        <v>4.0750000000000002</v>
      </c>
      <c r="D622" s="15">
        <f t="shared" si="54"/>
        <v>5</v>
      </c>
      <c r="E622" s="15">
        <f t="shared" si="55"/>
        <v>0.2</v>
      </c>
      <c r="F622" s="15">
        <f t="shared" si="56"/>
        <v>3</v>
      </c>
      <c r="G622" s="15">
        <f t="shared" si="57"/>
        <v>1.9592866820241461</v>
      </c>
      <c r="H622" s="15">
        <f t="shared" si="58"/>
        <v>0.60000000000000009</v>
      </c>
      <c r="I622" s="15">
        <f t="shared" si="59"/>
        <v>0</v>
      </c>
      <c r="J622" s="15">
        <f>IF(CurrentMtgRatesDataTable8[[#This Row],[WA CC]]&lt;&gt;0,C621-CurrentMtgRatesDataTable8[[#This Row],[WA CC]],0)</f>
        <v>0</v>
      </c>
      <c r="K622" s="16">
        <f>IF(CurrentMtgRatesDataTable8[[#This Row],[Servicing Spread]]&lt;=0,K621,CurrentMtgRatesDataTable8[[#This Row],[Servicing Spread]])</f>
        <v>0.82615699913622809</v>
      </c>
      <c r="L622" s="16">
        <f>CurrentMtgRatesDataTable8[[#This Row],[Servicing Spread Non-Zero]]-K621</f>
        <v>0</v>
      </c>
      <c r="M622" s="16">
        <f>IF(I621&lt;&gt;0,CurrentMtgRatesDataTable8[[#This Row],[Rate]]-C621,M621)</f>
        <v>-3.0000000000000249E-2</v>
      </c>
    </row>
    <row r="623" spans="1:13">
      <c r="A623" s="12" t="s">
        <v>290</v>
      </c>
      <c r="B623" s="13">
        <v>3.2147148443632201</v>
      </c>
      <c r="C623" s="13">
        <v>4.0750000000000002</v>
      </c>
      <c r="D623" s="15">
        <f t="shared" si="54"/>
        <v>6</v>
      </c>
      <c r="E623" s="15">
        <f t="shared" si="55"/>
        <v>0.2</v>
      </c>
      <c r="F623" s="15">
        <f t="shared" si="56"/>
        <v>4</v>
      </c>
      <c r="G623" s="15">
        <f t="shared" si="57"/>
        <v>2.6022296508967901</v>
      </c>
      <c r="H623" s="15">
        <f t="shared" si="58"/>
        <v>0.8</v>
      </c>
      <c r="I623" s="15">
        <f t="shared" si="59"/>
        <v>0</v>
      </c>
      <c r="J623" s="15">
        <f>IF(CurrentMtgRatesDataTable8[[#This Row],[WA CC]]&lt;&gt;0,C622-CurrentMtgRatesDataTable8[[#This Row],[WA CC]],0)</f>
        <v>0</v>
      </c>
      <c r="K623" s="16">
        <f>IF(CurrentMtgRatesDataTable8[[#This Row],[Servicing Spread]]&lt;=0,K622,CurrentMtgRatesDataTable8[[#This Row],[Servicing Spread]])</f>
        <v>0.82615699913622809</v>
      </c>
      <c r="L623" s="16">
        <f>CurrentMtgRatesDataTable8[[#This Row],[Servicing Spread Non-Zero]]-K622</f>
        <v>0</v>
      </c>
      <c r="M623" s="16">
        <f>IF(I622&lt;&gt;0,CurrentMtgRatesDataTable8[[#This Row],[Rate]]-C622,M622)</f>
        <v>-3.0000000000000249E-2</v>
      </c>
    </row>
    <row r="624" spans="1:13">
      <c r="A624" s="12" t="s">
        <v>145</v>
      </c>
      <c r="B624" s="13">
        <v>3.24020380359058</v>
      </c>
      <c r="C624" s="13">
        <v>4.0750000000000002</v>
      </c>
      <c r="D624" s="15">
        <f t="shared" si="54"/>
        <v>7</v>
      </c>
      <c r="E624" s="15">
        <f t="shared" si="55"/>
        <v>0.2</v>
      </c>
      <c r="F624" s="15">
        <f t="shared" si="56"/>
        <v>5</v>
      </c>
      <c r="G624" s="15">
        <f t="shared" si="57"/>
        <v>3.2502704116149062</v>
      </c>
      <c r="H624" s="15">
        <f t="shared" si="58"/>
        <v>1</v>
      </c>
      <c r="I624" s="15">
        <f t="shared" si="59"/>
        <v>3.2502704116149062</v>
      </c>
      <c r="J624" s="15">
        <f>IF(CurrentMtgRatesDataTable8[[#This Row],[WA CC]]&lt;&gt;0,C623-CurrentMtgRatesDataTable8[[#This Row],[WA CC]],0)</f>
        <v>0.82472958838509403</v>
      </c>
      <c r="K624" s="16">
        <f>IF(CurrentMtgRatesDataTable8[[#This Row],[Servicing Spread]]&lt;=0,K623,CurrentMtgRatesDataTable8[[#This Row],[Servicing Spread]])</f>
        <v>0.82472958838509403</v>
      </c>
      <c r="L624" s="16">
        <f>CurrentMtgRatesDataTable8[[#This Row],[Servicing Spread Non-Zero]]-K623</f>
        <v>-1.4274107511340617E-3</v>
      </c>
      <c r="M624" s="16">
        <f>IF(I623&lt;&gt;0,CurrentMtgRatesDataTable8[[#This Row],[Rate]]-C623,M623)</f>
        <v>-3.0000000000000249E-2</v>
      </c>
    </row>
    <row r="625" spans="1:13">
      <c r="A625" s="12" t="s">
        <v>709</v>
      </c>
      <c r="B625" s="13">
        <v>3.19667473354923</v>
      </c>
      <c r="C625" s="13">
        <v>4.04</v>
      </c>
      <c r="D625" s="15">
        <f t="shared" si="54"/>
        <v>1</v>
      </c>
      <c r="E625" s="15">
        <f t="shared" si="55"/>
        <v>0.2</v>
      </c>
      <c r="F625" s="15">
        <f t="shared" si="56"/>
        <v>1</v>
      </c>
      <c r="G625" s="15">
        <f t="shared" si="57"/>
        <v>0.63933494670984603</v>
      </c>
      <c r="H625" s="15">
        <f t="shared" si="58"/>
        <v>0.2</v>
      </c>
      <c r="I625" s="15">
        <f t="shared" si="59"/>
        <v>0</v>
      </c>
      <c r="J625" s="15">
        <f>IF(CurrentMtgRatesDataTable8[[#This Row],[WA CC]]&lt;&gt;0,C624-CurrentMtgRatesDataTable8[[#This Row],[WA CC]],0)</f>
        <v>0</v>
      </c>
      <c r="K625" s="16">
        <f>IF(CurrentMtgRatesDataTable8[[#This Row],[Servicing Spread]]&lt;=0,K624,CurrentMtgRatesDataTable8[[#This Row],[Servicing Spread]])</f>
        <v>0.82472958838509403</v>
      </c>
      <c r="L625" s="16">
        <f>CurrentMtgRatesDataTable8[[#This Row],[Servicing Spread Non-Zero]]-K624</f>
        <v>0</v>
      </c>
      <c r="M625" s="16">
        <f>IF(I624&lt;&gt;0,CurrentMtgRatesDataTable8[[#This Row],[Rate]]-C624,M624)</f>
        <v>-3.5000000000000142E-2</v>
      </c>
    </row>
    <row r="626" spans="1:13">
      <c r="A626" s="12" t="s">
        <v>567</v>
      </c>
      <c r="B626" s="13">
        <v>3.21516848659176</v>
      </c>
      <c r="C626" s="13">
        <v>4.04</v>
      </c>
      <c r="D626" s="15">
        <f t="shared" si="54"/>
        <v>2</v>
      </c>
      <c r="E626" s="15">
        <f t="shared" si="55"/>
        <v>0.2</v>
      </c>
      <c r="F626" s="15">
        <f t="shared" si="56"/>
        <v>2</v>
      </c>
      <c r="G626" s="15">
        <f t="shared" si="57"/>
        <v>1.2823686440281981</v>
      </c>
      <c r="H626" s="15">
        <f t="shared" si="58"/>
        <v>0.4</v>
      </c>
      <c r="I626" s="15">
        <f t="shared" si="59"/>
        <v>0</v>
      </c>
      <c r="J626" s="15">
        <f>IF(CurrentMtgRatesDataTable8[[#This Row],[WA CC]]&lt;&gt;0,C625-CurrentMtgRatesDataTable8[[#This Row],[WA CC]],0)</f>
        <v>0</v>
      </c>
      <c r="K626" s="16">
        <f>IF(CurrentMtgRatesDataTable8[[#This Row],[Servicing Spread]]&lt;=0,K625,CurrentMtgRatesDataTable8[[#This Row],[Servicing Spread]])</f>
        <v>0.82472958838509403</v>
      </c>
      <c r="L626" s="16">
        <f>CurrentMtgRatesDataTable8[[#This Row],[Servicing Spread Non-Zero]]-K625</f>
        <v>0</v>
      </c>
      <c r="M626" s="16">
        <f>IF(I625&lt;&gt;0,CurrentMtgRatesDataTable8[[#This Row],[Rate]]-C625,M625)</f>
        <v>-3.5000000000000142E-2</v>
      </c>
    </row>
    <row r="627" spans="1:13">
      <c r="A627" s="12" t="s">
        <v>421</v>
      </c>
      <c r="B627" s="13">
        <v>3.1926835363021802</v>
      </c>
      <c r="C627" s="13">
        <v>4.04</v>
      </c>
      <c r="D627" s="15">
        <f t="shared" si="54"/>
        <v>5</v>
      </c>
      <c r="E627" s="15">
        <f t="shared" si="55"/>
        <v>0.2</v>
      </c>
      <c r="F627" s="15">
        <f t="shared" si="56"/>
        <v>3</v>
      </c>
      <c r="G627" s="15">
        <f t="shared" si="57"/>
        <v>1.920905351288634</v>
      </c>
      <c r="H627" s="15">
        <f t="shared" si="58"/>
        <v>0.60000000000000009</v>
      </c>
      <c r="I627" s="15">
        <f t="shared" si="59"/>
        <v>0</v>
      </c>
      <c r="J627" s="15">
        <f>IF(CurrentMtgRatesDataTable8[[#This Row],[WA CC]]&lt;&gt;0,C626-CurrentMtgRatesDataTable8[[#This Row],[WA CC]],0)</f>
        <v>0</v>
      </c>
      <c r="K627" s="16">
        <f>IF(CurrentMtgRatesDataTable8[[#This Row],[Servicing Spread]]&lt;=0,K626,CurrentMtgRatesDataTable8[[#This Row],[Servicing Spread]])</f>
        <v>0.82472958838509403</v>
      </c>
      <c r="L627" s="16">
        <f>CurrentMtgRatesDataTable8[[#This Row],[Servicing Spread Non-Zero]]-K626</f>
        <v>0</v>
      </c>
      <c r="M627" s="16">
        <f>IF(I626&lt;&gt;0,CurrentMtgRatesDataTable8[[#This Row],[Rate]]-C626,M626)</f>
        <v>-3.5000000000000142E-2</v>
      </c>
    </row>
    <row r="628" spans="1:13">
      <c r="A628" s="12" t="s">
        <v>291</v>
      </c>
      <c r="B628" s="13">
        <v>3.2078957125058598</v>
      </c>
      <c r="C628" s="13">
        <v>4.04</v>
      </c>
      <c r="D628" s="15">
        <f t="shared" si="54"/>
        <v>6</v>
      </c>
      <c r="E628" s="15">
        <f t="shared" si="55"/>
        <v>0.2</v>
      </c>
      <c r="F628" s="15">
        <f t="shared" si="56"/>
        <v>4</v>
      </c>
      <c r="G628" s="15">
        <f t="shared" si="57"/>
        <v>2.5624844937898059</v>
      </c>
      <c r="H628" s="15">
        <f t="shared" si="58"/>
        <v>0.8</v>
      </c>
      <c r="I628" s="15">
        <f t="shared" si="59"/>
        <v>0</v>
      </c>
      <c r="J628" s="15">
        <f>IF(CurrentMtgRatesDataTable8[[#This Row],[WA CC]]&lt;&gt;0,C627-CurrentMtgRatesDataTable8[[#This Row],[WA CC]],0)</f>
        <v>0</v>
      </c>
      <c r="K628" s="16">
        <f>IF(CurrentMtgRatesDataTable8[[#This Row],[Servicing Spread]]&lt;=0,K627,CurrentMtgRatesDataTable8[[#This Row],[Servicing Spread]])</f>
        <v>0.82472958838509403</v>
      </c>
      <c r="L628" s="16">
        <f>CurrentMtgRatesDataTable8[[#This Row],[Servicing Spread Non-Zero]]-K627</f>
        <v>0</v>
      </c>
      <c r="M628" s="16">
        <f>IF(I627&lt;&gt;0,CurrentMtgRatesDataTable8[[#This Row],[Rate]]-C627,M627)</f>
        <v>-3.5000000000000142E-2</v>
      </c>
    </row>
    <row r="629" spans="1:13">
      <c r="A629" s="12" t="s">
        <v>146</v>
      </c>
      <c r="B629" s="13">
        <v>3.1187867017573798</v>
      </c>
      <c r="C629" s="13">
        <v>4.04</v>
      </c>
      <c r="D629" s="15">
        <f t="shared" si="54"/>
        <v>7</v>
      </c>
      <c r="E629" s="15">
        <f t="shared" si="55"/>
        <v>0.2</v>
      </c>
      <c r="F629" s="15">
        <f t="shared" si="56"/>
        <v>5</v>
      </c>
      <c r="G629" s="15">
        <f t="shared" si="57"/>
        <v>3.1862418341412821</v>
      </c>
      <c r="H629" s="15">
        <f t="shared" si="58"/>
        <v>1</v>
      </c>
      <c r="I629" s="15">
        <f t="shared" si="59"/>
        <v>3.1862418341412821</v>
      </c>
      <c r="J629" s="15">
        <f>IF(CurrentMtgRatesDataTable8[[#This Row],[WA CC]]&lt;&gt;0,C628-CurrentMtgRatesDataTable8[[#This Row],[WA CC]],0)</f>
        <v>0.85375816585871789</v>
      </c>
      <c r="K629" s="16">
        <f>IF(CurrentMtgRatesDataTable8[[#This Row],[Servicing Spread]]&lt;=0,K628,CurrentMtgRatesDataTable8[[#This Row],[Servicing Spread]])</f>
        <v>0.85375816585871789</v>
      </c>
      <c r="L629" s="16">
        <f>CurrentMtgRatesDataTable8[[#This Row],[Servicing Spread Non-Zero]]-K628</f>
        <v>2.9028577473623862E-2</v>
      </c>
      <c r="M629" s="16">
        <f>IF(I628&lt;&gt;0,CurrentMtgRatesDataTable8[[#This Row],[Rate]]-C628,M628)</f>
        <v>-3.5000000000000142E-2</v>
      </c>
    </row>
    <row r="630" spans="1:13">
      <c r="A630" s="12" t="s">
        <v>710</v>
      </c>
      <c r="B630" s="13">
        <v>3.13610168579967</v>
      </c>
      <c r="C630" s="13">
        <v>3.9950000000000001</v>
      </c>
      <c r="D630" s="15">
        <f t="shared" si="54"/>
        <v>1</v>
      </c>
      <c r="E630" s="15">
        <f t="shared" si="55"/>
        <v>0.2</v>
      </c>
      <c r="F630" s="15">
        <f t="shared" si="56"/>
        <v>1</v>
      </c>
      <c r="G630" s="15">
        <f t="shared" si="57"/>
        <v>0.62722033715993408</v>
      </c>
      <c r="H630" s="15">
        <f t="shared" si="58"/>
        <v>0.2</v>
      </c>
      <c r="I630" s="15">
        <f t="shared" si="59"/>
        <v>0</v>
      </c>
      <c r="J630" s="15">
        <f>IF(CurrentMtgRatesDataTable8[[#This Row],[WA CC]]&lt;&gt;0,C629-CurrentMtgRatesDataTable8[[#This Row],[WA CC]],0)</f>
        <v>0</v>
      </c>
      <c r="K630" s="16">
        <f>IF(CurrentMtgRatesDataTable8[[#This Row],[Servicing Spread]]&lt;=0,K629,CurrentMtgRatesDataTable8[[#This Row],[Servicing Spread]])</f>
        <v>0.85375816585871789</v>
      </c>
      <c r="L630" s="16">
        <f>CurrentMtgRatesDataTable8[[#This Row],[Servicing Spread Non-Zero]]-K629</f>
        <v>0</v>
      </c>
      <c r="M630" s="16">
        <f>IF(I629&lt;&gt;0,CurrentMtgRatesDataTable8[[#This Row],[Rate]]-C629,M629)</f>
        <v>-4.4999999999999929E-2</v>
      </c>
    </row>
    <row r="631" spans="1:13">
      <c r="A631" s="12" t="s">
        <v>568</v>
      </c>
      <c r="B631" s="13">
        <v>3.14080245533752</v>
      </c>
      <c r="C631" s="13">
        <v>3.9950000000000001</v>
      </c>
      <c r="D631" s="15">
        <f t="shared" si="54"/>
        <v>2</v>
      </c>
      <c r="E631" s="15">
        <f t="shared" si="55"/>
        <v>0.2</v>
      </c>
      <c r="F631" s="15">
        <f t="shared" si="56"/>
        <v>2</v>
      </c>
      <c r="G631" s="15">
        <f t="shared" si="57"/>
        <v>1.2553808282274381</v>
      </c>
      <c r="H631" s="15">
        <f t="shared" si="58"/>
        <v>0.4</v>
      </c>
      <c r="I631" s="15">
        <f t="shared" si="59"/>
        <v>0</v>
      </c>
      <c r="J631" s="15">
        <f>IF(CurrentMtgRatesDataTable8[[#This Row],[WA CC]]&lt;&gt;0,C630-CurrentMtgRatesDataTable8[[#This Row],[WA CC]],0)</f>
        <v>0</v>
      </c>
      <c r="K631" s="16">
        <f>IF(CurrentMtgRatesDataTable8[[#This Row],[Servicing Spread]]&lt;=0,K630,CurrentMtgRatesDataTable8[[#This Row],[Servicing Spread]])</f>
        <v>0.85375816585871789</v>
      </c>
      <c r="L631" s="16">
        <f>CurrentMtgRatesDataTable8[[#This Row],[Servicing Spread Non-Zero]]-K630</f>
        <v>0</v>
      </c>
      <c r="M631" s="16">
        <f>IF(I630&lt;&gt;0,CurrentMtgRatesDataTable8[[#This Row],[Rate]]-C630,M630)</f>
        <v>-4.4999999999999929E-2</v>
      </c>
    </row>
    <row r="632" spans="1:13">
      <c r="A632" s="12" t="s">
        <v>422</v>
      </c>
      <c r="B632" s="13">
        <v>3.12297819640008</v>
      </c>
      <c r="C632" s="13">
        <v>3.9950000000000001</v>
      </c>
      <c r="D632" s="15">
        <f t="shared" si="54"/>
        <v>5</v>
      </c>
      <c r="E632" s="15">
        <f t="shared" si="55"/>
        <v>0.2</v>
      </c>
      <c r="F632" s="15">
        <f t="shared" si="56"/>
        <v>3</v>
      </c>
      <c r="G632" s="15">
        <f t="shared" si="57"/>
        <v>1.8799764675074542</v>
      </c>
      <c r="H632" s="15">
        <f t="shared" si="58"/>
        <v>0.60000000000000009</v>
      </c>
      <c r="I632" s="15">
        <f t="shared" si="59"/>
        <v>0</v>
      </c>
      <c r="J632" s="15">
        <f>IF(CurrentMtgRatesDataTable8[[#This Row],[WA CC]]&lt;&gt;0,C631-CurrentMtgRatesDataTable8[[#This Row],[WA CC]],0)</f>
        <v>0</v>
      </c>
      <c r="K632" s="16">
        <f>IF(CurrentMtgRatesDataTable8[[#This Row],[Servicing Spread]]&lt;=0,K631,CurrentMtgRatesDataTable8[[#This Row],[Servicing Spread]])</f>
        <v>0.85375816585871789</v>
      </c>
      <c r="L632" s="16">
        <f>CurrentMtgRatesDataTable8[[#This Row],[Servicing Spread Non-Zero]]-K631</f>
        <v>0</v>
      </c>
      <c r="M632" s="16">
        <f>IF(I631&lt;&gt;0,CurrentMtgRatesDataTable8[[#This Row],[Rate]]-C631,M631)</f>
        <v>-4.4999999999999929E-2</v>
      </c>
    </row>
    <row r="633" spans="1:13">
      <c r="A633" s="12" t="s">
        <v>292</v>
      </c>
      <c r="B633" s="13">
        <v>3.05716566753143</v>
      </c>
      <c r="C633" s="13">
        <v>3.9950000000000001</v>
      </c>
      <c r="D633" s="15">
        <f t="shared" si="54"/>
        <v>6</v>
      </c>
      <c r="E633" s="15">
        <f t="shared" si="55"/>
        <v>0.2</v>
      </c>
      <c r="F633" s="15">
        <f t="shared" si="56"/>
        <v>4</v>
      </c>
      <c r="G633" s="15">
        <f t="shared" si="57"/>
        <v>2.4914096010137401</v>
      </c>
      <c r="H633" s="15">
        <f t="shared" si="58"/>
        <v>0.8</v>
      </c>
      <c r="I633" s="15">
        <f t="shared" si="59"/>
        <v>0</v>
      </c>
      <c r="J633" s="15">
        <f>IF(CurrentMtgRatesDataTable8[[#This Row],[WA CC]]&lt;&gt;0,C632-CurrentMtgRatesDataTable8[[#This Row],[WA CC]],0)</f>
        <v>0</v>
      </c>
      <c r="K633" s="16">
        <f>IF(CurrentMtgRatesDataTable8[[#This Row],[Servicing Spread]]&lt;=0,K632,CurrentMtgRatesDataTable8[[#This Row],[Servicing Spread]])</f>
        <v>0.85375816585871789</v>
      </c>
      <c r="L633" s="16">
        <f>CurrentMtgRatesDataTable8[[#This Row],[Servicing Spread Non-Zero]]-K632</f>
        <v>0</v>
      </c>
      <c r="M633" s="16">
        <f>IF(I632&lt;&gt;0,CurrentMtgRatesDataTable8[[#This Row],[Rate]]-C632,M632)</f>
        <v>-4.4999999999999929E-2</v>
      </c>
    </row>
    <row r="634" spans="1:13">
      <c r="A634" s="12" t="s">
        <v>147</v>
      </c>
      <c r="B634" s="13">
        <v>3.00695688776984</v>
      </c>
      <c r="C634" s="13">
        <v>3.9950000000000001</v>
      </c>
      <c r="D634" s="15">
        <f t="shared" si="54"/>
        <v>7</v>
      </c>
      <c r="E634" s="15">
        <f t="shared" si="55"/>
        <v>0.2</v>
      </c>
      <c r="F634" s="15">
        <f t="shared" si="56"/>
        <v>5</v>
      </c>
      <c r="G634" s="15">
        <f t="shared" si="57"/>
        <v>3.0928009785677082</v>
      </c>
      <c r="H634" s="15">
        <f t="shared" si="58"/>
        <v>1</v>
      </c>
      <c r="I634" s="15">
        <f t="shared" si="59"/>
        <v>3.0928009785677082</v>
      </c>
      <c r="J634" s="15">
        <f>IF(CurrentMtgRatesDataTable8[[#This Row],[WA CC]]&lt;&gt;0,C633-CurrentMtgRatesDataTable8[[#This Row],[WA CC]],0)</f>
        <v>0.90219902143229191</v>
      </c>
      <c r="K634" s="16">
        <f>IF(CurrentMtgRatesDataTable8[[#This Row],[Servicing Spread]]&lt;=0,K633,CurrentMtgRatesDataTable8[[#This Row],[Servicing Spread]])</f>
        <v>0.90219902143229191</v>
      </c>
      <c r="L634" s="16">
        <f>CurrentMtgRatesDataTable8[[#This Row],[Servicing Spread Non-Zero]]-K633</f>
        <v>4.8440855573574026E-2</v>
      </c>
      <c r="M634" s="16">
        <f>IF(I633&lt;&gt;0,CurrentMtgRatesDataTable8[[#This Row],[Rate]]-C633,M633)</f>
        <v>-4.4999999999999929E-2</v>
      </c>
    </row>
    <row r="635" spans="1:13">
      <c r="A635" s="12" t="s">
        <v>711</v>
      </c>
      <c r="B635" s="13">
        <v>3.0093512074845101</v>
      </c>
      <c r="C635" s="13">
        <v>3.8450000000000002</v>
      </c>
      <c r="D635" s="15">
        <f t="shared" si="54"/>
        <v>1</v>
      </c>
      <c r="E635" s="15">
        <f t="shared" si="55"/>
        <v>0.2</v>
      </c>
      <c r="F635" s="15">
        <f t="shared" si="56"/>
        <v>1</v>
      </c>
      <c r="G635" s="15">
        <f t="shared" si="57"/>
        <v>0.60187024149690205</v>
      </c>
      <c r="H635" s="15">
        <f t="shared" si="58"/>
        <v>0.2</v>
      </c>
      <c r="I635" s="15">
        <f t="shared" si="59"/>
        <v>0</v>
      </c>
      <c r="J635" s="15">
        <f>IF(CurrentMtgRatesDataTable8[[#This Row],[WA CC]]&lt;&gt;0,C634-CurrentMtgRatesDataTable8[[#This Row],[WA CC]],0)</f>
        <v>0</v>
      </c>
      <c r="K635" s="16">
        <f>IF(CurrentMtgRatesDataTable8[[#This Row],[Servicing Spread]]&lt;=0,K634,CurrentMtgRatesDataTable8[[#This Row],[Servicing Spread]])</f>
        <v>0.90219902143229191</v>
      </c>
      <c r="L635" s="16">
        <f>CurrentMtgRatesDataTable8[[#This Row],[Servicing Spread Non-Zero]]-K634</f>
        <v>0</v>
      </c>
      <c r="M635" s="16">
        <f>IF(I634&lt;&gt;0,CurrentMtgRatesDataTable8[[#This Row],[Rate]]-C634,M634)</f>
        <v>-0.14999999999999991</v>
      </c>
    </row>
    <row r="636" spans="1:13">
      <c r="A636" s="12" t="s">
        <v>569</v>
      </c>
      <c r="B636" s="13">
        <v>3.0064713691768699</v>
      </c>
      <c r="C636" s="13">
        <v>3.8450000000000002</v>
      </c>
      <c r="D636" s="15">
        <f t="shared" si="54"/>
        <v>2</v>
      </c>
      <c r="E636" s="15">
        <f t="shared" si="55"/>
        <v>0.2</v>
      </c>
      <c r="F636" s="15">
        <f t="shared" si="56"/>
        <v>2</v>
      </c>
      <c r="G636" s="15">
        <f t="shared" si="57"/>
        <v>1.2031645153322761</v>
      </c>
      <c r="H636" s="15">
        <f t="shared" si="58"/>
        <v>0.4</v>
      </c>
      <c r="I636" s="15">
        <f t="shared" si="59"/>
        <v>0</v>
      </c>
      <c r="J636" s="15">
        <f>IF(CurrentMtgRatesDataTable8[[#This Row],[WA CC]]&lt;&gt;0,C635-CurrentMtgRatesDataTable8[[#This Row],[WA CC]],0)</f>
        <v>0</v>
      </c>
      <c r="K636" s="16">
        <f>IF(CurrentMtgRatesDataTable8[[#This Row],[Servicing Spread]]&lt;=0,K635,CurrentMtgRatesDataTable8[[#This Row],[Servicing Spread]])</f>
        <v>0.90219902143229191</v>
      </c>
      <c r="L636" s="16">
        <f>CurrentMtgRatesDataTable8[[#This Row],[Servicing Spread Non-Zero]]-K635</f>
        <v>0</v>
      </c>
      <c r="M636" s="16">
        <f>IF(I635&lt;&gt;0,CurrentMtgRatesDataTable8[[#This Row],[Rate]]-C635,M635)</f>
        <v>-0.14999999999999991</v>
      </c>
    </row>
    <row r="637" spans="1:13">
      <c r="A637" s="12" t="s">
        <v>293</v>
      </c>
      <c r="B637" s="13">
        <v>2.9156735260487601</v>
      </c>
      <c r="C637" s="13">
        <v>3.8450000000000002</v>
      </c>
      <c r="D637" s="15">
        <f t="shared" si="54"/>
        <v>6</v>
      </c>
      <c r="E637" s="15">
        <f t="shared" si="55"/>
        <v>0.2</v>
      </c>
      <c r="F637" s="15">
        <f t="shared" si="56"/>
        <v>3</v>
      </c>
      <c r="G637" s="15">
        <f t="shared" si="57"/>
        <v>1.7862992205420283</v>
      </c>
      <c r="H637" s="15">
        <f t="shared" si="58"/>
        <v>0.60000000000000009</v>
      </c>
      <c r="I637" s="15">
        <f t="shared" si="59"/>
        <v>0</v>
      </c>
      <c r="J637" s="15">
        <f>IF(CurrentMtgRatesDataTable8[[#This Row],[WA CC]]&lt;&gt;0,C636-CurrentMtgRatesDataTable8[[#This Row],[WA CC]],0)</f>
        <v>0</v>
      </c>
      <c r="K637" s="16">
        <f>IF(CurrentMtgRatesDataTable8[[#This Row],[Servicing Spread]]&lt;=0,K636,CurrentMtgRatesDataTable8[[#This Row],[Servicing Spread]])</f>
        <v>0.90219902143229191</v>
      </c>
      <c r="L637" s="16">
        <f>CurrentMtgRatesDataTable8[[#This Row],[Servicing Spread Non-Zero]]-K636</f>
        <v>0</v>
      </c>
      <c r="M637" s="16">
        <f>IF(I636&lt;&gt;0,CurrentMtgRatesDataTable8[[#This Row],[Rate]]-C636,M636)</f>
        <v>-0.14999999999999991</v>
      </c>
    </row>
    <row r="638" spans="1:13">
      <c r="A638" s="12" t="s">
        <v>148</v>
      </c>
      <c r="B638" s="13">
        <v>2.8012763487796</v>
      </c>
      <c r="C638" s="13">
        <v>3.8450000000000002</v>
      </c>
      <c r="D638" s="15">
        <f t="shared" si="54"/>
        <v>7</v>
      </c>
      <c r="E638" s="15">
        <f t="shared" si="55"/>
        <v>0.2</v>
      </c>
      <c r="F638" s="15">
        <f t="shared" si="56"/>
        <v>4</v>
      </c>
      <c r="G638" s="15">
        <f t="shared" si="57"/>
        <v>2.3465544902979483</v>
      </c>
      <c r="H638" s="15">
        <f t="shared" si="58"/>
        <v>0.8</v>
      </c>
      <c r="I638" s="15">
        <f t="shared" si="59"/>
        <v>2.9331931128724351</v>
      </c>
      <c r="J638" s="15">
        <f>IF(CurrentMtgRatesDataTable8[[#This Row],[WA CC]]&lt;&gt;0,C637-CurrentMtgRatesDataTable8[[#This Row],[WA CC]],0)</f>
        <v>0.91180688712756508</v>
      </c>
      <c r="K638" s="16">
        <f>IF(CurrentMtgRatesDataTable8[[#This Row],[Servicing Spread]]&lt;=0,K637,CurrentMtgRatesDataTable8[[#This Row],[Servicing Spread]])</f>
        <v>0.91180688712756508</v>
      </c>
      <c r="L638" s="16">
        <f>CurrentMtgRatesDataTable8[[#This Row],[Servicing Spread Non-Zero]]-K637</f>
        <v>9.6078656952731656E-3</v>
      </c>
      <c r="M638" s="16">
        <f>IF(I637&lt;&gt;0,CurrentMtgRatesDataTable8[[#This Row],[Rate]]-C637,M637)</f>
        <v>-0.14999999999999991</v>
      </c>
    </row>
    <row r="639" spans="1:13">
      <c r="A639" s="12" t="s">
        <v>712</v>
      </c>
      <c r="B639" s="13">
        <v>2.88997696662019</v>
      </c>
      <c r="C639" s="13">
        <v>3.7949999999999999</v>
      </c>
      <c r="D639" s="15">
        <f t="shared" si="54"/>
        <v>1</v>
      </c>
      <c r="E639" s="15">
        <f t="shared" si="55"/>
        <v>0.2</v>
      </c>
      <c r="F639" s="15">
        <f t="shared" si="56"/>
        <v>1</v>
      </c>
      <c r="G639" s="15">
        <f t="shared" si="57"/>
        <v>0.57799539332403804</v>
      </c>
      <c r="H639" s="15">
        <f t="shared" si="58"/>
        <v>0.2</v>
      </c>
      <c r="I639" s="15">
        <f t="shared" si="59"/>
        <v>0</v>
      </c>
      <c r="J639" s="15">
        <f>IF(CurrentMtgRatesDataTable8[[#This Row],[WA CC]]&lt;&gt;0,C638-CurrentMtgRatesDataTable8[[#This Row],[WA CC]],0)</f>
        <v>0</v>
      </c>
      <c r="K639" s="16">
        <f>IF(CurrentMtgRatesDataTable8[[#This Row],[Servicing Spread]]&lt;=0,K638,CurrentMtgRatesDataTable8[[#This Row],[Servicing Spread]])</f>
        <v>0.91180688712756508</v>
      </c>
      <c r="L639" s="16">
        <f>CurrentMtgRatesDataTable8[[#This Row],[Servicing Spread Non-Zero]]-K638</f>
        <v>0</v>
      </c>
      <c r="M639" s="16">
        <f>IF(I638&lt;&gt;0,CurrentMtgRatesDataTable8[[#This Row],[Rate]]-C638,M638)</f>
        <v>-5.0000000000000266E-2</v>
      </c>
    </row>
    <row r="640" spans="1:13">
      <c r="A640" s="12" t="s">
        <v>570</v>
      </c>
      <c r="B640" s="13">
        <v>2.9089681552965998</v>
      </c>
      <c r="C640" s="13">
        <v>3.7949999999999999</v>
      </c>
      <c r="D640" s="15">
        <f t="shared" si="54"/>
        <v>2</v>
      </c>
      <c r="E640" s="15">
        <f t="shared" si="55"/>
        <v>0.2</v>
      </c>
      <c r="F640" s="15">
        <f t="shared" si="56"/>
        <v>2</v>
      </c>
      <c r="G640" s="15">
        <f t="shared" si="57"/>
        <v>1.159789024383358</v>
      </c>
      <c r="H640" s="15">
        <f t="shared" si="58"/>
        <v>0.4</v>
      </c>
      <c r="I640" s="15">
        <f t="shared" si="59"/>
        <v>0</v>
      </c>
      <c r="J640" s="15">
        <f>IF(CurrentMtgRatesDataTable8[[#This Row],[WA CC]]&lt;&gt;0,C639-CurrentMtgRatesDataTable8[[#This Row],[WA CC]],0)</f>
        <v>0</v>
      </c>
      <c r="K640" s="16">
        <f>IF(CurrentMtgRatesDataTable8[[#This Row],[Servicing Spread]]&lt;=0,K639,CurrentMtgRatesDataTable8[[#This Row],[Servicing Spread]])</f>
        <v>0.91180688712756508</v>
      </c>
      <c r="L640" s="16">
        <f>CurrentMtgRatesDataTable8[[#This Row],[Servicing Spread Non-Zero]]-K639</f>
        <v>0</v>
      </c>
      <c r="M640" s="16">
        <f>IF(I639&lt;&gt;0,CurrentMtgRatesDataTable8[[#This Row],[Rate]]-C639,M639)</f>
        <v>-5.0000000000000266E-2</v>
      </c>
    </row>
    <row r="641" spans="1:13">
      <c r="A641" s="12" t="s">
        <v>423</v>
      </c>
      <c r="B641" s="13">
        <v>2.88228276625992</v>
      </c>
      <c r="C641" s="13">
        <v>3.7949999999999999</v>
      </c>
      <c r="D641" s="15">
        <f t="shared" si="54"/>
        <v>5</v>
      </c>
      <c r="E641" s="15">
        <f t="shared" si="55"/>
        <v>0.2</v>
      </c>
      <c r="F641" s="15">
        <f t="shared" si="56"/>
        <v>3</v>
      </c>
      <c r="G641" s="15">
        <f t="shared" si="57"/>
        <v>1.736245577635342</v>
      </c>
      <c r="H641" s="15">
        <f t="shared" si="58"/>
        <v>0.60000000000000009</v>
      </c>
      <c r="I641" s="15">
        <f t="shared" si="59"/>
        <v>0</v>
      </c>
      <c r="J641" s="15">
        <f>IF(CurrentMtgRatesDataTable8[[#This Row],[WA CC]]&lt;&gt;0,C640-CurrentMtgRatesDataTable8[[#This Row],[WA CC]],0)</f>
        <v>0</v>
      </c>
      <c r="K641" s="16">
        <f>IF(CurrentMtgRatesDataTable8[[#This Row],[Servicing Spread]]&lt;=0,K640,CurrentMtgRatesDataTable8[[#This Row],[Servicing Spread]])</f>
        <v>0.91180688712756508</v>
      </c>
      <c r="L641" s="16">
        <f>CurrentMtgRatesDataTable8[[#This Row],[Servicing Spread Non-Zero]]-K640</f>
        <v>0</v>
      </c>
      <c r="M641" s="16">
        <f>IF(I640&lt;&gt;0,CurrentMtgRatesDataTable8[[#This Row],[Rate]]-C640,M640)</f>
        <v>-5.0000000000000266E-2</v>
      </c>
    </row>
    <row r="642" spans="1:13">
      <c r="A642" s="12" t="s">
        <v>294</v>
      </c>
      <c r="B642" s="13">
        <v>2.90260596221672</v>
      </c>
      <c r="C642" s="13">
        <v>3.7949999999999999</v>
      </c>
      <c r="D642" s="15">
        <f t="shared" si="54"/>
        <v>6</v>
      </c>
      <c r="E642" s="15">
        <f t="shared" si="55"/>
        <v>0.2</v>
      </c>
      <c r="F642" s="15">
        <f t="shared" si="56"/>
        <v>4</v>
      </c>
      <c r="G642" s="15">
        <f t="shared" si="57"/>
        <v>2.316766770078686</v>
      </c>
      <c r="H642" s="15">
        <f t="shared" si="58"/>
        <v>0.8</v>
      </c>
      <c r="I642" s="15">
        <f t="shared" si="59"/>
        <v>0</v>
      </c>
      <c r="J642" s="15">
        <f>IF(CurrentMtgRatesDataTable8[[#This Row],[WA CC]]&lt;&gt;0,C641-CurrentMtgRatesDataTable8[[#This Row],[WA CC]],0)</f>
        <v>0</v>
      </c>
      <c r="K642" s="16">
        <f>IF(CurrentMtgRatesDataTable8[[#This Row],[Servicing Spread]]&lt;=0,K641,CurrentMtgRatesDataTable8[[#This Row],[Servicing Spread]])</f>
        <v>0.91180688712756508</v>
      </c>
      <c r="L642" s="16">
        <f>CurrentMtgRatesDataTable8[[#This Row],[Servicing Spread Non-Zero]]-K641</f>
        <v>0</v>
      </c>
      <c r="M642" s="16">
        <f>IF(I641&lt;&gt;0,CurrentMtgRatesDataTable8[[#This Row],[Rate]]-C641,M641)</f>
        <v>-5.0000000000000266E-2</v>
      </c>
    </row>
    <row r="643" spans="1:13">
      <c r="A643" s="12" t="s">
        <v>149</v>
      </c>
      <c r="B643" s="13">
        <v>2.91560839979166</v>
      </c>
      <c r="C643" s="13">
        <v>3.7949999999999999</v>
      </c>
      <c r="D643" s="15">
        <f t="shared" si="54"/>
        <v>7</v>
      </c>
      <c r="E643" s="15">
        <f t="shared" si="55"/>
        <v>0.2</v>
      </c>
      <c r="F643" s="15">
        <f t="shared" si="56"/>
        <v>5</v>
      </c>
      <c r="G643" s="15">
        <f t="shared" si="57"/>
        <v>2.8998884500370181</v>
      </c>
      <c r="H643" s="15">
        <f t="shared" si="58"/>
        <v>1</v>
      </c>
      <c r="I643" s="15">
        <f t="shared" si="59"/>
        <v>2.8998884500370181</v>
      </c>
      <c r="J643" s="15">
        <f>IF(CurrentMtgRatesDataTable8[[#This Row],[WA CC]]&lt;&gt;0,C642-CurrentMtgRatesDataTable8[[#This Row],[WA CC]],0)</f>
        <v>0.89511154996298181</v>
      </c>
      <c r="K643" s="16">
        <f>IF(CurrentMtgRatesDataTable8[[#This Row],[Servicing Spread]]&lt;=0,K642,CurrentMtgRatesDataTable8[[#This Row],[Servicing Spread]])</f>
        <v>0.89511154996298181</v>
      </c>
      <c r="L643" s="16">
        <f>CurrentMtgRatesDataTable8[[#This Row],[Servicing Spread Non-Zero]]-K642</f>
        <v>-1.6695337164583268E-2</v>
      </c>
      <c r="M643" s="16">
        <f>IF(I642&lt;&gt;0,CurrentMtgRatesDataTable8[[#This Row],[Rate]]-C642,M642)</f>
        <v>-5.0000000000000266E-2</v>
      </c>
    </row>
    <row r="644" spans="1:13">
      <c r="A644" s="12" t="s">
        <v>713</v>
      </c>
      <c r="B644" s="13">
        <v>2.9569729972046299</v>
      </c>
      <c r="C644" s="13">
        <v>3.855</v>
      </c>
      <c r="D644" s="15">
        <f t="shared" si="54"/>
        <v>1</v>
      </c>
      <c r="E644" s="15">
        <f t="shared" si="55"/>
        <v>0.2</v>
      </c>
      <c r="F644" s="15">
        <f t="shared" si="56"/>
        <v>1</v>
      </c>
      <c r="G644" s="15">
        <f t="shared" si="57"/>
        <v>0.59139459944092598</v>
      </c>
      <c r="H644" s="15">
        <f t="shared" si="58"/>
        <v>0.2</v>
      </c>
      <c r="I644" s="15">
        <f t="shared" si="59"/>
        <v>0</v>
      </c>
      <c r="J644" s="15">
        <f>IF(CurrentMtgRatesDataTable8[[#This Row],[WA CC]]&lt;&gt;0,C643-CurrentMtgRatesDataTable8[[#This Row],[WA CC]],0)</f>
        <v>0</v>
      </c>
      <c r="K644" s="16">
        <f>IF(CurrentMtgRatesDataTable8[[#This Row],[Servicing Spread]]&lt;=0,K643,CurrentMtgRatesDataTable8[[#This Row],[Servicing Spread]])</f>
        <v>0.89511154996298181</v>
      </c>
      <c r="L644" s="16">
        <f>CurrentMtgRatesDataTable8[[#This Row],[Servicing Spread Non-Zero]]-K643</f>
        <v>0</v>
      </c>
      <c r="M644" s="16">
        <f>IF(I643&lt;&gt;0,CurrentMtgRatesDataTable8[[#This Row],[Rate]]-C643,M643)</f>
        <v>6.0000000000000053E-2</v>
      </c>
    </row>
    <row r="645" spans="1:13">
      <c r="A645" s="12" t="s">
        <v>571</v>
      </c>
      <c r="B645" s="13">
        <v>2.9670641789919698</v>
      </c>
      <c r="C645" s="13">
        <v>3.855</v>
      </c>
      <c r="D645" s="15">
        <f t="shared" ref="D645:D708" si="60">WEEKDAY(A645,14)</f>
        <v>2</v>
      </c>
      <c r="E645" s="15">
        <f t="shared" ref="E645:E708" si="61">VLOOKUP(D645,P$5:Q$11,2,FALSE)</f>
        <v>0.2</v>
      </c>
      <c r="F645" s="15">
        <f t="shared" ref="F645:F708" si="62">IF(AND(D645&gt;D644,F644&lt;6),F644+1,1)</f>
        <v>2</v>
      </c>
      <c r="G645" s="15">
        <f t="shared" ref="G645:G708" si="63">IF(F645&gt;F644,G644+B645*E645,B645*E645)</f>
        <v>1.1848074352393199</v>
      </c>
      <c r="H645" s="15">
        <f t="shared" ref="H645:H708" si="64">IF(AND(F645&lt;6,F645&gt;F644),E645+H644,E645)</f>
        <v>0.4</v>
      </c>
      <c r="I645" s="15">
        <f t="shared" ref="I645:I708" si="65">IF(F645&gt;F646,G645/H645,0)</f>
        <v>0</v>
      </c>
      <c r="J645" s="15">
        <f>IF(CurrentMtgRatesDataTable8[[#This Row],[WA CC]]&lt;&gt;0,C644-CurrentMtgRatesDataTable8[[#This Row],[WA CC]],0)</f>
        <v>0</v>
      </c>
      <c r="K645" s="16">
        <f>IF(CurrentMtgRatesDataTable8[[#This Row],[Servicing Spread]]&lt;=0,K644,CurrentMtgRatesDataTable8[[#This Row],[Servicing Spread]])</f>
        <v>0.89511154996298181</v>
      </c>
      <c r="L645" s="16">
        <f>CurrentMtgRatesDataTable8[[#This Row],[Servicing Spread Non-Zero]]-K644</f>
        <v>0</v>
      </c>
      <c r="M645" s="16">
        <f>IF(I644&lt;&gt;0,CurrentMtgRatesDataTable8[[#This Row],[Rate]]-C644,M644)</f>
        <v>6.0000000000000053E-2</v>
      </c>
    </row>
    <row r="646" spans="1:13">
      <c r="A646" s="12" t="s">
        <v>424</v>
      </c>
      <c r="B646" s="13">
        <v>2.95063055740501</v>
      </c>
      <c r="C646" s="13">
        <v>3.855</v>
      </c>
      <c r="D646" s="15">
        <f t="shared" si="60"/>
        <v>5</v>
      </c>
      <c r="E646" s="15">
        <f t="shared" si="61"/>
        <v>0.2</v>
      </c>
      <c r="F646" s="15">
        <f t="shared" si="62"/>
        <v>3</v>
      </c>
      <c r="G646" s="15">
        <f t="shared" si="63"/>
        <v>1.7749335467203218</v>
      </c>
      <c r="H646" s="15">
        <f t="shared" si="64"/>
        <v>0.60000000000000009</v>
      </c>
      <c r="I646" s="15">
        <f t="shared" si="65"/>
        <v>0</v>
      </c>
      <c r="J646" s="15">
        <f>IF(CurrentMtgRatesDataTable8[[#This Row],[WA CC]]&lt;&gt;0,C645-CurrentMtgRatesDataTable8[[#This Row],[WA CC]],0)</f>
        <v>0</v>
      </c>
      <c r="K646" s="16">
        <f>IF(CurrentMtgRatesDataTable8[[#This Row],[Servicing Spread]]&lt;=0,K645,CurrentMtgRatesDataTable8[[#This Row],[Servicing Spread]])</f>
        <v>0.89511154996298181</v>
      </c>
      <c r="L646" s="16">
        <f>CurrentMtgRatesDataTable8[[#This Row],[Servicing Spread Non-Zero]]-K645</f>
        <v>0</v>
      </c>
      <c r="M646" s="16">
        <f>IF(I645&lt;&gt;0,CurrentMtgRatesDataTable8[[#This Row],[Rate]]-C645,M645)</f>
        <v>6.0000000000000053E-2</v>
      </c>
    </row>
    <row r="647" spans="1:13">
      <c r="A647" s="12" t="s">
        <v>295</v>
      </c>
      <c r="B647" s="13">
        <v>2.9732615646767</v>
      </c>
      <c r="C647" s="13">
        <v>3.855</v>
      </c>
      <c r="D647" s="15">
        <f t="shared" si="60"/>
        <v>6</v>
      </c>
      <c r="E647" s="15">
        <f t="shared" si="61"/>
        <v>0.2</v>
      </c>
      <c r="F647" s="15">
        <f t="shared" si="62"/>
        <v>4</v>
      </c>
      <c r="G647" s="15">
        <f t="shared" si="63"/>
        <v>2.369585859655662</v>
      </c>
      <c r="H647" s="15">
        <f t="shared" si="64"/>
        <v>0.8</v>
      </c>
      <c r="I647" s="15">
        <f t="shared" si="65"/>
        <v>0</v>
      </c>
      <c r="J647" s="15">
        <f>IF(CurrentMtgRatesDataTable8[[#This Row],[WA CC]]&lt;&gt;0,C646-CurrentMtgRatesDataTable8[[#This Row],[WA CC]],0)</f>
        <v>0</v>
      </c>
      <c r="K647" s="16">
        <f>IF(CurrentMtgRatesDataTable8[[#This Row],[Servicing Spread]]&lt;=0,K646,CurrentMtgRatesDataTable8[[#This Row],[Servicing Spread]])</f>
        <v>0.89511154996298181</v>
      </c>
      <c r="L647" s="16">
        <f>CurrentMtgRatesDataTable8[[#This Row],[Servicing Spread Non-Zero]]-K646</f>
        <v>0</v>
      </c>
      <c r="M647" s="16">
        <f>IF(I646&lt;&gt;0,CurrentMtgRatesDataTable8[[#This Row],[Rate]]-C646,M646)</f>
        <v>6.0000000000000053E-2</v>
      </c>
    </row>
    <row r="648" spans="1:13">
      <c r="A648" s="12" t="s">
        <v>150</v>
      </c>
      <c r="B648" s="13">
        <v>3.0090985385111702</v>
      </c>
      <c r="C648" s="13">
        <v>3.855</v>
      </c>
      <c r="D648" s="15">
        <f t="shared" si="60"/>
        <v>7</v>
      </c>
      <c r="E648" s="15">
        <f t="shared" si="61"/>
        <v>0.2</v>
      </c>
      <c r="F648" s="15">
        <f t="shared" si="62"/>
        <v>5</v>
      </c>
      <c r="G648" s="15">
        <f t="shared" si="63"/>
        <v>2.9714055673578961</v>
      </c>
      <c r="H648" s="15">
        <f t="shared" si="64"/>
        <v>1</v>
      </c>
      <c r="I648" s="15">
        <f t="shared" si="65"/>
        <v>2.9714055673578961</v>
      </c>
      <c r="J648" s="15">
        <f>IF(CurrentMtgRatesDataTable8[[#This Row],[WA CC]]&lt;&gt;0,C647-CurrentMtgRatesDataTable8[[#This Row],[WA CC]],0)</f>
        <v>0.88359443264210391</v>
      </c>
      <c r="K648" s="16">
        <f>IF(CurrentMtgRatesDataTable8[[#This Row],[Servicing Spread]]&lt;=0,K647,CurrentMtgRatesDataTable8[[#This Row],[Servicing Spread]])</f>
        <v>0.88359443264210391</v>
      </c>
      <c r="L648" s="16">
        <f>CurrentMtgRatesDataTable8[[#This Row],[Servicing Spread Non-Zero]]-K647</f>
        <v>-1.1517117320877901E-2</v>
      </c>
      <c r="M648" s="16">
        <f>IF(I647&lt;&gt;0,CurrentMtgRatesDataTable8[[#This Row],[Rate]]-C647,M647)</f>
        <v>6.0000000000000053E-2</v>
      </c>
    </row>
    <row r="649" spans="1:13">
      <c r="A649" s="12" t="s">
        <v>714</v>
      </c>
      <c r="B649" s="13">
        <v>2.9884141965756501</v>
      </c>
      <c r="C649" s="13">
        <v>3.8949999999999996</v>
      </c>
      <c r="D649" s="15">
        <f t="shared" si="60"/>
        <v>1</v>
      </c>
      <c r="E649" s="15">
        <f t="shared" si="61"/>
        <v>0.2</v>
      </c>
      <c r="F649" s="15">
        <f t="shared" si="62"/>
        <v>1</v>
      </c>
      <c r="G649" s="15">
        <f t="shared" si="63"/>
        <v>0.59768283931513</v>
      </c>
      <c r="H649" s="15">
        <f t="shared" si="64"/>
        <v>0.2</v>
      </c>
      <c r="I649" s="15">
        <f t="shared" si="65"/>
        <v>0</v>
      </c>
      <c r="J649" s="15">
        <f>IF(CurrentMtgRatesDataTable8[[#This Row],[WA CC]]&lt;&gt;0,C648-CurrentMtgRatesDataTable8[[#This Row],[WA CC]],0)</f>
        <v>0</v>
      </c>
      <c r="K649" s="16">
        <f>IF(CurrentMtgRatesDataTable8[[#This Row],[Servicing Spread]]&lt;=0,K648,CurrentMtgRatesDataTable8[[#This Row],[Servicing Spread]])</f>
        <v>0.88359443264210391</v>
      </c>
      <c r="L649" s="16">
        <f>CurrentMtgRatesDataTable8[[#This Row],[Servicing Spread Non-Zero]]-K648</f>
        <v>0</v>
      </c>
      <c r="M649" s="16">
        <f>IF(I648&lt;&gt;0,CurrentMtgRatesDataTable8[[#This Row],[Rate]]-C648,M648)</f>
        <v>3.9999999999999591E-2</v>
      </c>
    </row>
    <row r="650" spans="1:13">
      <c r="A650" s="12" t="s">
        <v>572</v>
      </c>
      <c r="B650" s="13">
        <v>3.0097405474457601</v>
      </c>
      <c r="C650" s="13">
        <v>3.8949999999999996</v>
      </c>
      <c r="D650" s="15">
        <f t="shared" si="60"/>
        <v>2</v>
      </c>
      <c r="E650" s="15">
        <f t="shared" si="61"/>
        <v>0.2</v>
      </c>
      <c r="F650" s="15">
        <f t="shared" si="62"/>
        <v>2</v>
      </c>
      <c r="G650" s="15">
        <f t="shared" si="63"/>
        <v>1.1996309488042822</v>
      </c>
      <c r="H650" s="15">
        <f t="shared" si="64"/>
        <v>0.4</v>
      </c>
      <c r="I650" s="15">
        <f t="shared" si="65"/>
        <v>0</v>
      </c>
      <c r="J650" s="15">
        <f>IF(CurrentMtgRatesDataTable8[[#This Row],[WA CC]]&lt;&gt;0,C649-CurrentMtgRatesDataTable8[[#This Row],[WA CC]],0)</f>
        <v>0</v>
      </c>
      <c r="K650" s="16">
        <f>IF(CurrentMtgRatesDataTable8[[#This Row],[Servicing Spread]]&lt;=0,K649,CurrentMtgRatesDataTable8[[#This Row],[Servicing Spread]])</f>
        <v>0.88359443264210391</v>
      </c>
      <c r="L650" s="16">
        <f>CurrentMtgRatesDataTable8[[#This Row],[Servicing Spread Non-Zero]]-K649</f>
        <v>0</v>
      </c>
      <c r="M650" s="16">
        <f>IF(I649&lt;&gt;0,CurrentMtgRatesDataTable8[[#This Row],[Rate]]-C649,M649)</f>
        <v>3.9999999999999591E-2</v>
      </c>
    </row>
    <row r="651" spans="1:13">
      <c r="A651" s="12" t="s">
        <v>425</v>
      </c>
      <c r="B651" s="13">
        <v>3.04727792085342</v>
      </c>
      <c r="C651" s="13">
        <v>3.8949999999999996</v>
      </c>
      <c r="D651" s="15">
        <f t="shared" si="60"/>
        <v>5</v>
      </c>
      <c r="E651" s="15">
        <f t="shared" si="61"/>
        <v>0.2</v>
      </c>
      <c r="F651" s="15">
        <f t="shared" si="62"/>
        <v>3</v>
      </c>
      <c r="G651" s="15">
        <f t="shared" si="63"/>
        <v>1.8090865329749661</v>
      </c>
      <c r="H651" s="15">
        <f t="shared" si="64"/>
        <v>0.60000000000000009</v>
      </c>
      <c r="I651" s="15">
        <f t="shared" si="65"/>
        <v>0</v>
      </c>
      <c r="J651" s="15">
        <f>IF(CurrentMtgRatesDataTable8[[#This Row],[WA CC]]&lt;&gt;0,C650-CurrentMtgRatesDataTable8[[#This Row],[WA CC]],0)</f>
        <v>0</v>
      </c>
      <c r="K651" s="16">
        <f>IF(CurrentMtgRatesDataTable8[[#This Row],[Servicing Spread]]&lt;=0,K650,CurrentMtgRatesDataTable8[[#This Row],[Servicing Spread]])</f>
        <v>0.88359443264210391</v>
      </c>
      <c r="L651" s="16">
        <f>CurrentMtgRatesDataTable8[[#This Row],[Servicing Spread Non-Zero]]-K650</f>
        <v>0</v>
      </c>
      <c r="M651" s="16">
        <f>IF(I650&lt;&gt;0,CurrentMtgRatesDataTable8[[#This Row],[Rate]]-C650,M650)</f>
        <v>3.9999999999999591E-2</v>
      </c>
    </row>
    <row r="652" spans="1:13">
      <c r="A652" s="12" t="s">
        <v>296</v>
      </c>
      <c r="B652" s="13">
        <v>3.0442418004482401</v>
      </c>
      <c r="C652" s="13">
        <v>3.8949999999999996</v>
      </c>
      <c r="D652" s="15">
        <f t="shared" si="60"/>
        <v>6</v>
      </c>
      <c r="E652" s="15">
        <f t="shared" si="61"/>
        <v>0.2</v>
      </c>
      <c r="F652" s="15">
        <f t="shared" si="62"/>
        <v>4</v>
      </c>
      <c r="G652" s="15">
        <f t="shared" si="63"/>
        <v>2.4179348930646141</v>
      </c>
      <c r="H652" s="15">
        <f t="shared" si="64"/>
        <v>0.8</v>
      </c>
      <c r="I652" s="15">
        <f t="shared" si="65"/>
        <v>0</v>
      </c>
      <c r="J652" s="15">
        <f>IF(CurrentMtgRatesDataTable8[[#This Row],[WA CC]]&lt;&gt;0,C651-CurrentMtgRatesDataTable8[[#This Row],[WA CC]],0)</f>
        <v>0</v>
      </c>
      <c r="K652" s="16">
        <f>IF(CurrentMtgRatesDataTable8[[#This Row],[Servicing Spread]]&lt;=0,K651,CurrentMtgRatesDataTable8[[#This Row],[Servicing Spread]])</f>
        <v>0.88359443264210391</v>
      </c>
      <c r="L652" s="16">
        <f>CurrentMtgRatesDataTable8[[#This Row],[Servicing Spread Non-Zero]]-K651</f>
        <v>0</v>
      </c>
      <c r="M652" s="16">
        <f>IF(I651&lt;&gt;0,CurrentMtgRatesDataTable8[[#This Row],[Rate]]-C651,M651)</f>
        <v>3.9999999999999591E-2</v>
      </c>
    </row>
    <row r="653" spans="1:13">
      <c r="A653" s="12" t="s">
        <v>151</v>
      </c>
      <c r="B653" s="13">
        <v>3.04444949772784</v>
      </c>
      <c r="C653" s="13">
        <v>3.8949999999999996</v>
      </c>
      <c r="D653" s="15">
        <f t="shared" si="60"/>
        <v>7</v>
      </c>
      <c r="E653" s="15">
        <f t="shared" si="61"/>
        <v>0.2</v>
      </c>
      <c r="F653" s="15">
        <f t="shared" si="62"/>
        <v>5</v>
      </c>
      <c r="G653" s="15">
        <f t="shared" si="63"/>
        <v>3.0268247926101823</v>
      </c>
      <c r="H653" s="15">
        <f t="shared" si="64"/>
        <v>1</v>
      </c>
      <c r="I653" s="15">
        <f t="shared" si="65"/>
        <v>3.0268247926101823</v>
      </c>
      <c r="J653" s="15">
        <f>IF(CurrentMtgRatesDataTable8[[#This Row],[WA CC]]&lt;&gt;0,C652-CurrentMtgRatesDataTable8[[#This Row],[WA CC]],0)</f>
        <v>0.86817520738981724</v>
      </c>
      <c r="K653" s="16">
        <f>IF(CurrentMtgRatesDataTable8[[#This Row],[Servicing Spread]]&lt;=0,K652,CurrentMtgRatesDataTable8[[#This Row],[Servicing Spread]])</f>
        <v>0.86817520738981724</v>
      </c>
      <c r="L653" s="16">
        <f>CurrentMtgRatesDataTable8[[#This Row],[Servicing Spread Non-Zero]]-K652</f>
        <v>-1.5419225252286672E-2</v>
      </c>
      <c r="M653" s="16">
        <f>IF(I652&lt;&gt;0,CurrentMtgRatesDataTable8[[#This Row],[Rate]]-C652,M652)</f>
        <v>3.9999999999999591E-2</v>
      </c>
    </row>
    <row r="654" spans="1:13">
      <c r="A654" s="12" t="s">
        <v>715</v>
      </c>
      <c r="B654" s="13">
        <v>3.05201083744713</v>
      </c>
      <c r="C654" s="13">
        <v>3.8849999999999998</v>
      </c>
      <c r="D654" s="15">
        <f t="shared" si="60"/>
        <v>1</v>
      </c>
      <c r="E654" s="15">
        <f t="shared" si="61"/>
        <v>0.2</v>
      </c>
      <c r="F654" s="15">
        <f t="shared" si="62"/>
        <v>1</v>
      </c>
      <c r="G654" s="15">
        <f t="shared" si="63"/>
        <v>0.610402167489426</v>
      </c>
      <c r="H654" s="15">
        <f t="shared" si="64"/>
        <v>0.2</v>
      </c>
      <c r="I654" s="15">
        <f t="shared" si="65"/>
        <v>0</v>
      </c>
      <c r="J654" s="15">
        <f>IF(CurrentMtgRatesDataTable8[[#This Row],[WA CC]]&lt;&gt;0,C653-CurrentMtgRatesDataTable8[[#This Row],[WA CC]],0)</f>
        <v>0</v>
      </c>
      <c r="K654" s="16">
        <f>IF(CurrentMtgRatesDataTable8[[#This Row],[Servicing Spread]]&lt;=0,K653,CurrentMtgRatesDataTable8[[#This Row],[Servicing Spread]])</f>
        <v>0.86817520738981724</v>
      </c>
      <c r="L654" s="16">
        <f>CurrentMtgRatesDataTable8[[#This Row],[Servicing Spread Non-Zero]]-K653</f>
        <v>0</v>
      </c>
      <c r="M654" s="16">
        <f>IF(I653&lt;&gt;0,CurrentMtgRatesDataTable8[[#This Row],[Rate]]-C653,M653)</f>
        <v>-9.9999999999997868E-3</v>
      </c>
    </row>
    <row r="655" spans="1:13">
      <c r="A655" s="12" t="s">
        <v>573</v>
      </c>
      <c r="B655" s="13">
        <v>3.00136099640791</v>
      </c>
      <c r="C655" s="13">
        <v>3.8849999999999998</v>
      </c>
      <c r="D655" s="15">
        <f t="shared" si="60"/>
        <v>2</v>
      </c>
      <c r="E655" s="15">
        <f t="shared" si="61"/>
        <v>0.2</v>
      </c>
      <c r="F655" s="15">
        <f t="shared" si="62"/>
        <v>2</v>
      </c>
      <c r="G655" s="15">
        <f t="shared" si="63"/>
        <v>1.210674366771008</v>
      </c>
      <c r="H655" s="15">
        <f t="shared" si="64"/>
        <v>0.4</v>
      </c>
      <c r="I655" s="15">
        <f t="shared" si="65"/>
        <v>0</v>
      </c>
      <c r="J655" s="15">
        <f>IF(CurrentMtgRatesDataTable8[[#This Row],[WA CC]]&lt;&gt;0,C654-CurrentMtgRatesDataTable8[[#This Row],[WA CC]],0)</f>
        <v>0</v>
      </c>
      <c r="K655" s="16">
        <f>IF(CurrentMtgRatesDataTable8[[#This Row],[Servicing Spread]]&lt;=0,K654,CurrentMtgRatesDataTable8[[#This Row],[Servicing Spread]])</f>
        <v>0.86817520738981724</v>
      </c>
      <c r="L655" s="16">
        <f>CurrentMtgRatesDataTable8[[#This Row],[Servicing Spread Non-Zero]]-K654</f>
        <v>0</v>
      </c>
      <c r="M655" s="16">
        <f>IF(I654&lt;&gt;0,CurrentMtgRatesDataTable8[[#This Row],[Rate]]-C654,M654)</f>
        <v>-9.9999999999997868E-3</v>
      </c>
    </row>
    <row r="656" spans="1:13">
      <c r="A656" s="12" t="s">
        <v>426</v>
      </c>
      <c r="B656" s="13">
        <v>3.0363365323845302</v>
      </c>
      <c r="C656" s="13">
        <v>3.8849999999999998</v>
      </c>
      <c r="D656" s="15">
        <f t="shared" si="60"/>
        <v>5</v>
      </c>
      <c r="E656" s="15">
        <f t="shared" si="61"/>
        <v>0.2</v>
      </c>
      <c r="F656" s="15">
        <f t="shared" si="62"/>
        <v>3</v>
      </c>
      <c r="G656" s="15">
        <f t="shared" si="63"/>
        <v>1.8179416732479141</v>
      </c>
      <c r="H656" s="15">
        <f t="shared" si="64"/>
        <v>0.60000000000000009</v>
      </c>
      <c r="I656" s="15">
        <f t="shared" si="65"/>
        <v>0</v>
      </c>
      <c r="J656" s="15">
        <f>IF(CurrentMtgRatesDataTable8[[#This Row],[WA CC]]&lt;&gt;0,C655-CurrentMtgRatesDataTable8[[#This Row],[WA CC]],0)</f>
        <v>0</v>
      </c>
      <c r="K656" s="16">
        <f>IF(CurrentMtgRatesDataTable8[[#This Row],[Servicing Spread]]&lt;=0,K655,CurrentMtgRatesDataTable8[[#This Row],[Servicing Spread]])</f>
        <v>0.86817520738981724</v>
      </c>
      <c r="L656" s="16">
        <f>CurrentMtgRatesDataTable8[[#This Row],[Servicing Spread Non-Zero]]-K655</f>
        <v>0</v>
      </c>
      <c r="M656" s="16">
        <f>IF(I655&lt;&gt;0,CurrentMtgRatesDataTable8[[#This Row],[Rate]]-C655,M655)</f>
        <v>-9.9999999999997868E-3</v>
      </c>
    </row>
    <row r="657" spans="1:13">
      <c r="A657" s="12" t="s">
        <v>152</v>
      </c>
      <c r="B657" s="13">
        <v>3.03648433223462</v>
      </c>
      <c r="C657" s="13">
        <v>3.8849999999999998</v>
      </c>
      <c r="D657" s="15">
        <f t="shared" si="60"/>
        <v>7</v>
      </c>
      <c r="E657" s="15">
        <f t="shared" si="61"/>
        <v>0.2</v>
      </c>
      <c r="F657" s="15">
        <f t="shared" si="62"/>
        <v>4</v>
      </c>
      <c r="G657" s="15">
        <f t="shared" si="63"/>
        <v>2.4252385396948384</v>
      </c>
      <c r="H657" s="15">
        <f t="shared" si="64"/>
        <v>0.8</v>
      </c>
      <c r="I657" s="15">
        <f t="shared" si="65"/>
        <v>3.031548174618548</v>
      </c>
      <c r="J657" s="15">
        <f>IF(CurrentMtgRatesDataTable8[[#This Row],[WA CC]]&lt;&gt;0,C656-CurrentMtgRatesDataTable8[[#This Row],[WA CC]],0)</f>
        <v>0.85345182538145181</v>
      </c>
      <c r="K657" s="16">
        <f>IF(CurrentMtgRatesDataTable8[[#This Row],[Servicing Spread]]&lt;=0,K656,CurrentMtgRatesDataTable8[[#This Row],[Servicing Spread]])</f>
        <v>0.85345182538145181</v>
      </c>
      <c r="L657" s="16">
        <f>CurrentMtgRatesDataTable8[[#This Row],[Servicing Spread Non-Zero]]-K656</f>
        <v>-1.4723382008365427E-2</v>
      </c>
      <c r="M657" s="16">
        <f>IF(I656&lt;&gt;0,CurrentMtgRatesDataTable8[[#This Row],[Rate]]-C656,M656)</f>
        <v>-9.9999999999997868E-3</v>
      </c>
    </row>
    <row r="658" spans="1:13">
      <c r="A658" s="12" t="s">
        <v>716</v>
      </c>
      <c r="B658" s="13">
        <v>3.0240880311784402</v>
      </c>
      <c r="C658" s="13">
        <v>3.8650000000000002</v>
      </c>
      <c r="D658" s="15">
        <f t="shared" si="60"/>
        <v>1</v>
      </c>
      <c r="E658" s="15">
        <f t="shared" si="61"/>
        <v>0.2</v>
      </c>
      <c r="F658" s="15">
        <f t="shared" si="62"/>
        <v>1</v>
      </c>
      <c r="G658" s="15">
        <f t="shared" si="63"/>
        <v>0.60481760623568803</v>
      </c>
      <c r="H658" s="15">
        <f t="shared" si="64"/>
        <v>0.2</v>
      </c>
      <c r="I658" s="15">
        <f t="shared" si="65"/>
        <v>0</v>
      </c>
      <c r="J658" s="15">
        <f>IF(CurrentMtgRatesDataTable8[[#This Row],[WA CC]]&lt;&gt;0,C657-CurrentMtgRatesDataTable8[[#This Row],[WA CC]],0)</f>
        <v>0</v>
      </c>
      <c r="K658" s="16">
        <f>IF(CurrentMtgRatesDataTable8[[#This Row],[Servicing Spread]]&lt;=0,K657,CurrentMtgRatesDataTable8[[#This Row],[Servicing Spread]])</f>
        <v>0.85345182538145181</v>
      </c>
      <c r="L658" s="16">
        <f>CurrentMtgRatesDataTable8[[#This Row],[Servicing Spread Non-Zero]]-K657</f>
        <v>0</v>
      </c>
      <c r="M658" s="16">
        <f>IF(I657&lt;&gt;0,CurrentMtgRatesDataTable8[[#This Row],[Rate]]-C657,M657)</f>
        <v>-1.9999999999999574E-2</v>
      </c>
    </row>
    <row r="659" spans="1:13">
      <c r="A659" s="12" t="s">
        <v>574</v>
      </c>
      <c r="B659" s="13">
        <v>2.9883080633805301</v>
      </c>
      <c r="C659" s="13">
        <v>3.8650000000000002</v>
      </c>
      <c r="D659" s="15">
        <f t="shared" si="60"/>
        <v>2</v>
      </c>
      <c r="E659" s="15">
        <f t="shared" si="61"/>
        <v>0.2</v>
      </c>
      <c r="F659" s="15">
        <f t="shared" si="62"/>
        <v>2</v>
      </c>
      <c r="G659" s="15">
        <f t="shared" si="63"/>
        <v>1.2024792189117941</v>
      </c>
      <c r="H659" s="15">
        <f t="shared" si="64"/>
        <v>0.4</v>
      </c>
      <c r="I659" s="15">
        <f t="shared" si="65"/>
        <v>0</v>
      </c>
      <c r="J659" s="15">
        <f>IF(CurrentMtgRatesDataTable8[[#This Row],[WA CC]]&lt;&gt;0,C658-CurrentMtgRatesDataTable8[[#This Row],[WA CC]],0)</f>
        <v>0</v>
      </c>
      <c r="K659" s="16">
        <f>IF(CurrentMtgRatesDataTable8[[#This Row],[Servicing Spread]]&lt;=0,K658,CurrentMtgRatesDataTable8[[#This Row],[Servicing Spread]])</f>
        <v>0.85345182538145181</v>
      </c>
      <c r="L659" s="16">
        <f>CurrentMtgRatesDataTable8[[#This Row],[Servicing Spread Non-Zero]]-K658</f>
        <v>0</v>
      </c>
      <c r="M659" s="16">
        <f>IF(I658&lt;&gt;0,CurrentMtgRatesDataTable8[[#This Row],[Rate]]-C658,M658)</f>
        <v>-1.9999999999999574E-2</v>
      </c>
    </row>
    <row r="660" spans="1:13">
      <c r="A660" s="12" t="s">
        <v>427</v>
      </c>
      <c r="B660" s="13">
        <v>2.9940977333827501</v>
      </c>
      <c r="C660" s="13">
        <v>3.8650000000000002</v>
      </c>
      <c r="D660" s="15">
        <f t="shared" si="60"/>
        <v>5</v>
      </c>
      <c r="E660" s="15">
        <f t="shared" si="61"/>
        <v>0.2</v>
      </c>
      <c r="F660" s="15">
        <f t="shared" si="62"/>
        <v>3</v>
      </c>
      <c r="G660" s="15">
        <f t="shared" si="63"/>
        <v>1.8012987655883441</v>
      </c>
      <c r="H660" s="15">
        <f t="shared" si="64"/>
        <v>0.60000000000000009</v>
      </c>
      <c r="I660" s="15">
        <f t="shared" si="65"/>
        <v>0</v>
      </c>
      <c r="J660" s="15">
        <f>IF(CurrentMtgRatesDataTable8[[#This Row],[WA CC]]&lt;&gt;0,C659-CurrentMtgRatesDataTable8[[#This Row],[WA CC]],0)</f>
        <v>0</v>
      </c>
      <c r="K660" s="16">
        <f>IF(CurrentMtgRatesDataTable8[[#This Row],[Servicing Spread]]&lt;=0,K659,CurrentMtgRatesDataTable8[[#This Row],[Servicing Spread]])</f>
        <v>0.85345182538145181</v>
      </c>
      <c r="L660" s="16">
        <f>CurrentMtgRatesDataTable8[[#This Row],[Servicing Spread Non-Zero]]-K659</f>
        <v>0</v>
      </c>
      <c r="M660" s="16">
        <f>IF(I659&lt;&gt;0,CurrentMtgRatesDataTable8[[#This Row],[Rate]]-C659,M659)</f>
        <v>-1.9999999999999574E-2</v>
      </c>
    </row>
    <row r="661" spans="1:13">
      <c r="A661" s="12" t="s">
        <v>297</v>
      </c>
      <c r="B661" s="13">
        <v>2.98225794262494</v>
      </c>
      <c r="C661" s="13">
        <v>3.8650000000000002</v>
      </c>
      <c r="D661" s="15">
        <f t="shared" si="60"/>
        <v>6</v>
      </c>
      <c r="E661" s="15">
        <f t="shared" si="61"/>
        <v>0.2</v>
      </c>
      <c r="F661" s="15">
        <f t="shared" si="62"/>
        <v>4</v>
      </c>
      <c r="G661" s="15">
        <f t="shared" si="63"/>
        <v>2.3977503541133323</v>
      </c>
      <c r="H661" s="15">
        <f t="shared" si="64"/>
        <v>0.8</v>
      </c>
      <c r="I661" s="15">
        <f t="shared" si="65"/>
        <v>0</v>
      </c>
      <c r="J661" s="15">
        <f>IF(CurrentMtgRatesDataTable8[[#This Row],[WA CC]]&lt;&gt;0,C660-CurrentMtgRatesDataTable8[[#This Row],[WA CC]],0)</f>
        <v>0</v>
      </c>
      <c r="K661" s="16">
        <f>IF(CurrentMtgRatesDataTable8[[#This Row],[Servicing Spread]]&lt;=0,K660,CurrentMtgRatesDataTable8[[#This Row],[Servicing Spread]])</f>
        <v>0.85345182538145181</v>
      </c>
      <c r="L661" s="16">
        <f>CurrentMtgRatesDataTable8[[#This Row],[Servicing Spread Non-Zero]]-K660</f>
        <v>0</v>
      </c>
      <c r="M661" s="16">
        <f>IF(I660&lt;&gt;0,CurrentMtgRatesDataTable8[[#This Row],[Rate]]-C660,M660)</f>
        <v>-1.9999999999999574E-2</v>
      </c>
    </row>
    <row r="662" spans="1:13">
      <c r="A662" s="12" t="s">
        <v>153</v>
      </c>
      <c r="B662" s="13">
        <v>3.0039537946355401</v>
      </c>
      <c r="C662" s="13">
        <v>3.8650000000000002</v>
      </c>
      <c r="D662" s="15">
        <f t="shared" si="60"/>
        <v>7</v>
      </c>
      <c r="E662" s="15">
        <f t="shared" si="61"/>
        <v>0.2</v>
      </c>
      <c r="F662" s="15">
        <f t="shared" si="62"/>
        <v>5</v>
      </c>
      <c r="G662" s="15">
        <f t="shared" si="63"/>
        <v>2.9985411130404405</v>
      </c>
      <c r="H662" s="15">
        <f t="shared" si="64"/>
        <v>1</v>
      </c>
      <c r="I662" s="15">
        <f t="shared" si="65"/>
        <v>2.9985411130404405</v>
      </c>
      <c r="J662" s="15">
        <f>IF(CurrentMtgRatesDataTable8[[#This Row],[WA CC]]&lt;&gt;0,C661-CurrentMtgRatesDataTable8[[#This Row],[WA CC]],0)</f>
        <v>0.86645888695955975</v>
      </c>
      <c r="K662" s="16">
        <f>IF(CurrentMtgRatesDataTable8[[#This Row],[Servicing Spread]]&lt;=0,K661,CurrentMtgRatesDataTable8[[#This Row],[Servicing Spread]])</f>
        <v>0.86645888695955975</v>
      </c>
      <c r="L662" s="16">
        <f>CurrentMtgRatesDataTable8[[#This Row],[Servicing Spread Non-Zero]]-K661</f>
        <v>1.3007061578107937E-2</v>
      </c>
      <c r="M662" s="16">
        <f>IF(I661&lt;&gt;0,CurrentMtgRatesDataTable8[[#This Row],[Rate]]-C661,M661)</f>
        <v>-1.9999999999999574E-2</v>
      </c>
    </row>
    <row r="663" spans="1:13">
      <c r="A663" s="12" t="s">
        <v>153</v>
      </c>
      <c r="B663" s="13">
        <v>3.0039537946355401</v>
      </c>
      <c r="C663" s="13">
        <v>3.8450000000000002</v>
      </c>
      <c r="D663" s="15">
        <f t="shared" si="60"/>
        <v>7</v>
      </c>
      <c r="E663" s="15">
        <f t="shared" si="61"/>
        <v>0.2</v>
      </c>
      <c r="F663" s="15">
        <f t="shared" si="62"/>
        <v>1</v>
      </c>
      <c r="G663" s="15">
        <f t="shared" si="63"/>
        <v>0.60079075892710809</v>
      </c>
      <c r="H663" s="15">
        <f t="shared" si="64"/>
        <v>0.2</v>
      </c>
      <c r="I663" s="15">
        <f t="shared" si="65"/>
        <v>0</v>
      </c>
      <c r="J663" s="15">
        <f>IF(CurrentMtgRatesDataTable8[[#This Row],[WA CC]]&lt;&gt;0,C662-CurrentMtgRatesDataTable8[[#This Row],[WA CC]],0)</f>
        <v>0</v>
      </c>
      <c r="K663" s="16">
        <f>IF(CurrentMtgRatesDataTable8[[#This Row],[Servicing Spread]]&lt;=0,K662,CurrentMtgRatesDataTable8[[#This Row],[Servicing Spread]])</f>
        <v>0.86645888695955975</v>
      </c>
      <c r="L663" s="16">
        <f>CurrentMtgRatesDataTable8[[#This Row],[Servicing Spread Non-Zero]]-K662</f>
        <v>0</v>
      </c>
      <c r="M663" s="16">
        <f>IF(I662&lt;&gt;0,CurrentMtgRatesDataTable8[[#This Row],[Rate]]-C662,M662)</f>
        <v>-2.0000000000000018E-2</v>
      </c>
    </row>
    <row r="664" spans="1:13">
      <c r="A664" s="12" t="s">
        <v>575</v>
      </c>
      <c r="B664" s="13">
        <v>2.9824542230370898</v>
      </c>
      <c r="C664" s="13">
        <v>3.8450000000000002</v>
      </c>
      <c r="D664" s="15">
        <f t="shared" si="60"/>
        <v>1</v>
      </c>
      <c r="E664" s="15">
        <f t="shared" si="61"/>
        <v>0.2</v>
      </c>
      <c r="F664" s="15">
        <f t="shared" si="62"/>
        <v>1</v>
      </c>
      <c r="G664" s="15">
        <f t="shared" si="63"/>
        <v>0.59649084460741797</v>
      </c>
      <c r="H664" s="15">
        <f t="shared" si="64"/>
        <v>0.2</v>
      </c>
      <c r="I664" s="15">
        <f t="shared" si="65"/>
        <v>0</v>
      </c>
      <c r="J664" s="15">
        <f>IF(CurrentMtgRatesDataTable8[[#This Row],[WA CC]]&lt;&gt;0,C663-CurrentMtgRatesDataTable8[[#This Row],[WA CC]],0)</f>
        <v>0</v>
      </c>
      <c r="K664" s="16">
        <f>IF(CurrentMtgRatesDataTable8[[#This Row],[Servicing Spread]]&lt;=0,K663,CurrentMtgRatesDataTable8[[#This Row],[Servicing Spread]])</f>
        <v>0.86645888695955975</v>
      </c>
      <c r="L664" s="16">
        <f>CurrentMtgRatesDataTable8[[#This Row],[Servicing Spread Non-Zero]]-K663</f>
        <v>0</v>
      </c>
      <c r="M664" s="16">
        <f>IF(I663&lt;&gt;0,CurrentMtgRatesDataTable8[[#This Row],[Rate]]-C663,M663)</f>
        <v>-2.0000000000000018E-2</v>
      </c>
    </row>
    <row r="665" spans="1:13">
      <c r="A665" s="12" t="s">
        <v>438</v>
      </c>
      <c r="B665" s="13">
        <v>2.96503071609644</v>
      </c>
      <c r="C665" s="13">
        <v>3.8450000000000002</v>
      </c>
      <c r="D665" s="15">
        <f t="shared" si="60"/>
        <v>2</v>
      </c>
      <c r="E665" s="15">
        <f t="shared" si="61"/>
        <v>0.2</v>
      </c>
      <c r="F665" s="15">
        <f t="shared" si="62"/>
        <v>2</v>
      </c>
      <c r="G665" s="15">
        <f t="shared" si="63"/>
        <v>1.1894969878267059</v>
      </c>
      <c r="H665" s="15">
        <f t="shared" si="64"/>
        <v>0.4</v>
      </c>
      <c r="I665" s="15">
        <f t="shared" si="65"/>
        <v>0</v>
      </c>
      <c r="J665" s="15">
        <f>IF(CurrentMtgRatesDataTable8[[#This Row],[WA CC]]&lt;&gt;0,C664-CurrentMtgRatesDataTable8[[#This Row],[WA CC]],0)</f>
        <v>0</v>
      </c>
      <c r="K665" s="16">
        <f>IF(CurrentMtgRatesDataTable8[[#This Row],[Servicing Spread]]&lt;=0,K664,CurrentMtgRatesDataTable8[[#This Row],[Servicing Spread]])</f>
        <v>0.86645888695955975</v>
      </c>
      <c r="L665" s="16">
        <f>CurrentMtgRatesDataTable8[[#This Row],[Servicing Spread Non-Zero]]-K664</f>
        <v>0</v>
      </c>
      <c r="M665" s="16">
        <f>IF(I664&lt;&gt;0,CurrentMtgRatesDataTable8[[#This Row],[Rate]]-C664,M664)</f>
        <v>-2.0000000000000018E-2</v>
      </c>
    </row>
    <row r="666" spans="1:13">
      <c r="A666" s="12" t="s">
        <v>298</v>
      </c>
      <c r="B666" s="13">
        <v>2.9533754292471799</v>
      </c>
      <c r="C666" s="13">
        <v>3.8450000000000002</v>
      </c>
      <c r="D666" s="15">
        <f t="shared" si="60"/>
        <v>5</v>
      </c>
      <c r="E666" s="15">
        <f t="shared" si="61"/>
        <v>0.2</v>
      </c>
      <c r="F666" s="15">
        <f t="shared" si="62"/>
        <v>3</v>
      </c>
      <c r="G666" s="15">
        <f t="shared" si="63"/>
        <v>1.7801720736761419</v>
      </c>
      <c r="H666" s="15">
        <f t="shared" si="64"/>
        <v>0.60000000000000009</v>
      </c>
      <c r="I666" s="15">
        <f t="shared" si="65"/>
        <v>0</v>
      </c>
      <c r="J666" s="15">
        <f>IF(CurrentMtgRatesDataTable8[[#This Row],[WA CC]]&lt;&gt;0,C665-CurrentMtgRatesDataTable8[[#This Row],[WA CC]],0)</f>
        <v>0</v>
      </c>
      <c r="K666" s="16">
        <f>IF(CurrentMtgRatesDataTable8[[#This Row],[Servicing Spread]]&lt;=0,K665,CurrentMtgRatesDataTable8[[#This Row],[Servicing Spread]])</f>
        <v>0.86645888695955975</v>
      </c>
      <c r="L666" s="16">
        <f>CurrentMtgRatesDataTable8[[#This Row],[Servicing Spread Non-Zero]]-K665</f>
        <v>0</v>
      </c>
      <c r="M666" s="16">
        <f>IF(I665&lt;&gt;0,CurrentMtgRatesDataTable8[[#This Row],[Rate]]-C665,M665)</f>
        <v>-2.0000000000000018E-2</v>
      </c>
    </row>
    <row r="667" spans="1:13">
      <c r="A667" s="12" t="s">
        <v>154</v>
      </c>
      <c r="B667" s="13">
        <v>2.8987235748393099</v>
      </c>
      <c r="C667" s="13">
        <v>3.8450000000000002</v>
      </c>
      <c r="D667" s="15">
        <f t="shared" si="60"/>
        <v>6</v>
      </c>
      <c r="E667" s="15">
        <f t="shared" si="61"/>
        <v>0.2</v>
      </c>
      <c r="F667" s="15">
        <f t="shared" si="62"/>
        <v>4</v>
      </c>
      <c r="G667" s="15">
        <f t="shared" si="63"/>
        <v>2.359916788644004</v>
      </c>
      <c r="H667" s="15">
        <f t="shared" si="64"/>
        <v>0.8</v>
      </c>
      <c r="I667" s="15">
        <f t="shared" si="65"/>
        <v>2.9498959858050049</v>
      </c>
      <c r="J667" s="15">
        <f>IF(CurrentMtgRatesDataTable8[[#This Row],[WA CC]]&lt;&gt;0,C666-CurrentMtgRatesDataTable8[[#This Row],[WA CC]],0)</f>
        <v>0.8951040141949953</v>
      </c>
      <c r="K667" s="16">
        <f>IF(CurrentMtgRatesDataTable8[[#This Row],[Servicing Spread]]&lt;=0,K666,CurrentMtgRatesDataTable8[[#This Row],[Servicing Spread]])</f>
        <v>0.8951040141949953</v>
      </c>
      <c r="L667" s="16">
        <f>CurrentMtgRatesDataTable8[[#This Row],[Servicing Spread Non-Zero]]-K666</f>
        <v>2.8645127235435552E-2</v>
      </c>
      <c r="M667" s="16">
        <f>IF(I666&lt;&gt;0,CurrentMtgRatesDataTable8[[#This Row],[Rate]]-C666,M666)</f>
        <v>-2.0000000000000018E-2</v>
      </c>
    </row>
    <row r="668" spans="1:13">
      <c r="A668" s="12" t="s">
        <v>576</v>
      </c>
      <c r="B668" s="13">
        <v>2.84568526355815</v>
      </c>
      <c r="C668" s="13">
        <v>3.7650000000000001</v>
      </c>
      <c r="D668" s="15">
        <f t="shared" si="60"/>
        <v>2</v>
      </c>
      <c r="E668" s="15">
        <f t="shared" si="61"/>
        <v>0.2</v>
      </c>
      <c r="F668" s="15">
        <f t="shared" si="62"/>
        <v>1</v>
      </c>
      <c r="G668" s="15">
        <f t="shared" si="63"/>
        <v>0.56913705271163006</v>
      </c>
      <c r="H668" s="15">
        <f t="shared" si="64"/>
        <v>0.2</v>
      </c>
      <c r="I668" s="15">
        <f t="shared" si="65"/>
        <v>0</v>
      </c>
      <c r="J668" s="15">
        <f>IF(CurrentMtgRatesDataTable8[[#This Row],[WA CC]]&lt;&gt;0,C667-CurrentMtgRatesDataTable8[[#This Row],[WA CC]],0)</f>
        <v>0</v>
      </c>
      <c r="K668" s="16">
        <f>IF(CurrentMtgRatesDataTable8[[#This Row],[Servicing Spread]]&lt;=0,K667,CurrentMtgRatesDataTable8[[#This Row],[Servicing Spread]])</f>
        <v>0.8951040141949953</v>
      </c>
      <c r="L668" s="16">
        <f>CurrentMtgRatesDataTable8[[#This Row],[Servicing Spread Non-Zero]]-K667</f>
        <v>0</v>
      </c>
      <c r="M668" s="16">
        <f>IF(I667&lt;&gt;0,CurrentMtgRatesDataTable8[[#This Row],[Rate]]-C667,M667)</f>
        <v>-8.0000000000000071E-2</v>
      </c>
    </row>
    <row r="669" spans="1:13">
      <c r="A669" s="12" t="s">
        <v>428</v>
      </c>
      <c r="B669" s="13">
        <v>2.8622800897906999</v>
      </c>
      <c r="C669" s="13">
        <v>3.7650000000000001</v>
      </c>
      <c r="D669" s="15">
        <f t="shared" si="60"/>
        <v>5</v>
      </c>
      <c r="E669" s="15">
        <f t="shared" si="61"/>
        <v>0.2</v>
      </c>
      <c r="F669" s="15">
        <f t="shared" si="62"/>
        <v>2</v>
      </c>
      <c r="G669" s="15">
        <f t="shared" si="63"/>
        <v>1.1415930706697701</v>
      </c>
      <c r="H669" s="15">
        <f t="shared" si="64"/>
        <v>0.4</v>
      </c>
      <c r="I669" s="15">
        <f t="shared" si="65"/>
        <v>0</v>
      </c>
      <c r="J669" s="15">
        <f>IF(CurrentMtgRatesDataTable8[[#This Row],[WA CC]]&lt;&gt;0,C668-CurrentMtgRatesDataTable8[[#This Row],[WA CC]],0)</f>
        <v>0</v>
      </c>
      <c r="K669" s="16">
        <f>IF(CurrentMtgRatesDataTable8[[#This Row],[Servicing Spread]]&lt;=0,K668,CurrentMtgRatesDataTable8[[#This Row],[Servicing Spread]])</f>
        <v>0.8951040141949953</v>
      </c>
      <c r="L669" s="16">
        <f>CurrentMtgRatesDataTable8[[#This Row],[Servicing Spread Non-Zero]]-K668</f>
        <v>0</v>
      </c>
      <c r="M669" s="16">
        <f>IF(I668&lt;&gt;0,CurrentMtgRatesDataTable8[[#This Row],[Rate]]-C668,M668)</f>
        <v>-8.0000000000000071E-2</v>
      </c>
    </row>
    <row r="670" spans="1:13">
      <c r="A670" s="12" t="s">
        <v>299</v>
      </c>
      <c r="B670" s="13">
        <v>2.92504129119764</v>
      </c>
      <c r="C670" s="13">
        <v>3.7650000000000001</v>
      </c>
      <c r="D670" s="15">
        <f t="shared" si="60"/>
        <v>6</v>
      </c>
      <c r="E670" s="15">
        <f t="shared" si="61"/>
        <v>0.2</v>
      </c>
      <c r="F670" s="15">
        <f t="shared" si="62"/>
        <v>3</v>
      </c>
      <c r="G670" s="15">
        <f t="shared" si="63"/>
        <v>1.7266013289092981</v>
      </c>
      <c r="H670" s="15">
        <f t="shared" si="64"/>
        <v>0.60000000000000009</v>
      </c>
      <c r="I670" s="15">
        <f t="shared" si="65"/>
        <v>0</v>
      </c>
      <c r="J670" s="15">
        <f>IF(CurrentMtgRatesDataTable8[[#This Row],[WA CC]]&lt;&gt;0,C669-CurrentMtgRatesDataTable8[[#This Row],[WA CC]],0)</f>
        <v>0</v>
      </c>
      <c r="K670" s="16">
        <f>IF(CurrentMtgRatesDataTable8[[#This Row],[Servicing Spread]]&lt;=0,K669,CurrentMtgRatesDataTable8[[#This Row],[Servicing Spread]])</f>
        <v>0.8951040141949953</v>
      </c>
      <c r="L670" s="16">
        <f>CurrentMtgRatesDataTable8[[#This Row],[Servicing Spread Non-Zero]]-K669</f>
        <v>0</v>
      </c>
      <c r="M670" s="16">
        <f>IF(I669&lt;&gt;0,CurrentMtgRatesDataTable8[[#This Row],[Rate]]-C669,M669)</f>
        <v>-8.0000000000000071E-2</v>
      </c>
    </row>
    <row r="671" spans="1:13">
      <c r="A671" s="12" t="s">
        <v>155</v>
      </c>
      <c r="B671" s="13">
        <v>2.9323159668402701</v>
      </c>
      <c r="C671" s="13">
        <v>3.7650000000000001</v>
      </c>
      <c r="D671" s="15">
        <f t="shared" si="60"/>
        <v>7</v>
      </c>
      <c r="E671" s="15">
        <f t="shared" si="61"/>
        <v>0.2</v>
      </c>
      <c r="F671" s="15">
        <f t="shared" si="62"/>
        <v>4</v>
      </c>
      <c r="G671" s="15">
        <f t="shared" si="63"/>
        <v>2.3130645222773523</v>
      </c>
      <c r="H671" s="15">
        <f t="shared" si="64"/>
        <v>0.8</v>
      </c>
      <c r="I671" s="15">
        <f t="shared" si="65"/>
        <v>2.89133065284669</v>
      </c>
      <c r="J671" s="15">
        <f>IF(CurrentMtgRatesDataTable8[[#This Row],[WA CC]]&lt;&gt;0,C670-CurrentMtgRatesDataTable8[[#This Row],[WA CC]],0)</f>
        <v>0.87366934715331013</v>
      </c>
      <c r="K671" s="16">
        <f>IF(CurrentMtgRatesDataTable8[[#This Row],[Servicing Spread]]&lt;=0,K670,CurrentMtgRatesDataTable8[[#This Row],[Servicing Spread]])</f>
        <v>0.87366934715331013</v>
      </c>
      <c r="L671" s="16">
        <f>CurrentMtgRatesDataTable8[[#This Row],[Servicing Spread Non-Zero]]-K670</f>
        <v>-2.1434667041685174E-2</v>
      </c>
      <c r="M671" s="16">
        <f>IF(I670&lt;&gt;0,CurrentMtgRatesDataTable8[[#This Row],[Rate]]-C670,M670)</f>
        <v>-8.0000000000000071E-2</v>
      </c>
    </row>
    <row r="672" spans="1:13">
      <c r="A672" s="12" t="s">
        <v>717</v>
      </c>
      <c r="B672" s="13">
        <v>2.90250988237801</v>
      </c>
      <c r="C672" s="13">
        <v>3.8050000000000002</v>
      </c>
      <c r="D672" s="15">
        <f t="shared" si="60"/>
        <v>1</v>
      </c>
      <c r="E672" s="15">
        <f t="shared" si="61"/>
        <v>0.2</v>
      </c>
      <c r="F672" s="15">
        <f t="shared" si="62"/>
        <v>1</v>
      </c>
      <c r="G672" s="15">
        <f t="shared" si="63"/>
        <v>0.58050197647560198</v>
      </c>
      <c r="H672" s="15">
        <f t="shared" si="64"/>
        <v>0.2</v>
      </c>
      <c r="I672" s="15">
        <f t="shared" si="65"/>
        <v>0</v>
      </c>
      <c r="J672" s="15">
        <f>IF(CurrentMtgRatesDataTable8[[#This Row],[WA CC]]&lt;&gt;0,C671-CurrentMtgRatesDataTable8[[#This Row],[WA CC]],0)</f>
        <v>0</v>
      </c>
      <c r="K672" s="16">
        <f>IF(CurrentMtgRatesDataTable8[[#This Row],[Servicing Spread]]&lt;=0,K671,CurrentMtgRatesDataTable8[[#This Row],[Servicing Spread]])</f>
        <v>0.87366934715331013</v>
      </c>
      <c r="L672" s="16">
        <f>CurrentMtgRatesDataTable8[[#This Row],[Servicing Spread Non-Zero]]-K671</f>
        <v>0</v>
      </c>
      <c r="M672" s="16">
        <f>IF(I671&lt;&gt;0,CurrentMtgRatesDataTable8[[#This Row],[Rate]]-C671,M671)</f>
        <v>4.0000000000000036E-2</v>
      </c>
    </row>
    <row r="673" spans="1:13">
      <c r="A673" s="12" t="s">
        <v>577</v>
      </c>
      <c r="B673" s="13">
        <v>2.9546349103912699</v>
      </c>
      <c r="C673" s="13">
        <v>3.8050000000000002</v>
      </c>
      <c r="D673" s="15">
        <f t="shared" si="60"/>
        <v>2</v>
      </c>
      <c r="E673" s="15">
        <f t="shared" si="61"/>
        <v>0.2</v>
      </c>
      <c r="F673" s="15">
        <f t="shared" si="62"/>
        <v>2</v>
      </c>
      <c r="G673" s="15">
        <f t="shared" si="63"/>
        <v>1.171428958553856</v>
      </c>
      <c r="H673" s="15">
        <f t="shared" si="64"/>
        <v>0.4</v>
      </c>
      <c r="I673" s="15">
        <f t="shared" si="65"/>
        <v>0</v>
      </c>
      <c r="J673" s="15">
        <f>IF(CurrentMtgRatesDataTable8[[#This Row],[WA CC]]&lt;&gt;0,C672-CurrentMtgRatesDataTable8[[#This Row],[WA CC]],0)</f>
        <v>0</v>
      </c>
      <c r="K673" s="16">
        <f>IF(CurrentMtgRatesDataTable8[[#This Row],[Servicing Spread]]&lt;=0,K672,CurrentMtgRatesDataTable8[[#This Row],[Servicing Spread]])</f>
        <v>0.87366934715331013</v>
      </c>
      <c r="L673" s="16">
        <f>CurrentMtgRatesDataTable8[[#This Row],[Servicing Spread Non-Zero]]-K672</f>
        <v>0</v>
      </c>
      <c r="M673" s="16">
        <f>IF(I672&lt;&gt;0,CurrentMtgRatesDataTable8[[#This Row],[Rate]]-C672,M672)</f>
        <v>4.0000000000000036E-2</v>
      </c>
    </row>
    <row r="674" spans="1:13">
      <c r="A674" s="12" t="s">
        <v>429</v>
      </c>
      <c r="B674" s="13">
        <v>2.9087586637234901</v>
      </c>
      <c r="C674" s="13">
        <v>3.8050000000000002</v>
      </c>
      <c r="D674" s="15">
        <f t="shared" si="60"/>
        <v>5</v>
      </c>
      <c r="E674" s="15">
        <f t="shared" si="61"/>
        <v>0.2</v>
      </c>
      <c r="F674" s="15">
        <f t="shared" si="62"/>
        <v>3</v>
      </c>
      <c r="G674" s="15">
        <f t="shared" si="63"/>
        <v>1.7531806912985539</v>
      </c>
      <c r="H674" s="15">
        <f t="shared" si="64"/>
        <v>0.60000000000000009</v>
      </c>
      <c r="I674" s="15">
        <f t="shared" si="65"/>
        <v>0</v>
      </c>
      <c r="J674" s="15">
        <f>IF(CurrentMtgRatesDataTable8[[#This Row],[WA CC]]&lt;&gt;0,C673-CurrentMtgRatesDataTable8[[#This Row],[WA CC]],0)</f>
        <v>0</v>
      </c>
      <c r="K674" s="16">
        <f>IF(CurrentMtgRatesDataTable8[[#This Row],[Servicing Spread]]&lt;=0,K673,CurrentMtgRatesDataTable8[[#This Row],[Servicing Spread]])</f>
        <v>0.87366934715331013</v>
      </c>
      <c r="L674" s="16">
        <f>CurrentMtgRatesDataTable8[[#This Row],[Servicing Spread Non-Zero]]-K673</f>
        <v>0</v>
      </c>
      <c r="M674" s="16">
        <f>IF(I673&lt;&gt;0,CurrentMtgRatesDataTable8[[#This Row],[Rate]]-C673,M673)</f>
        <v>4.0000000000000036E-2</v>
      </c>
    </row>
    <row r="675" spans="1:13">
      <c r="A675" s="12" t="s">
        <v>300</v>
      </c>
      <c r="B675" s="13">
        <v>2.8860238028398202</v>
      </c>
      <c r="C675" s="13">
        <v>3.8050000000000002</v>
      </c>
      <c r="D675" s="15">
        <f t="shared" si="60"/>
        <v>6</v>
      </c>
      <c r="E675" s="15">
        <f t="shared" si="61"/>
        <v>0.2</v>
      </c>
      <c r="F675" s="15">
        <f t="shared" si="62"/>
        <v>4</v>
      </c>
      <c r="G675" s="15">
        <f t="shared" si="63"/>
        <v>2.3303854518665181</v>
      </c>
      <c r="H675" s="15">
        <f t="shared" si="64"/>
        <v>0.8</v>
      </c>
      <c r="I675" s="15">
        <f t="shared" si="65"/>
        <v>0</v>
      </c>
      <c r="J675" s="15">
        <f>IF(CurrentMtgRatesDataTable8[[#This Row],[WA CC]]&lt;&gt;0,C674-CurrentMtgRatesDataTable8[[#This Row],[WA CC]],0)</f>
        <v>0</v>
      </c>
      <c r="K675" s="16">
        <f>IF(CurrentMtgRatesDataTable8[[#This Row],[Servicing Spread]]&lt;=0,K674,CurrentMtgRatesDataTable8[[#This Row],[Servicing Spread]])</f>
        <v>0.87366934715331013</v>
      </c>
      <c r="L675" s="16">
        <f>CurrentMtgRatesDataTable8[[#This Row],[Servicing Spread Non-Zero]]-K674</f>
        <v>0</v>
      </c>
      <c r="M675" s="16">
        <f>IF(I674&lt;&gt;0,CurrentMtgRatesDataTable8[[#This Row],[Rate]]-C674,M674)</f>
        <v>4.0000000000000036E-2</v>
      </c>
    </row>
    <row r="676" spans="1:13">
      <c r="A676" s="12" t="s">
        <v>156</v>
      </c>
      <c r="B676" s="13">
        <v>2.8515070487427501</v>
      </c>
      <c r="C676" s="13">
        <v>3.8050000000000002</v>
      </c>
      <c r="D676" s="15">
        <f t="shared" si="60"/>
        <v>7</v>
      </c>
      <c r="E676" s="15">
        <f t="shared" si="61"/>
        <v>0.2</v>
      </c>
      <c r="F676" s="15">
        <f t="shared" si="62"/>
        <v>5</v>
      </c>
      <c r="G676" s="15">
        <f t="shared" si="63"/>
        <v>2.9006868616150681</v>
      </c>
      <c r="H676" s="15">
        <f t="shared" si="64"/>
        <v>1</v>
      </c>
      <c r="I676" s="15">
        <f t="shared" si="65"/>
        <v>2.9006868616150681</v>
      </c>
      <c r="J676" s="15">
        <f>IF(CurrentMtgRatesDataTable8[[#This Row],[WA CC]]&lt;&gt;0,C675-CurrentMtgRatesDataTable8[[#This Row],[WA CC]],0)</f>
        <v>0.9043131383849321</v>
      </c>
      <c r="K676" s="16">
        <f>IF(CurrentMtgRatesDataTable8[[#This Row],[Servicing Spread]]&lt;=0,K675,CurrentMtgRatesDataTable8[[#This Row],[Servicing Spread]])</f>
        <v>0.9043131383849321</v>
      </c>
      <c r="L676" s="16">
        <f>CurrentMtgRatesDataTable8[[#This Row],[Servicing Spread Non-Zero]]-K675</f>
        <v>3.0643791231621975E-2</v>
      </c>
      <c r="M676" s="16">
        <f>IF(I675&lt;&gt;0,CurrentMtgRatesDataTable8[[#This Row],[Rate]]-C675,M675)</f>
        <v>4.0000000000000036E-2</v>
      </c>
    </row>
    <row r="677" spans="1:13">
      <c r="A677" s="12" t="s">
        <v>718</v>
      </c>
      <c r="B677" s="13">
        <v>2.8634343397483599</v>
      </c>
      <c r="C677" s="13">
        <v>3.6999999999999997</v>
      </c>
      <c r="D677" s="15">
        <f t="shared" si="60"/>
        <v>1</v>
      </c>
      <c r="E677" s="15">
        <f t="shared" si="61"/>
        <v>0.2</v>
      </c>
      <c r="F677" s="15">
        <f t="shared" si="62"/>
        <v>1</v>
      </c>
      <c r="G677" s="15">
        <f t="shared" si="63"/>
        <v>0.57268686794967205</v>
      </c>
      <c r="H677" s="15">
        <f t="shared" si="64"/>
        <v>0.2</v>
      </c>
      <c r="I677" s="15">
        <f t="shared" si="65"/>
        <v>0</v>
      </c>
      <c r="J677" s="15">
        <f>IF(CurrentMtgRatesDataTable8[[#This Row],[WA CC]]&lt;&gt;0,C676-CurrentMtgRatesDataTable8[[#This Row],[WA CC]],0)</f>
        <v>0</v>
      </c>
      <c r="K677" s="16">
        <f>IF(CurrentMtgRatesDataTable8[[#This Row],[Servicing Spread]]&lt;=0,K676,CurrentMtgRatesDataTable8[[#This Row],[Servicing Spread]])</f>
        <v>0.9043131383849321</v>
      </c>
      <c r="L677" s="16">
        <f>CurrentMtgRatesDataTable8[[#This Row],[Servicing Spread Non-Zero]]-K676</f>
        <v>0</v>
      </c>
      <c r="M677" s="16">
        <f>IF(I676&lt;&gt;0,CurrentMtgRatesDataTable8[[#This Row],[Rate]]-C676,M676)</f>
        <v>-0.10500000000000043</v>
      </c>
    </row>
    <row r="678" spans="1:13">
      <c r="A678" s="12" t="s">
        <v>578</v>
      </c>
      <c r="B678" s="13">
        <v>2.80057780204395</v>
      </c>
      <c r="C678" s="13">
        <v>3.6999999999999997</v>
      </c>
      <c r="D678" s="15">
        <f t="shared" si="60"/>
        <v>2</v>
      </c>
      <c r="E678" s="15">
        <f t="shared" si="61"/>
        <v>0.2</v>
      </c>
      <c r="F678" s="15">
        <f t="shared" si="62"/>
        <v>2</v>
      </c>
      <c r="G678" s="15">
        <f t="shared" si="63"/>
        <v>1.1328024283584621</v>
      </c>
      <c r="H678" s="15">
        <f t="shared" si="64"/>
        <v>0.4</v>
      </c>
      <c r="I678" s="15">
        <f t="shared" si="65"/>
        <v>0</v>
      </c>
      <c r="J678" s="15">
        <f>IF(CurrentMtgRatesDataTable8[[#This Row],[WA CC]]&lt;&gt;0,C677-CurrentMtgRatesDataTable8[[#This Row],[WA CC]],0)</f>
        <v>0</v>
      </c>
      <c r="K678" s="16">
        <f>IF(CurrentMtgRatesDataTable8[[#This Row],[Servicing Spread]]&lt;=0,K677,CurrentMtgRatesDataTable8[[#This Row],[Servicing Spread]])</f>
        <v>0.9043131383849321</v>
      </c>
      <c r="L678" s="16">
        <f>CurrentMtgRatesDataTable8[[#This Row],[Servicing Spread Non-Zero]]-K677</f>
        <v>0</v>
      </c>
      <c r="M678" s="16">
        <f>IF(I677&lt;&gt;0,CurrentMtgRatesDataTable8[[#This Row],[Rate]]-C677,M677)</f>
        <v>-0.10500000000000043</v>
      </c>
    </row>
    <row r="679" spans="1:13">
      <c r="A679" s="12" t="s">
        <v>430</v>
      </c>
      <c r="B679" s="13">
        <v>2.8291749929655099</v>
      </c>
      <c r="C679" s="13">
        <v>3.6999999999999997</v>
      </c>
      <c r="D679" s="15">
        <f t="shared" si="60"/>
        <v>5</v>
      </c>
      <c r="E679" s="15">
        <f t="shared" si="61"/>
        <v>0.2</v>
      </c>
      <c r="F679" s="15">
        <f t="shared" si="62"/>
        <v>3</v>
      </c>
      <c r="G679" s="15">
        <f t="shared" si="63"/>
        <v>1.6986374269515641</v>
      </c>
      <c r="H679" s="15">
        <f t="shared" si="64"/>
        <v>0.60000000000000009</v>
      </c>
      <c r="I679" s="15">
        <f t="shared" si="65"/>
        <v>0</v>
      </c>
      <c r="J679" s="15">
        <f>IF(CurrentMtgRatesDataTable8[[#This Row],[WA CC]]&lt;&gt;0,C678-CurrentMtgRatesDataTable8[[#This Row],[WA CC]],0)</f>
        <v>0</v>
      </c>
      <c r="K679" s="16">
        <f>IF(CurrentMtgRatesDataTable8[[#This Row],[Servicing Spread]]&lt;=0,K678,CurrentMtgRatesDataTable8[[#This Row],[Servicing Spread]])</f>
        <v>0.9043131383849321</v>
      </c>
      <c r="L679" s="16">
        <f>CurrentMtgRatesDataTable8[[#This Row],[Servicing Spread Non-Zero]]-K678</f>
        <v>0</v>
      </c>
      <c r="M679" s="16">
        <f>IF(I678&lt;&gt;0,CurrentMtgRatesDataTable8[[#This Row],[Rate]]-C678,M678)</f>
        <v>-0.10500000000000043</v>
      </c>
    </row>
    <row r="680" spans="1:13">
      <c r="A680" s="12" t="s">
        <v>301</v>
      </c>
      <c r="B680" s="13">
        <v>2.7872489970640002</v>
      </c>
      <c r="C680" s="13">
        <v>3.6999999999999997</v>
      </c>
      <c r="D680" s="15">
        <f t="shared" si="60"/>
        <v>6</v>
      </c>
      <c r="E680" s="15">
        <f t="shared" si="61"/>
        <v>0.2</v>
      </c>
      <c r="F680" s="15">
        <f t="shared" si="62"/>
        <v>4</v>
      </c>
      <c r="G680" s="15">
        <f t="shared" si="63"/>
        <v>2.2560872263643641</v>
      </c>
      <c r="H680" s="15">
        <f t="shared" si="64"/>
        <v>0.8</v>
      </c>
      <c r="I680" s="15">
        <f t="shared" si="65"/>
        <v>0</v>
      </c>
      <c r="J680" s="15">
        <f>IF(CurrentMtgRatesDataTable8[[#This Row],[WA CC]]&lt;&gt;0,C679-CurrentMtgRatesDataTable8[[#This Row],[WA CC]],0)</f>
        <v>0</v>
      </c>
      <c r="K680" s="16">
        <f>IF(CurrentMtgRatesDataTable8[[#This Row],[Servicing Spread]]&lt;=0,K679,CurrentMtgRatesDataTable8[[#This Row],[Servicing Spread]])</f>
        <v>0.9043131383849321</v>
      </c>
      <c r="L680" s="16">
        <f>CurrentMtgRatesDataTable8[[#This Row],[Servicing Spread Non-Zero]]-K679</f>
        <v>0</v>
      </c>
      <c r="M680" s="16">
        <f>IF(I679&lt;&gt;0,CurrentMtgRatesDataTable8[[#This Row],[Rate]]-C679,M679)</f>
        <v>-0.10500000000000043</v>
      </c>
    </row>
    <row r="681" spans="1:13">
      <c r="A681" s="12" t="s">
        <v>157</v>
      </c>
      <c r="B681" s="13">
        <v>2.8371501312702399</v>
      </c>
      <c r="C681" s="13">
        <v>3.6999999999999997</v>
      </c>
      <c r="D681" s="15">
        <f t="shared" si="60"/>
        <v>7</v>
      </c>
      <c r="E681" s="15">
        <f t="shared" si="61"/>
        <v>0.2</v>
      </c>
      <c r="F681" s="15">
        <f t="shared" si="62"/>
        <v>5</v>
      </c>
      <c r="G681" s="15">
        <f t="shared" si="63"/>
        <v>2.8235172526184122</v>
      </c>
      <c r="H681" s="15">
        <f t="shared" si="64"/>
        <v>1</v>
      </c>
      <c r="I681" s="15">
        <f t="shared" si="65"/>
        <v>2.8235172526184122</v>
      </c>
      <c r="J681" s="15">
        <f>IF(CurrentMtgRatesDataTable8[[#This Row],[WA CC]]&lt;&gt;0,C680-CurrentMtgRatesDataTable8[[#This Row],[WA CC]],0)</f>
        <v>0.87648274738158749</v>
      </c>
      <c r="K681" s="16">
        <f>IF(CurrentMtgRatesDataTable8[[#This Row],[Servicing Spread]]&lt;=0,K680,CurrentMtgRatesDataTable8[[#This Row],[Servicing Spread]])</f>
        <v>0.87648274738158749</v>
      </c>
      <c r="L681" s="16">
        <f>CurrentMtgRatesDataTable8[[#This Row],[Servicing Spread Non-Zero]]-K680</f>
        <v>-2.7830391003344612E-2</v>
      </c>
      <c r="M681" s="16">
        <f>IF(I680&lt;&gt;0,CurrentMtgRatesDataTable8[[#This Row],[Rate]]-C680,M680)</f>
        <v>-0.10500000000000043</v>
      </c>
    </row>
    <row r="682" spans="1:13">
      <c r="A682" s="12" t="s">
        <v>157</v>
      </c>
      <c r="B682" s="13">
        <v>2.8371501312702399</v>
      </c>
      <c r="C682" s="13">
        <v>3.73</v>
      </c>
      <c r="D682" s="15">
        <f t="shared" si="60"/>
        <v>7</v>
      </c>
      <c r="E682" s="15">
        <f t="shared" si="61"/>
        <v>0.2</v>
      </c>
      <c r="F682" s="15">
        <f t="shared" si="62"/>
        <v>1</v>
      </c>
      <c r="G682" s="15">
        <f t="shared" si="63"/>
        <v>0.56743002625404804</v>
      </c>
      <c r="H682" s="15">
        <f t="shared" si="64"/>
        <v>0.2</v>
      </c>
      <c r="I682" s="15">
        <f t="shared" si="65"/>
        <v>0</v>
      </c>
      <c r="J682" s="15">
        <f>IF(CurrentMtgRatesDataTable8[[#This Row],[WA CC]]&lt;&gt;0,C681-CurrentMtgRatesDataTable8[[#This Row],[WA CC]],0)</f>
        <v>0</v>
      </c>
      <c r="K682" s="16">
        <f>IF(CurrentMtgRatesDataTable8[[#This Row],[Servicing Spread]]&lt;=0,K681,CurrentMtgRatesDataTable8[[#This Row],[Servicing Spread]])</f>
        <v>0.87648274738158749</v>
      </c>
      <c r="L682" s="16">
        <f>CurrentMtgRatesDataTable8[[#This Row],[Servicing Spread Non-Zero]]-K681</f>
        <v>0</v>
      </c>
      <c r="M682" s="16">
        <f>IF(I681&lt;&gt;0,CurrentMtgRatesDataTable8[[#This Row],[Rate]]-C681,M681)</f>
        <v>3.0000000000000249E-2</v>
      </c>
    </row>
    <row r="683" spans="1:13">
      <c r="A683" s="12" t="s">
        <v>579</v>
      </c>
      <c r="B683" s="13">
        <v>2.8582300067965201</v>
      </c>
      <c r="C683" s="13">
        <v>3.73</v>
      </c>
      <c r="D683" s="15">
        <f t="shared" si="60"/>
        <v>1</v>
      </c>
      <c r="E683" s="15">
        <f t="shared" si="61"/>
        <v>0.2</v>
      </c>
      <c r="F683" s="15">
        <f t="shared" si="62"/>
        <v>1</v>
      </c>
      <c r="G683" s="15">
        <f t="shared" si="63"/>
        <v>0.57164600135930399</v>
      </c>
      <c r="H683" s="15">
        <f t="shared" si="64"/>
        <v>0.2</v>
      </c>
      <c r="I683" s="15">
        <f t="shared" si="65"/>
        <v>0</v>
      </c>
      <c r="J683" s="15">
        <f>IF(CurrentMtgRatesDataTable8[[#This Row],[WA CC]]&lt;&gt;0,C682-CurrentMtgRatesDataTable8[[#This Row],[WA CC]],0)</f>
        <v>0</v>
      </c>
      <c r="K683" s="16">
        <f>IF(CurrentMtgRatesDataTable8[[#This Row],[Servicing Spread]]&lt;=0,K682,CurrentMtgRatesDataTable8[[#This Row],[Servicing Spread]])</f>
        <v>0.87648274738158749</v>
      </c>
      <c r="L683" s="16">
        <f>CurrentMtgRatesDataTable8[[#This Row],[Servicing Spread Non-Zero]]-K682</f>
        <v>0</v>
      </c>
      <c r="M683" s="16">
        <f>IF(I682&lt;&gt;0,CurrentMtgRatesDataTable8[[#This Row],[Rate]]-C682,M682)</f>
        <v>3.0000000000000249E-2</v>
      </c>
    </row>
    <row r="684" spans="1:13">
      <c r="A684" s="12" t="s">
        <v>439</v>
      </c>
      <c r="B684" s="13">
        <v>2.8337398573021799</v>
      </c>
      <c r="C684" s="13">
        <v>3.73</v>
      </c>
      <c r="D684" s="15">
        <f t="shared" si="60"/>
        <v>2</v>
      </c>
      <c r="E684" s="15">
        <f t="shared" si="61"/>
        <v>0.2</v>
      </c>
      <c r="F684" s="15">
        <f t="shared" si="62"/>
        <v>2</v>
      </c>
      <c r="G684" s="15">
        <f t="shared" si="63"/>
        <v>1.1383939728197401</v>
      </c>
      <c r="H684" s="15">
        <f t="shared" si="64"/>
        <v>0.4</v>
      </c>
      <c r="I684" s="15">
        <f t="shared" si="65"/>
        <v>0</v>
      </c>
      <c r="J684" s="15">
        <f>IF(CurrentMtgRatesDataTable8[[#This Row],[WA CC]]&lt;&gt;0,C683-CurrentMtgRatesDataTable8[[#This Row],[WA CC]],0)</f>
        <v>0</v>
      </c>
      <c r="K684" s="16">
        <f>IF(CurrentMtgRatesDataTable8[[#This Row],[Servicing Spread]]&lt;=0,K683,CurrentMtgRatesDataTable8[[#This Row],[Servicing Spread]])</f>
        <v>0.87648274738158749</v>
      </c>
      <c r="L684" s="16">
        <f>CurrentMtgRatesDataTable8[[#This Row],[Servicing Spread Non-Zero]]-K683</f>
        <v>0</v>
      </c>
      <c r="M684" s="16">
        <f>IF(I683&lt;&gt;0,CurrentMtgRatesDataTable8[[#This Row],[Rate]]-C683,M683)</f>
        <v>3.0000000000000249E-2</v>
      </c>
    </row>
    <row r="685" spans="1:13">
      <c r="A685" s="12" t="s">
        <v>302</v>
      </c>
      <c r="B685" s="13">
        <v>2.8256441971088901</v>
      </c>
      <c r="C685" s="13">
        <v>3.73</v>
      </c>
      <c r="D685" s="15">
        <f t="shared" si="60"/>
        <v>5</v>
      </c>
      <c r="E685" s="15">
        <f t="shared" si="61"/>
        <v>0.2</v>
      </c>
      <c r="F685" s="15">
        <f t="shared" si="62"/>
        <v>3</v>
      </c>
      <c r="G685" s="15">
        <f t="shared" si="63"/>
        <v>1.703522812241518</v>
      </c>
      <c r="H685" s="15">
        <f t="shared" si="64"/>
        <v>0.60000000000000009</v>
      </c>
      <c r="I685" s="15">
        <f t="shared" si="65"/>
        <v>0</v>
      </c>
      <c r="J685" s="15">
        <f>IF(CurrentMtgRatesDataTable8[[#This Row],[WA CC]]&lt;&gt;0,C684-CurrentMtgRatesDataTable8[[#This Row],[WA CC]],0)</f>
        <v>0</v>
      </c>
      <c r="K685" s="16">
        <f>IF(CurrentMtgRatesDataTable8[[#This Row],[Servicing Spread]]&lt;=0,K684,CurrentMtgRatesDataTable8[[#This Row],[Servicing Spread]])</f>
        <v>0.87648274738158749</v>
      </c>
      <c r="L685" s="16">
        <f>CurrentMtgRatesDataTable8[[#This Row],[Servicing Spread Non-Zero]]-K684</f>
        <v>0</v>
      </c>
      <c r="M685" s="16">
        <f>IF(I684&lt;&gt;0,CurrentMtgRatesDataTable8[[#This Row],[Rate]]-C684,M684)</f>
        <v>3.0000000000000249E-2</v>
      </c>
    </row>
    <row r="686" spans="1:13">
      <c r="A686" s="12" t="s">
        <v>158</v>
      </c>
      <c r="B686" s="13">
        <v>2.91032440435752</v>
      </c>
      <c r="C686" s="13">
        <v>3.73</v>
      </c>
      <c r="D686" s="15">
        <f t="shared" si="60"/>
        <v>6</v>
      </c>
      <c r="E686" s="15">
        <f t="shared" si="61"/>
        <v>0.2</v>
      </c>
      <c r="F686" s="15">
        <f t="shared" si="62"/>
        <v>4</v>
      </c>
      <c r="G686" s="15">
        <f t="shared" si="63"/>
        <v>2.2855876931130221</v>
      </c>
      <c r="H686" s="15">
        <f t="shared" si="64"/>
        <v>0.8</v>
      </c>
      <c r="I686" s="15">
        <f t="shared" si="65"/>
        <v>0</v>
      </c>
      <c r="J686" s="15">
        <f>IF(CurrentMtgRatesDataTable8[[#This Row],[WA CC]]&lt;&gt;0,C685-CurrentMtgRatesDataTable8[[#This Row],[WA CC]],0)</f>
        <v>0</v>
      </c>
      <c r="K686" s="16">
        <f>IF(CurrentMtgRatesDataTable8[[#This Row],[Servicing Spread]]&lt;=0,K685,CurrentMtgRatesDataTable8[[#This Row],[Servicing Spread]])</f>
        <v>0.87648274738158749</v>
      </c>
      <c r="L686" s="16">
        <f>CurrentMtgRatesDataTable8[[#This Row],[Servicing Spread Non-Zero]]-K685</f>
        <v>0</v>
      </c>
      <c r="M686" s="16">
        <f>IF(I685&lt;&gt;0,CurrentMtgRatesDataTable8[[#This Row],[Rate]]-C685,M685)</f>
        <v>3.0000000000000249E-2</v>
      </c>
    </row>
    <row r="687" spans="1:13">
      <c r="A687" s="12" t="s">
        <v>719</v>
      </c>
      <c r="B687" s="13">
        <v>2.90975275027838</v>
      </c>
      <c r="C687" s="13">
        <v>3.77</v>
      </c>
      <c r="D687" s="15">
        <f t="shared" si="60"/>
        <v>7</v>
      </c>
      <c r="E687" s="15">
        <f t="shared" si="61"/>
        <v>0.2</v>
      </c>
      <c r="F687" s="15">
        <f t="shared" si="62"/>
        <v>5</v>
      </c>
      <c r="G687" s="15">
        <f t="shared" si="63"/>
        <v>2.8675382431686982</v>
      </c>
      <c r="H687" s="15">
        <f t="shared" si="64"/>
        <v>1</v>
      </c>
      <c r="I687" s="15">
        <f t="shared" si="65"/>
        <v>2.8675382431686982</v>
      </c>
      <c r="J687" s="15">
        <f>IF(CurrentMtgRatesDataTable8[[#This Row],[WA CC]]&lt;&gt;0,C686-CurrentMtgRatesDataTable8[[#This Row],[WA CC]],0)</f>
        <v>0.86246175683130177</v>
      </c>
      <c r="K687" s="16">
        <f>IF(CurrentMtgRatesDataTable8[[#This Row],[Servicing Spread]]&lt;=0,K686,CurrentMtgRatesDataTable8[[#This Row],[Servicing Spread]])</f>
        <v>0.86246175683130177</v>
      </c>
      <c r="L687" s="16">
        <f>CurrentMtgRatesDataTable8[[#This Row],[Servicing Spread Non-Zero]]-K686</f>
        <v>-1.4020990550285717E-2</v>
      </c>
      <c r="M687" s="16">
        <f>IF(I686&lt;&gt;0,CurrentMtgRatesDataTable8[[#This Row],[Rate]]-C686,M686)</f>
        <v>3.0000000000000249E-2</v>
      </c>
    </row>
    <row r="688" spans="1:13">
      <c r="A688" s="12" t="s">
        <v>440</v>
      </c>
      <c r="B688" s="13">
        <v>2.8912427168811901</v>
      </c>
      <c r="C688" s="13">
        <v>3.77</v>
      </c>
      <c r="D688" s="15">
        <f t="shared" si="60"/>
        <v>2</v>
      </c>
      <c r="E688" s="15">
        <f t="shared" si="61"/>
        <v>0.2</v>
      </c>
      <c r="F688" s="15">
        <f t="shared" si="62"/>
        <v>1</v>
      </c>
      <c r="G688" s="15">
        <f t="shared" si="63"/>
        <v>0.57824854337623799</v>
      </c>
      <c r="H688" s="15">
        <f t="shared" si="64"/>
        <v>0.2</v>
      </c>
      <c r="I688" s="15">
        <f t="shared" si="65"/>
        <v>0</v>
      </c>
      <c r="J688" s="15">
        <f>IF(CurrentMtgRatesDataTable8[[#This Row],[WA CC]]&lt;&gt;0,C687-CurrentMtgRatesDataTable8[[#This Row],[WA CC]],0)</f>
        <v>0</v>
      </c>
      <c r="K688" s="16">
        <f>IF(CurrentMtgRatesDataTable8[[#This Row],[Servicing Spread]]&lt;=0,K687,CurrentMtgRatesDataTable8[[#This Row],[Servicing Spread]])</f>
        <v>0.86246175683130177</v>
      </c>
      <c r="L688" s="16">
        <f>CurrentMtgRatesDataTable8[[#This Row],[Servicing Spread Non-Zero]]-K687</f>
        <v>0</v>
      </c>
      <c r="M688" s="16">
        <f>IF(I687&lt;&gt;0,CurrentMtgRatesDataTable8[[#This Row],[Rate]]-C687,M687)</f>
        <v>0</v>
      </c>
    </row>
    <row r="689" spans="1:13">
      <c r="A689" s="12" t="s">
        <v>303</v>
      </c>
      <c r="B689" s="13">
        <v>2.8609798255384802</v>
      </c>
      <c r="C689" s="13">
        <v>3.77</v>
      </c>
      <c r="D689" s="15">
        <f t="shared" si="60"/>
        <v>5</v>
      </c>
      <c r="E689" s="15">
        <f t="shared" si="61"/>
        <v>0.2</v>
      </c>
      <c r="F689" s="15">
        <f t="shared" si="62"/>
        <v>2</v>
      </c>
      <c r="G689" s="15">
        <f t="shared" si="63"/>
        <v>1.1504445084839341</v>
      </c>
      <c r="H689" s="15">
        <f t="shared" si="64"/>
        <v>0.4</v>
      </c>
      <c r="I689" s="15">
        <f t="shared" si="65"/>
        <v>0</v>
      </c>
      <c r="J689" s="15">
        <f>IF(CurrentMtgRatesDataTable8[[#This Row],[WA CC]]&lt;&gt;0,C688-CurrentMtgRatesDataTable8[[#This Row],[WA CC]],0)</f>
        <v>0</v>
      </c>
      <c r="K689" s="16">
        <f>IF(CurrentMtgRatesDataTable8[[#This Row],[Servicing Spread]]&lt;=0,K688,CurrentMtgRatesDataTable8[[#This Row],[Servicing Spread]])</f>
        <v>0.86246175683130177</v>
      </c>
      <c r="L689" s="16">
        <f>CurrentMtgRatesDataTable8[[#This Row],[Servicing Spread Non-Zero]]-K688</f>
        <v>0</v>
      </c>
      <c r="M689" s="16">
        <f>IF(I688&lt;&gt;0,CurrentMtgRatesDataTable8[[#This Row],[Rate]]-C688,M688)</f>
        <v>0</v>
      </c>
    </row>
    <row r="690" spans="1:13">
      <c r="A690" s="12" t="s">
        <v>159</v>
      </c>
      <c r="B690" s="13">
        <v>2.8519980737177399</v>
      </c>
      <c r="C690" s="13">
        <v>3.77</v>
      </c>
      <c r="D690" s="15">
        <f t="shared" si="60"/>
        <v>6</v>
      </c>
      <c r="E690" s="15">
        <f t="shared" si="61"/>
        <v>0.2</v>
      </c>
      <c r="F690" s="15">
        <f t="shared" si="62"/>
        <v>3</v>
      </c>
      <c r="G690" s="15">
        <f t="shared" si="63"/>
        <v>1.720844123227482</v>
      </c>
      <c r="H690" s="15">
        <f t="shared" si="64"/>
        <v>0.60000000000000009</v>
      </c>
      <c r="I690" s="15">
        <f t="shared" si="65"/>
        <v>2.8680735387124696</v>
      </c>
      <c r="J690" s="15">
        <f>IF(CurrentMtgRatesDataTable8[[#This Row],[WA CC]]&lt;&gt;0,C689-CurrentMtgRatesDataTable8[[#This Row],[WA CC]],0)</f>
        <v>0.9019264612875304</v>
      </c>
      <c r="K690" s="16">
        <f>IF(CurrentMtgRatesDataTable8[[#This Row],[Servicing Spread]]&lt;=0,K689,CurrentMtgRatesDataTable8[[#This Row],[Servicing Spread]])</f>
        <v>0.9019264612875304</v>
      </c>
      <c r="L690" s="16">
        <f>CurrentMtgRatesDataTable8[[#This Row],[Servicing Spread Non-Zero]]-K689</f>
        <v>3.9464704456228628E-2</v>
      </c>
      <c r="M690" s="16">
        <f>IF(I689&lt;&gt;0,CurrentMtgRatesDataTable8[[#This Row],[Rate]]-C689,M689)</f>
        <v>0</v>
      </c>
    </row>
    <row r="691" spans="1:13">
      <c r="A691" s="12" t="s">
        <v>580</v>
      </c>
      <c r="B691" s="13">
        <v>2.7854452423976599</v>
      </c>
      <c r="C691" s="13">
        <v>3.63</v>
      </c>
      <c r="D691" s="15">
        <f t="shared" si="60"/>
        <v>2</v>
      </c>
      <c r="E691" s="15">
        <f t="shared" si="61"/>
        <v>0.2</v>
      </c>
      <c r="F691" s="15">
        <f t="shared" si="62"/>
        <v>1</v>
      </c>
      <c r="G691" s="15">
        <f t="shared" si="63"/>
        <v>0.557089048479532</v>
      </c>
      <c r="H691" s="15">
        <f t="shared" si="64"/>
        <v>0.2</v>
      </c>
      <c r="I691" s="15">
        <f t="shared" si="65"/>
        <v>0</v>
      </c>
      <c r="J691" s="15">
        <f>IF(CurrentMtgRatesDataTable8[[#This Row],[WA CC]]&lt;&gt;0,C690-CurrentMtgRatesDataTable8[[#This Row],[WA CC]],0)</f>
        <v>0</v>
      </c>
      <c r="K691" s="16">
        <f>IF(CurrentMtgRatesDataTable8[[#This Row],[Servicing Spread]]&lt;=0,K690,CurrentMtgRatesDataTable8[[#This Row],[Servicing Spread]])</f>
        <v>0.9019264612875304</v>
      </c>
      <c r="L691" s="16">
        <f>CurrentMtgRatesDataTable8[[#This Row],[Servicing Spread Non-Zero]]-K690</f>
        <v>0</v>
      </c>
      <c r="M691" s="16">
        <f>IF(I690&lt;&gt;0,CurrentMtgRatesDataTable8[[#This Row],[Rate]]-C690,M690)</f>
        <v>-0.14000000000000012</v>
      </c>
    </row>
    <row r="692" spans="1:13">
      <c r="A692" s="12" t="s">
        <v>431</v>
      </c>
      <c r="B692" s="13">
        <v>2.6962701266687499</v>
      </c>
      <c r="C692" s="13">
        <v>3.63</v>
      </c>
      <c r="D692" s="15">
        <f t="shared" si="60"/>
        <v>5</v>
      </c>
      <c r="E692" s="15">
        <f t="shared" si="61"/>
        <v>0.2</v>
      </c>
      <c r="F692" s="15">
        <f t="shared" si="62"/>
        <v>2</v>
      </c>
      <c r="G692" s="15">
        <f t="shared" si="63"/>
        <v>1.096343073813282</v>
      </c>
      <c r="H692" s="15">
        <f t="shared" si="64"/>
        <v>0.4</v>
      </c>
      <c r="I692" s="15">
        <f t="shared" si="65"/>
        <v>0</v>
      </c>
      <c r="J692" s="15">
        <f>IF(CurrentMtgRatesDataTable8[[#This Row],[WA CC]]&lt;&gt;0,C691-CurrentMtgRatesDataTable8[[#This Row],[WA CC]],0)</f>
        <v>0</v>
      </c>
      <c r="K692" s="16">
        <f>IF(CurrentMtgRatesDataTable8[[#This Row],[Servicing Spread]]&lt;=0,K691,CurrentMtgRatesDataTable8[[#This Row],[Servicing Spread]])</f>
        <v>0.9019264612875304</v>
      </c>
      <c r="L692" s="16">
        <f>CurrentMtgRatesDataTable8[[#This Row],[Servicing Spread Non-Zero]]-K691</f>
        <v>0</v>
      </c>
      <c r="M692" s="16">
        <f>IF(I691&lt;&gt;0,CurrentMtgRatesDataTable8[[#This Row],[Rate]]-C691,M691)</f>
        <v>-0.14000000000000012</v>
      </c>
    </row>
    <row r="693" spans="1:13">
      <c r="A693" s="12" t="s">
        <v>304</v>
      </c>
      <c r="B693" s="13">
        <v>2.61636453709349</v>
      </c>
      <c r="C693" s="13">
        <v>3.63</v>
      </c>
      <c r="D693" s="15">
        <f t="shared" si="60"/>
        <v>6</v>
      </c>
      <c r="E693" s="15">
        <f t="shared" si="61"/>
        <v>0.2</v>
      </c>
      <c r="F693" s="15">
        <f t="shared" si="62"/>
        <v>3</v>
      </c>
      <c r="G693" s="15">
        <f t="shared" si="63"/>
        <v>1.6196159812319801</v>
      </c>
      <c r="H693" s="15">
        <f t="shared" si="64"/>
        <v>0.60000000000000009</v>
      </c>
      <c r="I693" s="15">
        <f t="shared" si="65"/>
        <v>0</v>
      </c>
      <c r="J693" s="15">
        <f>IF(CurrentMtgRatesDataTable8[[#This Row],[WA CC]]&lt;&gt;0,C692-CurrentMtgRatesDataTable8[[#This Row],[WA CC]],0)</f>
        <v>0</v>
      </c>
      <c r="K693" s="16">
        <f>IF(CurrentMtgRatesDataTable8[[#This Row],[Servicing Spread]]&lt;=0,K692,CurrentMtgRatesDataTable8[[#This Row],[Servicing Spread]])</f>
        <v>0.9019264612875304</v>
      </c>
      <c r="L693" s="16">
        <f>CurrentMtgRatesDataTable8[[#This Row],[Servicing Spread Non-Zero]]-K692</f>
        <v>0</v>
      </c>
      <c r="M693" s="16">
        <f>IF(I692&lt;&gt;0,CurrentMtgRatesDataTable8[[#This Row],[Rate]]-C692,M692)</f>
        <v>-0.14000000000000012</v>
      </c>
    </row>
    <row r="694" spans="1:13">
      <c r="A694" s="12" t="s">
        <v>160</v>
      </c>
      <c r="B694" s="13">
        <v>2.6248431051869581</v>
      </c>
      <c r="C694" s="13">
        <v>3.63</v>
      </c>
      <c r="D694" s="15">
        <f t="shared" si="60"/>
        <v>7</v>
      </c>
      <c r="E694" s="15">
        <f t="shared" si="61"/>
        <v>0.2</v>
      </c>
      <c r="F694" s="15">
        <f t="shared" si="62"/>
        <v>4</v>
      </c>
      <c r="G694" s="15">
        <f t="shared" si="63"/>
        <v>2.1445846022693718</v>
      </c>
      <c r="H694" s="15">
        <f t="shared" si="64"/>
        <v>0.8</v>
      </c>
      <c r="I694" s="15">
        <f t="shared" si="65"/>
        <v>2.6807307528367144</v>
      </c>
      <c r="J694" s="15">
        <f>IF(CurrentMtgRatesDataTable8[[#This Row],[WA CC]]&lt;&gt;0,C693-CurrentMtgRatesDataTable8[[#This Row],[WA CC]],0)</f>
        <v>0.94926924716328553</v>
      </c>
      <c r="K694" s="15">
        <f>IF(CurrentMtgRatesDataTable8[[#This Row],[Servicing Spread]]&lt;=0,K693,CurrentMtgRatesDataTable8[[#This Row],[Servicing Spread]])</f>
        <v>0.94926924716328553</v>
      </c>
      <c r="L694" s="16">
        <f>CurrentMtgRatesDataTable8[[#This Row],[Servicing Spread Non-Zero]]-K693</f>
        <v>4.7342785875755133E-2</v>
      </c>
      <c r="M694" s="16">
        <f>IF(I693&lt;&gt;0,CurrentMtgRatesDataTable8[[#This Row],[Rate]]-C693,M693)</f>
        <v>-0.14000000000000012</v>
      </c>
    </row>
    <row r="695" spans="1:13">
      <c r="A695" s="12" t="s">
        <v>720</v>
      </c>
      <c r="B695" s="13">
        <v>2.6774292062275329</v>
      </c>
      <c r="C695" s="13">
        <v>3.56</v>
      </c>
      <c r="D695" s="15">
        <f t="shared" si="60"/>
        <v>1</v>
      </c>
      <c r="E695" s="15">
        <f t="shared" si="61"/>
        <v>0.2</v>
      </c>
      <c r="F695" s="15">
        <f t="shared" si="62"/>
        <v>1</v>
      </c>
      <c r="G695" s="15">
        <f t="shared" si="63"/>
        <v>0.53548584124550658</v>
      </c>
      <c r="H695" s="15">
        <f t="shared" si="64"/>
        <v>0.2</v>
      </c>
      <c r="I695" s="15">
        <f t="shared" si="65"/>
        <v>0</v>
      </c>
      <c r="J695" s="15">
        <f>IF(CurrentMtgRatesDataTable8[[#This Row],[WA CC]]&lt;&gt;0,C694-CurrentMtgRatesDataTable8[[#This Row],[WA CC]],0)</f>
        <v>0</v>
      </c>
      <c r="K695" s="15">
        <f>IF(CurrentMtgRatesDataTable8[[#This Row],[Servicing Spread]]&lt;=0,K694,CurrentMtgRatesDataTable8[[#This Row],[Servicing Spread]])</f>
        <v>0.94926924716328553</v>
      </c>
      <c r="L695" s="16">
        <f>CurrentMtgRatesDataTable8[[#This Row],[Servicing Spread Non-Zero]]-K694</f>
        <v>0</v>
      </c>
      <c r="M695" s="16">
        <f>IF(I694&lt;&gt;0,CurrentMtgRatesDataTable8[[#This Row],[Rate]]-C694,M694)</f>
        <v>-6.999999999999984E-2</v>
      </c>
    </row>
    <row r="696" spans="1:13">
      <c r="A696" s="12" t="s">
        <v>581</v>
      </c>
      <c r="B696" s="13">
        <v>2.6462920309129299</v>
      </c>
      <c r="C696" s="13">
        <v>3.56</v>
      </c>
      <c r="D696" s="15">
        <f t="shared" si="60"/>
        <v>2</v>
      </c>
      <c r="E696" s="15">
        <f t="shared" si="61"/>
        <v>0.2</v>
      </c>
      <c r="F696" s="15">
        <f t="shared" si="62"/>
        <v>2</v>
      </c>
      <c r="G696" s="15">
        <f t="shared" si="63"/>
        <v>1.0647442474280926</v>
      </c>
      <c r="H696" s="15">
        <f t="shared" si="64"/>
        <v>0.4</v>
      </c>
      <c r="I696" s="15">
        <f t="shared" si="65"/>
        <v>0</v>
      </c>
      <c r="J696" s="15">
        <f>IF(CurrentMtgRatesDataTable8[[#This Row],[WA CC]]&lt;&gt;0,C695-CurrentMtgRatesDataTable8[[#This Row],[WA CC]],0)</f>
        <v>0</v>
      </c>
      <c r="K696" s="15">
        <f>IF(CurrentMtgRatesDataTable8[[#This Row],[Servicing Spread]]&lt;=0,K695,CurrentMtgRatesDataTable8[[#This Row],[Servicing Spread]])</f>
        <v>0.94926924716328553</v>
      </c>
      <c r="L696" s="16">
        <f>CurrentMtgRatesDataTable8[[#This Row],[Servicing Spread Non-Zero]]-K695</f>
        <v>0</v>
      </c>
      <c r="M696" s="16">
        <f>IF(I695&lt;&gt;0,CurrentMtgRatesDataTable8[[#This Row],[Rate]]-C695,M695)</f>
        <v>-6.999999999999984E-2</v>
      </c>
    </row>
    <row r="697" spans="1:13">
      <c r="A697" s="12" t="s">
        <v>432</v>
      </c>
      <c r="B697" s="13">
        <v>2.5936190223084101</v>
      </c>
      <c r="C697" s="13">
        <v>3.56</v>
      </c>
      <c r="D697" s="15">
        <f t="shared" si="60"/>
        <v>5</v>
      </c>
      <c r="E697" s="15">
        <f t="shared" si="61"/>
        <v>0.2</v>
      </c>
      <c r="F697" s="15">
        <f t="shared" si="62"/>
        <v>3</v>
      </c>
      <c r="G697" s="15">
        <f t="shared" si="63"/>
        <v>1.5834680518897746</v>
      </c>
      <c r="H697" s="15">
        <f t="shared" si="64"/>
        <v>0.60000000000000009</v>
      </c>
      <c r="I697" s="15">
        <f t="shared" si="65"/>
        <v>0</v>
      </c>
      <c r="J697" s="15">
        <f>IF(CurrentMtgRatesDataTable8[[#This Row],[WA CC]]&lt;&gt;0,C696-CurrentMtgRatesDataTable8[[#This Row],[WA CC]],0)</f>
        <v>0</v>
      </c>
      <c r="K697" s="15">
        <f>IF(CurrentMtgRatesDataTable8[[#This Row],[Servicing Spread]]&lt;=0,K696,CurrentMtgRatesDataTable8[[#This Row],[Servicing Spread]])</f>
        <v>0.94926924716328553</v>
      </c>
      <c r="L697" s="16">
        <f>CurrentMtgRatesDataTable8[[#This Row],[Servicing Spread Non-Zero]]-K696</f>
        <v>0</v>
      </c>
      <c r="M697" s="16">
        <f>IF(I696&lt;&gt;0,CurrentMtgRatesDataTable8[[#This Row],[Rate]]-C696,M696)</f>
        <v>-6.999999999999984E-2</v>
      </c>
    </row>
    <row r="698" spans="1:13">
      <c r="A698" s="12" t="s">
        <v>305</v>
      </c>
      <c r="B698" s="13">
        <v>2.57954379421794</v>
      </c>
      <c r="C698" s="13">
        <v>3.56</v>
      </c>
      <c r="D698" s="15">
        <f t="shared" si="60"/>
        <v>6</v>
      </c>
      <c r="E698" s="15">
        <f t="shared" si="61"/>
        <v>0.2</v>
      </c>
      <c r="F698" s="15">
        <f t="shared" si="62"/>
        <v>4</v>
      </c>
      <c r="G698" s="15">
        <f t="shared" si="63"/>
        <v>2.0993768107333626</v>
      </c>
      <c r="H698" s="15">
        <f t="shared" si="64"/>
        <v>0.8</v>
      </c>
      <c r="I698" s="15">
        <f t="shared" si="65"/>
        <v>0</v>
      </c>
      <c r="J698" s="15">
        <f>IF(CurrentMtgRatesDataTable8[[#This Row],[WA CC]]&lt;&gt;0,C697-CurrentMtgRatesDataTable8[[#This Row],[WA CC]],0)</f>
        <v>0</v>
      </c>
      <c r="K698" s="15">
        <f>IF(CurrentMtgRatesDataTable8[[#This Row],[Servicing Spread]]&lt;=0,K697,CurrentMtgRatesDataTable8[[#This Row],[Servicing Spread]])</f>
        <v>0.94926924716328553</v>
      </c>
      <c r="L698" s="16">
        <f>CurrentMtgRatesDataTable8[[#This Row],[Servicing Spread Non-Zero]]-K697</f>
        <v>0</v>
      </c>
      <c r="M698" s="16">
        <f>IF(I697&lt;&gt;0,CurrentMtgRatesDataTable8[[#This Row],[Rate]]-C697,M697)</f>
        <v>-6.999999999999984E-2</v>
      </c>
    </row>
    <row r="699" spans="1:13">
      <c r="A699" s="12" t="s">
        <v>161</v>
      </c>
      <c r="B699" s="13">
        <v>2.49106608048328</v>
      </c>
      <c r="C699" s="13">
        <v>3.56</v>
      </c>
      <c r="D699" s="15">
        <f t="shared" si="60"/>
        <v>7</v>
      </c>
      <c r="E699" s="15">
        <f t="shared" si="61"/>
        <v>0.2</v>
      </c>
      <c r="F699" s="15">
        <f t="shared" si="62"/>
        <v>5</v>
      </c>
      <c r="G699" s="15">
        <f t="shared" si="63"/>
        <v>2.5975900268300185</v>
      </c>
      <c r="H699" s="15">
        <f t="shared" si="64"/>
        <v>1</v>
      </c>
      <c r="I699" s="15">
        <f t="shared" si="65"/>
        <v>2.5975900268300185</v>
      </c>
      <c r="J699" s="15">
        <f>IF(CurrentMtgRatesDataTable8[[#This Row],[WA CC]]&lt;&gt;0,C698-CurrentMtgRatesDataTable8[[#This Row],[WA CC]],0)</f>
        <v>0.96240997316998156</v>
      </c>
      <c r="K699" s="15">
        <f>IF(CurrentMtgRatesDataTable8[[#This Row],[Servicing Spread]]&lt;=0,K698,CurrentMtgRatesDataTable8[[#This Row],[Servicing Spread]])</f>
        <v>0.96240997316998156</v>
      </c>
      <c r="L699" s="16">
        <f>CurrentMtgRatesDataTable8[[#This Row],[Servicing Spread Non-Zero]]-K698</f>
        <v>1.3140726006696024E-2</v>
      </c>
      <c r="M699" s="16">
        <f>IF(I698&lt;&gt;0,CurrentMtgRatesDataTable8[[#This Row],[Rate]]-C698,M698)</f>
        <v>-6.999999999999984E-2</v>
      </c>
    </row>
    <row r="700" spans="1:13">
      <c r="A700" s="12" t="s">
        <v>721</v>
      </c>
      <c r="B700" s="13">
        <v>2.4553295319883701</v>
      </c>
      <c r="C700" s="13">
        <v>3.5549999999999997</v>
      </c>
      <c r="D700" s="15">
        <f t="shared" si="60"/>
        <v>1</v>
      </c>
      <c r="E700" s="15">
        <f t="shared" si="61"/>
        <v>0.2</v>
      </c>
      <c r="F700" s="15">
        <f t="shared" si="62"/>
        <v>1</v>
      </c>
      <c r="G700" s="15">
        <f t="shared" si="63"/>
        <v>0.49106590639767406</v>
      </c>
      <c r="H700" s="15">
        <f t="shared" si="64"/>
        <v>0.2</v>
      </c>
      <c r="I700" s="15">
        <f t="shared" si="65"/>
        <v>0</v>
      </c>
      <c r="J700" s="15">
        <f>IF(CurrentMtgRatesDataTable8[[#This Row],[WA CC]]&lt;&gt;0,C699-CurrentMtgRatesDataTable8[[#This Row],[WA CC]],0)</f>
        <v>0</v>
      </c>
      <c r="K700" s="15">
        <f>IF(CurrentMtgRatesDataTable8[[#This Row],[Servicing Spread]]&lt;=0,K699,CurrentMtgRatesDataTable8[[#This Row],[Servicing Spread]])</f>
        <v>0.96240997316998156</v>
      </c>
      <c r="L700" s="16">
        <f>CurrentMtgRatesDataTable8[[#This Row],[Servicing Spread Non-Zero]]-K699</f>
        <v>0</v>
      </c>
      <c r="M700" s="16">
        <f>IF(I699&lt;&gt;0,CurrentMtgRatesDataTable8[[#This Row],[Rate]]-C699,M699)</f>
        <v>-5.0000000000003375E-3</v>
      </c>
    </row>
    <row r="701" spans="1:13">
      <c r="A701" s="12" t="s">
        <v>582</v>
      </c>
      <c r="B701" s="13">
        <v>2.5454794820645601</v>
      </c>
      <c r="C701" s="13">
        <v>3.5549999999999997</v>
      </c>
      <c r="D701" s="15">
        <f t="shared" si="60"/>
        <v>2</v>
      </c>
      <c r="E701" s="15">
        <f t="shared" si="61"/>
        <v>0.2</v>
      </c>
      <c r="F701" s="15">
        <f t="shared" si="62"/>
        <v>2</v>
      </c>
      <c r="G701" s="15">
        <f t="shared" si="63"/>
        <v>1.0001618028105861</v>
      </c>
      <c r="H701" s="15">
        <f t="shared" si="64"/>
        <v>0.4</v>
      </c>
      <c r="I701" s="15">
        <f t="shared" si="65"/>
        <v>0</v>
      </c>
      <c r="J701" s="15">
        <f>IF(CurrentMtgRatesDataTable8[[#This Row],[WA CC]]&lt;&gt;0,C700-CurrentMtgRatesDataTable8[[#This Row],[WA CC]],0)</f>
        <v>0</v>
      </c>
      <c r="K701" s="15">
        <f>IF(CurrentMtgRatesDataTable8[[#This Row],[Servicing Spread]]&lt;=0,K700,CurrentMtgRatesDataTable8[[#This Row],[Servicing Spread]])</f>
        <v>0.96240997316998156</v>
      </c>
      <c r="L701" s="16">
        <f>CurrentMtgRatesDataTable8[[#This Row],[Servicing Spread Non-Zero]]-K700</f>
        <v>0</v>
      </c>
      <c r="M701" s="16">
        <f>IF(I700&lt;&gt;0,CurrentMtgRatesDataTable8[[#This Row],[Rate]]-C700,M700)</f>
        <v>-5.0000000000003375E-3</v>
      </c>
    </row>
    <row r="702" spans="1:13">
      <c r="A702" s="12" t="s">
        <v>306</v>
      </c>
      <c r="B702" s="13">
        <v>2.55737179181423</v>
      </c>
      <c r="C702" s="13">
        <v>3.5549999999999997</v>
      </c>
      <c r="D702" s="15">
        <f t="shared" si="60"/>
        <v>6</v>
      </c>
      <c r="E702" s="15">
        <f t="shared" si="61"/>
        <v>0.2</v>
      </c>
      <c r="F702" s="15">
        <f t="shared" si="62"/>
        <v>3</v>
      </c>
      <c r="G702" s="15">
        <f t="shared" si="63"/>
        <v>1.5116361611734321</v>
      </c>
      <c r="H702" s="15">
        <f t="shared" si="64"/>
        <v>0.60000000000000009</v>
      </c>
      <c r="I702" s="15">
        <f t="shared" si="65"/>
        <v>0</v>
      </c>
      <c r="J702" s="15">
        <f>IF(CurrentMtgRatesDataTable8[[#This Row],[WA CC]]&lt;&gt;0,C701-CurrentMtgRatesDataTable8[[#This Row],[WA CC]],0)</f>
        <v>0</v>
      </c>
      <c r="K702" s="15">
        <f>IF(CurrentMtgRatesDataTable8[[#This Row],[Servicing Spread]]&lt;=0,K701,CurrentMtgRatesDataTable8[[#This Row],[Servicing Spread]])</f>
        <v>0.96240997316998156</v>
      </c>
      <c r="L702" s="16">
        <f>CurrentMtgRatesDataTable8[[#This Row],[Servicing Spread Non-Zero]]-K701</f>
        <v>0</v>
      </c>
      <c r="M702" s="16">
        <f>IF(I701&lt;&gt;0,CurrentMtgRatesDataTable8[[#This Row],[Rate]]-C701,M701)</f>
        <v>-5.0000000000003375E-3</v>
      </c>
    </row>
    <row r="703" spans="1:13">
      <c r="A703" s="12" t="s">
        <v>162</v>
      </c>
      <c r="B703" s="13">
        <v>2.6084944348331098</v>
      </c>
      <c r="C703" s="13">
        <v>3.5549999999999997</v>
      </c>
      <c r="D703" s="15">
        <f t="shared" si="60"/>
        <v>7</v>
      </c>
      <c r="E703" s="15">
        <f t="shared" si="61"/>
        <v>0.2</v>
      </c>
      <c r="F703" s="15">
        <f t="shared" si="62"/>
        <v>4</v>
      </c>
      <c r="G703" s="15">
        <f t="shared" si="63"/>
        <v>2.0333350481400543</v>
      </c>
      <c r="H703" s="15">
        <f t="shared" si="64"/>
        <v>0.8</v>
      </c>
      <c r="I703" s="15">
        <f t="shared" si="65"/>
        <v>2.5416688101750675</v>
      </c>
      <c r="J703" s="15">
        <f>IF(CurrentMtgRatesDataTable8[[#This Row],[WA CC]]&lt;&gt;0,C702-CurrentMtgRatesDataTable8[[#This Row],[WA CC]],0)</f>
        <v>1.0133311898249322</v>
      </c>
      <c r="K703" s="15">
        <f>IF(CurrentMtgRatesDataTable8[[#This Row],[Servicing Spread]]&lt;=0,K702,CurrentMtgRatesDataTable8[[#This Row],[Servicing Spread]])</f>
        <v>1.0133311898249322</v>
      </c>
      <c r="L703" s="16">
        <f>CurrentMtgRatesDataTable8[[#This Row],[Servicing Spread Non-Zero]]-K702</f>
        <v>5.0921216654950641E-2</v>
      </c>
      <c r="M703" s="16">
        <f>IF(I702&lt;&gt;0,CurrentMtgRatesDataTable8[[#This Row],[Rate]]-C702,M702)</f>
        <v>-5.0000000000003375E-3</v>
      </c>
    </row>
    <row r="704" spans="1:13">
      <c r="A704" s="12" t="s">
        <v>722</v>
      </c>
      <c r="B704" s="13">
        <v>2.6170205733531602</v>
      </c>
      <c r="C704" s="13">
        <v>3.56</v>
      </c>
      <c r="D704" s="15">
        <f t="shared" si="60"/>
        <v>1</v>
      </c>
      <c r="E704" s="15">
        <f t="shared" si="61"/>
        <v>0.2</v>
      </c>
      <c r="F704" s="15">
        <f t="shared" si="62"/>
        <v>1</v>
      </c>
      <c r="G704" s="15">
        <f t="shared" si="63"/>
        <v>0.52340411467063208</v>
      </c>
      <c r="H704" s="15">
        <f t="shared" si="64"/>
        <v>0.2</v>
      </c>
      <c r="I704" s="15">
        <f t="shared" si="65"/>
        <v>0</v>
      </c>
      <c r="J704" s="15">
        <f>IF(CurrentMtgRatesDataTable8[[#This Row],[WA CC]]&lt;&gt;0,C703-CurrentMtgRatesDataTable8[[#This Row],[WA CC]],0)</f>
        <v>0</v>
      </c>
      <c r="K704" s="15">
        <f>IF(CurrentMtgRatesDataTable8[[#This Row],[Servicing Spread]]&lt;=0,K703,CurrentMtgRatesDataTable8[[#This Row],[Servicing Spread]])</f>
        <v>1.0133311898249322</v>
      </c>
      <c r="L704" s="16">
        <f>CurrentMtgRatesDataTable8[[#This Row],[Servicing Spread Non-Zero]]-K703</f>
        <v>0</v>
      </c>
      <c r="M704" s="16">
        <f>IF(I703&lt;&gt;0,CurrentMtgRatesDataTable8[[#This Row],[Rate]]-C703,M703)</f>
        <v>5.0000000000003375E-3</v>
      </c>
    </row>
    <row r="705" spans="1:13">
      <c r="A705" s="12" t="s">
        <v>583</v>
      </c>
      <c r="B705" s="13">
        <v>2.5688065849413189</v>
      </c>
      <c r="C705" s="13">
        <v>3.56</v>
      </c>
      <c r="D705" s="15">
        <f t="shared" si="60"/>
        <v>2</v>
      </c>
      <c r="E705" s="15">
        <f t="shared" si="61"/>
        <v>0.2</v>
      </c>
      <c r="F705" s="15">
        <f t="shared" si="62"/>
        <v>2</v>
      </c>
      <c r="G705" s="15">
        <f t="shared" si="63"/>
        <v>1.0371654316588959</v>
      </c>
      <c r="H705" s="15">
        <f t="shared" si="64"/>
        <v>0.4</v>
      </c>
      <c r="I705" s="15">
        <f t="shared" si="65"/>
        <v>0</v>
      </c>
      <c r="J705" s="15">
        <f>IF(CurrentMtgRatesDataTable8[[#This Row],[WA CC]]&lt;&gt;0,C704-CurrentMtgRatesDataTable8[[#This Row],[WA CC]],0)</f>
        <v>0</v>
      </c>
      <c r="K705" s="15">
        <f>IF(CurrentMtgRatesDataTable8[[#This Row],[Servicing Spread]]&lt;=0,K704,CurrentMtgRatesDataTable8[[#This Row],[Servicing Spread]])</f>
        <v>1.0133311898249322</v>
      </c>
      <c r="L705" s="16">
        <f>CurrentMtgRatesDataTable8[[#This Row],[Servicing Spread Non-Zero]]-K704</f>
        <v>0</v>
      </c>
      <c r="M705" s="16">
        <f>IF(I704&lt;&gt;0,CurrentMtgRatesDataTable8[[#This Row],[Rate]]-C704,M704)</f>
        <v>5.0000000000003375E-3</v>
      </c>
    </row>
    <row r="706" spans="1:13">
      <c r="A706" s="12" t="s">
        <v>433</v>
      </c>
      <c r="B706" s="13">
        <v>2.5964187919228277</v>
      </c>
      <c r="C706" s="13">
        <v>3.56</v>
      </c>
      <c r="D706" s="15">
        <f t="shared" si="60"/>
        <v>5</v>
      </c>
      <c r="E706" s="15">
        <f t="shared" si="61"/>
        <v>0.2</v>
      </c>
      <c r="F706" s="15">
        <f t="shared" si="62"/>
        <v>3</v>
      </c>
      <c r="G706" s="15">
        <f t="shared" si="63"/>
        <v>1.5564491900434614</v>
      </c>
      <c r="H706" s="15">
        <f t="shared" si="64"/>
        <v>0.60000000000000009</v>
      </c>
      <c r="I706" s="15">
        <f t="shared" si="65"/>
        <v>0</v>
      </c>
      <c r="J706" s="15">
        <f>IF(CurrentMtgRatesDataTable8[[#This Row],[WA CC]]&lt;&gt;0,C705-CurrentMtgRatesDataTable8[[#This Row],[WA CC]],0)</f>
        <v>0</v>
      </c>
      <c r="K706" s="15">
        <f>IF(CurrentMtgRatesDataTable8[[#This Row],[Servicing Spread]]&lt;=0,K705,CurrentMtgRatesDataTable8[[#This Row],[Servicing Spread]])</f>
        <v>1.0133311898249322</v>
      </c>
      <c r="L706" s="16">
        <f>CurrentMtgRatesDataTable8[[#This Row],[Servicing Spread Non-Zero]]-K705</f>
        <v>0</v>
      </c>
      <c r="M706" s="16">
        <f>IF(I705&lt;&gt;0,CurrentMtgRatesDataTable8[[#This Row],[Rate]]-C705,M705)</f>
        <v>5.0000000000003375E-3</v>
      </c>
    </row>
    <row r="707" spans="1:13">
      <c r="A707" s="12" t="s">
        <v>307</v>
      </c>
      <c r="B707" s="13">
        <v>2.58566791572217</v>
      </c>
      <c r="C707" s="13">
        <v>3.56</v>
      </c>
      <c r="D707" s="15">
        <f t="shared" si="60"/>
        <v>6</v>
      </c>
      <c r="E707" s="15">
        <f t="shared" si="61"/>
        <v>0.2</v>
      </c>
      <c r="F707" s="15">
        <f t="shared" si="62"/>
        <v>4</v>
      </c>
      <c r="G707" s="15">
        <f t="shared" si="63"/>
        <v>2.0735827731878955</v>
      </c>
      <c r="H707" s="15">
        <f t="shared" si="64"/>
        <v>0.8</v>
      </c>
      <c r="I707" s="15">
        <f t="shared" si="65"/>
        <v>0</v>
      </c>
      <c r="J707" s="15">
        <f>IF(CurrentMtgRatesDataTable8[[#This Row],[WA CC]]&lt;&gt;0,C706-CurrentMtgRatesDataTable8[[#This Row],[WA CC]],0)</f>
        <v>0</v>
      </c>
      <c r="K707" s="15">
        <f>IF(CurrentMtgRatesDataTable8[[#This Row],[Servicing Spread]]&lt;=0,K706,CurrentMtgRatesDataTable8[[#This Row],[Servicing Spread]])</f>
        <v>1.0133311898249322</v>
      </c>
      <c r="L707" s="16">
        <f>CurrentMtgRatesDataTable8[[#This Row],[Servicing Spread Non-Zero]]-K706</f>
        <v>0</v>
      </c>
      <c r="M707" s="16">
        <f>IF(I706&lt;&gt;0,CurrentMtgRatesDataTable8[[#This Row],[Rate]]-C706,M706)</f>
        <v>5.0000000000003375E-3</v>
      </c>
    </row>
    <row r="708" spans="1:13">
      <c r="A708" s="12" t="s">
        <v>163</v>
      </c>
      <c r="B708" s="13">
        <v>2.5075854882079498</v>
      </c>
      <c r="C708" s="13">
        <v>3.56</v>
      </c>
      <c r="D708" s="15">
        <f t="shared" si="60"/>
        <v>7</v>
      </c>
      <c r="E708" s="15">
        <f t="shared" si="61"/>
        <v>0.2</v>
      </c>
      <c r="F708" s="15">
        <f t="shared" si="62"/>
        <v>5</v>
      </c>
      <c r="G708" s="15">
        <f t="shared" si="63"/>
        <v>2.5750998708294857</v>
      </c>
      <c r="H708" s="15">
        <f t="shared" si="64"/>
        <v>1</v>
      </c>
      <c r="I708" s="15">
        <f t="shared" si="65"/>
        <v>2.5750998708294857</v>
      </c>
      <c r="J708" s="15">
        <f>IF(CurrentMtgRatesDataTable8[[#This Row],[WA CC]]&lt;&gt;0,C707-CurrentMtgRatesDataTable8[[#This Row],[WA CC]],0)</f>
        <v>0.98490012917051439</v>
      </c>
      <c r="K708" s="15">
        <f>IF(CurrentMtgRatesDataTable8[[#This Row],[Servicing Spread]]&lt;=0,K707,CurrentMtgRatesDataTable8[[#This Row],[Servicing Spread]])</f>
        <v>0.98490012917051439</v>
      </c>
      <c r="L708" s="16">
        <f>CurrentMtgRatesDataTable8[[#This Row],[Servicing Spread Non-Zero]]-K707</f>
        <v>-2.8431060654417806E-2</v>
      </c>
      <c r="M708" s="16">
        <f>IF(I707&lt;&gt;0,CurrentMtgRatesDataTable8[[#This Row],[Rate]]-C707,M707)</f>
        <v>5.0000000000003375E-3</v>
      </c>
    </row>
    <row r="709" spans="1:13">
      <c r="A709" s="12" t="s">
        <v>723</v>
      </c>
      <c r="B709" s="13">
        <v>2.5133603709402799</v>
      </c>
      <c r="C709" s="13">
        <v>3.5149999999999997</v>
      </c>
      <c r="D709" s="15">
        <f t="shared" ref="D709:D772" si="66">WEEKDAY(A709,14)</f>
        <v>1</v>
      </c>
      <c r="E709" s="15">
        <f t="shared" ref="E709:E772" si="67">VLOOKUP(D709,P$5:Q$11,2,FALSE)</f>
        <v>0.2</v>
      </c>
      <c r="F709" s="15">
        <f t="shared" ref="F709:F772" si="68">IF(AND(D709&gt;D708,F708&lt;6),F708+1,1)</f>
        <v>1</v>
      </c>
      <c r="G709" s="15">
        <f t="shared" ref="G709:G772" si="69">IF(F709&gt;F708,G708+B709*E709,B709*E709)</f>
        <v>0.50267207418805604</v>
      </c>
      <c r="H709" s="15">
        <f t="shared" ref="H709:H772" si="70">IF(AND(F709&lt;6,F709&gt;F708),E709+H708,E709)</f>
        <v>0.2</v>
      </c>
      <c r="I709" s="15">
        <f t="shared" ref="I709:I772" si="71">IF(F709&gt;F710,G709/H709,0)</f>
        <v>0</v>
      </c>
      <c r="J709" s="15">
        <f>IF(CurrentMtgRatesDataTable8[[#This Row],[WA CC]]&lt;&gt;0,C708-CurrentMtgRatesDataTable8[[#This Row],[WA CC]],0)</f>
        <v>0</v>
      </c>
      <c r="K709" s="15">
        <f>IF(CurrentMtgRatesDataTable8[[#This Row],[Servicing Spread]]&lt;=0,K708,CurrentMtgRatesDataTable8[[#This Row],[Servicing Spread]])</f>
        <v>0.98490012917051439</v>
      </c>
      <c r="L709" s="16">
        <f>CurrentMtgRatesDataTable8[[#This Row],[Servicing Spread Non-Zero]]-K708</f>
        <v>0</v>
      </c>
      <c r="M709" s="16">
        <f>IF(I708&lt;&gt;0,CurrentMtgRatesDataTable8[[#This Row],[Rate]]-C708,M708)</f>
        <v>-4.5000000000000373E-2</v>
      </c>
    </row>
    <row r="710" spans="1:13">
      <c r="A710" s="12" t="s">
        <v>584</v>
      </c>
      <c r="B710" s="13">
        <v>2.4526687901347302</v>
      </c>
      <c r="C710" s="13">
        <v>3.5149999999999997</v>
      </c>
      <c r="D710" s="15">
        <f t="shared" si="66"/>
        <v>2</v>
      </c>
      <c r="E710" s="15">
        <f t="shared" si="67"/>
        <v>0.2</v>
      </c>
      <c r="F710" s="15">
        <f t="shared" si="68"/>
        <v>2</v>
      </c>
      <c r="G710" s="15">
        <f t="shared" si="69"/>
        <v>0.99320583221500214</v>
      </c>
      <c r="H710" s="15">
        <f t="shared" si="70"/>
        <v>0.4</v>
      </c>
      <c r="I710" s="15">
        <f t="shared" si="71"/>
        <v>0</v>
      </c>
      <c r="J710" s="15">
        <f>IF(CurrentMtgRatesDataTable8[[#This Row],[WA CC]]&lt;&gt;0,C709-CurrentMtgRatesDataTable8[[#This Row],[WA CC]],0)</f>
        <v>0</v>
      </c>
      <c r="K710" s="15">
        <f>IF(CurrentMtgRatesDataTable8[[#This Row],[Servicing Spread]]&lt;=0,K709,CurrentMtgRatesDataTable8[[#This Row],[Servicing Spread]])</f>
        <v>0.98490012917051439</v>
      </c>
      <c r="L710" s="16">
        <f>CurrentMtgRatesDataTable8[[#This Row],[Servicing Spread Non-Zero]]-K709</f>
        <v>0</v>
      </c>
      <c r="M710" s="16">
        <f>IF(I709&lt;&gt;0,CurrentMtgRatesDataTable8[[#This Row],[Rate]]-C709,M709)</f>
        <v>-4.5000000000000373E-2</v>
      </c>
    </row>
    <row r="711" spans="1:13">
      <c r="A711" s="12" t="s">
        <v>434</v>
      </c>
      <c r="B711" s="13">
        <v>2.4482414321452199</v>
      </c>
      <c r="C711" s="13">
        <v>3.5149999999999997</v>
      </c>
      <c r="D711" s="15">
        <f t="shared" si="66"/>
        <v>5</v>
      </c>
      <c r="E711" s="15">
        <f t="shared" si="67"/>
        <v>0.2</v>
      </c>
      <c r="F711" s="15">
        <f t="shared" si="68"/>
        <v>3</v>
      </c>
      <c r="G711" s="15">
        <f t="shared" si="69"/>
        <v>1.4828541186440463</v>
      </c>
      <c r="H711" s="15">
        <f t="shared" si="70"/>
        <v>0.60000000000000009</v>
      </c>
      <c r="I711" s="15">
        <f t="shared" si="71"/>
        <v>0</v>
      </c>
      <c r="J711" s="15">
        <f>IF(CurrentMtgRatesDataTable8[[#This Row],[WA CC]]&lt;&gt;0,C710-CurrentMtgRatesDataTable8[[#This Row],[WA CC]],0)</f>
        <v>0</v>
      </c>
      <c r="K711" s="15">
        <f>IF(CurrentMtgRatesDataTable8[[#This Row],[Servicing Spread]]&lt;=0,K710,CurrentMtgRatesDataTable8[[#This Row],[Servicing Spread]])</f>
        <v>0.98490012917051439</v>
      </c>
      <c r="L711" s="16">
        <f>CurrentMtgRatesDataTable8[[#This Row],[Servicing Spread Non-Zero]]-K710</f>
        <v>0</v>
      </c>
      <c r="M711" s="16">
        <f>IF(I710&lt;&gt;0,CurrentMtgRatesDataTable8[[#This Row],[Rate]]-C710,M710)</f>
        <v>-4.5000000000000373E-2</v>
      </c>
    </row>
    <row r="712" spans="1:13">
      <c r="A712" s="12" t="s">
        <v>308</v>
      </c>
      <c r="B712" s="13">
        <v>2.5386092043872699</v>
      </c>
      <c r="C712" s="13">
        <v>3.5149999999999997</v>
      </c>
      <c r="D712" s="15">
        <f t="shared" si="66"/>
        <v>6</v>
      </c>
      <c r="E712" s="15">
        <f t="shared" si="67"/>
        <v>0.2</v>
      </c>
      <c r="F712" s="15">
        <f t="shared" si="68"/>
        <v>4</v>
      </c>
      <c r="G712" s="15">
        <f t="shared" si="69"/>
        <v>1.9905759595215002</v>
      </c>
      <c r="H712" s="15">
        <f t="shared" si="70"/>
        <v>0.8</v>
      </c>
      <c r="I712" s="15">
        <f t="shared" si="71"/>
        <v>0</v>
      </c>
      <c r="J712" s="15">
        <f>IF(CurrentMtgRatesDataTable8[[#This Row],[WA CC]]&lt;&gt;0,C711-CurrentMtgRatesDataTable8[[#This Row],[WA CC]],0)</f>
        <v>0</v>
      </c>
      <c r="K712" s="15">
        <f>IF(CurrentMtgRatesDataTable8[[#This Row],[Servicing Spread]]&lt;=0,K711,CurrentMtgRatesDataTable8[[#This Row],[Servicing Spread]])</f>
        <v>0.98490012917051439</v>
      </c>
      <c r="L712" s="16">
        <f>CurrentMtgRatesDataTable8[[#This Row],[Servicing Spread Non-Zero]]-K711</f>
        <v>0</v>
      </c>
      <c r="M712" s="16">
        <f>IF(I711&lt;&gt;0,CurrentMtgRatesDataTable8[[#This Row],[Rate]]-C711,M711)</f>
        <v>-4.5000000000000373E-2</v>
      </c>
    </row>
    <row r="713" spans="1:13">
      <c r="A713" s="12" t="s">
        <v>164</v>
      </c>
      <c r="B713" s="13">
        <v>2.56620444102245</v>
      </c>
      <c r="C713" s="13">
        <v>3.5149999999999997</v>
      </c>
      <c r="D713" s="15">
        <f t="shared" si="66"/>
        <v>7</v>
      </c>
      <c r="E713" s="15">
        <f t="shared" si="67"/>
        <v>0.2</v>
      </c>
      <c r="F713" s="15">
        <f t="shared" si="68"/>
        <v>5</v>
      </c>
      <c r="G713" s="15">
        <f t="shared" si="69"/>
        <v>2.5038168477259903</v>
      </c>
      <c r="H713" s="15">
        <f t="shared" si="70"/>
        <v>1</v>
      </c>
      <c r="I713" s="15">
        <f t="shared" si="71"/>
        <v>2.5038168477259903</v>
      </c>
      <c r="J713" s="15">
        <f>IF(CurrentMtgRatesDataTable8[[#This Row],[WA CC]]&lt;&gt;0,C712-CurrentMtgRatesDataTable8[[#This Row],[WA CC]],0)</f>
        <v>1.0111831522740093</v>
      </c>
      <c r="K713" s="15">
        <f>IF(CurrentMtgRatesDataTable8[[#This Row],[Servicing Spread]]&lt;=0,K712,CurrentMtgRatesDataTable8[[#This Row],[Servicing Spread]])</f>
        <v>1.0111831522740093</v>
      </c>
      <c r="L713" s="16">
        <f>CurrentMtgRatesDataTable8[[#This Row],[Servicing Spread Non-Zero]]-K712</f>
        <v>2.6283023103494951E-2</v>
      </c>
      <c r="M713" s="16">
        <f>IF(I712&lt;&gt;0,CurrentMtgRatesDataTable8[[#This Row],[Rate]]-C712,M712)</f>
        <v>-4.5000000000000373E-2</v>
      </c>
    </row>
    <row r="714" spans="1:13">
      <c r="A714" s="12" t="s">
        <v>724</v>
      </c>
      <c r="B714" s="13">
        <v>2.5588939804772202</v>
      </c>
      <c r="C714" s="13">
        <v>3.59</v>
      </c>
      <c r="D714" s="15">
        <f t="shared" si="66"/>
        <v>1</v>
      </c>
      <c r="E714" s="15">
        <f t="shared" si="67"/>
        <v>0.2</v>
      </c>
      <c r="F714" s="15">
        <f t="shared" si="68"/>
        <v>1</v>
      </c>
      <c r="G714" s="15">
        <f t="shared" si="69"/>
        <v>0.51177879609544408</v>
      </c>
      <c r="H714" s="15">
        <f t="shared" si="70"/>
        <v>0.2</v>
      </c>
      <c r="I714" s="15">
        <f t="shared" si="71"/>
        <v>0</v>
      </c>
      <c r="J714" s="15">
        <f>IF(CurrentMtgRatesDataTable8[[#This Row],[WA CC]]&lt;&gt;0,C713-CurrentMtgRatesDataTable8[[#This Row],[WA CC]],0)</f>
        <v>0</v>
      </c>
      <c r="K714" s="15">
        <f>IF(CurrentMtgRatesDataTable8[[#This Row],[Servicing Spread]]&lt;=0,K713,CurrentMtgRatesDataTable8[[#This Row],[Servicing Spread]])</f>
        <v>1.0111831522740093</v>
      </c>
      <c r="L714" s="16">
        <f>CurrentMtgRatesDataTable8[[#This Row],[Servicing Spread Non-Zero]]-K713</f>
        <v>0</v>
      </c>
      <c r="M714" s="16">
        <f>IF(I713&lt;&gt;0,CurrentMtgRatesDataTable8[[#This Row],[Rate]]-C713,M713)</f>
        <v>7.5000000000000178E-2</v>
      </c>
    </row>
    <row r="715" spans="1:13">
      <c r="A715" s="12" t="s">
        <v>585</v>
      </c>
      <c r="B715" s="13">
        <v>2.6748566998957601</v>
      </c>
      <c r="C715" s="13">
        <v>3.59</v>
      </c>
      <c r="D715" s="15">
        <f t="shared" si="66"/>
        <v>2</v>
      </c>
      <c r="E715" s="15">
        <f t="shared" si="67"/>
        <v>0.2</v>
      </c>
      <c r="F715" s="15">
        <f t="shared" si="68"/>
        <v>2</v>
      </c>
      <c r="G715" s="15">
        <f t="shared" si="69"/>
        <v>1.0467501360745961</v>
      </c>
      <c r="H715" s="15">
        <f t="shared" si="70"/>
        <v>0.4</v>
      </c>
      <c r="I715" s="15">
        <f t="shared" si="71"/>
        <v>0</v>
      </c>
      <c r="J715" s="15">
        <f>IF(CurrentMtgRatesDataTable8[[#This Row],[WA CC]]&lt;&gt;0,C714-CurrentMtgRatesDataTable8[[#This Row],[WA CC]],0)</f>
        <v>0</v>
      </c>
      <c r="K715" s="15">
        <f>IF(CurrentMtgRatesDataTable8[[#This Row],[Servicing Spread]]&lt;=0,K714,CurrentMtgRatesDataTable8[[#This Row],[Servicing Spread]])</f>
        <v>1.0111831522740093</v>
      </c>
      <c r="L715" s="16">
        <f>CurrentMtgRatesDataTable8[[#This Row],[Servicing Spread Non-Zero]]-K714</f>
        <v>0</v>
      </c>
      <c r="M715" s="16">
        <f>IF(I714&lt;&gt;0,CurrentMtgRatesDataTable8[[#This Row],[Rate]]-C714,M714)</f>
        <v>7.5000000000000178E-2</v>
      </c>
    </row>
    <row r="716" spans="1:13">
      <c r="A716" s="8" t="s">
        <v>746</v>
      </c>
      <c r="B716" s="11">
        <v>2.6856648240007002</v>
      </c>
      <c r="C716" s="11">
        <v>3.59</v>
      </c>
      <c r="D716" s="16">
        <f t="shared" si="66"/>
        <v>5</v>
      </c>
      <c r="E716" s="16">
        <f t="shared" si="67"/>
        <v>0.2</v>
      </c>
      <c r="F716" s="16">
        <f t="shared" si="68"/>
        <v>3</v>
      </c>
      <c r="G716" s="16">
        <f t="shared" si="69"/>
        <v>1.5838831008747363</v>
      </c>
      <c r="H716" s="16">
        <f t="shared" si="70"/>
        <v>0.60000000000000009</v>
      </c>
      <c r="I716" s="16">
        <f t="shared" si="71"/>
        <v>0</v>
      </c>
      <c r="J716" s="16">
        <f>IF(CurrentMtgRatesDataTable8[[#This Row],[WA CC]]&lt;&gt;0,C715-CurrentMtgRatesDataTable8[[#This Row],[WA CC]],0)</f>
        <v>0</v>
      </c>
      <c r="K716" s="16">
        <f>IF(CurrentMtgRatesDataTable8[[#This Row],[Servicing Spread]]&lt;=0,K715,CurrentMtgRatesDataTable8[[#This Row],[Servicing Spread]])</f>
        <v>1.0111831522740093</v>
      </c>
      <c r="L716" s="16">
        <f>CurrentMtgRatesDataTable8[[#This Row],[Servicing Spread Non-Zero]]-K715</f>
        <v>0</v>
      </c>
      <c r="M716" s="16">
        <f>IF(I715&lt;&gt;0,CurrentMtgRatesDataTable8[[#This Row],[Rate]]-C715,M715)</f>
        <v>7.5000000000000178E-2</v>
      </c>
    </row>
    <row r="717" spans="1:13">
      <c r="A717" s="8" t="s">
        <v>747</v>
      </c>
      <c r="B717" s="11">
        <v>2.7450619013759301</v>
      </c>
      <c r="C717" s="11">
        <v>3.59</v>
      </c>
      <c r="D717" s="16">
        <f t="shared" si="66"/>
        <v>6</v>
      </c>
      <c r="E717" s="16">
        <f t="shared" si="67"/>
        <v>0.2</v>
      </c>
      <c r="F717" s="16">
        <f t="shared" si="68"/>
        <v>4</v>
      </c>
      <c r="G717" s="16">
        <f t="shared" si="69"/>
        <v>2.1328954811499221</v>
      </c>
      <c r="H717" s="16">
        <f t="shared" si="70"/>
        <v>0.8</v>
      </c>
      <c r="I717" s="16">
        <f t="shared" si="71"/>
        <v>0</v>
      </c>
      <c r="J717" s="16">
        <f>IF(CurrentMtgRatesDataTable8[[#This Row],[WA CC]]&lt;&gt;0,C716-CurrentMtgRatesDataTable8[[#This Row],[WA CC]],0)</f>
        <v>0</v>
      </c>
      <c r="K717" s="16">
        <f>IF(CurrentMtgRatesDataTable8[[#This Row],[Servicing Spread]]&lt;=0,K716,CurrentMtgRatesDataTable8[[#This Row],[Servicing Spread]])</f>
        <v>1.0111831522740093</v>
      </c>
      <c r="L717" s="16">
        <f>CurrentMtgRatesDataTable8[[#This Row],[Servicing Spread Non-Zero]]-K716</f>
        <v>0</v>
      </c>
      <c r="M717" s="16">
        <f>IF(I716&lt;&gt;0,CurrentMtgRatesDataTable8[[#This Row],[Rate]]-C716,M716)</f>
        <v>7.5000000000000178E-2</v>
      </c>
    </row>
    <row r="718" spans="1:13">
      <c r="A718" s="8" t="s">
        <v>748</v>
      </c>
      <c r="B718" s="11">
        <v>2.7390944645368598</v>
      </c>
      <c r="C718" s="11">
        <v>3.59</v>
      </c>
      <c r="D718" s="16">
        <f t="shared" si="66"/>
        <v>7</v>
      </c>
      <c r="E718" s="16">
        <f t="shared" si="67"/>
        <v>0.2</v>
      </c>
      <c r="F718" s="16">
        <f t="shared" si="68"/>
        <v>5</v>
      </c>
      <c r="G718" s="16">
        <f t="shared" si="69"/>
        <v>2.6807143740572941</v>
      </c>
      <c r="H718" s="16">
        <f t="shared" si="70"/>
        <v>1</v>
      </c>
      <c r="I718" s="16">
        <f t="shared" si="71"/>
        <v>2.6807143740572941</v>
      </c>
      <c r="J718" s="16">
        <f>IF(CurrentMtgRatesDataTable8[[#This Row],[WA CC]]&lt;&gt;0,C717-CurrentMtgRatesDataTable8[[#This Row],[WA CC]],0)</f>
        <v>0.90928562594270579</v>
      </c>
      <c r="K718" s="16">
        <f>IF(CurrentMtgRatesDataTable8[[#This Row],[Servicing Spread]]&lt;=0,K717,CurrentMtgRatesDataTable8[[#This Row],[Servicing Spread]])</f>
        <v>0.90928562594270579</v>
      </c>
      <c r="L718" s="16">
        <f>CurrentMtgRatesDataTable8[[#This Row],[Servicing Spread Non-Zero]]-K717</f>
        <v>-0.10189752633130356</v>
      </c>
      <c r="M718" s="16">
        <f>IF(I717&lt;&gt;0,CurrentMtgRatesDataTable8[[#This Row],[Rate]]-C717,M717)</f>
        <v>7.5000000000000178E-2</v>
      </c>
    </row>
    <row r="719" spans="1:13">
      <c r="A719" s="8" t="s">
        <v>749</v>
      </c>
      <c r="B719" s="11">
        <v>2.7217472845669599</v>
      </c>
      <c r="C719" s="11">
        <v>3.6599999999999997</v>
      </c>
      <c r="D719" s="16">
        <f t="shared" si="66"/>
        <v>1</v>
      </c>
      <c r="E719" s="16">
        <f t="shared" si="67"/>
        <v>0.2</v>
      </c>
      <c r="F719" s="16">
        <f t="shared" si="68"/>
        <v>1</v>
      </c>
      <c r="G719" s="16">
        <f t="shared" si="69"/>
        <v>0.54434945691339198</v>
      </c>
      <c r="H719" s="16">
        <f t="shared" si="70"/>
        <v>0.2</v>
      </c>
      <c r="I719" s="16">
        <f t="shared" si="71"/>
        <v>0</v>
      </c>
      <c r="J719" s="16">
        <f>IF(CurrentMtgRatesDataTable8[[#This Row],[WA CC]]&lt;&gt;0,C718-CurrentMtgRatesDataTable8[[#This Row],[WA CC]],0)</f>
        <v>0</v>
      </c>
      <c r="K719" s="16">
        <f>IF(CurrentMtgRatesDataTable8[[#This Row],[Servicing Spread]]&lt;=0,K718,CurrentMtgRatesDataTable8[[#This Row],[Servicing Spread]])</f>
        <v>0.90928562594270579</v>
      </c>
      <c r="L719" s="16">
        <f>CurrentMtgRatesDataTable8[[#This Row],[Servicing Spread Non-Zero]]-K718</f>
        <v>0</v>
      </c>
      <c r="M719" s="16">
        <f>IF(I718&lt;&gt;0,CurrentMtgRatesDataTable8[[#This Row],[Rate]]-C718,M718)</f>
        <v>6.999999999999984E-2</v>
      </c>
    </row>
    <row r="720" spans="1:13">
      <c r="A720" s="8" t="s">
        <v>750</v>
      </c>
      <c r="B720" s="11">
        <v>2.7439532601441399</v>
      </c>
      <c r="C720" s="11">
        <v>3.6599999999999997</v>
      </c>
      <c r="D720" s="16">
        <f t="shared" si="66"/>
        <v>2</v>
      </c>
      <c r="E720" s="16">
        <f t="shared" si="67"/>
        <v>0.2</v>
      </c>
      <c r="F720" s="16">
        <f t="shared" si="68"/>
        <v>2</v>
      </c>
      <c r="G720" s="16">
        <f t="shared" si="69"/>
        <v>1.0931401089422201</v>
      </c>
      <c r="H720" s="16">
        <f t="shared" si="70"/>
        <v>0.4</v>
      </c>
      <c r="I720" s="16">
        <f t="shared" si="71"/>
        <v>0</v>
      </c>
      <c r="J720" s="16">
        <f>IF(CurrentMtgRatesDataTable8[[#This Row],[WA CC]]&lt;&gt;0,C719-CurrentMtgRatesDataTable8[[#This Row],[WA CC]],0)</f>
        <v>0</v>
      </c>
      <c r="K720" s="16">
        <f>IF(CurrentMtgRatesDataTable8[[#This Row],[Servicing Spread]]&lt;=0,K719,CurrentMtgRatesDataTable8[[#This Row],[Servicing Spread]])</f>
        <v>0.90928562594270579</v>
      </c>
      <c r="L720" s="16">
        <f>CurrentMtgRatesDataTable8[[#This Row],[Servicing Spread Non-Zero]]-K719</f>
        <v>0</v>
      </c>
      <c r="M720" s="16">
        <f>IF(I719&lt;&gt;0,CurrentMtgRatesDataTable8[[#This Row],[Rate]]-C719,M719)</f>
        <v>6.999999999999984E-2</v>
      </c>
    </row>
    <row r="721" spans="1:13">
      <c r="A721" s="8" t="s">
        <v>751</v>
      </c>
      <c r="B721" s="11">
        <v>2.8647464299960101</v>
      </c>
      <c r="C721" s="11">
        <v>3.6599999999999997</v>
      </c>
      <c r="D721" s="16">
        <f t="shared" si="66"/>
        <v>6</v>
      </c>
      <c r="E721" s="16">
        <f t="shared" si="67"/>
        <v>0.2</v>
      </c>
      <c r="F721" s="16">
        <f t="shared" si="68"/>
        <v>3</v>
      </c>
      <c r="G721" s="16">
        <f t="shared" si="69"/>
        <v>1.6660893949414222</v>
      </c>
      <c r="H721" s="16">
        <f t="shared" si="70"/>
        <v>0.60000000000000009</v>
      </c>
      <c r="I721" s="16">
        <f t="shared" si="71"/>
        <v>0</v>
      </c>
      <c r="J721" s="16">
        <f>IF(CurrentMtgRatesDataTable8[[#This Row],[WA CC]]&lt;&gt;0,C720-CurrentMtgRatesDataTable8[[#This Row],[WA CC]],0)</f>
        <v>0</v>
      </c>
      <c r="K721" s="16">
        <f>IF(CurrentMtgRatesDataTable8[[#This Row],[Servicing Spread]]&lt;=0,K720,CurrentMtgRatesDataTable8[[#This Row],[Servicing Spread]])</f>
        <v>0.90928562594270579</v>
      </c>
      <c r="L721" s="16">
        <f>CurrentMtgRatesDataTable8[[#This Row],[Servicing Spread Non-Zero]]-K720</f>
        <v>0</v>
      </c>
      <c r="M721" s="16">
        <f>IF(I720&lt;&gt;0,CurrentMtgRatesDataTable8[[#This Row],[Rate]]-C720,M720)</f>
        <v>6.999999999999984E-2</v>
      </c>
    </row>
    <row r="722" spans="1:13">
      <c r="A722" s="8" t="s">
        <v>752</v>
      </c>
      <c r="B722" s="11">
        <v>2.80663775198708</v>
      </c>
      <c r="C722" s="11">
        <v>3.6599999999999997</v>
      </c>
      <c r="D722" s="16">
        <f t="shared" si="66"/>
        <v>7</v>
      </c>
      <c r="E722" s="16">
        <f t="shared" si="67"/>
        <v>0.2</v>
      </c>
      <c r="F722" s="16">
        <f t="shared" si="68"/>
        <v>4</v>
      </c>
      <c r="G722" s="16">
        <f t="shared" si="69"/>
        <v>2.2274169453388382</v>
      </c>
      <c r="H722" s="16">
        <f t="shared" si="70"/>
        <v>0.8</v>
      </c>
      <c r="I722" s="16">
        <f t="shared" si="71"/>
        <v>2.7842711816735477</v>
      </c>
      <c r="J722" s="16">
        <f>IF(CurrentMtgRatesDataTable8[[#This Row],[WA CC]]&lt;&gt;0,C721-CurrentMtgRatesDataTable8[[#This Row],[WA CC]],0)</f>
        <v>0.875728818326452</v>
      </c>
      <c r="K722" s="16">
        <f>IF(CurrentMtgRatesDataTable8[[#This Row],[Servicing Spread]]&lt;=0,K721,CurrentMtgRatesDataTable8[[#This Row],[Servicing Spread]])</f>
        <v>0.875728818326452</v>
      </c>
      <c r="L722" s="16">
        <f>CurrentMtgRatesDataTable8[[#This Row],[Servicing Spread Non-Zero]]-K721</f>
        <v>-3.3556807616253792E-2</v>
      </c>
      <c r="M722" s="16">
        <f>IF(I721&lt;&gt;0,CurrentMtgRatesDataTable8[[#This Row],[Rate]]-C721,M721)</f>
        <v>6.999999999999984E-2</v>
      </c>
    </row>
    <row r="723" spans="1:13">
      <c r="A723" s="39" t="s">
        <v>753</v>
      </c>
      <c r="B723" s="40">
        <v>2.8310816393070799</v>
      </c>
      <c r="C723" s="11">
        <v>3.6999999999999997</v>
      </c>
      <c r="D723" s="16">
        <f t="shared" si="66"/>
        <v>1</v>
      </c>
      <c r="E723" s="16">
        <f t="shared" si="67"/>
        <v>0.2</v>
      </c>
      <c r="F723" s="16">
        <f t="shared" si="68"/>
        <v>1</v>
      </c>
      <c r="G723" s="16">
        <f t="shared" si="69"/>
        <v>0.56621632786141596</v>
      </c>
      <c r="H723" s="16">
        <f t="shared" si="70"/>
        <v>0.2</v>
      </c>
      <c r="I723" s="16">
        <f t="shared" si="71"/>
        <v>0</v>
      </c>
      <c r="J723" s="16">
        <f>IF(CurrentMtgRatesDataTable8[[#This Row],[WA CC]]&lt;&gt;0,C722-CurrentMtgRatesDataTable8[[#This Row],[WA CC]],0)</f>
        <v>0</v>
      </c>
      <c r="K723" s="16">
        <f>IF(CurrentMtgRatesDataTable8[[#This Row],[Servicing Spread]]&lt;=0,K722,CurrentMtgRatesDataTable8[[#This Row],[Servicing Spread]])</f>
        <v>0.875728818326452</v>
      </c>
      <c r="L723" s="16">
        <f>CurrentMtgRatesDataTable8[[#This Row],[Servicing Spread Non-Zero]]-K722</f>
        <v>0</v>
      </c>
      <c r="M723" s="16">
        <f>IF(I722&lt;&gt;0,CurrentMtgRatesDataTable8[[#This Row],[Rate]]-C722,M722)</f>
        <v>4.0000000000000036E-2</v>
      </c>
    </row>
    <row r="724" spans="1:13">
      <c r="A724" s="39" t="s">
        <v>754</v>
      </c>
      <c r="B724" s="40">
        <v>2.8495343936509898</v>
      </c>
      <c r="C724" s="11">
        <v>3.6999999999999997</v>
      </c>
      <c r="D724" s="16">
        <f t="shared" si="66"/>
        <v>2</v>
      </c>
      <c r="E724" s="16">
        <f t="shared" si="67"/>
        <v>0.2</v>
      </c>
      <c r="F724" s="16">
        <f t="shared" si="68"/>
        <v>2</v>
      </c>
      <c r="G724" s="16">
        <f t="shared" si="69"/>
        <v>1.136123206591614</v>
      </c>
      <c r="H724" s="16">
        <f t="shared" si="70"/>
        <v>0.4</v>
      </c>
      <c r="I724" s="16">
        <f t="shared" si="71"/>
        <v>0</v>
      </c>
      <c r="J724" s="16">
        <f>IF(CurrentMtgRatesDataTable8[[#This Row],[WA CC]]&lt;&gt;0,C723-CurrentMtgRatesDataTable8[[#This Row],[WA CC]],0)</f>
        <v>0</v>
      </c>
      <c r="K724" s="16">
        <f>IF(CurrentMtgRatesDataTable8[[#This Row],[Servicing Spread]]&lt;=0,K723,CurrentMtgRatesDataTable8[[#This Row],[Servicing Spread]])</f>
        <v>0.875728818326452</v>
      </c>
      <c r="L724" s="16">
        <f>CurrentMtgRatesDataTable8[[#This Row],[Servicing Spread Non-Zero]]-K723</f>
        <v>0</v>
      </c>
      <c r="M724" s="16">
        <f>IF(I723&lt;&gt;0,CurrentMtgRatesDataTable8[[#This Row],[Rate]]-C723,M723)</f>
        <v>4.0000000000000036E-2</v>
      </c>
    </row>
    <row r="725" spans="1:13">
      <c r="A725" s="39" t="s">
        <v>755</v>
      </c>
      <c r="B725" s="40">
        <v>2.8051692512697501</v>
      </c>
      <c r="C725" s="11">
        <v>3.6999999999999997</v>
      </c>
      <c r="D725" s="16">
        <f t="shared" si="66"/>
        <v>5</v>
      </c>
      <c r="E725" s="16">
        <f t="shared" si="67"/>
        <v>0.2</v>
      </c>
      <c r="F725" s="16">
        <f t="shared" si="68"/>
        <v>3</v>
      </c>
      <c r="G725" s="16">
        <f t="shared" si="69"/>
        <v>1.6971570568455641</v>
      </c>
      <c r="H725" s="16">
        <f t="shared" si="70"/>
        <v>0.60000000000000009</v>
      </c>
      <c r="I725" s="16">
        <f t="shared" si="71"/>
        <v>0</v>
      </c>
      <c r="J725" s="16">
        <f>IF(CurrentMtgRatesDataTable8[[#This Row],[WA CC]]&lt;&gt;0,C724-CurrentMtgRatesDataTable8[[#This Row],[WA CC]],0)</f>
        <v>0</v>
      </c>
      <c r="K725" s="16">
        <f>IF(CurrentMtgRatesDataTable8[[#This Row],[Servicing Spread]]&lt;=0,K724,CurrentMtgRatesDataTable8[[#This Row],[Servicing Spread]])</f>
        <v>0.875728818326452</v>
      </c>
      <c r="L725" s="16">
        <f>CurrentMtgRatesDataTable8[[#This Row],[Servicing Spread Non-Zero]]-K724</f>
        <v>0</v>
      </c>
      <c r="M725" s="16">
        <f>IF(I724&lt;&gt;0,CurrentMtgRatesDataTable8[[#This Row],[Rate]]-C724,M724)</f>
        <v>4.0000000000000036E-2</v>
      </c>
    </row>
    <row r="726" spans="1:13">
      <c r="A726" s="39" t="s">
        <v>756</v>
      </c>
      <c r="B726" s="41">
        <v>2.7456841844873301</v>
      </c>
      <c r="C726" s="11">
        <v>3.6999999999999997</v>
      </c>
      <c r="D726" s="16">
        <f t="shared" si="66"/>
        <v>6</v>
      </c>
      <c r="E726" s="16">
        <f t="shared" si="67"/>
        <v>0.2</v>
      </c>
      <c r="F726" s="16">
        <f t="shared" si="68"/>
        <v>4</v>
      </c>
      <c r="G726" s="16">
        <f t="shared" si="69"/>
        <v>2.2462938937430303</v>
      </c>
      <c r="H726" s="16">
        <f t="shared" si="70"/>
        <v>0.8</v>
      </c>
      <c r="I726" s="16">
        <f t="shared" si="71"/>
        <v>0</v>
      </c>
      <c r="J726" s="16">
        <f>IF(CurrentMtgRatesDataTable8[[#This Row],[WA CC]]&lt;&gt;0,C725-CurrentMtgRatesDataTable8[[#This Row],[WA CC]],0)</f>
        <v>0</v>
      </c>
      <c r="K726" s="16">
        <f>IF(CurrentMtgRatesDataTable8[[#This Row],[Servicing Spread]]&lt;=0,K725,CurrentMtgRatesDataTable8[[#This Row],[Servicing Spread]])</f>
        <v>0.875728818326452</v>
      </c>
      <c r="L726" s="16">
        <f>CurrentMtgRatesDataTable8[[#This Row],[Servicing Spread Non-Zero]]-K725</f>
        <v>0</v>
      </c>
      <c r="M726" s="16">
        <f>IF(I725&lt;&gt;0,CurrentMtgRatesDataTable8[[#This Row],[Rate]]-C725,M725)</f>
        <v>4.0000000000000036E-2</v>
      </c>
    </row>
    <row r="727" spans="1:13">
      <c r="A727" s="39" t="s">
        <v>757</v>
      </c>
      <c r="B727" s="40">
        <v>2.7262373083687401</v>
      </c>
      <c r="C727" s="11">
        <v>3.6999999999999997</v>
      </c>
      <c r="D727" s="16">
        <f t="shared" si="66"/>
        <v>7</v>
      </c>
      <c r="E727" s="16">
        <f t="shared" si="67"/>
        <v>0.2</v>
      </c>
      <c r="F727" s="16">
        <f t="shared" si="68"/>
        <v>5</v>
      </c>
      <c r="G727" s="16">
        <f t="shared" si="69"/>
        <v>2.7915413554167783</v>
      </c>
      <c r="H727" s="16">
        <f t="shared" si="70"/>
        <v>1</v>
      </c>
      <c r="I727" s="16">
        <f t="shared" si="71"/>
        <v>2.7915413554167783</v>
      </c>
      <c r="J727" s="16">
        <f>IF(CurrentMtgRatesDataTable8[[#This Row],[WA CC]]&lt;&gt;0,C726-CurrentMtgRatesDataTable8[[#This Row],[WA CC]],0)</f>
        <v>0.90845864458322145</v>
      </c>
      <c r="K727" s="16">
        <f>IF(CurrentMtgRatesDataTable8[[#This Row],[Servicing Spread]]&lt;=0,K726,CurrentMtgRatesDataTable8[[#This Row],[Servicing Spread]])</f>
        <v>0.90845864458322145</v>
      </c>
      <c r="L727" s="16">
        <f>CurrentMtgRatesDataTable8[[#This Row],[Servicing Spread Non-Zero]]-K726</f>
        <v>3.2729826256769456E-2</v>
      </c>
      <c r="M727" s="16">
        <f>IF(I726&lt;&gt;0,CurrentMtgRatesDataTable8[[#This Row],[Rate]]-C726,M726)</f>
        <v>4.0000000000000036E-2</v>
      </c>
    </row>
    <row r="728" spans="1:13">
      <c r="A728" s="39" t="s">
        <v>758</v>
      </c>
      <c r="B728" s="40">
        <v>2.7641939622688101</v>
      </c>
      <c r="C728" s="11">
        <v>3.65</v>
      </c>
      <c r="D728" s="16">
        <f t="shared" si="66"/>
        <v>1</v>
      </c>
      <c r="E728" s="16">
        <f t="shared" si="67"/>
        <v>0.2</v>
      </c>
      <c r="F728" s="16">
        <f t="shared" si="68"/>
        <v>1</v>
      </c>
      <c r="G728" s="16">
        <f t="shared" si="69"/>
        <v>0.552838792453762</v>
      </c>
      <c r="H728" s="16">
        <f t="shared" si="70"/>
        <v>0.2</v>
      </c>
      <c r="I728" s="16">
        <f t="shared" si="71"/>
        <v>0</v>
      </c>
      <c r="J728" s="16">
        <f>IF(CurrentMtgRatesDataTable8[[#This Row],[WA CC]]&lt;&gt;0,C727-CurrentMtgRatesDataTable8[[#This Row],[WA CC]],0)</f>
        <v>0</v>
      </c>
      <c r="K728" s="16">
        <f>IF(CurrentMtgRatesDataTable8[[#This Row],[Servicing Spread]]&lt;=0,K727,CurrentMtgRatesDataTable8[[#This Row],[Servicing Spread]])</f>
        <v>0.90845864458322145</v>
      </c>
      <c r="L728" s="16">
        <f>CurrentMtgRatesDataTable8[[#This Row],[Servicing Spread Non-Zero]]-K727</f>
        <v>0</v>
      </c>
      <c r="M728" s="16">
        <f>IF(I727&lt;&gt;0,CurrentMtgRatesDataTable8[[#This Row],[Rate]]-C727,M727)</f>
        <v>-4.9999999999999822E-2</v>
      </c>
    </row>
    <row r="729" spans="1:13">
      <c r="A729" s="39" t="s">
        <v>759</v>
      </c>
      <c r="B729" s="40">
        <v>2.7365985708724101</v>
      </c>
      <c r="C729" s="11">
        <v>3.65</v>
      </c>
      <c r="D729" s="16">
        <f t="shared" si="66"/>
        <v>2</v>
      </c>
      <c r="E729" s="16">
        <f t="shared" si="67"/>
        <v>0.2</v>
      </c>
      <c r="F729" s="16">
        <f t="shared" si="68"/>
        <v>2</v>
      </c>
      <c r="G729" s="16">
        <f t="shared" si="69"/>
        <v>1.100158506628244</v>
      </c>
      <c r="H729" s="16">
        <f t="shared" si="70"/>
        <v>0.4</v>
      </c>
      <c r="I729" s="16">
        <f t="shared" si="71"/>
        <v>0</v>
      </c>
      <c r="J729" s="16">
        <f>IF(CurrentMtgRatesDataTable8[[#This Row],[WA CC]]&lt;&gt;0,C728-CurrentMtgRatesDataTable8[[#This Row],[WA CC]],0)</f>
        <v>0</v>
      </c>
      <c r="K729" s="16">
        <f>IF(CurrentMtgRatesDataTable8[[#This Row],[Servicing Spread]]&lt;=0,K728,CurrentMtgRatesDataTable8[[#This Row],[Servicing Spread]])</f>
        <v>0.90845864458322145</v>
      </c>
      <c r="L729" s="16">
        <f>CurrentMtgRatesDataTable8[[#This Row],[Servicing Spread Non-Zero]]-K728</f>
        <v>0</v>
      </c>
      <c r="M729" s="16">
        <f>IF(I728&lt;&gt;0,CurrentMtgRatesDataTable8[[#This Row],[Rate]]-C728,M728)</f>
        <v>-4.9999999999999822E-2</v>
      </c>
    </row>
    <row r="730" spans="1:13">
      <c r="A730" s="39" t="s">
        <v>760</v>
      </c>
      <c r="B730" s="40">
        <v>2.7916349569467398</v>
      </c>
      <c r="C730" s="11">
        <v>3.65</v>
      </c>
      <c r="D730" s="16">
        <f t="shared" si="66"/>
        <v>5</v>
      </c>
      <c r="E730" s="16">
        <f t="shared" si="67"/>
        <v>0.2</v>
      </c>
      <c r="F730" s="16">
        <f t="shared" si="68"/>
        <v>3</v>
      </c>
      <c r="G730" s="16">
        <f t="shared" si="69"/>
        <v>1.6584854980175918</v>
      </c>
      <c r="H730" s="16">
        <f t="shared" si="70"/>
        <v>0.60000000000000009</v>
      </c>
      <c r="I730" s="16">
        <f t="shared" si="71"/>
        <v>0</v>
      </c>
      <c r="J730" s="16">
        <f>IF(CurrentMtgRatesDataTable8[[#This Row],[WA CC]]&lt;&gt;0,C729-CurrentMtgRatesDataTable8[[#This Row],[WA CC]],0)</f>
        <v>0</v>
      </c>
      <c r="K730" s="16">
        <f>IF(CurrentMtgRatesDataTable8[[#This Row],[Servicing Spread]]&lt;=0,K729,CurrentMtgRatesDataTable8[[#This Row],[Servicing Spread]])</f>
        <v>0.90845864458322145</v>
      </c>
      <c r="L730" s="16">
        <f>CurrentMtgRatesDataTable8[[#This Row],[Servicing Spread Non-Zero]]-K729</f>
        <v>0</v>
      </c>
      <c r="M730" s="16">
        <f>IF(I729&lt;&gt;0,CurrentMtgRatesDataTable8[[#This Row],[Rate]]-C729,M729)</f>
        <v>-4.9999999999999822E-2</v>
      </c>
    </row>
    <row r="731" spans="1:13">
      <c r="A731" s="39" t="s">
        <v>761</v>
      </c>
      <c r="B731" s="41">
        <v>2.8341999400292899</v>
      </c>
      <c r="C731" s="11">
        <v>3.65</v>
      </c>
      <c r="D731" s="16">
        <f t="shared" si="66"/>
        <v>6</v>
      </c>
      <c r="E731" s="16">
        <f t="shared" si="67"/>
        <v>0.2</v>
      </c>
      <c r="F731" s="16">
        <f t="shared" si="68"/>
        <v>4</v>
      </c>
      <c r="G731" s="16">
        <f t="shared" si="69"/>
        <v>2.2253254860234497</v>
      </c>
      <c r="H731" s="16">
        <f t="shared" si="70"/>
        <v>0.8</v>
      </c>
      <c r="I731" s="16">
        <f t="shared" si="71"/>
        <v>0</v>
      </c>
      <c r="J731" s="16">
        <f>IF(CurrentMtgRatesDataTable8[[#This Row],[WA CC]]&lt;&gt;0,C730-CurrentMtgRatesDataTable8[[#This Row],[WA CC]],0)</f>
        <v>0</v>
      </c>
      <c r="K731" s="16">
        <f>IF(CurrentMtgRatesDataTable8[[#This Row],[Servicing Spread]]&lt;=0,K730,CurrentMtgRatesDataTable8[[#This Row],[Servicing Spread]])</f>
        <v>0.90845864458322145</v>
      </c>
      <c r="L731" s="16">
        <f>CurrentMtgRatesDataTable8[[#This Row],[Servicing Spread Non-Zero]]-K730</f>
        <v>0</v>
      </c>
      <c r="M731" s="16">
        <f>IF(I730&lt;&gt;0,CurrentMtgRatesDataTable8[[#This Row],[Rate]]-C730,M730)</f>
        <v>-4.9999999999999822E-2</v>
      </c>
    </row>
    <row r="732" spans="1:13">
      <c r="A732" s="39" t="s">
        <v>762</v>
      </c>
      <c r="B732" s="40">
        <v>2.8241837227534399</v>
      </c>
      <c r="C732" s="11">
        <v>3.65</v>
      </c>
      <c r="D732" s="16">
        <f t="shared" si="66"/>
        <v>7</v>
      </c>
      <c r="E732" s="16">
        <f t="shared" si="67"/>
        <v>0.2</v>
      </c>
      <c r="F732" s="16">
        <f t="shared" si="68"/>
        <v>5</v>
      </c>
      <c r="G732" s="16">
        <f t="shared" si="69"/>
        <v>2.7901622305741376</v>
      </c>
      <c r="H732" s="16">
        <f t="shared" si="70"/>
        <v>1</v>
      </c>
      <c r="I732" s="16">
        <f t="shared" si="71"/>
        <v>2.7901622305741376</v>
      </c>
      <c r="J732" s="16">
        <f>IF(CurrentMtgRatesDataTable8[[#This Row],[WA CC]]&lt;&gt;0,C731-CurrentMtgRatesDataTable8[[#This Row],[WA CC]],0)</f>
        <v>0.85983776942586232</v>
      </c>
      <c r="K732" s="16">
        <f>IF(CurrentMtgRatesDataTable8[[#This Row],[Servicing Spread]]&lt;=0,K731,CurrentMtgRatesDataTable8[[#This Row],[Servicing Spread]])</f>
        <v>0.85983776942586232</v>
      </c>
      <c r="L732" s="16">
        <f>CurrentMtgRatesDataTable8[[#This Row],[Servicing Spread Non-Zero]]-K731</f>
        <v>-4.8620875157359134E-2</v>
      </c>
      <c r="M732" s="16">
        <f>IF(I731&lt;&gt;0,CurrentMtgRatesDataTable8[[#This Row],[Rate]]-C731,M731)</f>
        <v>-4.9999999999999822E-2</v>
      </c>
    </row>
    <row r="733" spans="1:13">
      <c r="A733" s="39" t="s">
        <v>766</v>
      </c>
      <c r="B733" s="40">
        <v>2.81556157497667</v>
      </c>
      <c r="C733" s="11">
        <v>3.76</v>
      </c>
      <c r="D733" s="16">
        <f t="shared" si="66"/>
        <v>1</v>
      </c>
      <c r="E733" s="16">
        <f t="shared" si="67"/>
        <v>0.2</v>
      </c>
      <c r="F733" s="16">
        <f t="shared" si="68"/>
        <v>1</v>
      </c>
      <c r="G733" s="16">
        <f t="shared" si="69"/>
        <v>0.56311231499533398</v>
      </c>
      <c r="H733" s="16">
        <f t="shared" si="70"/>
        <v>0.2</v>
      </c>
      <c r="I733" s="16">
        <f t="shared" si="71"/>
        <v>0</v>
      </c>
      <c r="J733" s="16">
        <f>IF(CurrentMtgRatesDataTable8[[#This Row],[WA CC]]&lt;&gt;0,C732-CurrentMtgRatesDataTable8[[#This Row],[WA CC]],0)</f>
        <v>0</v>
      </c>
      <c r="K733" s="16">
        <f>IF(CurrentMtgRatesDataTable8[[#This Row],[Servicing Spread]]&lt;=0,K732,CurrentMtgRatesDataTable8[[#This Row],[Servicing Spread]])</f>
        <v>0.85983776942586232</v>
      </c>
      <c r="L733" s="16">
        <f>CurrentMtgRatesDataTable8[[#This Row],[Servicing Spread Non-Zero]]-K732</f>
        <v>0</v>
      </c>
      <c r="M733" s="16">
        <f>IF(I732&lt;&gt;0,CurrentMtgRatesDataTable8[[#This Row],[Rate]]-C732,M732)</f>
        <v>0.10999999999999988</v>
      </c>
    </row>
    <row r="734" spans="1:13">
      <c r="A734" s="39" t="s">
        <v>767</v>
      </c>
      <c r="B734" s="40">
        <v>2.9303170109018999</v>
      </c>
      <c r="C734" s="11">
        <v>3.76</v>
      </c>
      <c r="D734" s="16">
        <f t="shared" si="66"/>
        <v>2</v>
      </c>
      <c r="E734" s="16">
        <f t="shared" si="67"/>
        <v>0.2</v>
      </c>
      <c r="F734" s="16">
        <f t="shared" si="68"/>
        <v>2</v>
      </c>
      <c r="G734" s="16">
        <f t="shared" si="69"/>
        <v>1.149175717175714</v>
      </c>
      <c r="H734" s="16">
        <f t="shared" si="70"/>
        <v>0.4</v>
      </c>
      <c r="I734" s="16">
        <f t="shared" si="71"/>
        <v>0</v>
      </c>
      <c r="J734" s="16">
        <f>IF(CurrentMtgRatesDataTable8[[#This Row],[WA CC]]&lt;&gt;0,C733-CurrentMtgRatesDataTable8[[#This Row],[WA CC]],0)</f>
        <v>0</v>
      </c>
      <c r="K734" s="16">
        <f>IF(CurrentMtgRatesDataTable8[[#This Row],[Servicing Spread]]&lt;=0,K733,CurrentMtgRatesDataTable8[[#This Row],[Servicing Spread]])</f>
        <v>0.85983776942586232</v>
      </c>
      <c r="L734" s="16">
        <f>CurrentMtgRatesDataTable8[[#This Row],[Servicing Spread Non-Zero]]-K733</f>
        <v>0</v>
      </c>
      <c r="M734" s="16">
        <f>IF(I733&lt;&gt;0,CurrentMtgRatesDataTable8[[#This Row],[Rate]]-C733,M733)</f>
        <v>0.10999999999999988</v>
      </c>
    </row>
    <row r="735" spans="1:13">
      <c r="A735" s="39" t="s">
        <v>768</v>
      </c>
      <c r="B735" s="40">
        <v>2.90222752352993</v>
      </c>
      <c r="C735" s="11">
        <v>3.76</v>
      </c>
      <c r="D735" s="16">
        <f t="shared" si="66"/>
        <v>5</v>
      </c>
      <c r="E735" s="16">
        <f t="shared" si="67"/>
        <v>0.2</v>
      </c>
      <c r="F735" s="16">
        <f t="shared" si="68"/>
        <v>3</v>
      </c>
      <c r="G735" s="16">
        <f t="shared" si="69"/>
        <v>1.7296212218817</v>
      </c>
      <c r="H735" s="16">
        <f t="shared" si="70"/>
        <v>0.60000000000000009</v>
      </c>
      <c r="I735" s="16">
        <f t="shared" si="71"/>
        <v>0</v>
      </c>
      <c r="J735" s="16">
        <f>IF(CurrentMtgRatesDataTable8[[#This Row],[WA CC]]&lt;&gt;0,C734-CurrentMtgRatesDataTable8[[#This Row],[WA CC]],0)</f>
        <v>0</v>
      </c>
      <c r="K735" s="16">
        <f>IF(CurrentMtgRatesDataTable8[[#This Row],[Servicing Spread]]&lt;=0,K734,CurrentMtgRatesDataTable8[[#This Row],[Servicing Spread]])</f>
        <v>0.85983776942586232</v>
      </c>
      <c r="L735" s="16">
        <f>CurrentMtgRatesDataTable8[[#This Row],[Servicing Spread Non-Zero]]-K734</f>
        <v>0</v>
      </c>
      <c r="M735" s="16">
        <f>IF(I734&lt;&gt;0,CurrentMtgRatesDataTable8[[#This Row],[Rate]]-C734,M734)</f>
        <v>0.10999999999999988</v>
      </c>
    </row>
    <row r="736" spans="1:13">
      <c r="A736" s="39" t="s">
        <v>769</v>
      </c>
      <c r="B736" s="40">
        <v>2.84635033680676</v>
      </c>
      <c r="C736" s="11">
        <v>3.76</v>
      </c>
      <c r="D736" s="16">
        <f t="shared" si="66"/>
        <v>6</v>
      </c>
      <c r="E736" s="16">
        <f t="shared" si="67"/>
        <v>0.2</v>
      </c>
      <c r="F736" s="16">
        <f t="shared" si="68"/>
        <v>4</v>
      </c>
      <c r="G736" s="16">
        <f t="shared" si="69"/>
        <v>2.298891289243052</v>
      </c>
      <c r="H736" s="16">
        <f t="shared" si="70"/>
        <v>0.8</v>
      </c>
      <c r="I736" s="16">
        <f t="shared" si="71"/>
        <v>0</v>
      </c>
      <c r="J736" s="16">
        <f>IF(CurrentMtgRatesDataTable8[[#This Row],[WA CC]]&lt;&gt;0,C735-CurrentMtgRatesDataTable8[[#This Row],[WA CC]],0)</f>
        <v>0</v>
      </c>
      <c r="K736" s="16">
        <f>IF(CurrentMtgRatesDataTable8[[#This Row],[Servicing Spread]]&lt;=0,K735,CurrentMtgRatesDataTable8[[#This Row],[Servicing Spread]])</f>
        <v>0.85983776942586232</v>
      </c>
      <c r="L736" s="16">
        <f>CurrentMtgRatesDataTable8[[#This Row],[Servicing Spread Non-Zero]]-K735</f>
        <v>0</v>
      </c>
      <c r="M736" s="16">
        <f>IF(I735&lt;&gt;0,CurrentMtgRatesDataTable8[[#This Row],[Rate]]-C735,M735)</f>
        <v>0.10999999999999988</v>
      </c>
    </row>
    <row r="737" spans="1:13">
      <c r="A737" s="39" t="s">
        <v>770</v>
      </c>
      <c r="B737" s="40">
        <v>2.8278353033181198</v>
      </c>
      <c r="C737" s="11">
        <v>3.76</v>
      </c>
      <c r="D737" s="16">
        <f t="shared" si="66"/>
        <v>7</v>
      </c>
      <c r="E737" s="16">
        <f t="shared" si="67"/>
        <v>0.2</v>
      </c>
      <c r="F737" s="16">
        <f t="shared" si="68"/>
        <v>5</v>
      </c>
      <c r="G737" s="16">
        <f t="shared" si="69"/>
        <v>2.864458349906676</v>
      </c>
      <c r="H737" s="16">
        <f t="shared" si="70"/>
        <v>1</v>
      </c>
      <c r="I737" s="16">
        <f t="shared" si="71"/>
        <v>2.864458349906676</v>
      </c>
      <c r="J737" s="16">
        <f>IF(CurrentMtgRatesDataTable8[[#This Row],[WA CC]]&lt;&gt;0,C736-CurrentMtgRatesDataTable8[[#This Row],[WA CC]],0)</f>
        <v>0.89554165009332376</v>
      </c>
      <c r="K737" s="16">
        <f>IF(CurrentMtgRatesDataTable8[[#This Row],[Servicing Spread]]&lt;=0,K736,CurrentMtgRatesDataTable8[[#This Row],[Servicing Spread]])</f>
        <v>0.89554165009332376</v>
      </c>
      <c r="L737" s="16">
        <f>CurrentMtgRatesDataTable8[[#This Row],[Servicing Spread Non-Zero]]-K736</f>
        <v>3.5703880667461441E-2</v>
      </c>
      <c r="M737" s="16">
        <f>IF(I736&lt;&gt;0,CurrentMtgRatesDataTable8[[#This Row],[Rate]]-C736,M736)</f>
        <v>0.10999999999999988</v>
      </c>
    </row>
    <row r="738" spans="1:13">
      <c r="A738" s="39" t="s">
        <v>771</v>
      </c>
      <c r="B738" s="40">
        <v>2.8138191102539798</v>
      </c>
      <c r="C738" s="11">
        <v>3.6799999999999997</v>
      </c>
      <c r="D738" s="16">
        <f t="shared" si="66"/>
        <v>1</v>
      </c>
      <c r="E738" s="16">
        <f t="shared" si="67"/>
        <v>0.2</v>
      </c>
      <c r="F738" s="16">
        <f t="shared" si="68"/>
        <v>1</v>
      </c>
      <c r="G738" s="16">
        <f t="shared" si="69"/>
        <v>0.562763822050796</v>
      </c>
      <c r="H738" s="16">
        <f t="shared" si="70"/>
        <v>0.2</v>
      </c>
      <c r="I738" s="16">
        <f t="shared" si="71"/>
        <v>0</v>
      </c>
      <c r="J738" s="16">
        <f>IF(CurrentMtgRatesDataTable8[[#This Row],[WA CC]]&lt;&gt;0,C737-CurrentMtgRatesDataTable8[[#This Row],[WA CC]],0)</f>
        <v>0</v>
      </c>
      <c r="K738" s="16">
        <f>IF(CurrentMtgRatesDataTable8[[#This Row],[Servicing Spread]]&lt;=0,K737,CurrentMtgRatesDataTable8[[#This Row],[Servicing Spread]])</f>
        <v>0.89554165009332376</v>
      </c>
      <c r="L738" s="16">
        <f>CurrentMtgRatesDataTable8[[#This Row],[Servicing Spread Non-Zero]]-K737</f>
        <v>0</v>
      </c>
      <c r="M738" s="16">
        <f>IF(I737&lt;&gt;0,CurrentMtgRatesDataTable8[[#This Row],[Rate]]-C737,M737)</f>
        <v>-8.0000000000000071E-2</v>
      </c>
    </row>
    <row r="739" spans="1:13">
      <c r="A739" s="39" t="s">
        <v>772</v>
      </c>
      <c r="B739" s="40">
        <v>2.8315057491425</v>
      </c>
      <c r="C739" s="11">
        <v>3.6799999999999997</v>
      </c>
      <c r="D739" s="16">
        <f t="shared" si="66"/>
        <v>2</v>
      </c>
      <c r="E739" s="16">
        <f t="shared" si="67"/>
        <v>0.2</v>
      </c>
      <c r="F739" s="16">
        <f t="shared" si="68"/>
        <v>2</v>
      </c>
      <c r="G739" s="16">
        <f t="shared" si="69"/>
        <v>1.129064971879296</v>
      </c>
      <c r="H739" s="16">
        <f t="shared" si="70"/>
        <v>0.4</v>
      </c>
      <c r="I739" s="16">
        <f t="shared" si="71"/>
        <v>0</v>
      </c>
      <c r="J739" s="16">
        <f>IF(CurrentMtgRatesDataTable8[[#This Row],[WA CC]]&lt;&gt;0,C738-CurrentMtgRatesDataTable8[[#This Row],[WA CC]],0)</f>
        <v>0</v>
      </c>
      <c r="K739" s="16">
        <f>IF(CurrentMtgRatesDataTable8[[#This Row],[Servicing Spread]]&lt;=0,K738,CurrentMtgRatesDataTable8[[#This Row],[Servicing Spread]])</f>
        <v>0.89554165009332376</v>
      </c>
      <c r="L739" s="16">
        <f>CurrentMtgRatesDataTable8[[#This Row],[Servicing Spread Non-Zero]]-K738</f>
        <v>0</v>
      </c>
      <c r="M739" s="16">
        <f>IF(I738&lt;&gt;0,CurrentMtgRatesDataTable8[[#This Row],[Rate]]-C738,M738)</f>
        <v>-8.0000000000000071E-2</v>
      </c>
    </row>
    <row r="740" spans="1:13">
      <c r="A740" s="39" t="s">
        <v>773</v>
      </c>
      <c r="B740" s="40">
        <v>2.8241768518279202</v>
      </c>
      <c r="C740" s="11">
        <v>3.6799999999999997</v>
      </c>
      <c r="D740" s="16">
        <f t="shared" si="66"/>
        <v>5</v>
      </c>
      <c r="E740" s="16">
        <f t="shared" si="67"/>
        <v>0.2</v>
      </c>
      <c r="F740" s="16">
        <f t="shared" si="68"/>
        <v>3</v>
      </c>
      <c r="G740" s="16">
        <f t="shared" si="69"/>
        <v>1.6939003422448802</v>
      </c>
      <c r="H740" s="16">
        <f t="shared" si="70"/>
        <v>0.60000000000000009</v>
      </c>
      <c r="I740" s="16">
        <f t="shared" si="71"/>
        <v>0</v>
      </c>
      <c r="J740" s="16">
        <f>IF(CurrentMtgRatesDataTable8[[#This Row],[WA CC]]&lt;&gt;0,C739-CurrentMtgRatesDataTable8[[#This Row],[WA CC]],0)</f>
        <v>0</v>
      </c>
      <c r="K740" s="16">
        <f>IF(CurrentMtgRatesDataTable8[[#This Row],[Servicing Spread]]&lt;=0,K739,CurrentMtgRatesDataTable8[[#This Row],[Servicing Spread]])</f>
        <v>0.89554165009332376</v>
      </c>
      <c r="L740" s="16">
        <f>CurrentMtgRatesDataTable8[[#This Row],[Servicing Spread Non-Zero]]-K739</f>
        <v>0</v>
      </c>
      <c r="M740" s="16">
        <f>IF(I739&lt;&gt;0,CurrentMtgRatesDataTable8[[#This Row],[Rate]]-C739,M739)</f>
        <v>-8.0000000000000071E-2</v>
      </c>
    </row>
    <row r="741" spans="1:13">
      <c r="A741" s="39" t="s">
        <v>774</v>
      </c>
      <c r="B741" s="40">
        <v>2.79584100930466</v>
      </c>
      <c r="C741" s="11">
        <v>3.6799999999999997</v>
      </c>
      <c r="D741" s="16">
        <f t="shared" si="66"/>
        <v>6</v>
      </c>
      <c r="E741" s="16">
        <f t="shared" si="67"/>
        <v>0.2</v>
      </c>
      <c r="F741" s="16">
        <f t="shared" si="68"/>
        <v>4</v>
      </c>
      <c r="G741" s="16">
        <f t="shared" si="69"/>
        <v>2.2530685441058123</v>
      </c>
      <c r="H741" s="16">
        <f t="shared" si="70"/>
        <v>0.8</v>
      </c>
      <c r="I741" s="16">
        <f t="shared" si="71"/>
        <v>0</v>
      </c>
      <c r="J741" s="16">
        <f>IF(CurrentMtgRatesDataTable8[[#This Row],[WA CC]]&lt;&gt;0,C740-CurrentMtgRatesDataTable8[[#This Row],[WA CC]],0)</f>
        <v>0</v>
      </c>
      <c r="K741" s="16">
        <f>IF(CurrentMtgRatesDataTable8[[#This Row],[Servicing Spread]]&lt;=0,K740,CurrentMtgRatesDataTable8[[#This Row],[Servicing Spread]])</f>
        <v>0.89554165009332376</v>
      </c>
      <c r="L741" s="16">
        <f>CurrentMtgRatesDataTable8[[#This Row],[Servicing Spread Non-Zero]]-K740</f>
        <v>0</v>
      </c>
      <c r="M741" s="16">
        <f>IF(I740&lt;&gt;0,CurrentMtgRatesDataTable8[[#This Row],[Rate]]-C740,M740)</f>
        <v>-8.0000000000000071E-2</v>
      </c>
    </row>
    <row r="742" spans="1:13">
      <c r="A742" s="39" t="s">
        <v>775</v>
      </c>
      <c r="B742" s="40">
        <v>2.6928489030954199</v>
      </c>
      <c r="C742" s="11">
        <v>3.6799999999999997</v>
      </c>
      <c r="D742" s="16">
        <f t="shared" si="66"/>
        <v>7</v>
      </c>
      <c r="E742" s="16">
        <f t="shared" si="67"/>
        <v>0.2</v>
      </c>
      <c r="F742" s="16">
        <f t="shared" si="68"/>
        <v>5</v>
      </c>
      <c r="G742" s="16">
        <f t="shared" si="69"/>
        <v>2.7916383247248961</v>
      </c>
      <c r="H742" s="16">
        <f t="shared" si="70"/>
        <v>1</v>
      </c>
      <c r="I742" s="16">
        <f t="shared" si="71"/>
        <v>2.7916383247248961</v>
      </c>
      <c r="J742" s="16">
        <f>IF(CurrentMtgRatesDataTable8[[#This Row],[WA CC]]&lt;&gt;0,C741-CurrentMtgRatesDataTable8[[#This Row],[WA CC]],0)</f>
        <v>0.88836167527510357</v>
      </c>
      <c r="K742" s="16">
        <f>IF(CurrentMtgRatesDataTable8[[#This Row],[Servicing Spread]]&lt;=0,K741,CurrentMtgRatesDataTable8[[#This Row],[Servicing Spread]])</f>
        <v>0.88836167527510357</v>
      </c>
      <c r="L742" s="16">
        <f>CurrentMtgRatesDataTable8[[#This Row],[Servicing Spread Non-Zero]]-K741</f>
        <v>-7.1799748182201917E-3</v>
      </c>
      <c r="M742" s="16">
        <f>IF(I741&lt;&gt;0,CurrentMtgRatesDataTable8[[#This Row],[Rate]]-C741,M741)</f>
        <v>-8.0000000000000071E-2</v>
      </c>
    </row>
    <row r="743" spans="1:13">
      <c r="A743" s="39" t="s">
        <v>789</v>
      </c>
      <c r="B743" s="40">
        <v>2.70955656376128</v>
      </c>
      <c r="C743" s="11">
        <v>3.59</v>
      </c>
      <c r="D743" s="16">
        <f t="shared" si="66"/>
        <v>1</v>
      </c>
      <c r="E743" s="16">
        <f t="shared" si="67"/>
        <v>0.2</v>
      </c>
      <c r="F743" s="16">
        <f t="shared" si="68"/>
        <v>1</v>
      </c>
      <c r="G743" s="16">
        <f t="shared" si="69"/>
        <v>0.54191131275225601</v>
      </c>
      <c r="H743" s="16">
        <f t="shared" si="70"/>
        <v>0.2</v>
      </c>
      <c r="I743" s="16">
        <f t="shared" si="71"/>
        <v>0</v>
      </c>
      <c r="J743" s="16">
        <f>IF(CurrentMtgRatesDataTable8[[#This Row],[WA CC]]&lt;&gt;0,C742-CurrentMtgRatesDataTable8[[#This Row],[WA CC]],0)</f>
        <v>0</v>
      </c>
      <c r="K743" s="16">
        <f>IF(CurrentMtgRatesDataTable8[[#This Row],[Servicing Spread]]&lt;=0,K742,CurrentMtgRatesDataTable8[[#This Row],[Servicing Spread]])</f>
        <v>0.88836167527510357</v>
      </c>
      <c r="L743" s="16">
        <f>CurrentMtgRatesDataTable8[[#This Row],[Servicing Spread Non-Zero]]-K742</f>
        <v>0</v>
      </c>
      <c r="M743" s="16">
        <f>IF(I742&lt;&gt;0,CurrentMtgRatesDataTable8[[#This Row],[Rate]]-C742,M742)</f>
        <v>-8.9999999999999858E-2</v>
      </c>
    </row>
    <row r="744" spans="1:13">
      <c r="A744" s="39" t="s">
        <v>790</v>
      </c>
      <c r="B744" s="40">
        <v>2.6717729385436999</v>
      </c>
      <c r="C744" s="11">
        <v>3.59</v>
      </c>
      <c r="D744" s="16">
        <f t="shared" si="66"/>
        <v>2</v>
      </c>
      <c r="E744" s="16">
        <f t="shared" si="67"/>
        <v>0.2</v>
      </c>
      <c r="F744" s="16">
        <f t="shared" si="68"/>
        <v>2</v>
      </c>
      <c r="G744" s="16">
        <f t="shared" si="69"/>
        <v>1.076265900460996</v>
      </c>
      <c r="H744" s="16">
        <f t="shared" si="70"/>
        <v>0.4</v>
      </c>
      <c r="I744" s="16">
        <f t="shared" si="71"/>
        <v>0</v>
      </c>
      <c r="J744" s="16">
        <f>IF(CurrentMtgRatesDataTable8[[#This Row],[WA CC]]&lt;&gt;0,C743-CurrentMtgRatesDataTable8[[#This Row],[WA CC]],0)</f>
        <v>0</v>
      </c>
      <c r="K744" s="16">
        <f>IF(CurrentMtgRatesDataTable8[[#This Row],[Servicing Spread]]&lt;=0,K743,CurrentMtgRatesDataTable8[[#This Row],[Servicing Spread]])</f>
        <v>0.88836167527510357</v>
      </c>
      <c r="L744" s="16">
        <f>CurrentMtgRatesDataTable8[[#This Row],[Servicing Spread Non-Zero]]-K743</f>
        <v>0</v>
      </c>
      <c r="M744" s="16">
        <f>IF(I743&lt;&gt;0,CurrentMtgRatesDataTable8[[#This Row],[Rate]]-C743,M743)</f>
        <v>-8.9999999999999858E-2</v>
      </c>
    </row>
    <row r="745" spans="1:13">
      <c r="A745" s="39" t="s">
        <v>791</v>
      </c>
      <c r="B745" s="40">
        <v>2.6575094779916602</v>
      </c>
      <c r="C745" s="11">
        <v>3.59</v>
      </c>
      <c r="D745" s="16">
        <f t="shared" si="66"/>
        <v>5</v>
      </c>
      <c r="E745" s="16">
        <f t="shared" si="67"/>
        <v>0.2</v>
      </c>
      <c r="F745" s="16">
        <f t="shared" si="68"/>
        <v>3</v>
      </c>
      <c r="G745" s="16">
        <f t="shared" si="69"/>
        <v>1.6077677960593282</v>
      </c>
      <c r="H745" s="16">
        <f t="shared" si="70"/>
        <v>0.60000000000000009</v>
      </c>
      <c r="I745" s="16">
        <f t="shared" si="71"/>
        <v>0</v>
      </c>
      <c r="J745" s="16">
        <f>IF(CurrentMtgRatesDataTable8[[#This Row],[WA CC]]&lt;&gt;0,C744-CurrentMtgRatesDataTable8[[#This Row],[WA CC]],0)</f>
        <v>0</v>
      </c>
      <c r="K745" s="16">
        <f>IF(CurrentMtgRatesDataTable8[[#This Row],[Servicing Spread]]&lt;=0,K744,CurrentMtgRatesDataTable8[[#This Row],[Servicing Spread]])</f>
        <v>0.88836167527510357</v>
      </c>
      <c r="L745" s="16">
        <f>CurrentMtgRatesDataTable8[[#This Row],[Servicing Spread Non-Zero]]-K744</f>
        <v>0</v>
      </c>
      <c r="M745" s="16">
        <f>IF(I744&lt;&gt;0,CurrentMtgRatesDataTable8[[#This Row],[Rate]]-C744,M744)</f>
        <v>-8.9999999999999858E-2</v>
      </c>
    </row>
    <row r="746" spans="1:13">
      <c r="A746" s="39" t="s">
        <v>792</v>
      </c>
      <c r="B746" s="40">
        <v>2.60984671554638</v>
      </c>
      <c r="C746" s="11">
        <v>3.59</v>
      </c>
      <c r="D746" s="16">
        <f t="shared" si="66"/>
        <v>6</v>
      </c>
      <c r="E746" s="16">
        <f t="shared" si="67"/>
        <v>0.2</v>
      </c>
      <c r="F746" s="16">
        <f t="shared" si="68"/>
        <v>4</v>
      </c>
      <c r="G746" s="16">
        <f t="shared" si="69"/>
        <v>2.1297371391686042</v>
      </c>
      <c r="H746" s="16">
        <f t="shared" si="70"/>
        <v>0.8</v>
      </c>
      <c r="I746" s="16">
        <f t="shared" si="71"/>
        <v>0</v>
      </c>
      <c r="J746" s="16">
        <f>IF(CurrentMtgRatesDataTable8[[#This Row],[WA CC]]&lt;&gt;0,C745-CurrentMtgRatesDataTable8[[#This Row],[WA CC]],0)</f>
        <v>0</v>
      </c>
      <c r="K746" s="16">
        <f>IF(CurrentMtgRatesDataTable8[[#This Row],[Servicing Spread]]&lt;=0,K745,CurrentMtgRatesDataTable8[[#This Row],[Servicing Spread]])</f>
        <v>0.88836167527510357</v>
      </c>
      <c r="L746" s="16">
        <f>CurrentMtgRatesDataTable8[[#This Row],[Servicing Spread Non-Zero]]-K745</f>
        <v>0</v>
      </c>
      <c r="M746" s="16">
        <f>IF(I745&lt;&gt;0,CurrentMtgRatesDataTable8[[#This Row],[Rate]]-C745,M745)</f>
        <v>-8.9999999999999858E-2</v>
      </c>
    </row>
    <row r="747" spans="1:13">
      <c r="A747" s="39" t="s">
        <v>793</v>
      </c>
      <c r="B747" s="40">
        <v>2.6641693960453199</v>
      </c>
      <c r="C747" s="11">
        <v>3.59</v>
      </c>
      <c r="D747" s="16">
        <f t="shared" si="66"/>
        <v>7</v>
      </c>
      <c r="E747" s="16">
        <f t="shared" si="67"/>
        <v>0.2</v>
      </c>
      <c r="F747" s="16">
        <f t="shared" si="68"/>
        <v>5</v>
      </c>
      <c r="G747" s="16">
        <f t="shared" si="69"/>
        <v>2.6625710183776681</v>
      </c>
      <c r="H747" s="16">
        <f t="shared" si="70"/>
        <v>1</v>
      </c>
      <c r="I747" s="16">
        <f t="shared" si="71"/>
        <v>2.6625710183776681</v>
      </c>
      <c r="J747" s="16">
        <f>IF(CurrentMtgRatesDataTable8[[#This Row],[WA CC]]&lt;&gt;0,C746-CurrentMtgRatesDataTable8[[#This Row],[WA CC]],0)</f>
        <v>0.92742898162233178</v>
      </c>
      <c r="K747" s="16">
        <f>IF(CurrentMtgRatesDataTable8[[#This Row],[Servicing Spread]]&lt;=0,K746,CurrentMtgRatesDataTable8[[#This Row],[Servicing Spread]])</f>
        <v>0.92742898162233178</v>
      </c>
      <c r="L747" s="16">
        <f>CurrentMtgRatesDataTable8[[#This Row],[Servicing Spread Non-Zero]]-K746</f>
        <v>3.9067306347228214E-2</v>
      </c>
      <c r="M747" s="16">
        <f>IF(I746&lt;&gt;0,CurrentMtgRatesDataTable8[[#This Row],[Rate]]-C746,M746)</f>
        <v>-8.9999999999999858E-2</v>
      </c>
    </row>
    <row r="748" spans="1:13">
      <c r="A748" s="39" t="s">
        <v>794</v>
      </c>
      <c r="B748" s="40">
        <v>2.7519990602785001</v>
      </c>
      <c r="C748" s="11">
        <v>3.6</v>
      </c>
      <c r="D748" s="16">
        <f t="shared" si="66"/>
        <v>1</v>
      </c>
      <c r="E748" s="16">
        <f t="shared" si="67"/>
        <v>0.2</v>
      </c>
      <c r="F748" s="16">
        <f t="shared" si="68"/>
        <v>1</v>
      </c>
      <c r="G748" s="16">
        <f t="shared" si="69"/>
        <v>0.55039981205569999</v>
      </c>
      <c r="H748" s="16">
        <f t="shared" si="70"/>
        <v>0.2</v>
      </c>
      <c r="I748" s="16">
        <f t="shared" si="71"/>
        <v>0</v>
      </c>
      <c r="J748" s="16">
        <f>IF(CurrentMtgRatesDataTable8[[#This Row],[WA CC]]&lt;&gt;0,C747-CurrentMtgRatesDataTable8[[#This Row],[WA CC]],0)</f>
        <v>0</v>
      </c>
      <c r="K748" s="16">
        <f>IF(CurrentMtgRatesDataTable8[[#This Row],[Servicing Spread]]&lt;=0,K747,CurrentMtgRatesDataTable8[[#This Row],[Servicing Spread]])</f>
        <v>0.92742898162233178</v>
      </c>
      <c r="L748" s="16">
        <f>CurrentMtgRatesDataTable8[[#This Row],[Servicing Spread Non-Zero]]-K747</f>
        <v>0</v>
      </c>
      <c r="M748" s="16">
        <f>IF(I747&lt;&gt;0,CurrentMtgRatesDataTable8[[#This Row],[Rate]]-C747,M747)</f>
        <v>1.0000000000000231E-2</v>
      </c>
    </row>
    <row r="749" spans="1:13">
      <c r="A749" s="39" t="s">
        <v>795</v>
      </c>
      <c r="B749" s="40">
        <v>2.6934832462996599</v>
      </c>
      <c r="C749" s="11">
        <v>3.6</v>
      </c>
      <c r="D749" s="16">
        <f t="shared" si="66"/>
        <v>2</v>
      </c>
      <c r="E749" s="16">
        <f t="shared" si="67"/>
        <v>0.2</v>
      </c>
      <c r="F749" s="16">
        <f t="shared" si="68"/>
        <v>2</v>
      </c>
      <c r="G749" s="16">
        <f t="shared" si="69"/>
        <v>1.089096461315632</v>
      </c>
      <c r="H749" s="16">
        <f t="shared" si="70"/>
        <v>0.4</v>
      </c>
      <c r="I749" s="16">
        <f t="shared" si="71"/>
        <v>0</v>
      </c>
      <c r="J749" s="16">
        <f>IF(CurrentMtgRatesDataTable8[[#This Row],[WA CC]]&lt;&gt;0,C748-CurrentMtgRatesDataTable8[[#This Row],[WA CC]],0)</f>
        <v>0</v>
      </c>
      <c r="K749" s="16">
        <f>IF(CurrentMtgRatesDataTable8[[#This Row],[Servicing Spread]]&lt;=0,K748,CurrentMtgRatesDataTable8[[#This Row],[Servicing Spread]])</f>
        <v>0.92742898162233178</v>
      </c>
      <c r="L749" s="16">
        <f>CurrentMtgRatesDataTable8[[#This Row],[Servicing Spread Non-Zero]]-K748</f>
        <v>0</v>
      </c>
      <c r="M749" s="16">
        <f>IF(I748&lt;&gt;0,CurrentMtgRatesDataTable8[[#This Row],[Rate]]-C748,M748)</f>
        <v>1.0000000000000231E-2</v>
      </c>
    </row>
    <row r="750" spans="1:13">
      <c r="A750" s="39" t="s">
        <v>796</v>
      </c>
      <c r="B750" s="40">
        <v>2.6906214304432701</v>
      </c>
      <c r="C750" s="11">
        <v>3.6</v>
      </c>
      <c r="D750" s="16">
        <f t="shared" si="66"/>
        <v>5</v>
      </c>
      <c r="E750" s="16">
        <f t="shared" si="67"/>
        <v>0.2</v>
      </c>
      <c r="F750" s="16">
        <f t="shared" si="68"/>
        <v>3</v>
      </c>
      <c r="G750" s="16">
        <f t="shared" si="69"/>
        <v>1.6272207474042859</v>
      </c>
      <c r="H750" s="16">
        <f t="shared" si="70"/>
        <v>0.60000000000000009</v>
      </c>
      <c r="I750" s="16">
        <f t="shared" si="71"/>
        <v>0</v>
      </c>
      <c r="J750" s="16">
        <f>IF(CurrentMtgRatesDataTable8[[#This Row],[WA CC]]&lt;&gt;0,C749-CurrentMtgRatesDataTable8[[#This Row],[WA CC]],0)</f>
        <v>0</v>
      </c>
      <c r="K750" s="16">
        <f>IF(CurrentMtgRatesDataTable8[[#This Row],[Servicing Spread]]&lt;=0,K749,CurrentMtgRatesDataTable8[[#This Row],[Servicing Spread]])</f>
        <v>0.92742898162233178</v>
      </c>
      <c r="L750" s="16">
        <f>CurrentMtgRatesDataTable8[[#This Row],[Servicing Spread Non-Zero]]-K749</f>
        <v>0</v>
      </c>
      <c r="M750" s="16">
        <f>IF(I749&lt;&gt;0,CurrentMtgRatesDataTable8[[#This Row],[Rate]]-C749,M749)</f>
        <v>1.0000000000000231E-2</v>
      </c>
    </row>
    <row r="751" spans="1:13">
      <c r="A751" s="39" t="s">
        <v>797</v>
      </c>
      <c r="B751" s="40">
        <v>2.66103516127894</v>
      </c>
      <c r="C751" s="11">
        <v>3.6</v>
      </c>
      <c r="D751" s="16">
        <f t="shared" si="66"/>
        <v>6</v>
      </c>
      <c r="E751" s="16">
        <f t="shared" si="67"/>
        <v>0.2</v>
      </c>
      <c r="F751" s="16">
        <f t="shared" si="68"/>
        <v>4</v>
      </c>
      <c r="G751" s="16">
        <f t="shared" si="69"/>
        <v>2.1594277796600738</v>
      </c>
      <c r="H751" s="16">
        <f t="shared" si="70"/>
        <v>0.8</v>
      </c>
      <c r="I751" s="16">
        <f t="shared" si="71"/>
        <v>0</v>
      </c>
      <c r="J751" s="16">
        <f>IF(CurrentMtgRatesDataTable8[[#This Row],[WA CC]]&lt;&gt;0,C750-CurrentMtgRatesDataTable8[[#This Row],[WA CC]],0)</f>
        <v>0</v>
      </c>
      <c r="K751" s="16">
        <f>IF(CurrentMtgRatesDataTable8[[#This Row],[Servicing Spread]]&lt;=0,K750,CurrentMtgRatesDataTable8[[#This Row],[Servicing Spread]])</f>
        <v>0.92742898162233178</v>
      </c>
      <c r="L751" s="16">
        <f>CurrentMtgRatesDataTable8[[#This Row],[Servicing Spread Non-Zero]]-K750</f>
        <v>0</v>
      </c>
      <c r="M751" s="16">
        <f>IF(I750&lt;&gt;0,CurrentMtgRatesDataTable8[[#This Row],[Rate]]-C750,M750)</f>
        <v>1.0000000000000231E-2</v>
      </c>
    </row>
    <row r="752" spans="1:13">
      <c r="A752" s="39" t="s">
        <v>798</v>
      </c>
      <c r="B752" s="40">
        <v>2.5992657753902901</v>
      </c>
      <c r="C752" s="11">
        <v>3.6</v>
      </c>
      <c r="D752" s="16">
        <f t="shared" si="66"/>
        <v>7</v>
      </c>
      <c r="E752" s="16">
        <f t="shared" si="67"/>
        <v>0.2</v>
      </c>
      <c r="F752" s="16">
        <f t="shared" si="68"/>
        <v>5</v>
      </c>
      <c r="G752" s="16">
        <f t="shared" si="69"/>
        <v>2.6792809347381317</v>
      </c>
      <c r="H752" s="16">
        <f t="shared" si="70"/>
        <v>1</v>
      </c>
      <c r="I752" s="16">
        <f t="shared" si="71"/>
        <v>2.6792809347381317</v>
      </c>
      <c r="J752" s="16">
        <f>IF(CurrentMtgRatesDataTable8[[#This Row],[WA CC]]&lt;&gt;0,C751-CurrentMtgRatesDataTable8[[#This Row],[WA CC]],0)</f>
        <v>0.92071906526186842</v>
      </c>
      <c r="K752" s="16">
        <f>IF(CurrentMtgRatesDataTable8[[#This Row],[Servicing Spread]]&lt;=0,K751,CurrentMtgRatesDataTable8[[#This Row],[Servicing Spread]])</f>
        <v>0.92071906526186842</v>
      </c>
      <c r="L752" s="16">
        <f>CurrentMtgRatesDataTable8[[#This Row],[Servicing Spread Non-Zero]]-K751</f>
        <v>-6.7099163604633638E-3</v>
      </c>
      <c r="M752" s="16">
        <f>IF(I751&lt;&gt;0,CurrentMtgRatesDataTable8[[#This Row],[Rate]]-C751,M751)</f>
        <v>1.0000000000000231E-2</v>
      </c>
    </row>
    <row r="753" spans="1:13">
      <c r="A753" s="39" t="s">
        <v>799</v>
      </c>
      <c r="B753" s="40">
        <v>2.6512826680006101</v>
      </c>
      <c r="C753" s="11">
        <v>3.56</v>
      </c>
      <c r="D753" s="16">
        <f t="shared" si="66"/>
        <v>1</v>
      </c>
      <c r="E753" s="16">
        <f t="shared" si="67"/>
        <v>0.2</v>
      </c>
      <c r="F753" s="16">
        <f t="shared" si="68"/>
        <v>1</v>
      </c>
      <c r="G753" s="16">
        <f t="shared" si="69"/>
        <v>0.53025653360012204</v>
      </c>
      <c r="H753" s="16">
        <f t="shared" si="70"/>
        <v>0.2</v>
      </c>
      <c r="I753" s="16">
        <f t="shared" si="71"/>
        <v>0</v>
      </c>
      <c r="J753" s="16">
        <f>IF(CurrentMtgRatesDataTable8[[#This Row],[WA CC]]&lt;&gt;0,C752-CurrentMtgRatesDataTable8[[#This Row],[WA CC]],0)</f>
        <v>0</v>
      </c>
      <c r="K753" s="16">
        <f>IF(CurrentMtgRatesDataTable8[[#This Row],[Servicing Spread]]&lt;=0,K752,CurrentMtgRatesDataTable8[[#This Row],[Servicing Spread]])</f>
        <v>0.92071906526186842</v>
      </c>
      <c r="L753" s="16">
        <f>CurrentMtgRatesDataTable8[[#This Row],[Servicing Spread Non-Zero]]-K752</f>
        <v>0</v>
      </c>
      <c r="M753" s="16">
        <f>IF(I752&lt;&gt;0,CurrentMtgRatesDataTable8[[#This Row],[Rate]]-C752,M752)</f>
        <v>-4.0000000000000036E-2</v>
      </c>
    </row>
    <row r="754" spans="1:13">
      <c r="A754" s="39" t="s">
        <v>800</v>
      </c>
      <c r="B754" s="40">
        <v>2.5908884215358099</v>
      </c>
      <c r="C754" s="11">
        <v>3.56</v>
      </c>
      <c r="D754" s="16">
        <f t="shared" si="66"/>
        <v>2</v>
      </c>
      <c r="E754" s="16">
        <f t="shared" si="67"/>
        <v>0.2</v>
      </c>
      <c r="F754" s="16">
        <f t="shared" si="68"/>
        <v>2</v>
      </c>
      <c r="G754" s="16">
        <f t="shared" si="69"/>
        <v>1.0484342179072841</v>
      </c>
      <c r="H754" s="16">
        <f t="shared" si="70"/>
        <v>0.4</v>
      </c>
      <c r="I754" s="16">
        <f t="shared" si="71"/>
        <v>0</v>
      </c>
      <c r="J754" s="16">
        <f>IF(CurrentMtgRatesDataTable8[[#This Row],[WA CC]]&lt;&gt;0,C753-CurrentMtgRatesDataTable8[[#This Row],[WA CC]],0)</f>
        <v>0</v>
      </c>
      <c r="K754" s="16">
        <f>IF(CurrentMtgRatesDataTable8[[#This Row],[Servicing Spread]]&lt;=0,K753,CurrentMtgRatesDataTable8[[#This Row],[Servicing Spread]])</f>
        <v>0.92071906526186842</v>
      </c>
      <c r="L754" s="16">
        <f>CurrentMtgRatesDataTable8[[#This Row],[Servicing Spread Non-Zero]]-K753</f>
        <v>0</v>
      </c>
      <c r="M754" s="16">
        <f>IF(I753&lt;&gt;0,CurrentMtgRatesDataTable8[[#This Row],[Rate]]-C753,M753)</f>
        <v>-4.0000000000000036E-2</v>
      </c>
    </row>
    <row r="755" spans="1:13">
      <c r="A755" s="39" t="s">
        <v>801</v>
      </c>
      <c r="B755" s="40">
        <v>2.63391710374052</v>
      </c>
      <c r="C755" s="11">
        <v>3.56</v>
      </c>
      <c r="D755" s="16">
        <f t="shared" si="66"/>
        <v>5</v>
      </c>
      <c r="E755" s="16">
        <f t="shared" si="67"/>
        <v>0.2</v>
      </c>
      <c r="F755" s="16">
        <f t="shared" si="68"/>
        <v>3</v>
      </c>
      <c r="G755" s="16">
        <f t="shared" si="69"/>
        <v>1.575217638655388</v>
      </c>
      <c r="H755" s="16">
        <f t="shared" si="70"/>
        <v>0.60000000000000009</v>
      </c>
      <c r="I755" s="16">
        <f t="shared" si="71"/>
        <v>0</v>
      </c>
      <c r="J755" s="16">
        <f>IF(CurrentMtgRatesDataTable8[[#This Row],[WA CC]]&lt;&gt;0,C754-CurrentMtgRatesDataTable8[[#This Row],[WA CC]],0)</f>
        <v>0</v>
      </c>
      <c r="K755" s="16">
        <f>IF(CurrentMtgRatesDataTable8[[#This Row],[Servicing Spread]]&lt;=0,K754,CurrentMtgRatesDataTable8[[#This Row],[Servicing Spread]])</f>
        <v>0.92071906526186842</v>
      </c>
      <c r="L755" s="16">
        <f>CurrentMtgRatesDataTable8[[#This Row],[Servicing Spread Non-Zero]]-K754</f>
        <v>0</v>
      </c>
      <c r="M755" s="16">
        <f>IF(I754&lt;&gt;0,CurrentMtgRatesDataTable8[[#This Row],[Rate]]-C754,M754)</f>
        <v>-4.0000000000000036E-2</v>
      </c>
    </row>
    <row r="756" spans="1:13">
      <c r="A756" s="39" t="s">
        <v>802</v>
      </c>
      <c r="B756" s="40">
        <v>2.6287824588785198</v>
      </c>
      <c r="C756" s="11">
        <v>3.56</v>
      </c>
      <c r="D756" s="16">
        <f t="shared" si="66"/>
        <v>6</v>
      </c>
      <c r="E756" s="16">
        <f t="shared" si="67"/>
        <v>0.2</v>
      </c>
      <c r="F756" s="16">
        <f t="shared" si="68"/>
        <v>4</v>
      </c>
      <c r="G756" s="16">
        <f t="shared" si="69"/>
        <v>2.100974130431092</v>
      </c>
      <c r="H756" s="16">
        <f t="shared" si="70"/>
        <v>0.8</v>
      </c>
      <c r="I756" s="16">
        <f t="shared" si="71"/>
        <v>0</v>
      </c>
      <c r="J756" s="16">
        <f>IF(CurrentMtgRatesDataTable8[[#This Row],[WA CC]]&lt;&gt;0,C755-CurrentMtgRatesDataTable8[[#This Row],[WA CC]],0)</f>
        <v>0</v>
      </c>
      <c r="K756" s="16">
        <f>IF(CurrentMtgRatesDataTable8[[#This Row],[Servicing Spread]]&lt;=0,K755,CurrentMtgRatesDataTable8[[#This Row],[Servicing Spread]])</f>
        <v>0.92071906526186842</v>
      </c>
      <c r="L756" s="16">
        <f>CurrentMtgRatesDataTable8[[#This Row],[Servicing Spread Non-Zero]]-K755</f>
        <v>0</v>
      </c>
      <c r="M756" s="16">
        <f>IF(I755&lt;&gt;0,CurrentMtgRatesDataTable8[[#This Row],[Rate]]-C755,M755)</f>
        <v>-4.0000000000000036E-2</v>
      </c>
    </row>
    <row r="757" spans="1:13">
      <c r="A757" s="39" t="s">
        <v>803</v>
      </c>
      <c r="B757" s="40">
        <v>2.62032151165119</v>
      </c>
      <c r="C757" s="11">
        <v>3.56</v>
      </c>
      <c r="D757" s="16">
        <f t="shared" si="66"/>
        <v>7</v>
      </c>
      <c r="E757" s="16">
        <f t="shared" si="67"/>
        <v>0.2</v>
      </c>
      <c r="F757" s="16">
        <f t="shared" si="68"/>
        <v>5</v>
      </c>
      <c r="G757" s="16">
        <f t="shared" si="69"/>
        <v>2.6250384327613299</v>
      </c>
      <c r="H757" s="16">
        <f t="shared" si="70"/>
        <v>1</v>
      </c>
      <c r="I757" s="16">
        <f t="shared" si="71"/>
        <v>2.6250384327613299</v>
      </c>
      <c r="J757" s="16">
        <f>IF(CurrentMtgRatesDataTable8[[#This Row],[WA CC]]&lt;&gt;0,C756-CurrentMtgRatesDataTable8[[#This Row],[WA CC]],0)</f>
        <v>0.93496156723867019</v>
      </c>
      <c r="K757" s="16">
        <f>IF(CurrentMtgRatesDataTable8[[#This Row],[Servicing Spread]]&lt;=0,K756,CurrentMtgRatesDataTable8[[#This Row],[Servicing Spread]])</f>
        <v>0.93496156723867019</v>
      </c>
      <c r="L757" s="16">
        <f>CurrentMtgRatesDataTable8[[#This Row],[Servicing Spread Non-Zero]]-K756</f>
        <v>1.4242501976801769E-2</v>
      </c>
      <c r="M757" s="16">
        <f>IF(I756&lt;&gt;0,CurrentMtgRatesDataTable8[[#This Row],[Rate]]-C756,M756)</f>
        <v>-4.0000000000000036E-2</v>
      </c>
    </row>
    <row r="758" spans="1:13">
      <c r="A758" s="39" t="s">
        <v>804</v>
      </c>
      <c r="B758" s="40">
        <v>2.6476582784281</v>
      </c>
      <c r="C758" s="11">
        <v>3.5949999999999998</v>
      </c>
      <c r="D758" s="16">
        <f t="shared" si="66"/>
        <v>1</v>
      </c>
      <c r="E758" s="16">
        <f t="shared" si="67"/>
        <v>0.2</v>
      </c>
      <c r="F758" s="16">
        <f t="shared" si="68"/>
        <v>1</v>
      </c>
      <c r="G758" s="16">
        <f t="shared" si="69"/>
        <v>0.52953165568562</v>
      </c>
      <c r="H758" s="16">
        <f t="shared" si="70"/>
        <v>0.2</v>
      </c>
      <c r="I758" s="16">
        <f t="shared" si="71"/>
        <v>0</v>
      </c>
      <c r="J758" s="16">
        <f>IF(CurrentMtgRatesDataTable8[[#This Row],[WA CC]]&lt;&gt;0,C757-CurrentMtgRatesDataTable8[[#This Row],[WA CC]],0)</f>
        <v>0</v>
      </c>
      <c r="K758" s="16">
        <f>IF(CurrentMtgRatesDataTable8[[#This Row],[Servicing Spread]]&lt;=0,K757,CurrentMtgRatesDataTable8[[#This Row],[Servicing Spread]])</f>
        <v>0.93496156723867019</v>
      </c>
      <c r="L758" s="16">
        <f>CurrentMtgRatesDataTable8[[#This Row],[Servicing Spread Non-Zero]]-K757</f>
        <v>0</v>
      </c>
      <c r="M758" s="16">
        <f>IF(I757&lt;&gt;0,CurrentMtgRatesDataTable8[[#This Row],[Rate]]-C757,M757)</f>
        <v>3.4999999999999698E-2</v>
      </c>
    </row>
    <row r="759" spans="1:13">
      <c r="A759" s="39" t="s">
        <v>805</v>
      </c>
      <c r="B759" s="40">
        <v>2.6673945625319102</v>
      </c>
      <c r="C759" s="11">
        <v>3.5949999999999998</v>
      </c>
      <c r="D759" s="16">
        <f t="shared" si="66"/>
        <v>2</v>
      </c>
      <c r="E759" s="16">
        <f t="shared" si="67"/>
        <v>0.2</v>
      </c>
      <c r="F759" s="16">
        <f t="shared" si="68"/>
        <v>2</v>
      </c>
      <c r="G759" s="16">
        <f t="shared" si="69"/>
        <v>1.0630105681920021</v>
      </c>
      <c r="H759" s="16">
        <f t="shared" si="70"/>
        <v>0.4</v>
      </c>
      <c r="I759" s="16">
        <f t="shared" si="71"/>
        <v>0</v>
      </c>
      <c r="J759" s="16">
        <f>IF(CurrentMtgRatesDataTable8[[#This Row],[WA CC]]&lt;&gt;0,C758-CurrentMtgRatesDataTable8[[#This Row],[WA CC]],0)</f>
        <v>0</v>
      </c>
      <c r="K759" s="16">
        <f>IF(CurrentMtgRatesDataTable8[[#This Row],[Servicing Spread]]&lt;=0,K758,CurrentMtgRatesDataTable8[[#This Row],[Servicing Spread]])</f>
        <v>0.93496156723867019</v>
      </c>
      <c r="L759" s="16">
        <f>CurrentMtgRatesDataTable8[[#This Row],[Servicing Spread Non-Zero]]-K758</f>
        <v>0</v>
      </c>
      <c r="M759" s="16">
        <f>IF(I758&lt;&gt;0,CurrentMtgRatesDataTable8[[#This Row],[Rate]]-C758,M758)</f>
        <v>3.4999999999999698E-2</v>
      </c>
    </row>
    <row r="760" spans="1:13">
      <c r="A760" s="39" t="s">
        <v>806</v>
      </c>
      <c r="B760" s="40">
        <v>2.64134045041691</v>
      </c>
      <c r="C760" s="11">
        <v>3.5949999999999998</v>
      </c>
      <c r="D760" s="16">
        <f t="shared" si="66"/>
        <v>5</v>
      </c>
      <c r="E760" s="16">
        <f t="shared" si="67"/>
        <v>0.2</v>
      </c>
      <c r="F760" s="16">
        <f t="shared" si="68"/>
        <v>3</v>
      </c>
      <c r="G760" s="16">
        <f t="shared" si="69"/>
        <v>1.5912786582753842</v>
      </c>
      <c r="H760" s="16">
        <f t="shared" si="70"/>
        <v>0.60000000000000009</v>
      </c>
      <c r="I760" s="16">
        <f t="shared" si="71"/>
        <v>0</v>
      </c>
      <c r="J760" s="16">
        <f>IF(CurrentMtgRatesDataTable8[[#This Row],[WA CC]]&lt;&gt;0,C759-CurrentMtgRatesDataTable8[[#This Row],[WA CC]],0)</f>
        <v>0</v>
      </c>
      <c r="K760" s="16">
        <f>IF(CurrentMtgRatesDataTable8[[#This Row],[Servicing Spread]]&lt;=0,K759,CurrentMtgRatesDataTable8[[#This Row],[Servicing Spread]])</f>
        <v>0.93496156723867019</v>
      </c>
      <c r="L760" s="16">
        <f>CurrentMtgRatesDataTable8[[#This Row],[Servicing Spread Non-Zero]]-K759</f>
        <v>0</v>
      </c>
      <c r="M760" s="16">
        <f>IF(I759&lt;&gt;0,CurrentMtgRatesDataTable8[[#This Row],[Rate]]-C759,M759)</f>
        <v>3.4999999999999698E-2</v>
      </c>
    </row>
    <row r="761" spans="1:13">
      <c r="A761" s="39" t="s">
        <v>807</v>
      </c>
      <c r="B761" s="40">
        <v>2.5968587672613901</v>
      </c>
      <c r="C761" s="11">
        <v>3.5949999999999998</v>
      </c>
      <c r="D761" s="16">
        <f t="shared" si="66"/>
        <v>6</v>
      </c>
      <c r="E761" s="16">
        <f t="shared" si="67"/>
        <v>0.2</v>
      </c>
      <c r="F761" s="16">
        <f t="shared" si="68"/>
        <v>4</v>
      </c>
      <c r="G761" s="16">
        <f t="shared" si="69"/>
        <v>2.1106504117276623</v>
      </c>
      <c r="H761" s="16">
        <f t="shared" si="70"/>
        <v>0.8</v>
      </c>
      <c r="I761" s="16">
        <f t="shared" si="71"/>
        <v>0</v>
      </c>
      <c r="J761" s="16">
        <f>IF(CurrentMtgRatesDataTable8[[#This Row],[WA CC]]&lt;&gt;0,C760-CurrentMtgRatesDataTable8[[#This Row],[WA CC]],0)</f>
        <v>0</v>
      </c>
      <c r="K761" s="16">
        <f>IF(CurrentMtgRatesDataTable8[[#This Row],[Servicing Spread]]&lt;=0,K760,CurrentMtgRatesDataTable8[[#This Row],[Servicing Spread]])</f>
        <v>0.93496156723867019</v>
      </c>
      <c r="L761" s="16">
        <f>CurrentMtgRatesDataTable8[[#This Row],[Servicing Spread Non-Zero]]-K760</f>
        <v>0</v>
      </c>
      <c r="M761" s="16">
        <f>IF(I760&lt;&gt;0,CurrentMtgRatesDataTable8[[#This Row],[Rate]]-C760,M760)</f>
        <v>3.4999999999999698E-2</v>
      </c>
    </row>
    <row r="762" spans="1:13">
      <c r="A762" s="39" t="s">
        <v>808</v>
      </c>
      <c r="B762" s="40">
        <v>2.58469358456979</v>
      </c>
      <c r="C762" s="11">
        <v>3.5949999999999998</v>
      </c>
      <c r="D762" s="16">
        <f t="shared" si="66"/>
        <v>7</v>
      </c>
      <c r="E762" s="16">
        <f t="shared" si="67"/>
        <v>0.2</v>
      </c>
      <c r="F762" s="16">
        <f t="shared" si="68"/>
        <v>5</v>
      </c>
      <c r="G762" s="16">
        <f t="shared" si="69"/>
        <v>2.6275891286416204</v>
      </c>
      <c r="H762" s="16">
        <f t="shared" si="70"/>
        <v>1</v>
      </c>
      <c r="I762" s="16">
        <f t="shared" si="71"/>
        <v>2.6275891286416204</v>
      </c>
      <c r="J762" s="16">
        <f>IF(CurrentMtgRatesDataTable8[[#This Row],[WA CC]]&lt;&gt;0,C761-CurrentMtgRatesDataTable8[[#This Row],[WA CC]],0)</f>
        <v>0.96741087135837933</v>
      </c>
      <c r="K762" s="16">
        <f>IF(CurrentMtgRatesDataTable8[[#This Row],[Servicing Spread]]&lt;=0,K761,CurrentMtgRatesDataTable8[[#This Row],[Servicing Spread]])</f>
        <v>0.96741087135837933</v>
      </c>
      <c r="L762" s="16">
        <f>CurrentMtgRatesDataTable8[[#This Row],[Servicing Spread Non-Zero]]-K761</f>
        <v>3.2449304119709144E-2</v>
      </c>
      <c r="M762" s="16">
        <f>IF(I761&lt;&gt;0,CurrentMtgRatesDataTable8[[#This Row],[Rate]]-C761,M761)</f>
        <v>3.4999999999999698E-2</v>
      </c>
    </row>
    <row r="763" spans="1:13">
      <c r="A763" s="39" t="s">
        <v>809</v>
      </c>
      <c r="B763" s="40">
        <v>2.5759029417987498</v>
      </c>
      <c r="C763" s="11">
        <v>3.55</v>
      </c>
      <c r="D763" s="16">
        <f t="shared" si="66"/>
        <v>1</v>
      </c>
      <c r="E763" s="16">
        <f t="shared" si="67"/>
        <v>0.2</v>
      </c>
      <c r="F763" s="16">
        <f t="shared" si="68"/>
        <v>1</v>
      </c>
      <c r="G763" s="16">
        <f t="shared" si="69"/>
        <v>0.51518058835975</v>
      </c>
      <c r="H763" s="16">
        <f t="shared" si="70"/>
        <v>0.2</v>
      </c>
      <c r="I763" s="16">
        <f t="shared" si="71"/>
        <v>0</v>
      </c>
      <c r="J763" s="16">
        <f>IF(CurrentMtgRatesDataTable8[[#This Row],[WA CC]]&lt;&gt;0,C762-CurrentMtgRatesDataTable8[[#This Row],[WA CC]],0)</f>
        <v>0</v>
      </c>
      <c r="K763" s="16">
        <f>IF(CurrentMtgRatesDataTable8[[#This Row],[Servicing Spread]]&lt;=0,K762,CurrentMtgRatesDataTable8[[#This Row],[Servicing Spread]])</f>
        <v>0.96741087135837933</v>
      </c>
      <c r="L763" s="16">
        <f>CurrentMtgRatesDataTable8[[#This Row],[Servicing Spread Non-Zero]]-K762</f>
        <v>0</v>
      </c>
      <c r="M763" s="16">
        <f>IF(I762&lt;&gt;0,CurrentMtgRatesDataTable8[[#This Row],[Rate]]-C762,M762)</f>
        <v>-4.4999999999999929E-2</v>
      </c>
    </row>
    <row r="764" spans="1:13">
      <c r="A764" s="39" t="s">
        <v>810</v>
      </c>
      <c r="B764" s="40">
        <v>2.56712042045777</v>
      </c>
      <c r="C764" s="11">
        <v>3.55</v>
      </c>
      <c r="D764" s="16">
        <f t="shared" si="66"/>
        <v>2</v>
      </c>
      <c r="E764" s="16">
        <f t="shared" si="67"/>
        <v>0.2</v>
      </c>
      <c r="F764" s="16">
        <f t="shared" si="68"/>
        <v>2</v>
      </c>
      <c r="G764" s="16">
        <f t="shared" si="69"/>
        <v>1.028604672451304</v>
      </c>
      <c r="H764" s="16">
        <f t="shared" si="70"/>
        <v>0.4</v>
      </c>
      <c r="I764" s="16">
        <f t="shared" si="71"/>
        <v>0</v>
      </c>
      <c r="J764" s="16">
        <f>IF(CurrentMtgRatesDataTable8[[#This Row],[WA CC]]&lt;&gt;0,C763-CurrentMtgRatesDataTable8[[#This Row],[WA CC]],0)</f>
        <v>0</v>
      </c>
      <c r="K764" s="16">
        <f>IF(CurrentMtgRatesDataTable8[[#This Row],[Servicing Spread]]&lt;=0,K763,CurrentMtgRatesDataTable8[[#This Row],[Servicing Spread]])</f>
        <v>0.96741087135837933</v>
      </c>
      <c r="L764" s="16">
        <f>CurrentMtgRatesDataTable8[[#This Row],[Servicing Spread Non-Zero]]-K763</f>
        <v>0</v>
      </c>
      <c r="M764" s="16">
        <f>IF(I763&lt;&gt;0,CurrentMtgRatesDataTable8[[#This Row],[Rate]]-C763,M763)</f>
        <v>-4.4999999999999929E-2</v>
      </c>
    </row>
    <row r="765" spans="1:13">
      <c r="A765" s="39" t="s">
        <v>811</v>
      </c>
      <c r="B765" s="40">
        <v>2.59858921707026</v>
      </c>
      <c r="C765" s="11">
        <v>3.55</v>
      </c>
      <c r="D765" s="16">
        <f t="shared" si="66"/>
        <v>5</v>
      </c>
      <c r="E765" s="16">
        <f t="shared" si="67"/>
        <v>0.2</v>
      </c>
      <c r="F765" s="16">
        <f t="shared" si="68"/>
        <v>3</v>
      </c>
      <c r="G765" s="16">
        <f t="shared" si="69"/>
        <v>1.548322515865356</v>
      </c>
      <c r="H765" s="16">
        <f t="shared" si="70"/>
        <v>0.60000000000000009</v>
      </c>
      <c r="I765" s="16">
        <f t="shared" si="71"/>
        <v>0</v>
      </c>
      <c r="J765" s="16">
        <f>IF(CurrentMtgRatesDataTable8[[#This Row],[WA CC]]&lt;&gt;0,C764-CurrentMtgRatesDataTable8[[#This Row],[WA CC]],0)</f>
        <v>0</v>
      </c>
      <c r="K765" s="16">
        <f>IF(CurrentMtgRatesDataTable8[[#This Row],[Servicing Spread]]&lt;=0,K764,CurrentMtgRatesDataTable8[[#This Row],[Servicing Spread]])</f>
        <v>0.96741087135837933</v>
      </c>
      <c r="L765" s="16">
        <f>CurrentMtgRatesDataTable8[[#This Row],[Servicing Spread Non-Zero]]-K764</f>
        <v>0</v>
      </c>
      <c r="M765" s="16">
        <f>IF(I764&lt;&gt;0,CurrentMtgRatesDataTable8[[#This Row],[Rate]]-C764,M764)</f>
        <v>-4.4999999999999929E-2</v>
      </c>
    </row>
    <row r="766" spans="1:13">
      <c r="A766" s="39" t="s">
        <v>812</v>
      </c>
      <c r="B766" s="40">
        <v>2.62252108008507</v>
      </c>
      <c r="C766" s="11">
        <v>3.55</v>
      </c>
      <c r="D766" s="16">
        <f t="shared" si="66"/>
        <v>6</v>
      </c>
      <c r="E766" s="16">
        <f t="shared" si="67"/>
        <v>0.2</v>
      </c>
      <c r="F766" s="16">
        <f t="shared" si="68"/>
        <v>4</v>
      </c>
      <c r="G766" s="16">
        <f t="shared" si="69"/>
        <v>2.0728267318823699</v>
      </c>
      <c r="H766" s="16">
        <f t="shared" si="70"/>
        <v>0.8</v>
      </c>
      <c r="I766" s="16">
        <f t="shared" si="71"/>
        <v>0</v>
      </c>
      <c r="J766" s="16">
        <f>IF(CurrentMtgRatesDataTable8[[#This Row],[WA CC]]&lt;&gt;0,C765-CurrentMtgRatesDataTable8[[#This Row],[WA CC]],0)</f>
        <v>0</v>
      </c>
      <c r="K766" s="16">
        <f>IF(CurrentMtgRatesDataTable8[[#This Row],[Servicing Spread]]&lt;=0,K765,CurrentMtgRatesDataTable8[[#This Row],[Servicing Spread]])</f>
        <v>0.96741087135837933</v>
      </c>
      <c r="L766" s="16">
        <f>CurrentMtgRatesDataTable8[[#This Row],[Servicing Spread Non-Zero]]-K765</f>
        <v>0</v>
      </c>
      <c r="M766" s="16">
        <f>IF(I765&lt;&gt;0,CurrentMtgRatesDataTable8[[#This Row],[Rate]]-C765,M765)</f>
        <v>-4.4999999999999929E-2</v>
      </c>
    </row>
    <row r="767" spans="1:13">
      <c r="A767" s="39" t="s">
        <v>813</v>
      </c>
      <c r="B767" s="40">
        <v>2.6753264137467299</v>
      </c>
      <c r="C767" s="11">
        <v>3.55</v>
      </c>
      <c r="D767" s="16">
        <f t="shared" si="66"/>
        <v>7</v>
      </c>
      <c r="E767" s="16">
        <f t="shared" si="67"/>
        <v>0.2</v>
      </c>
      <c r="F767" s="16">
        <f t="shared" si="68"/>
        <v>5</v>
      </c>
      <c r="G767" s="16">
        <f t="shared" si="69"/>
        <v>2.6078920146317159</v>
      </c>
      <c r="H767" s="16">
        <f t="shared" si="70"/>
        <v>1</v>
      </c>
      <c r="I767" s="16">
        <f t="shared" si="71"/>
        <v>2.6078920146317159</v>
      </c>
      <c r="J767" s="16">
        <f>IF(CurrentMtgRatesDataTable8[[#This Row],[WA CC]]&lt;&gt;0,C766-CurrentMtgRatesDataTable8[[#This Row],[WA CC]],0)</f>
        <v>0.94210798536828388</v>
      </c>
      <c r="K767" s="16">
        <f>IF(CurrentMtgRatesDataTable8[[#This Row],[Servicing Spread]]&lt;=0,K766,CurrentMtgRatesDataTable8[[#This Row],[Servicing Spread]])</f>
        <v>0.94210798536828388</v>
      </c>
      <c r="L767" s="16">
        <f>CurrentMtgRatesDataTable8[[#This Row],[Servicing Spread Non-Zero]]-K766</f>
        <v>-2.5302885990095447E-2</v>
      </c>
      <c r="M767" s="16">
        <f>IF(I766&lt;&gt;0,CurrentMtgRatesDataTable8[[#This Row],[Rate]]-C766,M766)</f>
        <v>-4.4999999999999929E-2</v>
      </c>
    </row>
    <row r="768" spans="1:13">
      <c r="A768" s="39" t="s">
        <v>814</v>
      </c>
      <c r="B768" s="40">
        <v>2.6562875815293401</v>
      </c>
      <c r="C768" s="11">
        <v>3.58</v>
      </c>
      <c r="D768" s="16">
        <f t="shared" si="66"/>
        <v>1</v>
      </c>
      <c r="E768" s="16">
        <f t="shared" si="67"/>
        <v>0.2</v>
      </c>
      <c r="F768" s="16">
        <f t="shared" si="68"/>
        <v>1</v>
      </c>
      <c r="G768" s="16">
        <f t="shared" si="69"/>
        <v>0.53125751630586804</v>
      </c>
      <c r="H768" s="16">
        <f t="shared" si="70"/>
        <v>0.2</v>
      </c>
      <c r="I768" s="16">
        <f t="shared" si="71"/>
        <v>0</v>
      </c>
      <c r="J768" s="16">
        <f>IF(CurrentMtgRatesDataTable8[[#This Row],[WA CC]]&lt;&gt;0,C767-CurrentMtgRatesDataTable8[[#This Row],[WA CC]],0)</f>
        <v>0</v>
      </c>
      <c r="K768" s="16">
        <f>IF(CurrentMtgRatesDataTable8[[#This Row],[Servicing Spread]]&lt;=0,K767,CurrentMtgRatesDataTable8[[#This Row],[Servicing Spread]])</f>
        <v>0.94210798536828388</v>
      </c>
      <c r="L768" s="16">
        <f>CurrentMtgRatesDataTable8[[#This Row],[Servicing Spread Non-Zero]]-K767</f>
        <v>0</v>
      </c>
      <c r="M768" s="16">
        <f>IF(I767&lt;&gt;0,CurrentMtgRatesDataTable8[[#This Row],[Rate]]-C767,M767)</f>
        <v>3.0000000000000249E-2</v>
      </c>
    </row>
    <row r="769" spans="1:13">
      <c r="A769" s="39" t="s">
        <v>815</v>
      </c>
      <c r="B769" s="40">
        <v>2.62955921776924</v>
      </c>
      <c r="C769" s="11">
        <v>3.58</v>
      </c>
      <c r="D769" s="16">
        <f t="shared" si="66"/>
        <v>2</v>
      </c>
      <c r="E769" s="16">
        <f t="shared" si="67"/>
        <v>0.2</v>
      </c>
      <c r="F769" s="16">
        <f t="shared" si="68"/>
        <v>2</v>
      </c>
      <c r="G769" s="16">
        <f t="shared" si="69"/>
        <v>1.0571693598597161</v>
      </c>
      <c r="H769" s="16">
        <f t="shared" si="70"/>
        <v>0.4</v>
      </c>
      <c r="I769" s="16">
        <f t="shared" si="71"/>
        <v>0</v>
      </c>
      <c r="J769" s="16">
        <f>IF(CurrentMtgRatesDataTable8[[#This Row],[WA CC]]&lt;&gt;0,C768-CurrentMtgRatesDataTable8[[#This Row],[WA CC]],0)</f>
        <v>0</v>
      </c>
      <c r="K769" s="16">
        <f>IF(CurrentMtgRatesDataTable8[[#This Row],[Servicing Spread]]&lt;=0,K768,CurrentMtgRatesDataTable8[[#This Row],[Servicing Spread]])</f>
        <v>0.94210798536828388</v>
      </c>
      <c r="L769" s="16">
        <f>CurrentMtgRatesDataTable8[[#This Row],[Servicing Spread Non-Zero]]-K768</f>
        <v>0</v>
      </c>
      <c r="M769" s="16">
        <f>IF(I768&lt;&gt;0,CurrentMtgRatesDataTable8[[#This Row],[Rate]]-C768,M768)</f>
        <v>3.0000000000000249E-2</v>
      </c>
    </row>
    <row r="770" spans="1:13">
      <c r="A770" s="39" t="s">
        <v>816</v>
      </c>
      <c r="B770" s="40">
        <v>2.6437338504186898</v>
      </c>
      <c r="C770" s="11">
        <v>3.58</v>
      </c>
      <c r="D770" s="16">
        <f t="shared" si="66"/>
        <v>5</v>
      </c>
      <c r="E770" s="16">
        <f t="shared" si="67"/>
        <v>0.2</v>
      </c>
      <c r="F770" s="16">
        <f t="shared" si="68"/>
        <v>3</v>
      </c>
      <c r="G770" s="16">
        <f t="shared" si="69"/>
        <v>1.5859161299434539</v>
      </c>
      <c r="H770" s="16">
        <f t="shared" si="70"/>
        <v>0.60000000000000009</v>
      </c>
      <c r="I770" s="16">
        <f t="shared" si="71"/>
        <v>0</v>
      </c>
      <c r="J770" s="16">
        <f>IF(CurrentMtgRatesDataTable8[[#This Row],[WA CC]]&lt;&gt;0,C769-CurrentMtgRatesDataTable8[[#This Row],[WA CC]],0)</f>
        <v>0</v>
      </c>
      <c r="K770" s="16">
        <f>IF(CurrentMtgRatesDataTable8[[#This Row],[Servicing Spread]]&lt;=0,K769,CurrentMtgRatesDataTable8[[#This Row],[Servicing Spread]])</f>
        <v>0.94210798536828388</v>
      </c>
      <c r="L770" s="16">
        <f>CurrentMtgRatesDataTable8[[#This Row],[Servicing Spread Non-Zero]]-K769</f>
        <v>0</v>
      </c>
      <c r="M770" s="16">
        <f>IF(I769&lt;&gt;0,CurrentMtgRatesDataTable8[[#This Row],[Rate]]-C769,M769)</f>
        <v>3.0000000000000249E-2</v>
      </c>
    </row>
    <row r="771" spans="1:13">
      <c r="A771" s="39" t="s">
        <v>817</v>
      </c>
      <c r="B771" s="40">
        <v>2.6991414546305501</v>
      </c>
      <c r="C771" s="11">
        <v>3.58</v>
      </c>
      <c r="D771" s="16">
        <f t="shared" si="66"/>
        <v>6</v>
      </c>
      <c r="E771" s="16">
        <f t="shared" si="67"/>
        <v>0.2</v>
      </c>
      <c r="F771" s="16">
        <f t="shared" si="68"/>
        <v>4</v>
      </c>
      <c r="G771" s="16">
        <f t="shared" si="69"/>
        <v>2.1257444208695642</v>
      </c>
      <c r="H771" s="16">
        <f t="shared" si="70"/>
        <v>0.8</v>
      </c>
      <c r="I771" s="16">
        <f t="shared" si="71"/>
        <v>0</v>
      </c>
      <c r="J771" s="16">
        <f>IF(CurrentMtgRatesDataTable8[[#This Row],[WA CC]]&lt;&gt;0,C770-CurrentMtgRatesDataTable8[[#This Row],[WA CC]],0)</f>
        <v>0</v>
      </c>
      <c r="K771" s="16">
        <f>IF(CurrentMtgRatesDataTable8[[#This Row],[Servicing Spread]]&lt;=0,K770,CurrentMtgRatesDataTable8[[#This Row],[Servicing Spread]])</f>
        <v>0.94210798536828388</v>
      </c>
      <c r="L771" s="16">
        <f>CurrentMtgRatesDataTable8[[#This Row],[Servicing Spread Non-Zero]]-K770</f>
        <v>0</v>
      </c>
      <c r="M771" s="16">
        <f>IF(I770&lt;&gt;0,CurrentMtgRatesDataTable8[[#This Row],[Rate]]-C770,M770)</f>
        <v>3.0000000000000249E-2</v>
      </c>
    </row>
    <row r="772" spans="1:13">
      <c r="A772" s="39" t="s">
        <v>818</v>
      </c>
      <c r="B772" s="40">
        <v>2.7467458715573199</v>
      </c>
      <c r="C772" s="11">
        <v>3.58</v>
      </c>
      <c r="D772" s="16">
        <f t="shared" si="66"/>
        <v>7</v>
      </c>
      <c r="E772" s="16">
        <f t="shared" si="67"/>
        <v>0.2</v>
      </c>
      <c r="F772" s="16">
        <f t="shared" si="68"/>
        <v>5</v>
      </c>
      <c r="G772" s="16">
        <f t="shared" si="69"/>
        <v>2.6750935951810284</v>
      </c>
      <c r="H772" s="16">
        <f t="shared" si="70"/>
        <v>1</v>
      </c>
      <c r="I772" s="16">
        <f t="shared" si="71"/>
        <v>2.6750935951810284</v>
      </c>
      <c r="J772" s="16">
        <f>IF(CurrentMtgRatesDataTable8[[#This Row],[WA CC]]&lt;&gt;0,C771-CurrentMtgRatesDataTable8[[#This Row],[WA CC]],0)</f>
        <v>0.90490640481897167</v>
      </c>
      <c r="K772" s="16">
        <f>IF(CurrentMtgRatesDataTable8[[#This Row],[Servicing Spread]]&lt;=0,K771,CurrentMtgRatesDataTable8[[#This Row],[Servicing Spread]])</f>
        <v>0.90490640481897167</v>
      </c>
      <c r="L772" s="16">
        <f>CurrentMtgRatesDataTable8[[#This Row],[Servicing Spread Non-Zero]]-K771</f>
        <v>-3.7201580549312219E-2</v>
      </c>
      <c r="M772" s="16">
        <f>IF(I771&lt;&gt;0,CurrentMtgRatesDataTable8[[#This Row],[Rate]]-C771,M771)</f>
        <v>3.0000000000000249E-2</v>
      </c>
    </row>
    <row r="773" spans="1:13">
      <c r="A773" s="43" t="s">
        <v>819</v>
      </c>
      <c r="B773" s="44">
        <v>2.7480147229669498</v>
      </c>
      <c r="C773" s="45">
        <v>3.6999999999999997</v>
      </c>
      <c r="D773" s="46">
        <f t="shared" ref="D773:D816" si="72">WEEKDAY(A773,14)</f>
        <v>1</v>
      </c>
      <c r="E773" s="46">
        <f t="shared" ref="E773:E836" si="73">VLOOKUP(D773,P$5:Q$11,2,FALSE)</f>
        <v>0.2</v>
      </c>
      <c r="F773" s="46">
        <f t="shared" ref="F773:F816" si="74">IF(AND(D773&gt;D772,F772&lt;6),F772+1,1)</f>
        <v>1</v>
      </c>
      <c r="G773" s="46">
        <f t="shared" ref="G773:G836" si="75">IF(F773&gt;F772,G772+B773*E773,B773*E773)</f>
        <v>0.54960294459338999</v>
      </c>
      <c r="H773" s="46">
        <f t="shared" ref="H773:H816" si="76">IF(AND(F773&lt;6,F773&gt;F772),E773+H772,E773)</f>
        <v>0.2</v>
      </c>
      <c r="I773" s="46">
        <f t="shared" ref="I773:I836" si="77">IF(F773&gt;F774,G773/H773,0)</f>
        <v>0</v>
      </c>
      <c r="J773" s="46">
        <f>IF(CurrentMtgRatesDataTable8[[#This Row],[WA CC]]&lt;&gt;0,C772-CurrentMtgRatesDataTable8[[#This Row],[WA CC]],0)</f>
        <v>0</v>
      </c>
      <c r="K773" s="46">
        <f>IF(CurrentMtgRatesDataTable8[[#This Row],[Servicing Spread]]&lt;=0,K772,CurrentMtgRatesDataTable8[[#This Row],[Servicing Spread]])</f>
        <v>0.90490640481897167</v>
      </c>
      <c r="L773" s="46">
        <f>CurrentMtgRatesDataTable8[[#This Row],[Servicing Spread Non-Zero]]-K772</f>
        <v>0</v>
      </c>
      <c r="M773" s="46">
        <f>IF(I772&lt;&gt;0,CurrentMtgRatesDataTable8[[#This Row],[Rate]]-C772,M772)</f>
        <v>0.11999999999999966</v>
      </c>
    </row>
    <row r="774" spans="1:13">
      <c r="A774" s="43" t="s">
        <v>820</v>
      </c>
      <c r="B774" s="44">
        <v>2.8064099070641602</v>
      </c>
      <c r="C774" s="45">
        <v>3.6999999999999997</v>
      </c>
      <c r="D774" s="46">
        <f t="shared" si="72"/>
        <v>2</v>
      </c>
      <c r="E774" s="46">
        <f t="shared" si="73"/>
        <v>0.2</v>
      </c>
      <c r="F774" s="46">
        <f t="shared" si="74"/>
        <v>2</v>
      </c>
      <c r="G774" s="46">
        <f t="shared" si="75"/>
        <v>1.1108849260062219</v>
      </c>
      <c r="H774" s="46">
        <f t="shared" si="76"/>
        <v>0.4</v>
      </c>
      <c r="I774" s="46">
        <f t="shared" si="77"/>
        <v>0</v>
      </c>
      <c r="J774" s="46">
        <f>IF(CurrentMtgRatesDataTable8[[#This Row],[WA CC]]&lt;&gt;0,C773-CurrentMtgRatesDataTable8[[#This Row],[WA CC]],0)</f>
        <v>0</v>
      </c>
      <c r="K774" s="46">
        <f>IF(CurrentMtgRatesDataTable8[[#This Row],[Servicing Spread]]&lt;=0,K773,CurrentMtgRatesDataTable8[[#This Row],[Servicing Spread]])</f>
        <v>0.90490640481897167</v>
      </c>
      <c r="L774" s="46">
        <f>CurrentMtgRatesDataTable8[[#This Row],[Servicing Spread Non-Zero]]-K773</f>
        <v>0</v>
      </c>
      <c r="M774" s="46">
        <f>IF(I773&lt;&gt;0,CurrentMtgRatesDataTable8[[#This Row],[Rate]]-C773,M773)</f>
        <v>0.11999999999999966</v>
      </c>
    </row>
    <row r="775" spans="1:13">
      <c r="A775" s="43" t="s">
        <v>821</v>
      </c>
      <c r="B775" s="44">
        <v>2.8416760056146502</v>
      </c>
      <c r="C775" s="45">
        <v>3.6999999999999997</v>
      </c>
      <c r="D775" s="46">
        <f t="shared" si="72"/>
        <v>5</v>
      </c>
      <c r="E775" s="46">
        <f t="shared" si="73"/>
        <v>0.2</v>
      </c>
      <c r="F775" s="46">
        <f t="shared" si="74"/>
        <v>3</v>
      </c>
      <c r="G775" s="46">
        <f t="shared" si="75"/>
        <v>1.679220127129152</v>
      </c>
      <c r="H775" s="46">
        <f t="shared" si="76"/>
        <v>0.60000000000000009</v>
      </c>
      <c r="I775" s="46">
        <f t="shared" si="77"/>
        <v>0</v>
      </c>
      <c r="J775" s="46">
        <f>IF(CurrentMtgRatesDataTable8[[#This Row],[WA CC]]&lt;&gt;0,C774-CurrentMtgRatesDataTable8[[#This Row],[WA CC]],0)</f>
        <v>0</v>
      </c>
      <c r="K775" s="46">
        <f>IF(CurrentMtgRatesDataTable8[[#This Row],[Servicing Spread]]&lt;=0,K774,CurrentMtgRatesDataTable8[[#This Row],[Servicing Spread]])</f>
        <v>0.90490640481897167</v>
      </c>
      <c r="L775" s="46">
        <f>CurrentMtgRatesDataTable8[[#This Row],[Servicing Spread Non-Zero]]-K774</f>
        <v>0</v>
      </c>
      <c r="M775" s="46">
        <f>IF(I774&lt;&gt;0,CurrentMtgRatesDataTable8[[#This Row],[Rate]]-C774,M774)</f>
        <v>0.11999999999999966</v>
      </c>
    </row>
    <row r="776" spans="1:13">
      <c r="A776" s="43" t="s">
        <v>822</v>
      </c>
      <c r="B776" s="44">
        <v>2.8756484754346898</v>
      </c>
      <c r="C776" s="45">
        <v>3.6999999999999997</v>
      </c>
      <c r="D776" s="46">
        <f t="shared" si="72"/>
        <v>6</v>
      </c>
      <c r="E776" s="46">
        <f t="shared" si="73"/>
        <v>0.2</v>
      </c>
      <c r="F776" s="46">
        <f t="shared" si="74"/>
        <v>4</v>
      </c>
      <c r="G776" s="46">
        <f t="shared" si="75"/>
        <v>2.2543498222160903</v>
      </c>
      <c r="H776" s="46">
        <f t="shared" si="76"/>
        <v>0.8</v>
      </c>
      <c r="I776" s="46">
        <f t="shared" si="77"/>
        <v>0</v>
      </c>
      <c r="J776" s="46">
        <f>IF(CurrentMtgRatesDataTable8[[#This Row],[WA CC]]&lt;&gt;0,C775-CurrentMtgRatesDataTable8[[#This Row],[WA CC]],0)</f>
        <v>0</v>
      </c>
      <c r="K776" s="46">
        <f>IF(CurrentMtgRatesDataTable8[[#This Row],[Servicing Spread]]&lt;=0,K775,CurrentMtgRatesDataTable8[[#This Row],[Servicing Spread]])</f>
        <v>0.90490640481897167</v>
      </c>
      <c r="L776" s="46">
        <f>CurrentMtgRatesDataTable8[[#This Row],[Servicing Spread Non-Zero]]-K775</f>
        <v>0</v>
      </c>
      <c r="M776" s="46">
        <f>IF(I775&lt;&gt;0,CurrentMtgRatesDataTable8[[#This Row],[Rate]]-C775,M775)</f>
        <v>0.11999999999999966</v>
      </c>
    </row>
    <row r="777" spans="1:13">
      <c r="A777" s="43" t="s">
        <v>823</v>
      </c>
      <c r="B777" s="44">
        <v>2.91930519695658</v>
      </c>
      <c r="C777" s="45">
        <v>3.6999999999999997</v>
      </c>
      <c r="D777" s="46">
        <f t="shared" si="72"/>
        <v>7</v>
      </c>
      <c r="E777" s="46">
        <f t="shared" si="73"/>
        <v>0.2</v>
      </c>
      <c r="F777" s="46">
        <f t="shared" si="74"/>
        <v>5</v>
      </c>
      <c r="G777" s="46">
        <f t="shared" si="75"/>
        <v>2.8382108616074064</v>
      </c>
      <c r="H777" s="46">
        <f t="shared" si="76"/>
        <v>1</v>
      </c>
      <c r="I777" s="46">
        <f t="shared" si="77"/>
        <v>2.8382108616074064</v>
      </c>
      <c r="J777" s="46">
        <f>IF(CurrentMtgRatesDataTable8[[#This Row],[WA CC]]&lt;&gt;0,C776-CurrentMtgRatesDataTable8[[#This Row],[WA CC]],0)</f>
        <v>0.8617891383925933</v>
      </c>
      <c r="K777" s="46">
        <f>IF(CurrentMtgRatesDataTable8[[#This Row],[Servicing Spread]]&lt;=0,K776,CurrentMtgRatesDataTable8[[#This Row],[Servicing Spread]])</f>
        <v>0.8617891383925933</v>
      </c>
      <c r="L777" s="46">
        <f>CurrentMtgRatesDataTable8[[#This Row],[Servicing Spread Non-Zero]]-K776</f>
        <v>-4.3117266426378364E-2</v>
      </c>
      <c r="M777" s="46">
        <f>IF(I776&lt;&gt;0,CurrentMtgRatesDataTable8[[#This Row],[Rate]]-C776,M776)</f>
        <v>0.11999999999999966</v>
      </c>
    </row>
    <row r="778" spans="1:13">
      <c r="A778" s="43" t="s">
        <v>824</v>
      </c>
      <c r="B778" s="44">
        <v>2.86177796804412</v>
      </c>
      <c r="C778" s="45">
        <v>3.75</v>
      </c>
      <c r="D778" s="46">
        <f t="shared" si="72"/>
        <v>1</v>
      </c>
      <c r="E778" s="46">
        <f t="shared" si="73"/>
        <v>0.2</v>
      </c>
      <c r="F778" s="46">
        <f t="shared" si="74"/>
        <v>1</v>
      </c>
      <c r="G778" s="46">
        <f t="shared" si="75"/>
        <v>0.57235559360882404</v>
      </c>
      <c r="H778" s="46">
        <f t="shared" si="76"/>
        <v>0.2</v>
      </c>
      <c r="I778" s="46">
        <f t="shared" si="77"/>
        <v>0</v>
      </c>
      <c r="J778" s="46">
        <f>IF(CurrentMtgRatesDataTable8[[#This Row],[WA CC]]&lt;&gt;0,C777-CurrentMtgRatesDataTable8[[#This Row],[WA CC]],0)</f>
        <v>0</v>
      </c>
      <c r="K778" s="46">
        <f>IF(CurrentMtgRatesDataTable8[[#This Row],[Servicing Spread]]&lt;=0,K777,CurrentMtgRatesDataTable8[[#This Row],[Servicing Spread]])</f>
        <v>0.8617891383925933</v>
      </c>
      <c r="L778" s="46">
        <f>CurrentMtgRatesDataTable8[[#This Row],[Servicing Spread Non-Zero]]-K777</f>
        <v>0</v>
      </c>
      <c r="M778" s="46">
        <f>IF(I777&lt;&gt;0,CurrentMtgRatesDataTable8[[#This Row],[Rate]]-C777,M777)</f>
        <v>5.0000000000000266E-2</v>
      </c>
    </row>
    <row r="779" spans="1:13">
      <c r="A779" s="43" t="s">
        <v>825</v>
      </c>
      <c r="B779" s="44">
        <v>2.8101076932532698</v>
      </c>
      <c r="C779" s="45">
        <v>3.75</v>
      </c>
      <c r="D779" s="46">
        <f t="shared" si="72"/>
        <v>2</v>
      </c>
      <c r="E779" s="46">
        <f t="shared" si="73"/>
        <v>0.2</v>
      </c>
      <c r="F779" s="46">
        <f t="shared" si="74"/>
        <v>2</v>
      </c>
      <c r="G779" s="46">
        <f t="shared" si="75"/>
        <v>1.134377132259478</v>
      </c>
      <c r="H779" s="46">
        <f t="shared" si="76"/>
        <v>0.4</v>
      </c>
      <c r="I779" s="46">
        <f t="shared" si="77"/>
        <v>0</v>
      </c>
      <c r="J779" s="46">
        <f>IF(CurrentMtgRatesDataTable8[[#This Row],[WA CC]]&lt;&gt;0,C778-CurrentMtgRatesDataTable8[[#This Row],[WA CC]],0)</f>
        <v>0</v>
      </c>
      <c r="K779" s="46">
        <f>IF(CurrentMtgRatesDataTable8[[#This Row],[Servicing Spread]]&lt;=0,K778,CurrentMtgRatesDataTable8[[#This Row],[Servicing Spread]])</f>
        <v>0.8617891383925933</v>
      </c>
      <c r="L779" s="46">
        <f>CurrentMtgRatesDataTable8[[#This Row],[Servicing Spread Non-Zero]]-K778</f>
        <v>0</v>
      </c>
      <c r="M779" s="46">
        <f>IF(I778&lt;&gt;0,CurrentMtgRatesDataTable8[[#This Row],[Rate]]-C778,M778)</f>
        <v>5.0000000000000266E-2</v>
      </c>
    </row>
    <row r="780" spans="1:13">
      <c r="A780" s="43" t="s">
        <v>826</v>
      </c>
      <c r="B780" s="44">
        <v>2.9199815904284798</v>
      </c>
      <c r="C780" s="45">
        <v>3.75</v>
      </c>
      <c r="D780" s="46">
        <f t="shared" si="72"/>
        <v>5</v>
      </c>
      <c r="E780" s="46">
        <f t="shared" si="73"/>
        <v>0.2</v>
      </c>
      <c r="F780" s="46">
        <f t="shared" si="74"/>
        <v>3</v>
      </c>
      <c r="G780" s="46">
        <f t="shared" si="75"/>
        <v>1.718373450345174</v>
      </c>
      <c r="H780" s="46">
        <f t="shared" si="76"/>
        <v>0.60000000000000009</v>
      </c>
      <c r="I780" s="46">
        <f t="shared" si="77"/>
        <v>0</v>
      </c>
      <c r="J780" s="46">
        <f>IF(CurrentMtgRatesDataTable8[[#This Row],[WA CC]]&lt;&gt;0,C779-CurrentMtgRatesDataTable8[[#This Row],[WA CC]],0)</f>
        <v>0</v>
      </c>
      <c r="K780" s="46">
        <f>IF(CurrentMtgRatesDataTable8[[#This Row],[Servicing Spread]]&lt;=0,K779,CurrentMtgRatesDataTable8[[#This Row],[Servicing Spread]])</f>
        <v>0.8617891383925933</v>
      </c>
      <c r="L780" s="46">
        <f>CurrentMtgRatesDataTable8[[#This Row],[Servicing Spread Non-Zero]]-K779</f>
        <v>0</v>
      </c>
      <c r="M780" s="46">
        <f>IF(I779&lt;&gt;0,CurrentMtgRatesDataTable8[[#This Row],[Rate]]-C779,M779)</f>
        <v>5.0000000000000266E-2</v>
      </c>
    </row>
    <row r="781" spans="1:13">
      <c r="A781" s="43" t="s">
        <v>827</v>
      </c>
      <c r="B781" s="44">
        <v>2.9362897451124002</v>
      </c>
      <c r="C781" s="45">
        <v>3.75</v>
      </c>
      <c r="D781" s="46">
        <f t="shared" si="72"/>
        <v>6</v>
      </c>
      <c r="E781" s="46">
        <f t="shared" si="73"/>
        <v>0.2</v>
      </c>
      <c r="F781" s="46">
        <f t="shared" si="74"/>
        <v>4</v>
      </c>
      <c r="G781" s="46">
        <f t="shared" si="75"/>
        <v>2.305631399367654</v>
      </c>
      <c r="H781" s="46">
        <f t="shared" si="76"/>
        <v>0.8</v>
      </c>
      <c r="I781" s="46">
        <f t="shared" si="77"/>
        <v>0</v>
      </c>
      <c r="J781" s="46">
        <f>IF(CurrentMtgRatesDataTable8[[#This Row],[WA CC]]&lt;&gt;0,C780-CurrentMtgRatesDataTable8[[#This Row],[WA CC]],0)</f>
        <v>0</v>
      </c>
      <c r="K781" s="46">
        <f>IF(CurrentMtgRatesDataTable8[[#This Row],[Servicing Spread]]&lt;=0,K780,CurrentMtgRatesDataTable8[[#This Row],[Servicing Spread]])</f>
        <v>0.8617891383925933</v>
      </c>
      <c r="L781" s="46">
        <f>CurrentMtgRatesDataTable8[[#This Row],[Servicing Spread Non-Zero]]-K780</f>
        <v>0</v>
      </c>
      <c r="M781" s="46">
        <f>IF(I780&lt;&gt;0,CurrentMtgRatesDataTable8[[#This Row],[Rate]]-C780,M780)</f>
        <v>5.0000000000000266E-2</v>
      </c>
    </row>
    <row r="782" spans="1:13">
      <c r="A782" s="43" t="s">
        <v>828</v>
      </c>
      <c r="B782" s="44">
        <v>2.9586092652733198</v>
      </c>
      <c r="C782" s="45">
        <v>3.75</v>
      </c>
      <c r="D782" s="46">
        <f t="shared" si="72"/>
        <v>7</v>
      </c>
      <c r="E782" s="46">
        <f t="shared" si="73"/>
        <v>0.2</v>
      </c>
      <c r="F782" s="46">
        <f t="shared" si="74"/>
        <v>5</v>
      </c>
      <c r="G782" s="46">
        <f t="shared" si="75"/>
        <v>2.897353252422318</v>
      </c>
      <c r="H782" s="46">
        <f t="shared" si="76"/>
        <v>1</v>
      </c>
      <c r="I782" s="46">
        <f t="shared" si="77"/>
        <v>2.897353252422318</v>
      </c>
      <c r="J782" s="46">
        <f>IF(CurrentMtgRatesDataTable8[[#This Row],[WA CC]]&lt;&gt;0,C781-CurrentMtgRatesDataTable8[[#This Row],[WA CC]],0)</f>
        <v>0.852646747577682</v>
      </c>
      <c r="K782" s="46">
        <f>IF(CurrentMtgRatesDataTable8[[#This Row],[Servicing Spread]]&lt;=0,K781,CurrentMtgRatesDataTable8[[#This Row],[Servicing Spread]])</f>
        <v>0.852646747577682</v>
      </c>
      <c r="L782" s="46">
        <f>CurrentMtgRatesDataTable8[[#This Row],[Servicing Spread Non-Zero]]-K781</f>
        <v>-9.1423908149113053E-3</v>
      </c>
      <c r="M782" s="46">
        <f>IF(I781&lt;&gt;0,CurrentMtgRatesDataTable8[[#This Row],[Rate]]-C781,M781)</f>
        <v>5.0000000000000266E-2</v>
      </c>
    </row>
    <row r="783" spans="1:13">
      <c r="A783" s="43" t="s">
        <v>829</v>
      </c>
      <c r="B783" s="44">
        <v>2.9068905487933598</v>
      </c>
      <c r="C783" s="45">
        <v>3.7649999999999997</v>
      </c>
      <c r="D783" s="46">
        <f t="shared" si="72"/>
        <v>1</v>
      </c>
      <c r="E783" s="46">
        <f t="shared" si="73"/>
        <v>0.2</v>
      </c>
      <c r="F783" s="46">
        <f t="shared" si="74"/>
        <v>1</v>
      </c>
      <c r="G783" s="46">
        <f t="shared" si="75"/>
        <v>0.58137810975867199</v>
      </c>
      <c r="H783" s="46">
        <f t="shared" si="76"/>
        <v>0.2</v>
      </c>
      <c r="I783" s="46">
        <f t="shared" si="77"/>
        <v>0</v>
      </c>
      <c r="J783" s="46">
        <f>IF(CurrentMtgRatesDataTable8[[#This Row],[WA CC]]&lt;&gt;0,C782-CurrentMtgRatesDataTable8[[#This Row],[WA CC]],0)</f>
        <v>0</v>
      </c>
      <c r="K783" s="46">
        <f>IF(CurrentMtgRatesDataTable8[[#This Row],[Servicing Spread]]&lt;=0,K782,CurrentMtgRatesDataTable8[[#This Row],[Servicing Spread]])</f>
        <v>0.852646747577682</v>
      </c>
      <c r="L783" s="46">
        <f>CurrentMtgRatesDataTable8[[#This Row],[Servicing Spread Non-Zero]]-K782</f>
        <v>0</v>
      </c>
      <c r="M783" s="46">
        <f>IF(I782&lt;&gt;0,CurrentMtgRatesDataTable8[[#This Row],[Rate]]-C782,M782)</f>
        <v>1.499999999999968E-2</v>
      </c>
    </row>
    <row r="784" spans="1:13">
      <c r="A784" s="43" t="s">
        <v>830</v>
      </c>
      <c r="B784" s="44">
        <v>2.82631669904023</v>
      </c>
      <c r="C784" s="45">
        <v>3.7649999999999997</v>
      </c>
      <c r="D784" s="46">
        <f t="shared" si="72"/>
        <v>2</v>
      </c>
      <c r="E784" s="46">
        <f t="shared" si="73"/>
        <v>0.2</v>
      </c>
      <c r="F784" s="46">
        <f t="shared" si="74"/>
        <v>2</v>
      </c>
      <c r="G784" s="46">
        <f t="shared" si="75"/>
        <v>1.1466414495667179</v>
      </c>
      <c r="H784" s="46">
        <f t="shared" si="76"/>
        <v>0.4</v>
      </c>
      <c r="I784" s="46">
        <f t="shared" si="77"/>
        <v>0</v>
      </c>
      <c r="J784" s="46">
        <f>IF(CurrentMtgRatesDataTable8[[#This Row],[WA CC]]&lt;&gt;0,C783-CurrentMtgRatesDataTable8[[#This Row],[WA CC]],0)</f>
        <v>0</v>
      </c>
      <c r="K784" s="46">
        <f>IF(CurrentMtgRatesDataTable8[[#This Row],[Servicing Spread]]&lt;=0,K783,CurrentMtgRatesDataTable8[[#This Row],[Servicing Spread]])</f>
        <v>0.852646747577682</v>
      </c>
      <c r="L784" s="46">
        <f>CurrentMtgRatesDataTable8[[#This Row],[Servicing Spread Non-Zero]]-K783</f>
        <v>0</v>
      </c>
      <c r="M784" s="46">
        <f>IF(I783&lt;&gt;0,CurrentMtgRatesDataTable8[[#This Row],[Rate]]-C783,M783)</f>
        <v>1.499999999999968E-2</v>
      </c>
    </row>
    <row r="785" spans="1:13">
      <c r="A785" s="43" t="s">
        <v>831</v>
      </c>
      <c r="B785" s="44">
        <v>2.8896799307946499</v>
      </c>
      <c r="C785" s="45">
        <v>3.7649999999999997</v>
      </c>
      <c r="D785" s="46">
        <f t="shared" si="72"/>
        <v>5</v>
      </c>
      <c r="E785" s="46">
        <f t="shared" si="73"/>
        <v>0.2</v>
      </c>
      <c r="F785" s="46">
        <f t="shared" si="74"/>
        <v>3</v>
      </c>
      <c r="G785" s="46">
        <f t="shared" si="75"/>
        <v>1.724577435725648</v>
      </c>
      <c r="H785" s="46">
        <f t="shared" si="76"/>
        <v>0.60000000000000009</v>
      </c>
      <c r="I785" s="46">
        <f t="shared" si="77"/>
        <v>0</v>
      </c>
      <c r="J785" s="46">
        <f>IF(CurrentMtgRatesDataTable8[[#This Row],[WA CC]]&lt;&gt;0,C784-CurrentMtgRatesDataTable8[[#This Row],[WA CC]],0)</f>
        <v>0</v>
      </c>
      <c r="K785" s="46">
        <f>IF(CurrentMtgRatesDataTable8[[#This Row],[Servicing Spread]]&lt;=0,K784,CurrentMtgRatesDataTable8[[#This Row],[Servicing Spread]])</f>
        <v>0.852646747577682</v>
      </c>
      <c r="L785" s="46">
        <f>CurrentMtgRatesDataTable8[[#This Row],[Servicing Spread Non-Zero]]-K784</f>
        <v>0</v>
      </c>
      <c r="M785" s="46">
        <f>IF(I784&lt;&gt;0,CurrentMtgRatesDataTable8[[#This Row],[Rate]]-C784,M784)</f>
        <v>1.499999999999968E-2</v>
      </c>
    </row>
    <row r="786" spans="1:13">
      <c r="A786" s="43" t="s">
        <v>832</v>
      </c>
      <c r="B786" s="44">
        <v>2.9214483553786899</v>
      </c>
      <c r="C786" s="45">
        <v>3.7649999999999997</v>
      </c>
      <c r="D786" s="46">
        <f t="shared" si="72"/>
        <v>6</v>
      </c>
      <c r="E786" s="46">
        <f t="shared" si="73"/>
        <v>0.2</v>
      </c>
      <c r="F786" s="46">
        <f t="shared" si="74"/>
        <v>4</v>
      </c>
      <c r="G786" s="46">
        <f t="shared" si="75"/>
        <v>2.3088671068013862</v>
      </c>
      <c r="H786" s="46">
        <f t="shared" si="76"/>
        <v>0.8</v>
      </c>
      <c r="I786" s="46">
        <f t="shared" si="77"/>
        <v>0</v>
      </c>
      <c r="J786" s="46">
        <f>IF(CurrentMtgRatesDataTable8[[#This Row],[WA CC]]&lt;&gt;0,C785-CurrentMtgRatesDataTable8[[#This Row],[WA CC]],0)</f>
        <v>0</v>
      </c>
      <c r="K786" s="46">
        <f>IF(CurrentMtgRatesDataTable8[[#This Row],[Servicing Spread]]&lt;=0,K785,CurrentMtgRatesDataTable8[[#This Row],[Servicing Spread]])</f>
        <v>0.852646747577682</v>
      </c>
      <c r="L786" s="46">
        <f>CurrentMtgRatesDataTable8[[#This Row],[Servicing Spread Non-Zero]]-K785</f>
        <v>0</v>
      </c>
      <c r="M786" s="46">
        <f>IF(I785&lt;&gt;0,CurrentMtgRatesDataTable8[[#This Row],[Rate]]-C785,M785)</f>
        <v>1.499999999999968E-2</v>
      </c>
    </row>
    <row r="787" spans="1:13">
      <c r="A787" s="43" t="s">
        <v>833</v>
      </c>
      <c r="B787" s="44">
        <v>2.9102623265110599</v>
      </c>
      <c r="C787" s="45">
        <v>3.7649999999999997</v>
      </c>
      <c r="D787" s="46">
        <f t="shared" si="72"/>
        <v>7</v>
      </c>
      <c r="E787" s="46">
        <f t="shared" si="73"/>
        <v>0.2</v>
      </c>
      <c r="F787" s="46">
        <f t="shared" si="74"/>
        <v>5</v>
      </c>
      <c r="G787" s="46">
        <f t="shared" si="75"/>
        <v>2.8909195721035981</v>
      </c>
      <c r="H787" s="46">
        <f t="shared" si="76"/>
        <v>1</v>
      </c>
      <c r="I787" s="46">
        <f t="shared" si="77"/>
        <v>2.8909195721035981</v>
      </c>
      <c r="J787" s="46">
        <f>IF(CurrentMtgRatesDataTable8[[#This Row],[WA CC]]&lt;&gt;0,C786-CurrentMtgRatesDataTable8[[#This Row],[WA CC]],0)</f>
        <v>0.87408042789640161</v>
      </c>
      <c r="K787" s="46">
        <f>IF(CurrentMtgRatesDataTable8[[#This Row],[Servicing Spread]]&lt;=0,K786,CurrentMtgRatesDataTable8[[#This Row],[Servicing Spread]])</f>
        <v>0.87408042789640161</v>
      </c>
      <c r="L787" s="46">
        <f>CurrentMtgRatesDataTable8[[#This Row],[Servicing Spread Non-Zero]]-K786</f>
        <v>2.1433680318719617E-2</v>
      </c>
      <c r="M787" s="46">
        <f>IF(I786&lt;&gt;0,CurrentMtgRatesDataTable8[[#This Row],[Rate]]-C786,M786)</f>
        <v>1.499999999999968E-2</v>
      </c>
    </row>
    <row r="788" spans="1:13">
      <c r="A788" s="43" t="s">
        <v>834</v>
      </c>
      <c r="B788" s="44">
        <v>2.8599760435846102</v>
      </c>
      <c r="C788" s="45">
        <v>3.77</v>
      </c>
      <c r="D788" s="46">
        <f t="shared" si="72"/>
        <v>1</v>
      </c>
      <c r="E788" s="46">
        <f t="shared" si="73"/>
        <v>0.2</v>
      </c>
      <c r="F788" s="46">
        <f t="shared" si="74"/>
        <v>1</v>
      </c>
      <c r="G788" s="46">
        <f t="shared" si="75"/>
        <v>0.57199520871692211</v>
      </c>
      <c r="H788" s="46">
        <f t="shared" si="76"/>
        <v>0.2</v>
      </c>
      <c r="I788" s="46">
        <f t="shared" si="77"/>
        <v>0</v>
      </c>
      <c r="J788" s="46">
        <f>IF(CurrentMtgRatesDataTable8[[#This Row],[WA CC]]&lt;&gt;0,C787-CurrentMtgRatesDataTable8[[#This Row],[WA CC]],0)</f>
        <v>0</v>
      </c>
      <c r="K788" s="46">
        <f>IF(CurrentMtgRatesDataTable8[[#This Row],[Servicing Spread]]&lt;=0,K787,CurrentMtgRatesDataTable8[[#This Row],[Servicing Spread]])</f>
        <v>0.87408042789640161</v>
      </c>
      <c r="L788" s="46">
        <f>CurrentMtgRatesDataTable8[[#This Row],[Servicing Spread Non-Zero]]-K787</f>
        <v>0</v>
      </c>
      <c r="M788" s="46">
        <f>IF(I787&lt;&gt;0,CurrentMtgRatesDataTable8[[#This Row],[Rate]]-C787,M787)</f>
        <v>5.0000000000003375E-3</v>
      </c>
    </row>
    <row r="789" spans="1:13">
      <c r="A789" s="43" t="s">
        <v>835</v>
      </c>
      <c r="B789" s="44">
        <v>2.8915210158303699</v>
      </c>
      <c r="C789" s="45">
        <v>3.77</v>
      </c>
      <c r="D789" s="46">
        <f t="shared" si="72"/>
        <v>2</v>
      </c>
      <c r="E789" s="46">
        <f t="shared" si="73"/>
        <v>0.2</v>
      </c>
      <c r="F789" s="46">
        <f t="shared" si="74"/>
        <v>2</v>
      </c>
      <c r="G789" s="46">
        <f t="shared" si="75"/>
        <v>1.1502994118829961</v>
      </c>
      <c r="H789" s="46">
        <f t="shared" si="76"/>
        <v>0.4</v>
      </c>
      <c r="I789" s="46">
        <f t="shared" si="77"/>
        <v>0</v>
      </c>
      <c r="J789" s="46">
        <f>IF(CurrentMtgRatesDataTable8[[#This Row],[WA CC]]&lt;&gt;0,C788-CurrentMtgRatesDataTable8[[#This Row],[WA CC]],0)</f>
        <v>0</v>
      </c>
      <c r="K789" s="46">
        <f>IF(CurrentMtgRatesDataTable8[[#This Row],[Servicing Spread]]&lt;=0,K788,CurrentMtgRatesDataTable8[[#This Row],[Servicing Spread]])</f>
        <v>0.87408042789640161</v>
      </c>
      <c r="L789" s="46">
        <f>CurrentMtgRatesDataTable8[[#This Row],[Servicing Spread Non-Zero]]-K788</f>
        <v>0</v>
      </c>
      <c r="M789" s="46">
        <f>IF(I788&lt;&gt;0,CurrentMtgRatesDataTable8[[#This Row],[Rate]]-C788,M788)</f>
        <v>5.0000000000003375E-3</v>
      </c>
    </row>
    <row r="790" spans="1:13">
      <c r="A790" s="43" t="s">
        <v>836</v>
      </c>
      <c r="B790" s="44">
        <v>2.8500704386135798</v>
      </c>
      <c r="C790" s="45">
        <v>3.77</v>
      </c>
      <c r="D790" s="46">
        <f t="shared" si="72"/>
        <v>6</v>
      </c>
      <c r="E790" s="46">
        <f t="shared" si="73"/>
        <v>0.2</v>
      </c>
      <c r="F790" s="46">
        <f t="shared" si="74"/>
        <v>3</v>
      </c>
      <c r="G790" s="46">
        <f t="shared" si="75"/>
        <v>1.7203134996057121</v>
      </c>
      <c r="H790" s="46">
        <f t="shared" si="76"/>
        <v>0.60000000000000009</v>
      </c>
      <c r="I790" s="46">
        <f t="shared" si="77"/>
        <v>0</v>
      </c>
      <c r="J790" s="46">
        <f>IF(CurrentMtgRatesDataTable8[[#This Row],[WA CC]]&lt;&gt;0,C789-CurrentMtgRatesDataTable8[[#This Row],[WA CC]],0)</f>
        <v>0</v>
      </c>
      <c r="K790" s="46">
        <f>IF(CurrentMtgRatesDataTable8[[#This Row],[Servicing Spread]]&lt;=0,K789,CurrentMtgRatesDataTable8[[#This Row],[Servicing Spread]])</f>
        <v>0.87408042789640161</v>
      </c>
      <c r="L790" s="46">
        <f>CurrentMtgRatesDataTable8[[#This Row],[Servicing Spread Non-Zero]]-K789</f>
        <v>0</v>
      </c>
      <c r="M790" s="46">
        <f>IF(I789&lt;&gt;0,CurrentMtgRatesDataTable8[[#This Row],[Rate]]-C789,M789)</f>
        <v>5.0000000000003375E-3</v>
      </c>
    </row>
    <row r="791" spans="1:13">
      <c r="A791" s="43" t="s">
        <v>837</v>
      </c>
      <c r="B791" s="44">
        <v>2.8460665334928898</v>
      </c>
      <c r="C791" s="45">
        <v>3.77</v>
      </c>
      <c r="D791" s="46">
        <f t="shared" si="72"/>
        <v>7</v>
      </c>
      <c r="E791" s="46">
        <f t="shared" si="73"/>
        <v>0.2</v>
      </c>
      <c r="F791" s="46">
        <f t="shared" si="74"/>
        <v>4</v>
      </c>
      <c r="G791" s="46">
        <f t="shared" si="75"/>
        <v>2.28952680630429</v>
      </c>
      <c r="H791" s="46">
        <f t="shared" si="76"/>
        <v>0.8</v>
      </c>
      <c r="I791" s="46">
        <f t="shared" si="77"/>
        <v>2.8619085078803623</v>
      </c>
      <c r="J791" s="46">
        <f>IF(CurrentMtgRatesDataTable8[[#This Row],[WA CC]]&lt;&gt;0,C790-CurrentMtgRatesDataTable8[[#This Row],[WA CC]],0)</f>
        <v>0.90809149211963769</v>
      </c>
      <c r="K791" s="46">
        <f>IF(CurrentMtgRatesDataTable8[[#This Row],[Servicing Spread]]&lt;=0,K790,CurrentMtgRatesDataTable8[[#This Row],[Servicing Spread]])</f>
        <v>0.90809149211963769</v>
      </c>
      <c r="L791" s="46">
        <f>CurrentMtgRatesDataTable8[[#This Row],[Servicing Spread Non-Zero]]-K790</f>
        <v>3.4011064223236076E-2</v>
      </c>
      <c r="M791" s="46">
        <f>IF(I790&lt;&gt;0,CurrentMtgRatesDataTable8[[#This Row],[Rate]]-C790,M790)</f>
        <v>5.0000000000003375E-3</v>
      </c>
    </row>
    <row r="792" spans="1:13">
      <c r="A792" s="39" t="s">
        <v>838</v>
      </c>
      <c r="B792" s="40">
        <v>2.8413672152174398</v>
      </c>
      <c r="C792" s="11">
        <v>3.77</v>
      </c>
      <c r="D792" s="16">
        <f t="shared" si="72"/>
        <v>1</v>
      </c>
      <c r="E792" s="16">
        <f t="shared" si="73"/>
        <v>0.2</v>
      </c>
      <c r="F792" s="16">
        <f t="shared" si="74"/>
        <v>1</v>
      </c>
      <c r="G792" s="16">
        <f t="shared" si="75"/>
        <v>0.56827344304348804</v>
      </c>
      <c r="H792" s="16">
        <f t="shared" si="76"/>
        <v>0.2</v>
      </c>
      <c r="I792" s="16">
        <f t="shared" si="77"/>
        <v>0</v>
      </c>
      <c r="J792" s="16">
        <f>IF(CurrentMtgRatesDataTable8[[#This Row],[WA CC]]&lt;&gt;0,C791-CurrentMtgRatesDataTable8[[#This Row],[WA CC]],0)</f>
        <v>0</v>
      </c>
      <c r="K792" s="16">
        <f>IF(CurrentMtgRatesDataTable8[[#This Row],[Servicing Spread]]&lt;=0,K791,CurrentMtgRatesDataTable8[[#This Row],[Servicing Spread]])</f>
        <v>0.90809149211963769</v>
      </c>
      <c r="L792" s="16">
        <f>CurrentMtgRatesDataTable8[[#This Row],[Servicing Spread Non-Zero]]-K791</f>
        <v>0</v>
      </c>
      <c r="M792" s="16">
        <f>IF(I791&lt;&gt;0,CurrentMtgRatesDataTable8[[#This Row],[Rate]]-C791,M791)</f>
        <v>0</v>
      </c>
    </row>
    <row r="793" spans="1:13">
      <c r="A793" s="39" t="s">
        <v>839</v>
      </c>
      <c r="B793" s="40">
        <v>2.8125589424365498</v>
      </c>
      <c r="C793" s="11">
        <v>3.77</v>
      </c>
      <c r="D793" s="16">
        <f t="shared" si="72"/>
        <v>2</v>
      </c>
      <c r="E793" s="16">
        <f t="shared" si="73"/>
        <v>0.2</v>
      </c>
      <c r="F793" s="16">
        <f t="shared" si="74"/>
        <v>2</v>
      </c>
      <c r="G793" s="16">
        <f t="shared" si="75"/>
        <v>1.130785231530798</v>
      </c>
      <c r="H793" s="16">
        <f t="shared" si="76"/>
        <v>0.4</v>
      </c>
      <c r="I793" s="16">
        <f t="shared" si="77"/>
        <v>0</v>
      </c>
      <c r="J793" s="16">
        <f>IF(CurrentMtgRatesDataTable8[[#This Row],[WA CC]]&lt;&gt;0,C792-CurrentMtgRatesDataTable8[[#This Row],[WA CC]],0)</f>
        <v>0</v>
      </c>
      <c r="K793" s="16">
        <f>IF(CurrentMtgRatesDataTable8[[#This Row],[Servicing Spread]]&lt;=0,K792,CurrentMtgRatesDataTable8[[#This Row],[Servicing Spread]])</f>
        <v>0.90809149211963769</v>
      </c>
      <c r="L793" s="16">
        <f>CurrentMtgRatesDataTable8[[#This Row],[Servicing Spread Non-Zero]]-K792</f>
        <v>0</v>
      </c>
      <c r="M793" s="16">
        <f>IF(I792&lt;&gt;0,CurrentMtgRatesDataTable8[[#This Row],[Rate]]-C792,M792)</f>
        <v>0</v>
      </c>
    </row>
    <row r="794" spans="1:13">
      <c r="A794" s="39" t="s">
        <v>840</v>
      </c>
      <c r="B794" s="40">
        <v>2.8873082715202201</v>
      </c>
      <c r="C794" s="11">
        <v>3.77</v>
      </c>
      <c r="D794" s="16">
        <f t="shared" si="72"/>
        <v>5</v>
      </c>
      <c r="E794" s="16">
        <f t="shared" si="73"/>
        <v>0.2</v>
      </c>
      <c r="F794" s="16">
        <f t="shared" si="74"/>
        <v>3</v>
      </c>
      <c r="G794" s="16">
        <f t="shared" si="75"/>
        <v>1.7082468858348421</v>
      </c>
      <c r="H794" s="16">
        <f t="shared" si="76"/>
        <v>0.60000000000000009</v>
      </c>
      <c r="I794" s="16">
        <f t="shared" si="77"/>
        <v>0</v>
      </c>
      <c r="J794" s="16">
        <f>IF(CurrentMtgRatesDataTable8[[#This Row],[WA CC]]&lt;&gt;0,C793-CurrentMtgRatesDataTable8[[#This Row],[WA CC]],0)</f>
        <v>0</v>
      </c>
      <c r="K794" s="16">
        <f>IF(CurrentMtgRatesDataTable8[[#This Row],[Servicing Spread]]&lt;=0,K793,CurrentMtgRatesDataTable8[[#This Row],[Servicing Spread]])</f>
        <v>0.90809149211963769</v>
      </c>
      <c r="L794" s="16">
        <f>CurrentMtgRatesDataTable8[[#This Row],[Servicing Spread Non-Zero]]-K793</f>
        <v>0</v>
      </c>
      <c r="M794" s="16">
        <f>IF(I793&lt;&gt;0,CurrentMtgRatesDataTable8[[#This Row],[Rate]]-C793,M793)</f>
        <v>0</v>
      </c>
    </row>
    <row r="795" spans="1:13">
      <c r="A795" s="39" t="s">
        <v>841</v>
      </c>
      <c r="B795" s="40">
        <v>2.96123512742628</v>
      </c>
      <c r="C795" s="11">
        <v>3.77</v>
      </c>
      <c r="D795" s="16">
        <f t="shared" si="72"/>
        <v>6</v>
      </c>
      <c r="E795" s="16">
        <f t="shared" si="73"/>
        <v>0.2</v>
      </c>
      <c r="F795" s="16">
        <f t="shared" si="74"/>
        <v>4</v>
      </c>
      <c r="G795" s="16">
        <f t="shared" si="75"/>
        <v>2.300493911320098</v>
      </c>
      <c r="H795" s="16">
        <f t="shared" si="76"/>
        <v>0.8</v>
      </c>
      <c r="I795" s="16">
        <f t="shared" si="77"/>
        <v>0</v>
      </c>
      <c r="J795" s="16">
        <f>IF(CurrentMtgRatesDataTable8[[#This Row],[WA CC]]&lt;&gt;0,C794-CurrentMtgRatesDataTable8[[#This Row],[WA CC]],0)</f>
        <v>0</v>
      </c>
      <c r="K795" s="16">
        <f>IF(CurrentMtgRatesDataTable8[[#This Row],[Servicing Spread]]&lt;=0,K794,CurrentMtgRatesDataTable8[[#This Row],[Servicing Spread]])</f>
        <v>0.90809149211963769</v>
      </c>
      <c r="L795" s="16">
        <f>CurrentMtgRatesDataTable8[[#This Row],[Servicing Spread Non-Zero]]-K794</f>
        <v>0</v>
      </c>
      <c r="M795" s="16">
        <f>IF(I794&lt;&gt;0,CurrentMtgRatesDataTable8[[#This Row],[Rate]]-C794,M794)</f>
        <v>0</v>
      </c>
    </row>
    <row r="796" spans="1:13">
      <c r="A796" s="39" t="s">
        <v>842</v>
      </c>
      <c r="B796" s="40">
        <v>3.0744144315737501</v>
      </c>
      <c r="C796" s="11">
        <v>3.77</v>
      </c>
      <c r="D796" s="16">
        <f t="shared" si="72"/>
        <v>7</v>
      </c>
      <c r="E796" s="16">
        <f t="shared" si="73"/>
        <v>0.2</v>
      </c>
      <c r="F796" s="16">
        <f t="shared" si="74"/>
        <v>5</v>
      </c>
      <c r="G796" s="16">
        <f t="shared" si="75"/>
        <v>2.9153767976348481</v>
      </c>
      <c r="H796" s="16">
        <f t="shared" si="76"/>
        <v>1</v>
      </c>
      <c r="I796" s="16">
        <f t="shared" si="77"/>
        <v>2.9153767976348481</v>
      </c>
      <c r="J796" s="16">
        <f>IF(CurrentMtgRatesDataTable8[[#This Row],[WA CC]]&lt;&gt;0,C795-CurrentMtgRatesDataTable8[[#This Row],[WA CC]],0)</f>
        <v>0.85462320236515188</v>
      </c>
      <c r="K796" s="16">
        <f>IF(CurrentMtgRatesDataTable8[[#This Row],[Servicing Spread]]&lt;=0,K795,CurrentMtgRatesDataTable8[[#This Row],[Servicing Spread]])</f>
        <v>0.85462320236515188</v>
      </c>
      <c r="L796" s="16">
        <f>CurrentMtgRatesDataTable8[[#This Row],[Servicing Spread Non-Zero]]-K795</f>
        <v>-5.3468289754485809E-2</v>
      </c>
      <c r="M796" s="16">
        <f>IF(I795&lt;&gt;0,CurrentMtgRatesDataTable8[[#This Row],[Rate]]-C795,M795)</f>
        <v>0</v>
      </c>
    </row>
    <row r="797" spans="1:13">
      <c r="A797" s="39" t="s">
        <v>843</v>
      </c>
      <c r="B797" s="40">
        <v>3.0256748636149999</v>
      </c>
      <c r="C797" s="11">
        <v>3.94</v>
      </c>
      <c r="D797" s="16">
        <f t="shared" si="72"/>
        <v>1</v>
      </c>
      <c r="E797" s="16">
        <f t="shared" si="73"/>
        <v>0.2</v>
      </c>
      <c r="F797" s="16">
        <f t="shared" si="74"/>
        <v>1</v>
      </c>
      <c r="G797" s="16">
        <f t="shared" si="75"/>
        <v>0.60513497272299999</v>
      </c>
      <c r="H797" s="16">
        <f t="shared" si="76"/>
        <v>0.2</v>
      </c>
      <c r="I797" s="16">
        <f t="shared" si="77"/>
        <v>0</v>
      </c>
      <c r="J797" s="16">
        <f>IF(CurrentMtgRatesDataTable8[[#This Row],[WA CC]]&lt;&gt;0,C796-CurrentMtgRatesDataTable8[[#This Row],[WA CC]],0)</f>
        <v>0</v>
      </c>
      <c r="K797" s="16">
        <f>IF(CurrentMtgRatesDataTable8[[#This Row],[Servicing Spread]]&lt;=0,K796,CurrentMtgRatesDataTable8[[#This Row],[Servicing Spread]])</f>
        <v>0.85462320236515188</v>
      </c>
      <c r="L797" s="16">
        <f>CurrentMtgRatesDataTable8[[#This Row],[Servicing Spread Non-Zero]]-K796</f>
        <v>0</v>
      </c>
      <c r="M797" s="16">
        <f>IF(I796&lt;&gt;0,CurrentMtgRatesDataTable8[[#This Row],[Rate]]-C796,M796)</f>
        <v>0.16999999999999993</v>
      </c>
    </row>
    <row r="798" spans="1:13">
      <c r="A798" s="39" t="s">
        <v>844</v>
      </c>
      <c r="B798" s="40">
        <v>3.1185389251118698</v>
      </c>
      <c r="C798" s="11">
        <v>3.94</v>
      </c>
      <c r="D798" s="16">
        <f t="shared" si="72"/>
        <v>2</v>
      </c>
      <c r="E798" s="16">
        <f t="shared" si="73"/>
        <v>0.2</v>
      </c>
      <c r="F798" s="16">
        <f t="shared" si="74"/>
        <v>2</v>
      </c>
      <c r="G798" s="16">
        <f t="shared" si="75"/>
        <v>1.228842757745374</v>
      </c>
      <c r="H798" s="16">
        <f t="shared" si="76"/>
        <v>0.4</v>
      </c>
      <c r="I798" s="16">
        <f t="shared" si="77"/>
        <v>0</v>
      </c>
      <c r="J798" s="16">
        <f>IF(CurrentMtgRatesDataTable8[[#This Row],[WA CC]]&lt;&gt;0,C797-CurrentMtgRatesDataTable8[[#This Row],[WA CC]],0)</f>
        <v>0</v>
      </c>
      <c r="K798" s="16">
        <f>IF(CurrentMtgRatesDataTable8[[#This Row],[Servicing Spread]]&lt;=0,K797,CurrentMtgRatesDataTable8[[#This Row],[Servicing Spread]])</f>
        <v>0.85462320236515188</v>
      </c>
      <c r="L798" s="16">
        <f>CurrentMtgRatesDataTable8[[#This Row],[Servicing Spread Non-Zero]]-K797</f>
        <v>0</v>
      </c>
      <c r="M798" s="16">
        <f>IF(I797&lt;&gt;0,CurrentMtgRatesDataTable8[[#This Row],[Rate]]-C797,M797)</f>
        <v>0.16999999999999993</v>
      </c>
    </row>
    <row r="799" spans="1:13">
      <c r="A799" s="39" t="s">
        <v>845</v>
      </c>
      <c r="B799" s="40">
        <v>3.0852280715370801</v>
      </c>
      <c r="C799" s="11">
        <v>3.94</v>
      </c>
      <c r="D799" s="16">
        <f t="shared" si="72"/>
        <v>5</v>
      </c>
      <c r="E799" s="16">
        <f t="shared" si="73"/>
        <v>0.2</v>
      </c>
      <c r="F799" s="16">
        <f t="shared" si="74"/>
        <v>3</v>
      </c>
      <c r="G799" s="16">
        <f t="shared" si="75"/>
        <v>1.8458883720527901</v>
      </c>
      <c r="H799" s="16">
        <f t="shared" si="76"/>
        <v>0.60000000000000009</v>
      </c>
      <c r="I799" s="16">
        <f t="shared" si="77"/>
        <v>0</v>
      </c>
      <c r="J799" s="16">
        <f>IF(CurrentMtgRatesDataTable8[[#This Row],[WA CC]]&lt;&gt;0,C798-CurrentMtgRatesDataTable8[[#This Row],[WA CC]],0)</f>
        <v>0</v>
      </c>
      <c r="K799" s="16">
        <f>IF(CurrentMtgRatesDataTable8[[#This Row],[Servicing Spread]]&lt;=0,K798,CurrentMtgRatesDataTable8[[#This Row],[Servicing Spread]])</f>
        <v>0.85462320236515188</v>
      </c>
      <c r="L799" s="16">
        <f>CurrentMtgRatesDataTable8[[#This Row],[Servicing Spread Non-Zero]]-K798</f>
        <v>0</v>
      </c>
      <c r="M799" s="16">
        <f>IF(I798&lt;&gt;0,CurrentMtgRatesDataTable8[[#This Row],[Rate]]-C798,M798)</f>
        <v>0.16999999999999993</v>
      </c>
    </row>
    <row r="800" spans="1:13">
      <c r="A800" s="39" t="s">
        <v>846</v>
      </c>
      <c r="B800" s="40">
        <v>3.1292995796246399</v>
      </c>
      <c r="C800" s="11">
        <v>3.94</v>
      </c>
      <c r="D800" s="16">
        <f t="shared" si="72"/>
        <v>6</v>
      </c>
      <c r="E800" s="16">
        <f t="shared" si="73"/>
        <v>0.2</v>
      </c>
      <c r="F800" s="16">
        <f t="shared" si="74"/>
        <v>4</v>
      </c>
      <c r="G800" s="16">
        <f t="shared" si="75"/>
        <v>2.471748287977718</v>
      </c>
      <c r="H800" s="16">
        <f t="shared" si="76"/>
        <v>0.8</v>
      </c>
      <c r="I800" s="16">
        <f t="shared" si="77"/>
        <v>0</v>
      </c>
      <c r="J800" s="16">
        <f>IF(CurrentMtgRatesDataTable8[[#This Row],[WA CC]]&lt;&gt;0,C799-CurrentMtgRatesDataTable8[[#This Row],[WA CC]],0)</f>
        <v>0</v>
      </c>
      <c r="K800" s="16">
        <f>IF(CurrentMtgRatesDataTable8[[#This Row],[Servicing Spread]]&lt;=0,K799,CurrentMtgRatesDataTable8[[#This Row],[Servicing Spread]])</f>
        <v>0.85462320236515188</v>
      </c>
      <c r="L800" s="16">
        <f>CurrentMtgRatesDataTable8[[#This Row],[Servicing Spread Non-Zero]]-K799</f>
        <v>0</v>
      </c>
      <c r="M800" s="16">
        <f>IF(I799&lt;&gt;0,CurrentMtgRatesDataTable8[[#This Row],[Rate]]-C799,M799)</f>
        <v>0.16999999999999993</v>
      </c>
    </row>
    <row r="801" spans="1:13">
      <c r="A801" s="39" t="s">
        <v>847</v>
      </c>
      <c r="B801" s="40">
        <v>3.1773446759928401</v>
      </c>
      <c r="C801" s="11">
        <v>3.94</v>
      </c>
      <c r="D801" s="16">
        <f t="shared" si="72"/>
        <v>7</v>
      </c>
      <c r="E801" s="16">
        <f t="shared" si="73"/>
        <v>0.2</v>
      </c>
      <c r="F801" s="16">
        <f t="shared" si="74"/>
        <v>5</v>
      </c>
      <c r="G801" s="16">
        <f t="shared" si="75"/>
        <v>3.1072172231762858</v>
      </c>
      <c r="H801" s="16">
        <f t="shared" si="76"/>
        <v>1</v>
      </c>
      <c r="I801" s="16">
        <f t="shared" si="77"/>
        <v>3.1072172231762858</v>
      </c>
      <c r="J801" s="16">
        <f>IF(CurrentMtgRatesDataTable8[[#This Row],[WA CC]]&lt;&gt;0,C800-CurrentMtgRatesDataTable8[[#This Row],[WA CC]],0)</f>
        <v>0.83278277682371415</v>
      </c>
      <c r="K801" s="16">
        <f>IF(CurrentMtgRatesDataTable8[[#This Row],[Servicing Spread]]&lt;=0,K800,CurrentMtgRatesDataTable8[[#This Row],[Servicing Spread]])</f>
        <v>0.83278277682371415</v>
      </c>
      <c r="L801" s="16">
        <f>CurrentMtgRatesDataTable8[[#This Row],[Servicing Spread Non-Zero]]-K800</f>
        <v>-2.1840425541437725E-2</v>
      </c>
      <c r="M801" s="16">
        <f>IF(I800&lt;&gt;0,CurrentMtgRatesDataTable8[[#This Row],[Rate]]-C800,M800)</f>
        <v>0.16999999999999993</v>
      </c>
    </row>
    <row r="802" spans="1:13">
      <c r="A802" s="39" t="s">
        <v>848</v>
      </c>
      <c r="B802" s="40">
        <v>3.0761153132050598</v>
      </c>
      <c r="C802" s="11">
        <v>3.9249999999999998</v>
      </c>
      <c r="D802" s="16">
        <f t="shared" si="72"/>
        <v>1</v>
      </c>
      <c r="E802" s="16">
        <f t="shared" si="73"/>
        <v>0.2</v>
      </c>
      <c r="F802" s="16">
        <f t="shared" si="74"/>
        <v>1</v>
      </c>
      <c r="G802" s="16">
        <f t="shared" si="75"/>
        <v>0.61522306264101201</v>
      </c>
      <c r="H802" s="16">
        <f t="shared" si="76"/>
        <v>0.2</v>
      </c>
      <c r="I802" s="16">
        <f t="shared" si="77"/>
        <v>0</v>
      </c>
      <c r="J802" s="16">
        <f>IF(CurrentMtgRatesDataTable8[[#This Row],[WA CC]]&lt;&gt;0,C801-CurrentMtgRatesDataTable8[[#This Row],[WA CC]],0)</f>
        <v>0</v>
      </c>
      <c r="K802" s="16">
        <f>IF(CurrentMtgRatesDataTable8[[#This Row],[Servicing Spread]]&lt;=0,K801,CurrentMtgRatesDataTable8[[#This Row],[Servicing Spread]])</f>
        <v>0.83278277682371415</v>
      </c>
      <c r="L802" s="16">
        <f>CurrentMtgRatesDataTable8[[#This Row],[Servicing Spread Non-Zero]]-K801</f>
        <v>0</v>
      </c>
      <c r="M802" s="16">
        <f>IF(I801&lt;&gt;0,CurrentMtgRatesDataTable8[[#This Row],[Rate]]-C801,M801)</f>
        <v>-1.5000000000000124E-2</v>
      </c>
    </row>
    <row r="803" spans="1:13">
      <c r="A803" s="39" t="s">
        <v>849</v>
      </c>
      <c r="B803" s="40">
        <v>3.0919401279735599</v>
      </c>
      <c r="C803" s="11">
        <v>3.9249999999999998</v>
      </c>
      <c r="D803" s="16">
        <f t="shared" si="72"/>
        <v>2</v>
      </c>
      <c r="E803" s="16">
        <f t="shared" si="73"/>
        <v>0.2</v>
      </c>
      <c r="F803" s="16">
        <f t="shared" si="74"/>
        <v>2</v>
      </c>
      <c r="G803" s="16">
        <f t="shared" si="75"/>
        <v>1.2336110882357241</v>
      </c>
      <c r="H803" s="16">
        <f t="shared" si="76"/>
        <v>0.4</v>
      </c>
      <c r="I803" s="16">
        <f t="shared" si="77"/>
        <v>0</v>
      </c>
      <c r="J803" s="16">
        <f>IF(CurrentMtgRatesDataTable8[[#This Row],[WA CC]]&lt;&gt;0,C802-CurrentMtgRatesDataTable8[[#This Row],[WA CC]],0)</f>
        <v>0</v>
      </c>
      <c r="K803" s="16">
        <f>IF(CurrentMtgRatesDataTable8[[#This Row],[Servicing Spread]]&lt;=0,K802,CurrentMtgRatesDataTable8[[#This Row],[Servicing Spread]])</f>
        <v>0.83278277682371415</v>
      </c>
      <c r="L803" s="16">
        <f>CurrentMtgRatesDataTable8[[#This Row],[Servicing Spread Non-Zero]]-K802</f>
        <v>0</v>
      </c>
      <c r="M803" s="16">
        <f>IF(I802&lt;&gt;0,CurrentMtgRatesDataTable8[[#This Row],[Rate]]-C802,M802)</f>
        <v>-1.5000000000000124E-2</v>
      </c>
    </row>
    <row r="804" spans="1:13">
      <c r="A804" s="39" t="s">
        <v>850</v>
      </c>
      <c r="B804" s="40">
        <v>3.0848485059502999</v>
      </c>
      <c r="C804" s="11">
        <v>3.9249999999999998</v>
      </c>
      <c r="D804" s="16">
        <f t="shared" si="72"/>
        <v>5</v>
      </c>
      <c r="E804" s="16">
        <f t="shared" si="73"/>
        <v>0.2</v>
      </c>
      <c r="F804" s="16">
        <f t="shared" si="74"/>
        <v>3</v>
      </c>
      <c r="G804" s="16">
        <f t="shared" si="75"/>
        <v>1.8505807894257842</v>
      </c>
      <c r="H804" s="16">
        <f t="shared" si="76"/>
        <v>0.60000000000000009</v>
      </c>
      <c r="I804" s="16">
        <f t="shared" si="77"/>
        <v>0</v>
      </c>
      <c r="J804" s="16">
        <f>IF(CurrentMtgRatesDataTable8[[#This Row],[WA CC]]&lt;&gt;0,C803-CurrentMtgRatesDataTable8[[#This Row],[WA CC]],0)</f>
        <v>0</v>
      </c>
      <c r="K804" s="16">
        <f>IF(CurrentMtgRatesDataTable8[[#This Row],[Servicing Spread]]&lt;=0,K803,CurrentMtgRatesDataTable8[[#This Row],[Servicing Spread]])</f>
        <v>0.83278277682371415</v>
      </c>
      <c r="L804" s="16">
        <f>CurrentMtgRatesDataTable8[[#This Row],[Servicing Spread Non-Zero]]-K803</f>
        <v>0</v>
      </c>
      <c r="M804" s="16">
        <f>IF(I803&lt;&gt;0,CurrentMtgRatesDataTable8[[#This Row],[Rate]]-C803,M803)</f>
        <v>-1.5000000000000124E-2</v>
      </c>
    </row>
    <row r="805" spans="1:13">
      <c r="A805" s="39" t="s">
        <v>851</v>
      </c>
      <c r="B805" s="40">
        <v>3.0537402902567599</v>
      </c>
      <c r="C805" s="11">
        <v>3.9249999999999998</v>
      </c>
      <c r="D805" s="16">
        <f t="shared" si="72"/>
        <v>6</v>
      </c>
      <c r="E805" s="16">
        <f t="shared" si="73"/>
        <v>0.2</v>
      </c>
      <c r="F805" s="16">
        <f t="shared" si="74"/>
        <v>4</v>
      </c>
      <c r="G805" s="16">
        <f t="shared" si="75"/>
        <v>2.4613288474771364</v>
      </c>
      <c r="H805" s="16">
        <f t="shared" si="76"/>
        <v>0.8</v>
      </c>
      <c r="I805" s="16">
        <f t="shared" si="77"/>
        <v>0</v>
      </c>
      <c r="J805" s="16">
        <f>IF(CurrentMtgRatesDataTable8[[#This Row],[WA CC]]&lt;&gt;0,C804-CurrentMtgRatesDataTable8[[#This Row],[WA CC]],0)</f>
        <v>0</v>
      </c>
      <c r="K805" s="16">
        <f>IF(CurrentMtgRatesDataTable8[[#This Row],[Servicing Spread]]&lt;=0,K804,CurrentMtgRatesDataTable8[[#This Row],[Servicing Spread]])</f>
        <v>0.83278277682371415</v>
      </c>
      <c r="L805" s="16">
        <f>CurrentMtgRatesDataTable8[[#This Row],[Servicing Spread Non-Zero]]-K804</f>
        <v>0</v>
      </c>
      <c r="M805" s="16">
        <f>IF(I804&lt;&gt;0,CurrentMtgRatesDataTable8[[#This Row],[Rate]]-C804,M804)</f>
        <v>-1.5000000000000124E-2</v>
      </c>
    </row>
    <row r="806" spans="1:13">
      <c r="A806" s="39" t="s">
        <v>852</v>
      </c>
      <c r="B806" s="40">
        <v>3.03216152423493</v>
      </c>
      <c r="C806" s="11">
        <v>3.9249999999999998</v>
      </c>
      <c r="D806" s="16">
        <f t="shared" si="72"/>
        <v>7</v>
      </c>
      <c r="E806" s="16">
        <f t="shared" si="73"/>
        <v>0.2</v>
      </c>
      <c r="F806" s="16">
        <f t="shared" si="74"/>
        <v>5</v>
      </c>
      <c r="G806" s="16">
        <f t="shared" si="75"/>
        <v>3.0677611523241226</v>
      </c>
      <c r="H806" s="16">
        <f t="shared" si="76"/>
        <v>1</v>
      </c>
      <c r="I806" s="16">
        <f t="shared" si="77"/>
        <v>3.0677611523241226</v>
      </c>
      <c r="J806" s="16">
        <f>IF(CurrentMtgRatesDataTable8[[#This Row],[WA CC]]&lt;&gt;0,C805-CurrentMtgRatesDataTable8[[#This Row],[WA CC]],0)</f>
        <v>0.85723884767587721</v>
      </c>
      <c r="K806" s="16">
        <f>IF(CurrentMtgRatesDataTable8[[#This Row],[Servicing Spread]]&lt;=0,K805,CurrentMtgRatesDataTable8[[#This Row],[Servicing Spread]])</f>
        <v>0.85723884767587721</v>
      </c>
      <c r="L806" s="16">
        <f>CurrentMtgRatesDataTable8[[#This Row],[Servicing Spread Non-Zero]]-K805</f>
        <v>2.4456070852163059E-2</v>
      </c>
      <c r="M806" s="16">
        <f>IF(I805&lt;&gt;0,CurrentMtgRatesDataTable8[[#This Row],[Rate]]-C805,M805)</f>
        <v>-1.5000000000000124E-2</v>
      </c>
    </row>
    <row r="807" spans="1:13">
      <c r="A807" s="39" t="s">
        <v>853</v>
      </c>
      <c r="B807" s="40">
        <v>3.0468019127231698</v>
      </c>
      <c r="C807" s="11">
        <v>3.9449999999999994</v>
      </c>
      <c r="D807" s="16">
        <f t="shared" si="72"/>
        <v>1</v>
      </c>
      <c r="E807" s="16">
        <f t="shared" si="73"/>
        <v>0.2</v>
      </c>
      <c r="F807" s="16">
        <f t="shared" si="74"/>
        <v>1</v>
      </c>
      <c r="G807" s="16">
        <f t="shared" si="75"/>
        <v>0.60936038254463398</v>
      </c>
      <c r="H807" s="16">
        <f t="shared" si="76"/>
        <v>0.2</v>
      </c>
      <c r="I807" s="16">
        <f t="shared" si="77"/>
        <v>0</v>
      </c>
      <c r="J807" s="16">
        <f>IF(CurrentMtgRatesDataTable8[[#This Row],[WA CC]]&lt;&gt;0,C806-CurrentMtgRatesDataTable8[[#This Row],[WA CC]],0)</f>
        <v>0</v>
      </c>
      <c r="K807" s="16">
        <f>IF(CurrentMtgRatesDataTable8[[#This Row],[Servicing Spread]]&lt;=0,K806,CurrentMtgRatesDataTable8[[#This Row],[Servicing Spread]])</f>
        <v>0.85723884767587721</v>
      </c>
      <c r="L807" s="16">
        <f>CurrentMtgRatesDataTable8[[#This Row],[Servicing Spread Non-Zero]]-K806</f>
        <v>0</v>
      </c>
      <c r="M807" s="16">
        <f>IF(I806&lt;&gt;0,CurrentMtgRatesDataTable8[[#This Row],[Rate]]-C806,M806)</f>
        <v>1.9999999999999574E-2</v>
      </c>
    </row>
    <row r="808" spans="1:13">
      <c r="A808" s="39" t="s">
        <v>854</v>
      </c>
      <c r="B808" s="40">
        <v>2.9822174038917302</v>
      </c>
      <c r="C808" s="11">
        <v>3.9449999999999994</v>
      </c>
      <c r="D808" s="16">
        <f t="shared" si="72"/>
        <v>2</v>
      </c>
      <c r="E808" s="16">
        <f t="shared" si="73"/>
        <v>0.2</v>
      </c>
      <c r="F808" s="16">
        <f t="shared" si="74"/>
        <v>2</v>
      </c>
      <c r="G808" s="16">
        <f t="shared" si="75"/>
        <v>1.2058038633229802</v>
      </c>
      <c r="H808" s="16">
        <f t="shared" si="76"/>
        <v>0.4</v>
      </c>
      <c r="I808" s="16">
        <f t="shared" si="77"/>
        <v>0</v>
      </c>
      <c r="J808" s="16">
        <f>IF(CurrentMtgRatesDataTable8[[#This Row],[WA CC]]&lt;&gt;0,C807-CurrentMtgRatesDataTable8[[#This Row],[WA CC]],0)</f>
        <v>0</v>
      </c>
      <c r="K808" s="16">
        <f>IF(CurrentMtgRatesDataTable8[[#This Row],[Servicing Spread]]&lt;=0,K807,CurrentMtgRatesDataTable8[[#This Row],[Servicing Spread]])</f>
        <v>0.85723884767587721</v>
      </c>
      <c r="L808" s="16">
        <f>CurrentMtgRatesDataTable8[[#This Row],[Servicing Spread Non-Zero]]-K807</f>
        <v>0</v>
      </c>
      <c r="M808" s="16">
        <f>IF(I807&lt;&gt;0,CurrentMtgRatesDataTable8[[#This Row],[Rate]]-C807,M807)</f>
        <v>1.9999999999999574E-2</v>
      </c>
    </row>
    <row r="809" spans="1:13">
      <c r="A809" s="39" t="s">
        <v>855</v>
      </c>
      <c r="B809" s="40">
        <v>3.0761568887156101</v>
      </c>
      <c r="C809" s="11">
        <v>3.9449999999999994</v>
      </c>
      <c r="D809" s="16">
        <f t="shared" si="72"/>
        <v>5</v>
      </c>
      <c r="E809" s="16">
        <f t="shared" si="73"/>
        <v>0.2</v>
      </c>
      <c r="F809" s="16">
        <f t="shared" si="74"/>
        <v>3</v>
      </c>
      <c r="G809" s="16">
        <f t="shared" si="75"/>
        <v>1.8210352410661024</v>
      </c>
      <c r="H809" s="16">
        <f t="shared" si="76"/>
        <v>0.60000000000000009</v>
      </c>
      <c r="I809" s="16">
        <f t="shared" si="77"/>
        <v>0</v>
      </c>
      <c r="J809" s="16">
        <f>IF(CurrentMtgRatesDataTable8[[#This Row],[WA CC]]&lt;&gt;0,C808-CurrentMtgRatesDataTable8[[#This Row],[WA CC]],0)</f>
        <v>0</v>
      </c>
      <c r="K809" s="16">
        <f>IF(CurrentMtgRatesDataTable8[[#This Row],[Servicing Spread]]&lt;=0,K808,CurrentMtgRatesDataTable8[[#This Row],[Servicing Spread]])</f>
        <v>0.85723884767587721</v>
      </c>
      <c r="L809" s="16">
        <f>CurrentMtgRatesDataTable8[[#This Row],[Servicing Spread Non-Zero]]-K808</f>
        <v>0</v>
      </c>
      <c r="M809" s="16">
        <f>IF(I808&lt;&gt;0,CurrentMtgRatesDataTable8[[#This Row],[Rate]]-C808,M808)</f>
        <v>1.9999999999999574E-2</v>
      </c>
    </row>
    <row r="810" spans="1:13">
      <c r="A810" s="39" t="s">
        <v>856</v>
      </c>
      <c r="B810" s="40">
        <v>3.1219045210798799</v>
      </c>
      <c r="C810" s="11">
        <v>3.9449999999999994</v>
      </c>
      <c r="D810" s="16">
        <f t="shared" si="72"/>
        <v>6</v>
      </c>
      <c r="E810" s="16">
        <f t="shared" si="73"/>
        <v>0.2</v>
      </c>
      <c r="F810" s="16">
        <f t="shared" si="74"/>
        <v>4</v>
      </c>
      <c r="G810" s="16">
        <f t="shared" si="75"/>
        <v>2.4454161452820786</v>
      </c>
      <c r="H810" s="16">
        <f t="shared" si="76"/>
        <v>0.8</v>
      </c>
      <c r="I810" s="16">
        <f t="shared" si="77"/>
        <v>0</v>
      </c>
      <c r="J810" s="16">
        <f>IF(CurrentMtgRatesDataTable8[[#This Row],[WA CC]]&lt;&gt;0,C809-CurrentMtgRatesDataTable8[[#This Row],[WA CC]],0)</f>
        <v>0</v>
      </c>
      <c r="K810" s="16">
        <f>IF(CurrentMtgRatesDataTable8[[#This Row],[Servicing Spread]]&lt;=0,K809,CurrentMtgRatesDataTable8[[#This Row],[Servicing Spread]])</f>
        <v>0.85723884767587721</v>
      </c>
      <c r="L810" s="16">
        <f>CurrentMtgRatesDataTable8[[#This Row],[Servicing Spread Non-Zero]]-K809</f>
        <v>0</v>
      </c>
      <c r="M810" s="16">
        <f>IF(I809&lt;&gt;0,CurrentMtgRatesDataTable8[[#This Row],[Rate]]-C809,M809)</f>
        <v>1.9999999999999574E-2</v>
      </c>
    </row>
    <row r="811" spans="1:13">
      <c r="A811" s="39" t="s">
        <v>857</v>
      </c>
      <c r="B811" s="40">
        <v>3.0912606104251101</v>
      </c>
      <c r="C811" s="11">
        <v>3.9449999999999994</v>
      </c>
      <c r="D811" s="16">
        <f t="shared" si="72"/>
        <v>7</v>
      </c>
      <c r="E811" s="16">
        <f t="shared" si="73"/>
        <v>0.2</v>
      </c>
      <c r="F811" s="16">
        <f t="shared" si="74"/>
        <v>5</v>
      </c>
      <c r="G811" s="16">
        <f t="shared" si="75"/>
        <v>3.0636682673671007</v>
      </c>
      <c r="H811" s="16">
        <f t="shared" si="76"/>
        <v>1</v>
      </c>
      <c r="I811" s="16">
        <f t="shared" si="77"/>
        <v>3.0636682673671007</v>
      </c>
      <c r="J811" s="16">
        <f>IF(CurrentMtgRatesDataTable8[[#This Row],[WA CC]]&lt;&gt;0,C810-CurrentMtgRatesDataTable8[[#This Row],[WA CC]],0)</f>
        <v>0.88133173263289866</v>
      </c>
      <c r="K811" s="16">
        <f>IF(CurrentMtgRatesDataTable8[[#This Row],[Servicing Spread]]&lt;=0,K810,CurrentMtgRatesDataTable8[[#This Row],[Servicing Spread]])</f>
        <v>0.88133173263289866</v>
      </c>
      <c r="L811" s="16">
        <f>CurrentMtgRatesDataTable8[[#This Row],[Servicing Spread Non-Zero]]-K810</f>
        <v>2.4092884957021443E-2</v>
      </c>
      <c r="M811" s="16">
        <f>IF(I810&lt;&gt;0,CurrentMtgRatesDataTable8[[#This Row],[Rate]]-C810,M810)</f>
        <v>1.9999999999999574E-2</v>
      </c>
    </row>
    <row r="812" spans="1:13">
      <c r="A812" s="39" t="s">
        <v>859</v>
      </c>
      <c r="B812" s="40">
        <v>3.1158923075545402</v>
      </c>
      <c r="C812" s="11">
        <v>3.98</v>
      </c>
      <c r="D812" s="16">
        <f t="shared" si="72"/>
        <v>1</v>
      </c>
      <c r="E812" s="16">
        <f t="shared" si="73"/>
        <v>0.2</v>
      </c>
      <c r="F812" s="16">
        <f t="shared" si="74"/>
        <v>1</v>
      </c>
      <c r="G812" s="16">
        <f t="shared" si="75"/>
        <v>0.62317846151090805</v>
      </c>
      <c r="H812" s="16">
        <f t="shared" si="76"/>
        <v>0.2</v>
      </c>
      <c r="I812" s="16">
        <f t="shared" si="77"/>
        <v>0</v>
      </c>
      <c r="J812" s="16">
        <f>IF(CurrentMtgRatesDataTable8[[#This Row],[WA CC]]&lt;&gt;0,C811-CurrentMtgRatesDataTable8[[#This Row],[WA CC]],0)</f>
        <v>0</v>
      </c>
      <c r="K812" s="16">
        <f>IF(CurrentMtgRatesDataTable8[[#This Row],[Servicing Spread]]&lt;=0,K811,CurrentMtgRatesDataTable8[[#This Row],[Servicing Spread]])</f>
        <v>0.88133173263289866</v>
      </c>
      <c r="L812" s="16">
        <f>CurrentMtgRatesDataTable8[[#This Row],[Servicing Spread Non-Zero]]-K811</f>
        <v>0</v>
      </c>
      <c r="M812" s="16">
        <f>IF(I811&lt;&gt;0,CurrentMtgRatesDataTable8[[#This Row],[Rate]]-C811,M811)</f>
        <v>3.5000000000000586E-2</v>
      </c>
    </row>
    <row r="813" spans="1:13">
      <c r="A813" s="39" t="s">
        <v>860</v>
      </c>
      <c r="B813" s="40">
        <v>3.2022687944333499</v>
      </c>
      <c r="C813" s="11">
        <v>3.98</v>
      </c>
      <c r="D813" s="16">
        <f t="shared" si="72"/>
        <v>2</v>
      </c>
      <c r="E813" s="16">
        <f t="shared" si="73"/>
        <v>0.2</v>
      </c>
      <c r="F813" s="16">
        <f t="shared" si="74"/>
        <v>2</v>
      </c>
      <c r="G813" s="16">
        <f t="shared" si="75"/>
        <v>1.2636322203975781</v>
      </c>
      <c r="H813" s="16">
        <f t="shared" si="76"/>
        <v>0.4</v>
      </c>
      <c r="I813" s="16">
        <f t="shared" si="77"/>
        <v>0</v>
      </c>
      <c r="J813" s="16">
        <f>IF(CurrentMtgRatesDataTable8[[#This Row],[WA CC]]&lt;&gt;0,C812-CurrentMtgRatesDataTable8[[#This Row],[WA CC]],0)</f>
        <v>0</v>
      </c>
      <c r="K813" s="16">
        <f>IF(CurrentMtgRatesDataTable8[[#This Row],[Servicing Spread]]&lt;=0,K812,CurrentMtgRatesDataTable8[[#This Row],[Servicing Spread]])</f>
        <v>0.88133173263289866</v>
      </c>
      <c r="L813" s="16">
        <f>CurrentMtgRatesDataTable8[[#This Row],[Servicing Spread Non-Zero]]-K812</f>
        <v>0</v>
      </c>
      <c r="M813" s="16">
        <f>IF(I812&lt;&gt;0,CurrentMtgRatesDataTable8[[#This Row],[Rate]]-C812,M812)</f>
        <v>3.5000000000000586E-2</v>
      </c>
    </row>
    <row r="814" spans="1:13">
      <c r="A814" s="39" t="s">
        <v>861</v>
      </c>
      <c r="B814" s="40">
        <v>3.0851869199683102</v>
      </c>
      <c r="C814" s="11">
        <v>3.98</v>
      </c>
      <c r="D814" s="16">
        <f t="shared" si="72"/>
        <v>5</v>
      </c>
      <c r="E814" s="16">
        <f t="shared" si="73"/>
        <v>0.2</v>
      </c>
      <c r="F814" s="16">
        <f t="shared" si="74"/>
        <v>3</v>
      </c>
      <c r="G814" s="16">
        <f t="shared" si="75"/>
        <v>1.8806696043912401</v>
      </c>
      <c r="H814" s="16">
        <f t="shared" si="76"/>
        <v>0.60000000000000009</v>
      </c>
      <c r="I814" s="16">
        <f t="shared" si="77"/>
        <v>0</v>
      </c>
      <c r="J814" s="16">
        <f>IF(CurrentMtgRatesDataTable8[[#This Row],[WA CC]]&lt;&gt;0,C813-CurrentMtgRatesDataTable8[[#This Row],[WA CC]],0)</f>
        <v>0</v>
      </c>
      <c r="K814" s="16">
        <f>IF(CurrentMtgRatesDataTable8[[#This Row],[Servicing Spread]]&lt;=0,K813,CurrentMtgRatesDataTable8[[#This Row],[Servicing Spread]])</f>
        <v>0.88133173263289866</v>
      </c>
      <c r="L814" s="16">
        <f>CurrentMtgRatesDataTable8[[#This Row],[Servicing Spread Non-Zero]]-K813</f>
        <v>0</v>
      </c>
      <c r="M814" s="16">
        <f>IF(I813&lt;&gt;0,CurrentMtgRatesDataTable8[[#This Row],[Rate]]-C813,M813)</f>
        <v>3.5000000000000586E-2</v>
      </c>
    </row>
    <row r="815" spans="1:13">
      <c r="A815" s="39" t="s">
        <v>862</v>
      </c>
      <c r="B815" s="40">
        <v>3.0732804432921599</v>
      </c>
      <c r="C815" s="11">
        <v>3.98</v>
      </c>
      <c r="D815" s="16">
        <f t="shared" si="72"/>
        <v>6</v>
      </c>
      <c r="E815" s="16">
        <f t="shared" si="73"/>
        <v>0.2</v>
      </c>
      <c r="F815" s="16">
        <f t="shared" si="74"/>
        <v>4</v>
      </c>
      <c r="G815" s="16">
        <f t="shared" si="75"/>
        <v>2.4953256930496721</v>
      </c>
      <c r="H815" s="16">
        <f t="shared" si="76"/>
        <v>0.8</v>
      </c>
      <c r="I815" s="16">
        <f t="shared" si="77"/>
        <v>0</v>
      </c>
      <c r="J815" s="16">
        <f>IF(CurrentMtgRatesDataTable8[[#This Row],[WA CC]]&lt;&gt;0,C814-CurrentMtgRatesDataTable8[[#This Row],[WA CC]],0)</f>
        <v>0</v>
      </c>
      <c r="K815" s="16">
        <f>IF(CurrentMtgRatesDataTable8[[#This Row],[Servicing Spread]]&lt;=0,K814,CurrentMtgRatesDataTable8[[#This Row],[Servicing Spread]])</f>
        <v>0.88133173263289866</v>
      </c>
      <c r="L815" s="16">
        <f>CurrentMtgRatesDataTable8[[#This Row],[Servicing Spread Non-Zero]]-K814</f>
        <v>0</v>
      </c>
      <c r="M815" s="16">
        <f>IF(I814&lt;&gt;0,CurrentMtgRatesDataTable8[[#This Row],[Rate]]-C814,M814)</f>
        <v>3.5000000000000586E-2</v>
      </c>
    </row>
    <row r="816" spans="1:13">
      <c r="A816" s="39" t="s">
        <v>863</v>
      </c>
      <c r="B816" s="40">
        <v>3.16276525236256</v>
      </c>
      <c r="C816" s="11">
        <v>3.98</v>
      </c>
      <c r="D816" s="16">
        <f t="shared" si="72"/>
        <v>7</v>
      </c>
      <c r="E816" s="16">
        <f t="shared" si="73"/>
        <v>0.2</v>
      </c>
      <c r="F816" s="16">
        <f t="shared" si="74"/>
        <v>5</v>
      </c>
      <c r="G816" s="16">
        <f t="shared" si="75"/>
        <v>3.1278787435221842</v>
      </c>
      <c r="H816" s="16">
        <f t="shared" si="76"/>
        <v>1</v>
      </c>
      <c r="I816" s="16">
        <f t="shared" si="77"/>
        <v>3.1278787435221842</v>
      </c>
      <c r="J816" s="16">
        <f>IF(CurrentMtgRatesDataTable8[[#This Row],[WA CC]]&lt;&gt;0,C815-CurrentMtgRatesDataTable8[[#This Row],[WA CC]],0)</f>
        <v>0.85212125647781578</v>
      </c>
      <c r="K816" s="16">
        <f>IF(CurrentMtgRatesDataTable8[[#This Row],[Servicing Spread]]&lt;=0,K815,CurrentMtgRatesDataTable8[[#This Row],[Servicing Spread]])</f>
        <v>0.85212125647781578</v>
      </c>
      <c r="L816" s="16">
        <f>CurrentMtgRatesDataTable8[[#This Row],[Servicing Spread Non-Zero]]-K815</f>
        <v>-2.9210476155082876E-2</v>
      </c>
      <c r="M816" s="16">
        <f>IF(I815&lt;&gt;0,CurrentMtgRatesDataTable8[[#This Row],[Rate]]-C815,M815)</f>
        <v>3.5000000000000586E-2</v>
      </c>
    </row>
    <row r="817" spans="1:4">
      <c r="A817" s="7"/>
      <c r="B817" s="7"/>
      <c r="C817" s="7"/>
      <c r="D817" s="7"/>
    </row>
    <row r="818" spans="1:4">
      <c r="A818" s="7"/>
      <c r="B818" s="7"/>
      <c r="C818" s="7"/>
      <c r="D818" s="7"/>
    </row>
    <row r="819" spans="1:4">
      <c r="A819" s="7"/>
      <c r="B819" s="7"/>
      <c r="C819" s="7"/>
      <c r="D819" s="7"/>
    </row>
    <row r="820" spans="1:4">
      <c r="A820" s="7"/>
      <c r="B820" s="7"/>
      <c r="C820" s="7"/>
      <c r="D820" s="7"/>
    </row>
    <row r="821" spans="1:4">
      <c r="A821" s="7"/>
      <c r="B821" s="7"/>
      <c r="C821" s="7"/>
      <c r="D821" s="7"/>
    </row>
    <row r="822" spans="1:4">
      <c r="A822" s="7"/>
      <c r="B822" s="7"/>
      <c r="C822" s="7"/>
      <c r="D822" s="7"/>
    </row>
    <row r="823" spans="1:4">
      <c r="A823" s="7"/>
      <c r="B823" s="7"/>
      <c r="C823" s="7"/>
      <c r="D823" s="7"/>
    </row>
    <row r="824" spans="1:4">
      <c r="A824" s="7"/>
      <c r="B824" s="7"/>
      <c r="C824" s="7"/>
      <c r="D824" s="7"/>
    </row>
    <row r="825" spans="1:4">
      <c r="A825" s="7"/>
      <c r="B825" s="7"/>
      <c r="C825" s="7"/>
      <c r="D825" s="7"/>
    </row>
    <row r="826" spans="1:4">
      <c r="A826" s="7"/>
      <c r="B826" s="7"/>
      <c r="C826" s="7"/>
      <c r="D826" s="7"/>
    </row>
    <row r="827" spans="1:4">
      <c r="A827" s="7"/>
      <c r="B827" s="7"/>
      <c r="C827" s="7"/>
      <c r="D827" s="7"/>
    </row>
    <row r="828" spans="1:4">
      <c r="A828" s="7"/>
      <c r="B828" s="7"/>
      <c r="C828" s="7"/>
      <c r="D828" s="7"/>
    </row>
    <row r="829" spans="1:4">
      <c r="A829" s="7"/>
      <c r="B829" s="7"/>
      <c r="C829" s="7"/>
      <c r="D829" s="7"/>
    </row>
    <row r="830" spans="1:4">
      <c r="A830" s="7"/>
      <c r="B830" s="7"/>
      <c r="C830" s="7"/>
      <c r="D830" s="7"/>
    </row>
    <row r="831" spans="1:4">
      <c r="A831" s="7"/>
      <c r="B831" s="7"/>
      <c r="C831" s="7"/>
      <c r="D831" s="7"/>
    </row>
    <row r="832" spans="1:4">
      <c r="A832" s="7"/>
      <c r="B832" s="7"/>
      <c r="C832" s="7"/>
      <c r="D832" s="7"/>
    </row>
    <row r="833" spans="1:4">
      <c r="A833" s="7"/>
      <c r="B833" s="7"/>
      <c r="C833" s="7"/>
      <c r="D833" s="7"/>
    </row>
    <row r="834" spans="1:4">
      <c r="A834" s="7"/>
      <c r="B834" s="7"/>
      <c r="C834" s="7"/>
      <c r="D834" s="7"/>
    </row>
    <row r="835" spans="1:4">
      <c r="A835" s="7"/>
      <c r="B835" s="7"/>
      <c r="C835" s="7"/>
      <c r="D835" s="7"/>
    </row>
    <row r="836" spans="1:4">
      <c r="A836" s="7"/>
      <c r="B836" s="7"/>
      <c r="C836" s="7"/>
      <c r="D836" s="7"/>
    </row>
    <row r="837" spans="1:4">
      <c r="A837" s="7"/>
      <c r="B837" s="7"/>
      <c r="C837" s="7"/>
      <c r="D837" s="7"/>
    </row>
    <row r="838" spans="1:4">
      <c r="A838" s="7"/>
      <c r="B838" s="7"/>
      <c r="C838" s="7"/>
      <c r="D838" s="7"/>
    </row>
    <row r="839" spans="1:4">
      <c r="A839" s="7"/>
      <c r="B839" s="7"/>
      <c r="C839" s="7"/>
      <c r="D839" s="7"/>
    </row>
    <row r="840" spans="1:4">
      <c r="A840" s="7"/>
      <c r="B840" s="7"/>
      <c r="C840" s="7"/>
      <c r="D840" s="7"/>
    </row>
    <row r="841" spans="1:4">
      <c r="A841" s="7"/>
      <c r="B841" s="7"/>
      <c r="C841" s="7"/>
      <c r="D841" s="7"/>
    </row>
    <row r="842" spans="1:4">
      <c r="A842" s="7"/>
      <c r="B842" s="7"/>
      <c r="C842" s="7"/>
      <c r="D842" s="7"/>
    </row>
    <row r="843" spans="1:4">
      <c r="A843" s="7"/>
      <c r="B843" s="7"/>
      <c r="C843" s="7"/>
      <c r="D843" s="7"/>
    </row>
    <row r="844" spans="1:4">
      <c r="A844" s="7"/>
      <c r="B844" s="7"/>
      <c r="C844" s="7"/>
      <c r="D844" s="7"/>
    </row>
    <row r="845" spans="1:4">
      <c r="A845" s="7"/>
      <c r="B845" s="7"/>
      <c r="C845" s="7"/>
      <c r="D845" s="7"/>
    </row>
    <row r="846" spans="1:4">
      <c r="A846" s="7"/>
      <c r="B846" s="7"/>
      <c r="C846" s="7"/>
      <c r="D846" s="7"/>
    </row>
    <row r="847" spans="1:4">
      <c r="A847" s="7"/>
      <c r="B847" s="7"/>
      <c r="C847" s="7"/>
      <c r="D847" s="7"/>
    </row>
    <row r="848" spans="1:4">
      <c r="A848" s="7"/>
      <c r="B848" s="7"/>
      <c r="C848" s="7"/>
      <c r="D848" s="7"/>
    </row>
    <row r="849" spans="1:4">
      <c r="A849" s="7"/>
      <c r="B849" s="7"/>
      <c r="C849" s="7"/>
      <c r="D849" s="7"/>
    </row>
    <row r="850" spans="1:4">
      <c r="A850" s="7"/>
      <c r="B850" s="7"/>
      <c r="C850" s="7"/>
      <c r="D850" s="7"/>
    </row>
    <row r="851" spans="1:4">
      <c r="A851" s="7"/>
      <c r="B851" s="7"/>
      <c r="C851" s="7"/>
      <c r="D851" s="7"/>
    </row>
    <row r="852" spans="1:4">
      <c r="A852" s="7"/>
      <c r="B852" s="7"/>
      <c r="C852" s="7"/>
      <c r="D852" s="7"/>
    </row>
    <row r="853" spans="1:4">
      <c r="A853" s="7"/>
      <c r="B853" s="7"/>
      <c r="C853" s="7"/>
      <c r="D853" s="7"/>
    </row>
    <row r="854" spans="1:4">
      <c r="A854" s="7"/>
      <c r="B854" s="7"/>
      <c r="C854" s="7"/>
      <c r="D854" s="7"/>
    </row>
    <row r="855" spans="1:4">
      <c r="A855" s="7"/>
      <c r="B855" s="7"/>
      <c r="C855" s="7"/>
      <c r="D855" s="7"/>
    </row>
    <row r="856" spans="1:4">
      <c r="A856" s="7"/>
      <c r="B856" s="7"/>
      <c r="C856" s="7"/>
      <c r="D856" s="7"/>
    </row>
    <row r="857" spans="1:4">
      <c r="A857" s="7"/>
      <c r="B857" s="7"/>
      <c r="C857" s="7"/>
      <c r="D857" s="9"/>
    </row>
    <row r="858" spans="1:4">
      <c r="A858" s="9"/>
      <c r="B858" s="9"/>
      <c r="C858" s="9"/>
      <c r="D858" s="9"/>
    </row>
    <row r="859" spans="1:4">
      <c r="A859" s="9"/>
      <c r="B859" s="9"/>
      <c r="C859" s="9"/>
      <c r="D859" s="9"/>
    </row>
    <row r="860" spans="1:4">
      <c r="A860" s="9"/>
      <c r="B860" s="9"/>
      <c r="C860" s="9"/>
      <c r="D860" s="9"/>
    </row>
    <row r="861" spans="1:4">
      <c r="A861" s="9"/>
      <c r="B861" s="9"/>
      <c r="C861" s="9"/>
      <c r="D861" s="9"/>
    </row>
    <row r="862" spans="1:4">
      <c r="A862" s="9"/>
      <c r="B862" s="9"/>
      <c r="C862" s="9"/>
      <c r="D862" s="9"/>
    </row>
    <row r="863" spans="1:4">
      <c r="A863" s="9"/>
      <c r="B863" s="9"/>
      <c r="C863" s="9"/>
      <c r="D863" s="9"/>
    </row>
    <row r="864" spans="1:4">
      <c r="A864" s="9"/>
      <c r="B864" s="9"/>
      <c r="C864" s="9"/>
      <c r="D864" s="9"/>
    </row>
    <row r="865" spans="1:4">
      <c r="A865" s="9"/>
      <c r="B865" s="9"/>
      <c r="C865" s="9"/>
      <c r="D865" s="9"/>
    </row>
    <row r="866" spans="1:4">
      <c r="A866" s="9"/>
      <c r="B866" s="9"/>
      <c r="C866" s="9"/>
      <c r="D866" s="9"/>
    </row>
    <row r="867" spans="1:4">
      <c r="A867" s="9"/>
      <c r="B867" s="9"/>
      <c r="C867" s="9"/>
      <c r="D867" s="9"/>
    </row>
    <row r="868" spans="1:4">
      <c r="A868" s="9"/>
      <c r="B868" s="9"/>
      <c r="C868" s="9"/>
      <c r="D868" s="9"/>
    </row>
    <row r="869" spans="1:4">
      <c r="A869" s="9"/>
      <c r="B869" s="9"/>
      <c r="C869" s="9"/>
      <c r="D869" s="9"/>
    </row>
    <row r="870" spans="1:4">
      <c r="A870" s="9"/>
      <c r="B870" s="9"/>
      <c r="C870" s="9"/>
      <c r="D870" s="9"/>
    </row>
    <row r="871" spans="1:4">
      <c r="A871" s="9"/>
      <c r="B871" s="9"/>
      <c r="C871" s="9"/>
      <c r="D871" s="9"/>
    </row>
    <row r="872" spans="1:4">
      <c r="A872" s="9"/>
      <c r="B872" s="9"/>
      <c r="C872" s="9"/>
      <c r="D872" s="9"/>
    </row>
    <row r="873" spans="1:4">
      <c r="A873" s="9"/>
      <c r="B873" s="9"/>
      <c r="C873" s="9"/>
      <c r="D873" s="9"/>
    </row>
    <row r="874" spans="1:4">
      <c r="A874" s="9"/>
      <c r="B874" s="9"/>
      <c r="C874" s="9"/>
      <c r="D874" s="9"/>
    </row>
    <row r="875" spans="1:4">
      <c r="A875" s="9"/>
      <c r="B875" s="9"/>
      <c r="C875" s="9"/>
      <c r="D875" s="9"/>
    </row>
    <row r="876" spans="1:4">
      <c r="A876" s="9"/>
      <c r="B876" s="9"/>
      <c r="C876" s="9"/>
      <c r="D876" s="9"/>
    </row>
    <row r="877" spans="1:4">
      <c r="A877" s="9"/>
      <c r="B877" s="9"/>
      <c r="C877" s="9"/>
      <c r="D877" s="9"/>
    </row>
    <row r="878" spans="1:4">
      <c r="A878" s="9"/>
      <c r="B878" s="9"/>
      <c r="C878" s="9"/>
      <c r="D878" s="9"/>
    </row>
    <row r="879" spans="1:4">
      <c r="A879" s="9"/>
      <c r="B879" s="9"/>
      <c r="C879" s="9"/>
      <c r="D879" s="9"/>
    </row>
    <row r="880" spans="1:4">
      <c r="A880" s="9"/>
      <c r="B880" s="9"/>
      <c r="C880" s="9"/>
      <c r="D880" s="9"/>
    </row>
    <row r="881" spans="1:4">
      <c r="A881" s="9"/>
      <c r="B881" s="9"/>
      <c r="C881" s="9"/>
      <c r="D881" s="9"/>
    </row>
    <row r="882" spans="1:4">
      <c r="A882" s="9"/>
      <c r="B882" s="9"/>
      <c r="C882" s="9"/>
      <c r="D882" s="9"/>
    </row>
    <row r="883" spans="1:4">
      <c r="A883" s="9"/>
      <c r="B883" s="9"/>
      <c r="C883" s="9"/>
      <c r="D883" s="9"/>
    </row>
    <row r="884" spans="1:4">
      <c r="A884" s="9"/>
      <c r="B884" s="9"/>
      <c r="C884" s="9"/>
      <c r="D884" s="9"/>
    </row>
    <row r="885" spans="1:4">
      <c r="A885" s="9"/>
      <c r="B885" s="9"/>
      <c r="C885" s="9"/>
      <c r="D885" s="9"/>
    </row>
    <row r="886" spans="1:4">
      <c r="A886" s="9"/>
      <c r="B886" s="9"/>
      <c r="C886" s="9"/>
      <c r="D886" s="9"/>
    </row>
    <row r="887" spans="1:4">
      <c r="A887" s="9"/>
      <c r="B887" s="9"/>
      <c r="C887" s="9"/>
      <c r="D887" s="9"/>
    </row>
    <row r="888" spans="1:4">
      <c r="A888" s="9"/>
      <c r="B888" s="9"/>
      <c r="C888" s="9"/>
      <c r="D888" s="9"/>
    </row>
    <row r="889" spans="1:4">
      <c r="A889" s="9"/>
      <c r="B889" s="9"/>
      <c r="C889" s="9"/>
      <c r="D889" s="9"/>
    </row>
    <row r="890" spans="1:4">
      <c r="A890" s="9"/>
      <c r="B890" s="9"/>
      <c r="C890" s="9"/>
      <c r="D890" s="9"/>
    </row>
    <row r="891" spans="1:4">
      <c r="A891" s="9"/>
      <c r="B891" s="9"/>
      <c r="C891" s="9"/>
      <c r="D891" s="9"/>
    </row>
    <row r="892" spans="1:4">
      <c r="A892" s="9"/>
      <c r="B892" s="9"/>
      <c r="C892" s="9"/>
      <c r="D892" s="9"/>
    </row>
    <row r="893" spans="1:4">
      <c r="A893" s="9"/>
      <c r="B893" s="9"/>
      <c r="C893" s="9"/>
      <c r="D893" s="9"/>
    </row>
    <row r="894" spans="1:4">
      <c r="A894" s="9"/>
      <c r="B894" s="9"/>
      <c r="C894" s="9"/>
      <c r="D894" s="9"/>
    </row>
    <row r="895" spans="1:4">
      <c r="A895" s="9"/>
      <c r="B895" s="9"/>
      <c r="C895" s="9"/>
      <c r="D895" s="9"/>
    </row>
    <row r="896" spans="1:4">
      <c r="A896" s="9"/>
      <c r="B896" s="9"/>
      <c r="C896" s="9"/>
      <c r="D896" s="9"/>
    </row>
    <row r="897" spans="1:4">
      <c r="A897" s="9"/>
      <c r="B897" s="9"/>
      <c r="C897" s="9"/>
      <c r="D897" s="9"/>
    </row>
    <row r="898" spans="1:4">
      <c r="A898" s="9"/>
      <c r="B898" s="9"/>
      <c r="C898" s="9"/>
      <c r="D898" s="9"/>
    </row>
    <row r="899" spans="1:4">
      <c r="A899" s="9"/>
      <c r="B899" s="9"/>
      <c r="C899" s="9"/>
      <c r="D899" s="9"/>
    </row>
    <row r="900" spans="1:4">
      <c r="A900" s="9"/>
      <c r="B900" s="9"/>
      <c r="C900" s="9"/>
      <c r="D900" s="9"/>
    </row>
    <row r="901" spans="1:4">
      <c r="A901" s="9"/>
      <c r="B901" s="9"/>
      <c r="C901" s="9"/>
      <c r="D901" s="9"/>
    </row>
    <row r="902" spans="1:4">
      <c r="A902" s="9"/>
      <c r="B902" s="9"/>
      <c r="C902" s="9"/>
      <c r="D902" s="9"/>
    </row>
    <row r="903" spans="1:4">
      <c r="A903" s="9"/>
      <c r="B903" s="9"/>
      <c r="C903" s="9"/>
      <c r="D903" s="9"/>
    </row>
    <row r="904" spans="1:4">
      <c r="A904" s="9"/>
      <c r="B904" s="9"/>
      <c r="C904" s="9"/>
      <c r="D904" s="9"/>
    </row>
    <row r="905" spans="1:4">
      <c r="A905" s="9"/>
      <c r="B905" s="9"/>
      <c r="C905" s="9"/>
      <c r="D905" s="9"/>
    </row>
    <row r="906" spans="1:4">
      <c r="A906" s="9"/>
      <c r="B906" s="9"/>
      <c r="C906" s="9"/>
      <c r="D906" s="9"/>
    </row>
    <row r="907" spans="1:4">
      <c r="A907" s="9"/>
      <c r="B907" s="9"/>
      <c r="C907" s="9"/>
      <c r="D907" s="9"/>
    </row>
    <row r="908" spans="1:4">
      <c r="A908" s="9"/>
      <c r="B908" s="9"/>
      <c r="C908" s="9"/>
      <c r="D908" s="9"/>
    </row>
    <row r="909" spans="1:4">
      <c r="A909" s="9"/>
      <c r="B909" s="9"/>
      <c r="C909" s="9"/>
      <c r="D909" s="9"/>
    </row>
    <row r="910" spans="1:4">
      <c r="A910" s="9"/>
      <c r="B910" s="9"/>
      <c r="C910" s="9"/>
      <c r="D910" s="9"/>
    </row>
    <row r="911" spans="1:4">
      <c r="A911" s="9"/>
      <c r="B911" s="9"/>
      <c r="C911" s="9"/>
      <c r="D911" s="9"/>
    </row>
    <row r="912" spans="1:4">
      <c r="A912" s="9"/>
      <c r="B912" s="9"/>
      <c r="C912" s="9"/>
      <c r="D912" s="9"/>
    </row>
    <row r="913" spans="1:4">
      <c r="A913" s="9"/>
      <c r="B913" s="9"/>
      <c r="C913" s="9"/>
      <c r="D913" s="9"/>
    </row>
    <row r="914" spans="1:4">
      <c r="A914" s="9"/>
      <c r="B914" s="9"/>
      <c r="C914" s="9"/>
      <c r="D914" s="9"/>
    </row>
    <row r="915" spans="1:4">
      <c r="A915" s="9"/>
      <c r="B915" s="9"/>
      <c r="C915" s="9"/>
      <c r="D915" s="9"/>
    </row>
    <row r="916" spans="1:4">
      <c r="A916" s="9"/>
      <c r="B916" s="9"/>
      <c r="C916" s="9"/>
      <c r="D916" s="9"/>
    </row>
    <row r="917" spans="1:4">
      <c r="A917" s="9"/>
      <c r="B917" s="9"/>
      <c r="C917" s="9"/>
      <c r="D917" s="9"/>
    </row>
    <row r="918" spans="1:4">
      <c r="A918" s="9"/>
      <c r="B918" s="9"/>
      <c r="C918" s="9"/>
      <c r="D918" s="9"/>
    </row>
    <row r="919" spans="1:4">
      <c r="A919" s="9"/>
      <c r="B919" s="9"/>
      <c r="C919" s="9"/>
      <c r="D919" s="9"/>
    </row>
    <row r="920" spans="1:4">
      <c r="A920" s="9"/>
      <c r="B920" s="9"/>
      <c r="C920" s="9"/>
      <c r="D920" s="9"/>
    </row>
    <row r="921" spans="1:4">
      <c r="A921" s="9"/>
      <c r="B921" s="9"/>
      <c r="C921" s="9"/>
      <c r="D921" s="9"/>
    </row>
    <row r="922" spans="1:4">
      <c r="A922" s="9"/>
      <c r="B922" s="9"/>
      <c r="C922" s="9"/>
      <c r="D922" s="9"/>
    </row>
    <row r="923" spans="1:4">
      <c r="A923" s="9"/>
      <c r="B923" s="9"/>
      <c r="C923" s="9"/>
      <c r="D923" s="9"/>
    </row>
    <row r="924" spans="1:4">
      <c r="A924" s="9"/>
      <c r="B924" s="9"/>
      <c r="C924" s="9"/>
      <c r="D924" s="9"/>
    </row>
    <row r="925" spans="1:4">
      <c r="A925" s="9"/>
      <c r="B925" s="9"/>
      <c r="C925" s="9"/>
      <c r="D925" s="9"/>
    </row>
    <row r="926" spans="1:4">
      <c r="A926" s="9"/>
      <c r="B926" s="9"/>
      <c r="C926" s="9"/>
      <c r="D926" s="9"/>
    </row>
    <row r="927" spans="1:4">
      <c r="A927" s="9"/>
      <c r="B927" s="9"/>
      <c r="C927" s="9"/>
      <c r="D927" s="9"/>
    </row>
    <row r="928" spans="1:4">
      <c r="A928" s="9"/>
      <c r="B928" s="9"/>
      <c r="C928" s="9"/>
      <c r="D928" s="9"/>
    </row>
    <row r="929" spans="1:4">
      <c r="A929" s="9"/>
      <c r="B929" s="9"/>
      <c r="C929" s="9"/>
      <c r="D929" s="9"/>
    </row>
    <row r="930" spans="1:4">
      <c r="A930" s="9"/>
      <c r="B930" s="9"/>
      <c r="C930" s="9"/>
    </row>
  </sheetData>
  <conditionalFormatting sqref="G51:G61 J62:L92">
    <cfRule type="cellIs" dxfId="13" priority="1" operator="between">
      <formula>30</formula>
      <formula>60</formula>
    </cfRule>
    <cfRule type="cellIs" priority="2" operator="between">
      <formula>30</formula>
      <formula>60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73"/>
  <sheetViews>
    <sheetView tabSelected="1" workbookViewId="0">
      <selection activeCell="V25" sqref="V25"/>
    </sheetView>
  </sheetViews>
  <sheetFormatPr defaultRowHeight="15"/>
  <cols>
    <col min="1" max="1" width="15.7109375" customWidth="1"/>
    <col min="2" max="2" width="18.28515625" bestFit="1" customWidth="1"/>
    <col min="3" max="3" width="23.7109375" bestFit="1" customWidth="1"/>
    <col min="4" max="4" width="17.28515625" bestFit="1" customWidth="1"/>
    <col min="5" max="5" width="6" bestFit="1" customWidth="1"/>
    <col min="6" max="6" width="13.140625" bestFit="1" customWidth="1"/>
    <col min="7" max="7" width="17.85546875" bestFit="1" customWidth="1"/>
    <col min="8" max="8" width="19.28515625" bestFit="1" customWidth="1"/>
    <col min="9" max="9" width="4" bestFit="1" customWidth="1"/>
    <col min="10" max="13" width="6" bestFit="1" customWidth="1"/>
    <col min="14" max="14" width="9.5703125" bestFit="1" customWidth="1"/>
    <col min="15" max="15" width="8.7109375" bestFit="1" customWidth="1"/>
    <col min="16" max="16" width="5.5703125" bestFit="1" customWidth="1"/>
    <col min="17" max="17" width="5" bestFit="1" customWidth="1"/>
    <col min="18" max="20" width="6" bestFit="1" customWidth="1"/>
    <col min="21" max="21" width="5" bestFit="1" customWidth="1"/>
    <col min="22" max="22" width="6" bestFit="1" customWidth="1"/>
    <col min="23" max="23" width="5" bestFit="1" customWidth="1"/>
    <col min="24" max="24" width="6" bestFit="1" customWidth="1"/>
    <col min="25" max="25" width="5" bestFit="1" customWidth="1"/>
    <col min="26" max="26" width="6" bestFit="1" customWidth="1"/>
    <col min="27" max="29" width="5" bestFit="1" customWidth="1"/>
    <col min="30" max="30" width="6" bestFit="1" customWidth="1"/>
    <col min="31" max="33" width="5" bestFit="1" customWidth="1"/>
    <col min="34" max="36" width="6" bestFit="1" customWidth="1"/>
    <col min="37" max="37" width="4" bestFit="1" customWidth="1"/>
    <col min="38" max="38" width="6" bestFit="1" customWidth="1"/>
    <col min="39" max="39" width="5" bestFit="1" customWidth="1"/>
    <col min="40" max="40" width="6" bestFit="1" customWidth="1"/>
    <col min="41" max="42" width="5" bestFit="1" customWidth="1"/>
    <col min="43" max="44" width="6" bestFit="1" customWidth="1"/>
    <col min="45" max="46" width="5" bestFit="1" customWidth="1"/>
    <col min="47" max="48" width="6" bestFit="1" customWidth="1"/>
    <col min="49" max="50" width="5" bestFit="1" customWidth="1"/>
    <col min="51" max="55" width="6" bestFit="1" customWidth="1"/>
    <col min="56" max="56" width="5" bestFit="1" customWidth="1"/>
    <col min="57" max="64" width="6" bestFit="1" customWidth="1"/>
    <col min="65" max="65" width="5" bestFit="1" customWidth="1"/>
    <col min="66" max="67" width="6" bestFit="1" customWidth="1"/>
    <col min="68" max="69" width="5" bestFit="1" customWidth="1"/>
    <col min="70" max="70" width="6" bestFit="1" customWidth="1"/>
    <col min="71" max="72" width="5" bestFit="1" customWidth="1"/>
    <col min="73" max="73" width="11.28515625" bestFit="1" customWidth="1"/>
  </cols>
  <sheetData>
    <row r="1" spans="1:16">
      <c r="A1" s="17" t="s">
        <v>729</v>
      </c>
      <c r="B1" t="s">
        <v>730</v>
      </c>
      <c r="F1" s="17" t="s">
        <v>858</v>
      </c>
      <c r="G1" t="s">
        <v>730</v>
      </c>
    </row>
    <row r="3" spans="1:16">
      <c r="B3" t="s">
        <v>732</v>
      </c>
      <c r="C3" t="s">
        <v>787</v>
      </c>
      <c r="F3" s="17" t="s">
        <v>777</v>
      </c>
      <c r="G3" t="s">
        <v>782</v>
      </c>
      <c r="H3" t="s">
        <v>778</v>
      </c>
      <c r="N3" t="s">
        <v>864</v>
      </c>
      <c r="O3" s="10" t="str">
        <f>TEXT(LastAvailableDate,"yyyy-mm-dd")</f>
        <v>2015-07-01</v>
      </c>
      <c r="P3">
        <f>VLOOKUP(O3,'Time Series Query'!A:J,10,0)</f>
        <v>0.85212125647781578</v>
      </c>
    </row>
    <row r="4" spans="1:16">
      <c r="A4" s="18" t="s">
        <v>20</v>
      </c>
      <c r="B4" s="19">
        <v>3.8049999999999997</v>
      </c>
      <c r="C4" s="19">
        <v>0.85740605792428326</v>
      </c>
      <c r="F4" s="18" t="s">
        <v>863</v>
      </c>
      <c r="G4" s="19">
        <v>3.5000000000000586E-2</v>
      </c>
      <c r="H4" s="19">
        <v>-2.9210476155082876E-2</v>
      </c>
    </row>
    <row r="5" spans="1:16">
      <c r="A5" s="18" t="s">
        <v>21</v>
      </c>
      <c r="B5" s="19">
        <v>3.85</v>
      </c>
      <c r="C5" s="19">
        <v>0.90892898726938398</v>
      </c>
      <c r="F5" s="18" t="s">
        <v>857</v>
      </c>
      <c r="G5" s="19">
        <v>1.9999999999999574E-2</v>
      </c>
      <c r="H5" s="19">
        <v>2.4092884957021443E-2</v>
      </c>
    </row>
    <row r="6" spans="1:16">
      <c r="A6" s="18" t="s">
        <v>22</v>
      </c>
      <c r="B6" s="19">
        <v>3.8049999999999997</v>
      </c>
      <c r="C6" s="19">
        <v>0.90800277596573187</v>
      </c>
      <c r="F6" s="18" t="s">
        <v>852</v>
      </c>
      <c r="G6" s="19">
        <v>-1.5000000000000124E-2</v>
      </c>
      <c r="H6" s="19">
        <v>2.4456070852163059E-2</v>
      </c>
    </row>
    <row r="7" spans="1:16">
      <c r="A7" s="18" t="s">
        <v>23</v>
      </c>
      <c r="B7" s="19">
        <v>3.79</v>
      </c>
      <c r="C7" s="19">
        <v>0.91262067011153603</v>
      </c>
      <c r="F7" s="18" t="s">
        <v>847</v>
      </c>
      <c r="G7" s="19">
        <v>0.16999999999999993</v>
      </c>
      <c r="H7" s="19">
        <v>-2.1840425541437725E-2</v>
      </c>
    </row>
    <row r="8" spans="1:16">
      <c r="A8" s="18" t="s">
        <v>24</v>
      </c>
      <c r="B8" s="19">
        <v>3.7549999999999999</v>
      </c>
      <c r="C8" s="19">
        <v>0.90097138481057204</v>
      </c>
      <c r="F8" s="18" t="s">
        <v>842</v>
      </c>
      <c r="G8" s="19">
        <v>0</v>
      </c>
      <c r="H8" s="19">
        <v>-5.3468289754485809E-2</v>
      </c>
    </row>
    <row r="9" spans="1:16">
      <c r="A9" s="18" t="s">
        <v>25</v>
      </c>
      <c r="B9" s="19">
        <v>3.7149999999999999</v>
      </c>
      <c r="C9" s="19">
        <v>0.93226042608146331</v>
      </c>
      <c r="F9" s="18" t="s">
        <v>837</v>
      </c>
      <c r="G9" s="19">
        <v>5.0000000000003375E-3</v>
      </c>
      <c r="H9" s="19">
        <v>3.4011064223236076E-2</v>
      </c>
    </row>
    <row r="10" spans="1:16">
      <c r="A10" s="18" t="s">
        <v>26</v>
      </c>
      <c r="B10" s="19">
        <v>3.73</v>
      </c>
      <c r="C10" s="19">
        <v>1.0123684617614601</v>
      </c>
      <c r="F10" s="18" t="s">
        <v>833</v>
      </c>
      <c r="G10" s="19">
        <v>1.499999999999968E-2</v>
      </c>
      <c r="H10" s="19">
        <v>2.1433680318719617E-2</v>
      </c>
    </row>
    <row r="11" spans="1:16">
      <c r="A11" s="18" t="s">
        <v>27</v>
      </c>
      <c r="B11" s="19">
        <v>3.7</v>
      </c>
      <c r="C11" s="19">
        <v>0.9549130523202578</v>
      </c>
      <c r="F11" s="18" t="s">
        <v>828</v>
      </c>
      <c r="G11" s="19">
        <v>5.0000000000000266E-2</v>
      </c>
      <c r="H11" s="19">
        <v>-9.1423908149113053E-3</v>
      </c>
    </row>
    <row r="12" spans="1:16">
      <c r="A12" s="18" t="s">
        <v>28</v>
      </c>
      <c r="B12" s="19">
        <v>3.5949999999999998</v>
      </c>
      <c r="C12" s="19">
        <v>0.95912365236317143</v>
      </c>
      <c r="F12" s="18" t="s">
        <v>823</v>
      </c>
      <c r="G12" s="19">
        <v>0.11999999999999966</v>
      </c>
      <c r="H12" s="19">
        <v>-4.3117266426378364E-2</v>
      </c>
    </row>
    <row r="13" spans="1:16">
      <c r="A13" s="18" t="s">
        <v>29</v>
      </c>
      <c r="B13" s="19">
        <v>3.6349999999999998</v>
      </c>
      <c r="C13" s="19">
        <v>0.96597913618116982</v>
      </c>
      <c r="F13" s="18" t="s">
        <v>818</v>
      </c>
      <c r="G13" s="19">
        <v>3.0000000000000249E-2</v>
      </c>
      <c r="H13" s="19">
        <v>-3.7201580549312219E-2</v>
      </c>
    </row>
    <row r="14" spans="1:16">
      <c r="A14" s="18" t="s">
        <v>30</v>
      </c>
      <c r="B14" s="19">
        <v>3.585</v>
      </c>
      <c r="C14" s="19">
        <v>0.96884999094910818</v>
      </c>
      <c r="F14" s="18" t="s">
        <v>813</v>
      </c>
      <c r="G14" s="19">
        <v>-4.4999999999999929E-2</v>
      </c>
      <c r="H14" s="19">
        <v>-2.5302885990095447E-2</v>
      </c>
    </row>
    <row r="15" spans="1:16">
      <c r="A15" s="18" t="s">
        <v>31</v>
      </c>
      <c r="B15" s="19">
        <v>3.585</v>
      </c>
      <c r="C15" s="19">
        <v>0.97184038648178994</v>
      </c>
      <c r="F15" s="18" t="s">
        <v>808</v>
      </c>
      <c r="G15" s="19">
        <v>3.4999999999999698E-2</v>
      </c>
      <c r="H15" s="19">
        <v>3.2449304119709144E-2</v>
      </c>
    </row>
    <row r="16" spans="1:16">
      <c r="A16" s="18" t="s">
        <v>177</v>
      </c>
      <c r="B16" s="19">
        <v>3.5700000000000003</v>
      </c>
      <c r="C16" s="19">
        <v>0.99417922391653057</v>
      </c>
      <c r="F16" s="18" t="s">
        <v>803</v>
      </c>
      <c r="G16" s="19">
        <v>-4.0000000000000036E-2</v>
      </c>
      <c r="H16" s="19">
        <v>1.4242501976801769E-2</v>
      </c>
    </row>
    <row r="17" spans="1:8">
      <c r="A17" s="18" t="s">
        <v>32</v>
      </c>
      <c r="B17" s="19">
        <v>3.4849999999999999</v>
      </c>
      <c r="C17" s="19">
        <v>1.0216256281574356</v>
      </c>
      <c r="F17" s="18" t="s">
        <v>798</v>
      </c>
      <c r="G17" s="19">
        <v>1.0000000000000231E-2</v>
      </c>
      <c r="H17" s="19">
        <v>-6.7099163604633638E-3</v>
      </c>
    </row>
    <row r="18" spans="1:8">
      <c r="A18" s="18" t="s">
        <v>33</v>
      </c>
      <c r="B18" s="19">
        <v>3.4549999999999996</v>
      </c>
      <c r="C18" s="19">
        <v>1.0408564220641514</v>
      </c>
      <c r="F18" s="18" t="s">
        <v>793</v>
      </c>
      <c r="G18" s="19">
        <v>-8.9999999999999858E-2</v>
      </c>
      <c r="H18" s="19">
        <v>3.9067306347228214E-2</v>
      </c>
    </row>
    <row r="19" spans="1:8">
      <c r="A19" s="18" t="s">
        <v>34</v>
      </c>
      <c r="B19" s="19">
        <v>3.415</v>
      </c>
      <c r="C19" s="19">
        <v>1.113828001384062</v>
      </c>
      <c r="F19" s="18" t="s">
        <v>775</v>
      </c>
      <c r="G19" s="19">
        <v>-8.0000000000000071E-2</v>
      </c>
      <c r="H19" s="19">
        <v>-7.1799748182201917E-3</v>
      </c>
    </row>
    <row r="20" spans="1:8">
      <c r="A20" s="18" t="s">
        <v>35</v>
      </c>
      <c r="B20" s="19">
        <v>3.4749999999999996</v>
      </c>
      <c r="C20" s="19">
        <v>1.1203370163762019</v>
      </c>
      <c r="F20" s="18" t="s">
        <v>770</v>
      </c>
      <c r="G20" s="19">
        <v>0.10999999999999988</v>
      </c>
      <c r="H20" s="19">
        <v>3.5703880667461441E-2</v>
      </c>
    </row>
    <row r="21" spans="1:8">
      <c r="A21" s="18" t="s">
        <v>36</v>
      </c>
      <c r="B21" s="19">
        <v>3.4899999999999998</v>
      </c>
      <c r="C21" s="19">
        <v>1.0715425606276678</v>
      </c>
      <c r="F21" s="18" t="s">
        <v>762</v>
      </c>
      <c r="G21" s="19">
        <v>-4.9999999999999822E-2</v>
      </c>
      <c r="H21" s="19">
        <v>-4.8620875157359134E-2</v>
      </c>
    </row>
    <row r="22" spans="1:8">
      <c r="A22" s="18" t="s">
        <v>37</v>
      </c>
      <c r="B22" s="19">
        <v>3.52</v>
      </c>
      <c r="C22" s="19">
        <v>1.0263037120360501</v>
      </c>
      <c r="F22" s="18" t="s">
        <v>757</v>
      </c>
      <c r="G22" s="19">
        <v>4.0000000000000036E-2</v>
      </c>
      <c r="H22" s="19">
        <v>3.2729826256769456E-2</v>
      </c>
    </row>
    <row r="23" spans="1:8">
      <c r="A23" s="18" t="s">
        <v>38</v>
      </c>
      <c r="B23" s="19">
        <v>3.585</v>
      </c>
      <c r="C23" s="19">
        <v>0.97182588093212185</v>
      </c>
      <c r="F23" s="18" t="s">
        <v>752</v>
      </c>
      <c r="G23" s="19">
        <v>6.999999999999984E-2</v>
      </c>
      <c r="H23" s="19">
        <v>-3.3556807616253792E-2</v>
      </c>
    </row>
    <row r="24" spans="1:8">
      <c r="A24" s="18" t="s">
        <v>39</v>
      </c>
      <c r="B24" s="19">
        <v>3.4899999999999998</v>
      </c>
      <c r="C24" s="19">
        <v>1.0417252559202934</v>
      </c>
      <c r="F24" s="18" t="s">
        <v>748</v>
      </c>
      <c r="G24" s="19">
        <v>7.5000000000000178E-2</v>
      </c>
      <c r="H24" s="19">
        <v>-0.10189752633130356</v>
      </c>
    </row>
    <row r="25" spans="1:8">
      <c r="A25" s="18" t="s">
        <v>40</v>
      </c>
      <c r="B25" s="19">
        <v>3.4749999999999996</v>
      </c>
      <c r="C25" s="19">
        <v>1.0794750119876446</v>
      </c>
      <c r="F25" s="18" t="s">
        <v>164</v>
      </c>
      <c r="G25" s="19">
        <v>-4.5000000000000373E-2</v>
      </c>
      <c r="H25" s="19">
        <v>2.6283023103494951E-2</v>
      </c>
    </row>
    <row r="26" spans="1:8">
      <c r="A26" s="18" t="s">
        <v>41</v>
      </c>
      <c r="B26" s="19">
        <v>3.4499999999999997</v>
      </c>
      <c r="C26" s="19">
        <v>1.0438632001782735</v>
      </c>
      <c r="F26" s="18" t="s">
        <v>163</v>
      </c>
      <c r="G26" s="19">
        <v>5.0000000000003375E-3</v>
      </c>
      <c r="H26" s="19">
        <v>-2.8431060654417806E-2</v>
      </c>
    </row>
    <row r="27" spans="1:8">
      <c r="A27" s="18" t="s">
        <v>42</v>
      </c>
      <c r="B27" s="19">
        <v>3.39</v>
      </c>
      <c r="C27" s="19">
        <v>1.14290341735098</v>
      </c>
      <c r="F27" s="18" t="s">
        <v>162</v>
      </c>
      <c r="G27" s="19">
        <v>-5.0000000000003375E-3</v>
      </c>
      <c r="H27" s="19">
        <v>5.0921216654950641E-2</v>
      </c>
    </row>
    <row r="28" spans="1:8">
      <c r="A28" s="18" t="s">
        <v>43</v>
      </c>
      <c r="B28" s="19">
        <v>3.3</v>
      </c>
      <c r="C28" s="19">
        <v>1.2473596910048554</v>
      </c>
      <c r="F28" s="18" t="s">
        <v>161</v>
      </c>
      <c r="G28" s="19">
        <v>-6.999999999999984E-2</v>
      </c>
      <c r="H28" s="19">
        <v>1.3140726006696024E-2</v>
      </c>
    </row>
    <row r="29" spans="1:8">
      <c r="A29" s="18" t="s">
        <v>44</v>
      </c>
      <c r="B29" s="19">
        <v>3.26</v>
      </c>
      <c r="C29" s="19">
        <v>1.2712583065251897</v>
      </c>
      <c r="F29" s="18" t="s">
        <v>160</v>
      </c>
      <c r="G29" s="19">
        <v>-0.14000000000000012</v>
      </c>
      <c r="H29" s="19">
        <v>4.7342785875755133E-2</v>
      </c>
    </row>
    <row r="30" spans="1:8">
      <c r="A30" s="18" t="s">
        <v>45</v>
      </c>
      <c r="B30" s="19">
        <v>3.3149999999999999</v>
      </c>
      <c r="C30" s="19">
        <v>1.2313259281931122</v>
      </c>
      <c r="F30" s="18" t="s">
        <v>159</v>
      </c>
      <c r="G30" s="19">
        <v>0</v>
      </c>
      <c r="H30" s="19">
        <v>3.9464704456228628E-2</v>
      </c>
    </row>
    <row r="31" spans="1:8">
      <c r="A31" s="18" t="s">
        <v>46</v>
      </c>
      <c r="B31" s="19">
        <v>3.2949999999999999</v>
      </c>
      <c r="C31" s="19">
        <v>1.221532633132588</v>
      </c>
      <c r="F31" s="18" t="s">
        <v>719</v>
      </c>
      <c r="G31" s="19">
        <v>3.0000000000000249E-2</v>
      </c>
      <c r="H31" s="19">
        <v>-1.4020990550285717E-2</v>
      </c>
    </row>
    <row r="32" spans="1:8">
      <c r="A32" s="18" t="s">
        <v>47</v>
      </c>
      <c r="B32" s="19">
        <v>3.335</v>
      </c>
      <c r="C32" s="19">
        <v>1.1294682073968798</v>
      </c>
      <c r="F32" s="18" t="s">
        <v>157</v>
      </c>
      <c r="G32" s="19">
        <v>-0.10500000000000043</v>
      </c>
      <c r="H32" s="19">
        <v>-2.7830391003344612E-2</v>
      </c>
    </row>
    <row r="33" spans="1:8">
      <c r="A33" s="18" t="s">
        <v>48</v>
      </c>
      <c r="B33" s="19">
        <v>3.3149999999999999</v>
      </c>
      <c r="C33" s="19">
        <v>1.1145028618487873</v>
      </c>
      <c r="F33" s="18" t="s">
        <v>156</v>
      </c>
      <c r="G33" s="19">
        <v>4.0000000000000036E-2</v>
      </c>
      <c r="H33" s="19">
        <v>3.0643791231621975E-2</v>
      </c>
    </row>
    <row r="34" spans="1:8">
      <c r="A34" s="18" t="s">
        <v>49</v>
      </c>
      <c r="B34" s="19">
        <v>3.3249999999999997</v>
      </c>
      <c r="C34" s="19">
        <v>1.1417668460790016</v>
      </c>
      <c r="F34" s="18" t="s">
        <v>155</v>
      </c>
      <c r="G34" s="19">
        <v>-8.0000000000000071E-2</v>
      </c>
      <c r="H34" s="19">
        <v>-2.1434667041685174E-2</v>
      </c>
    </row>
    <row r="35" spans="1:8">
      <c r="A35" s="18" t="s">
        <v>50</v>
      </c>
      <c r="B35" s="19">
        <v>3.2649999999999997</v>
      </c>
      <c r="C35" s="19">
        <v>1.1833770087833524</v>
      </c>
      <c r="F35" s="18" t="s">
        <v>154</v>
      </c>
      <c r="G35" s="19">
        <v>-2.0000000000000018E-2</v>
      </c>
      <c r="H35" s="19">
        <v>2.8645127235435552E-2</v>
      </c>
    </row>
    <row r="36" spans="1:8">
      <c r="A36" s="18" t="s">
        <v>51</v>
      </c>
      <c r="B36" s="19">
        <v>3.2349999999999999</v>
      </c>
      <c r="C36" s="19">
        <v>1.1498863382763274</v>
      </c>
      <c r="F36" s="18" t="s">
        <v>153</v>
      </c>
      <c r="G36" s="19">
        <v>-1.9999999999999574E-2</v>
      </c>
      <c r="H36" s="19">
        <v>1.3007061578107937E-2</v>
      </c>
    </row>
    <row r="37" spans="1:8">
      <c r="A37" s="18" t="s">
        <v>52</v>
      </c>
      <c r="B37" s="19">
        <v>3.27</v>
      </c>
      <c r="C37" s="19">
        <v>1.1627033991714875</v>
      </c>
      <c r="F37" s="18" t="s">
        <v>152</v>
      </c>
      <c r="G37" s="19">
        <v>-9.9999999999997868E-3</v>
      </c>
      <c r="H37" s="19">
        <v>-1.4723382008365427E-2</v>
      </c>
    </row>
    <row r="38" spans="1:8">
      <c r="A38" s="18" t="s">
        <v>53</v>
      </c>
      <c r="B38" s="19">
        <v>3.2649999999999997</v>
      </c>
      <c r="C38" s="19">
        <v>1.1892056578850116</v>
      </c>
      <c r="F38" s="18" t="s">
        <v>151</v>
      </c>
      <c r="G38" s="19">
        <v>3.9999999999999591E-2</v>
      </c>
      <c r="H38" s="19">
        <v>-1.5419225252286672E-2</v>
      </c>
    </row>
    <row r="39" spans="1:8">
      <c r="A39" s="18" t="s">
        <v>54</v>
      </c>
      <c r="B39" s="19">
        <v>3.2449999999999997</v>
      </c>
      <c r="C39" s="19">
        <v>1.1057047425687876</v>
      </c>
      <c r="F39" s="18" t="s">
        <v>150</v>
      </c>
      <c r="G39" s="19">
        <v>6.0000000000000053E-2</v>
      </c>
      <c r="H39" s="19">
        <v>-1.1517117320877901E-2</v>
      </c>
    </row>
    <row r="40" spans="1:8">
      <c r="A40" s="18" t="s">
        <v>55</v>
      </c>
      <c r="B40" s="19">
        <v>3.2949999999999999</v>
      </c>
      <c r="C40" s="19">
        <v>1.0942885560516555</v>
      </c>
      <c r="F40" s="18" t="s">
        <v>149</v>
      </c>
      <c r="G40" s="19">
        <v>-5.0000000000000266E-2</v>
      </c>
      <c r="H40" s="19">
        <v>-1.6695337164583268E-2</v>
      </c>
    </row>
    <row r="41" spans="1:8">
      <c r="A41" s="18" t="s">
        <v>56</v>
      </c>
      <c r="B41" s="19">
        <v>3.2749999999999999</v>
      </c>
      <c r="C41" s="19">
        <v>1.1063680189480301</v>
      </c>
      <c r="F41" s="18" t="s">
        <v>148</v>
      </c>
      <c r="G41" s="19">
        <v>-0.14999999999999991</v>
      </c>
      <c r="H41" s="19">
        <v>9.6078656952731656E-3</v>
      </c>
    </row>
    <row r="42" spans="1:8">
      <c r="A42" s="18" t="s">
        <v>57</v>
      </c>
      <c r="B42" s="19">
        <v>3.2649999999999997</v>
      </c>
      <c r="C42" s="19">
        <v>1.1069595168310897</v>
      </c>
      <c r="F42" s="18" t="s">
        <v>147</v>
      </c>
      <c r="G42" s="19">
        <v>-4.4999999999999929E-2</v>
      </c>
      <c r="H42" s="19">
        <v>4.8440855573574026E-2</v>
      </c>
    </row>
    <row r="43" spans="1:8">
      <c r="A43" s="18" t="s">
        <v>58</v>
      </c>
      <c r="B43" s="19">
        <v>3.3249999999999997</v>
      </c>
      <c r="C43" s="19">
        <v>1.0145948608518434</v>
      </c>
      <c r="F43" s="18" t="s">
        <v>146</v>
      </c>
      <c r="G43" s="19">
        <v>-3.5000000000000142E-2</v>
      </c>
      <c r="H43" s="19">
        <v>2.9028577473623862E-2</v>
      </c>
    </row>
    <row r="44" spans="1:8">
      <c r="A44" s="18" t="s">
        <v>59</v>
      </c>
      <c r="B44" s="19">
        <v>3.3049999999999997</v>
      </c>
      <c r="C44" s="19">
        <v>1.0141710064866696</v>
      </c>
      <c r="F44" s="18" t="s">
        <v>145</v>
      </c>
      <c r="G44" s="19">
        <v>-3.0000000000000249E-2</v>
      </c>
      <c r="H44" s="19">
        <v>-1.4274107511340617E-3</v>
      </c>
    </row>
    <row r="45" spans="1:8">
      <c r="A45" s="18" t="s">
        <v>60</v>
      </c>
      <c r="B45" s="19">
        <v>3.3449999999999998</v>
      </c>
      <c r="C45" s="19">
        <v>0.99132234894860982</v>
      </c>
      <c r="F45" s="18" t="s">
        <v>144</v>
      </c>
      <c r="G45" s="19">
        <v>0.11000000000000032</v>
      </c>
      <c r="H45" s="19">
        <v>1.9362092086152138E-2</v>
      </c>
    </row>
    <row r="46" spans="1:8">
      <c r="A46" s="18" t="s">
        <v>61</v>
      </c>
      <c r="B46" s="19">
        <v>3.4549999999999996</v>
      </c>
      <c r="C46" s="19">
        <v>0.94516652064090945</v>
      </c>
      <c r="F46" s="18" t="s">
        <v>143</v>
      </c>
      <c r="G46" s="19">
        <v>2.0000000000000462E-2</v>
      </c>
      <c r="H46" s="19">
        <v>-6.3884014026703628E-2</v>
      </c>
    </row>
    <row r="47" spans="1:8">
      <c r="A47" s="18" t="s">
        <v>62</v>
      </c>
      <c r="B47" s="19">
        <v>3.48</v>
      </c>
      <c r="C47" s="19">
        <v>0.90384962704580385</v>
      </c>
      <c r="F47" s="18" t="s">
        <v>142</v>
      </c>
      <c r="G47" s="19">
        <v>0</v>
      </c>
      <c r="H47" s="19">
        <v>3.0572452667806171E-2</v>
      </c>
    </row>
    <row r="48" spans="1:8">
      <c r="A48" s="18" t="s">
        <v>63</v>
      </c>
      <c r="B48" s="19">
        <v>3.48</v>
      </c>
      <c r="C48" s="19">
        <v>0.88988438351751764</v>
      </c>
      <c r="F48" s="18" t="s">
        <v>141</v>
      </c>
      <c r="G48" s="19">
        <v>0</v>
      </c>
      <c r="H48" s="19">
        <v>9.3529953362581075E-3</v>
      </c>
    </row>
    <row r="49" spans="1:8">
      <c r="A49" s="18" t="s">
        <v>64</v>
      </c>
      <c r="B49" s="19">
        <v>3.5100000000000002</v>
      </c>
      <c r="C49" s="19">
        <v>0.8836686136567824</v>
      </c>
      <c r="F49" s="18" t="s">
        <v>140</v>
      </c>
      <c r="G49" s="19">
        <v>-4.5000000000000817E-2</v>
      </c>
      <c r="H49" s="19">
        <v>-1.1366560826386873E-2</v>
      </c>
    </row>
    <row r="50" spans="1:8">
      <c r="A50" s="18" t="s">
        <v>65</v>
      </c>
      <c r="B50" s="19">
        <v>3.46</v>
      </c>
      <c r="C50" s="19">
        <v>0.87581677834386751</v>
      </c>
      <c r="F50" s="18" t="s">
        <v>139</v>
      </c>
      <c r="G50" s="19">
        <v>-4.4999999999999041E-2</v>
      </c>
      <c r="H50" s="19">
        <v>8.2161416576109758E-3</v>
      </c>
    </row>
    <row r="51" spans="1:8">
      <c r="A51" s="18" t="s">
        <v>66</v>
      </c>
      <c r="B51" s="19">
        <v>3.4449999999999998</v>
      </c>
      <c r="C51" s="19">
        <v>0.88622952847936753</v>
      </c>
      <c r="F51" s="18" t="s">
        <v>138</v>
      </c>
      <c r="G51" s="19">
        <v>4.4999999999999041E-2</v>
      </c>
      <c r="H51" s="19">
        <v>3.0020777715549229E-2</v>
      </c>
    </row>
    <row r="52" spans="1:8">
      <c r="A52" s="18" t="s">
        <v>67</v>
      </c>
      <c r="B52" s="19">
        <v>3.58</v>
      </c>
      <c r="C52" s="19">
        <v>0.86557968848864597</v>
      </c>
      <c r="F52" s="18" t="s">
        <v>137</v>
      </c>
      <c r="G52" s="19">
        <v>-9.9999999999997868E-3</v>
      </c>
      <c r="H52" s="19">
        <v>-4.5525403937607845E-2</v>
      </c>
    </row>
    <row r="53" spans="1:8">
      <c r="A53" s="18" t="s">
        <v>68</v>
      </c>
      <c r="B53" s="19">
        <v>3.49</v>
      </c>
      <c r="C53" s="19">
        <v>0.8393464554548542</v>
      </c>
      <c r="F53" s="18" t="s">
        <v>136</v>
      </c>
      <c r="G53" s="19">
        <v>0</v>
      </c>
      <c r="H53" s="19">
        <v>3.5577487850185996E-2</v>
      </c>
    </row>
    <row r="54" spans="1:8">
      <c r="A54" s="18" t="s">
        <v>69</v>
      </c>
      <c r="B54" s="19">
        <v>3.52</v>
      </c>
      <c r="C54" s="19">
        <v>0.87842756337797567</v>
      </c>
      <c r="F54" s="18" t="s">
        <v>135</v>
      </c>
      <c r="G54" s="19">
        <v>-4.4999999999999929E-2</v>
      </c>
      <c r="H54" s="19">
        <v>-1.1263146021996739E-2</v>
      </c>
    </row>
    <row r="55" spans="1:8">
      <c r="A55" s="18" t="s">
        <v>70</v>
      </c>
      <c r="B55" s="19">
        <v>3.49</v>
      </c>
      <c r="C55" s="19">
        <v>0.89390476749033487</v>
      </c>
      <c r="F55" s="18" t="s">
        <v>134</v>
      </c>
      <c r="G55" s="19">
        <v>8.0000000000000071E-2</v>
      </c>
      <c r="H55" s="19">
        <v>2.4447674433158983E-2</v>
      </c>
    </row>
    <row r="56" spans="1:8">
      <c r="A56" s="18" t="s">
        <v>71</v>
      </c>
      <c r="B56" s="19">
        <v>3.3800000000000003</v>
      </c>
      <c r="C56" s="19">
        <v>0.89712483729844417</v>
      </c>
      <c r="F56" s="18" t="s">
        <v>133</v>
      </c>
      <c r="G56" s="19">
        <v>-1.9999999999999574E-2</v>
      </c>
      <c r="H56" s="19">
        <v>1.2519428020127954E-2</v>
      </c>
    </row>
    <row r="57" spans="1:8">
      <c r="A57" s="18" t="s">
        <v>72</v>
      </c>
      <c r="B57" s="19">
        <v>3.335</v>
      </c>
      <c r="C57" s="19">
        <v>0.87366480645118783</v>
      </c>
      <c r="F57" s="18" t="s">
        <v>132</v>
      </c>
      <c r="G57" s="19">
        <v>-5.5000000000000604E-2</v>
      </c>
      <c r="H57" s="19">
        <v>-2.5632263055054505E-2</v>
      </c>
    </row>
    <row r="58" spans="1:8">
      <c r="A58" s="18" t="s">
        <v>73</v>
      </c>
      <c r="B58" s="19">
        <v>3.35</v>
      </c>
      <c r="C58" s="19">
        <v>0.91084602973204198</v>
      </c>
      <c r="F58" s="18" t="s">
        <v>131</v>
      </c>
      <c r="G58" s="19">
        <v>-3.0000000000000249E-2</v>
      </c>
      <c r="H58" s="19">
        <v>-2.1830811245084014E-2</v>
      </c>
    </row>
    <row r="59" spans="1:8">
      <c r="A59" s="18" t="s">
        <v>74</v>
      </c>
      <c r="B59" s="19">
        <v>3.2749999999999999</v>
      </c>
      <c r="C59" s="19">
        <v>0.90495480779242188</v>
      </c>
      <c r="F59" s="18" t="s">
        <v>130</v>
      </c>
      <c r="G59" s="19">
        <v>8.5000000000000853E-2</v>
      </c>
      <c r="H59" s="19">
        <v>1.7996847946860406E-2</v>
      </c>
    </row>
    <row r="60" spans="1:8">
      <c r="A60" s="18" t="s">
        <v>75</v>
      </c>
      <c r="B60" s="19">
        <v>3.3449999999999998</v>
      </c>
      <c r="C60" s="19">
        <v>0.89859093907637577</v>
      </c>
      <c r="F60" s="18" t="s">
        <v>129</v>
      </c>
      <c r="G60" s="19">
        <v>-5.0000000000007816E-3</v>
      </c>
      <c r="H60" s="19">
        <v>-2.6497987701573855E-2</v>
      </c>
    </row>
    <row r="61" spans="1:8">
      <c r="A61" s="18" t="s">
        <v>76</v>
      </c>
      <c r="B61" s="19">
        <v>3.4349999999999996</v>
      </c>
      <c r="C61" s="19">
        <v>0.82917950097367354</v>
      </c>
      <c r="F61" s="18" t="s">
        <v>128</v>
      </c>
      <c r="G61" s="19">
        <v>-1.9999999999999574E-2</v>
      </c>
      <c r="H61" s="19">
        <v>4.621511468835493E-3</v>
      </c>
    </row>
    <row r="62" spans="1:8">
      <c r="A62" s="18" t="s">
        <v>77</v>
      </c>
      <c r="B62" s="19">
        <v>3.5149999999999997</v>
      </c>
      <c r="C62" s="19">
        <v>0.83189190189967199</v>
      </c>
      <c r="F62" s="18" t="s">
        <v>127</v>
      </c>
      <c r="G62" s="19">
        <v>-6.0000000000000497E-2</v>
      </c>
      <c r="H62" s="19">
        <v>-7.7785001467902681E-3</v>
      </c>
    </row>
    <row r="63" spans="1:8">
      <c r="A63" s="18" t="s">
        <v>78</v>
      </c>
      <c r="B63" s="19">
        <v>3.7600000000000002</v>
      </c>
      <c r="C63" s="19">
        <v>0.88486679864157303</v>
      </c>
      <c r="F63" s="18" t="s">
        <v>126</v>
      </c>
      <c r="G63" s="19">
        <v>-9.9999999999997868E-3</v>
      </c>
      <c r="H63" s="19">
        <v>8.4679503274944778E-3</v>
      </c>
    </row>
    <row r="64" spans="1:8">
      <c r="A64" s="18" t="s">
        <v>79</v>
      </c>
      <c r="B64" s="19">
        <v>3.835</v>
      </c>
      <c r="C64" s="19">
        <v>0.87785175594484377</v>
      </c>
      <c r="F64" s="18" t="s">
        <v>125</v>
      </c>
      <c r="G64" s="19">
        <v>-0.10499999999999954</v>
      </c>
      <c r="H64" s="19">
        <v>-2.3889735080817598E-2</v>
      </c>
    </row>
    <row r="65" spans="1:8">
      <c r="A65" s="18" t="s">
        <v>80</v>
      </c>
      <c r="B65" s="19">
        <v>3.9049999999999998</v>
      </c>
      <c r="C65" s="19">
        <v>0.91416362066455337</v>
      </c>
      <c r="F65" s="18" t="s">
        <v>124</v>
      </c>
      <c r="G65" s="19">
        <v>-1.5000000000000568E-2</v>
      </c>
      <c r="H65" s="19">
        <v>3.6816663511710424E-2</v>
      </c>
    </row>
    <row r="66" spans="1:8">
      <c r="A66" s="18" t="s">
        <v>81</v>
      </c>
      <c r="B66" s="19">
        <v>3.8800000000000003</v>
      </c>
      <c r="C66" s="19">
        <v>0.88065906412418204</v>
      </c>
      <c r="F66" s="18" t="s">
        <v>123</v>
      </c>
      <c r="G66" s="19">
        <v>3.500000000000103E-2</v>
      </c>
      <c r="H66" s="19">
        <v>-3.6895271762006132E-2</v>
      </c>
    </row>
    <row r="67" spans="1:8">
      <c r="A67" s="18" t="s">
        <v>82</v>
      </c>
      <c r="B67" s="19">
        <v>4.41</v>
      </c>
      <c r="C67" s="19">
        <v>0.98456375260017603</v>
      </c>
      <c r="F67" s="18" t="s">
        <v>122</v>
      </c>
      <c r="G67" s="19">
        <v>-7.0000000000000284E-2</v>
      </c>
      <c r="H67" s="19">
        <v>9.1408869663434089E-3</v>
      </c>
    </row>
    <row r="68" spans="1:8">
      <c r="A68" s="18" t="s">
        <v>83</v>
      </c>
      <c r="B68" s="19">
        <v>4.2149999999999999</v>
      </c>
      <c r="C68" s="19">
        <v>0.90503194214895721</v>
      </c>
      <c r="F68" s="18" t="s">
        <v>121</v>
      </c>
      <c r="G68" s="19">
        <v>-7.0000000000000284E-2</v>
      </c>
      <c r="H68" s="19">
        <v>-2.8979306808500027E-2</v>
      </c>
    </row>
    <row r="69" spans="1:8">
      <c r="A69" s="18" t="s">
        <v>84</v>
      </c>
      <c r="B69" s="19">
        <v>4.46</v>
      </c>
      <c r="C69" s="19">
        <v>0.88718035738519019</v>
      </c>
      <c r="F69" s="18" t="s">
        <v>120</v>
      </c>
      <c r="G69" s="19">
        <v>3.4999999999999254E-2</v>
      </c>
      <c r="H69" s="19">
        <v>3.5495259894141817E-2</v>
      </c>
    </row>
    <row r="70" spans="1:8">
      <c r="A70" s="18" t="s">
        <v>85</v>
      </c>
      <c r="B70" s="19">
        <v>4.2949999999999999</v>
      </c>
      <c r="C70" s="19">
        <v>0.87836810718017366</v>
      </c>
      <c r="F70" s="18" t="s">
        <v>119</v>
      </c>
      <c r="G70" s="19">
        <v>8.0000000000000071E-2</v>
      </c>
      <c r="H70" s="19">
        <v>2.6297027333629597E-2</v>
      </c>
    </row>
    <row r="71" spans="1:8">
      <c r="A71" s="18" t="s">
        <v>86</v>
      </c>
      <c r="B71" s="19">
        <v>4.26</v>
      </c>
      <c r="C71" s="19">
        <v>0.8928195291848855</v>
      </c>
      <c r="F71" s="18" t="s">
        <v>118</v>
      </c>
      <c r="G71" s="19">
        <v>-4.9999999999999822E-2</v>
      </c>
      <c r="H71" s="19">
        <v>-1.2389960288145652E-2</v>
      </c>
    </row>
    <row r="72" spans="1:8">
      <c r="A72" s="18" t="s">
        <v>87</v>
      </c>
      <c r="B72" s="19">
        <v>4.3149999999999995</v>
      </c>
      <c r="C72" s="19">
        <v>0.8989221091593893</v>
      </c>
      <c r="F72" s="18" t="s">
        <v>117</v>
      </c>
      <c r="G72" s="19">
        <v>6.5000000000000391E-2</v>
      </c>
      <c r="H72" s="19">
        <v>-9.087769227671405E-3</v>
      </c>
    </row>
    <row r="73" spans="1:8">
      <c r="A73" s="18" t="s">
        <v>88</v>
      </c>
      <c r="B73" s="19">
        <v>4.3250000000000002</v>
      </c>
      <c r="C73" s="19">
        <v>0.88362698207436008</v>
      </c>
      <c r="F73" s="18" t="s">
        <v>116</v>
      </c>
      <c r="G73" s="19">
        <v>-8.9999999999999858E-2</v>
      </c>
      <c r="H73" s="19">
        <v>-4.6170856830296092E-2</v>
      </c>
    </row>
    <row r="74" spans="1:8">
      <c r="A74" s="18" t="s">
        <v>89</v>
      </c>
      <c r="B74" s="19">
        <v>4.3250000000000002</v>
      </c>
      <c r="C74" s="19">
        <v>0.90499821940306191</v>
      </c>
      <c r="F74" s="18" t="s">
        <v>115</v>
      </c>
      <c r="G74" s="19">
        <v>4.0000000000000036E-2</v>
      </c>
      <c r="H74" s="19">
        <v>4.4324944305945468E-2</v>
      </c>
    </row>
    <row r="75" spans="1:8">
      <c r="A75" s="18" t="s">
        <v>90</v>
      </c>
      <c r="B75" s="19">
        <v>4.53</v>
      </c>
      <c r="C75" s="19">
        <v>0.89138719541262024</v>
      </c>
      <c r="F75" s="18" t="s">
        <v>114</v>
      </c>
      <c r="G75" s="19">
        <v>4.9999999999999822E-2</v>
      </c>
      <c r="H75" s="19">
        <v>1.8063181535842077E-2</v>
      </c>
    </row>
    <row r="76" spans="1:8">
      <c r="A76" s="18" t="s">
        <v>91</v>
      </c>
      <c r="B76" s="19">
        <v>4.4349999999999996</v>
      </c>
      <c r="C76" s="19">
        <v>0.84777413248060141</v>
      </c>
      <c r="F76" s="18" t="s">
        <v>113</v>
      </c>
      <c r="G76" s="19">
        <v>4.9999999999999822E-2</v>
      </c>
      <c r="H76" s="19">
        <v>1.5293039135779729E-3</v>
      </c>
    </row>
    <row r="77" spans="1:8">
      <c r="A77" s="18" t="s">
        <v>92</v>
      </c>
      <c r="B77" s="19">
        <v>4.4950000000000001</v>
      </c>
      <c r="C77" s="19">
        <v>0.91072084174458956</v>
      </c>
      <c r="F77" s="18" t="s">
        <v>112</v>
      </c>
      <c r="G77" s="19">
        <v>-8.9999999999999858E-2</v>
      </c>
      <c r="H77" s="19">
        <v>-1.8699077640140338E-2</v>
      </c>
    </row>
    <row r="78" spans="1:8">
      <c r="A78" s="18" t="s">
        <v>93</v>
      </c>
      <c r="B78" s="19">
        <v>4.5200000000000005</v>
      </c>
      <c r="C78" s="19">
        <v>0.8145678412256081</v>
      </c>
      <c r="F78" s="18" t="s">
        <v>111</v>
      </c>
      <c r="G78" s="19">
        <v>-6.9999999999999396E-2</v>
      </c>
      <c r="H78" s="19">
        <v>-2.0260584025963979E-2</v>
      </c>
    </row>
    <row r="79" spans="1:8">
      <c r="A79" s="18" t="s">
        <v>94</v>
      </c>
      <c r="B79" s="19">
        <v>4.4249999999999998</v>
      </c>
      <c r="C79" s="19">
        <v>0.84250774755549518</v>
      </c>
      <c r="F79" s="18" t="s">
        <v>110</v>
      </c>
      <c r="G79" s="19">
        <v>-2.0000000000000462E-2</v>
      </c>
      <c r="H79" s="19">
        <v>1.8771448758036602E-2</v>
      </c>
    </row>
    <row r="80" spans="1:8">
      <c r="A80" s="18" t="s">
        <v>95</v>
      </c>
      <c r="B80" s="19">
        <v>4.2450000000000001</v>
      </c>
      <c r="C80" s="19">
        <v>0.86603183508412407</v>
      </c>
      <c r="F80" s="18" t="s">
        <v>109</v>
      </c>
      <c r="G80" s="19">
        <v>-9.9999999999999645E-2</v>
      </c>
      <c r="H80" s="19">
        <v>-6.5815485208013946E-3</v>
      </c>
    </row>
    <row r="81" spans="1:8">
      <c r="A81" s="18" t="s">
        <v>96</v>
      </c>
      <c r="B81" s="19">
        <v>4.1449999999999996</v>
      </c>
      <c r="C81" s="19">
        <v>0.83763999185427762</v>
      </c>
      <c r="F81" s="18" t="s">
        <v>108</v>
      </c>
      <c r="G81" s="19">
        <v>-4.5000000000000817E-2</v>
      </c>
      <c r="H81" s="19">
        <v>-3.1663158163439231E-2</v>
      </c>
    </row>
    <row r="82" spans="1:8">
      <c r="A82" s="18" t="s">
        <v>97</v>
      </c>
      <c r="B82" s="19">
        <v>4.1550000000000002</v>
      </c>
      <c r="C82" s="19">
        <v>0.84001905618454797</v>
      </c>
      <c r="F82" s="18" t="s">
        <v>252</v>
      </c>
      <c r="G82" s="19">
        <v>7.5000000000000178E-2</v>
      </c>
      <c r="H82" s="19">
        <v>4.3581124125422033E-2</v>
      </c>
    </row>
    <row r="83" spans="1:8">
      <c r="A83" s="18" t="s">
        <v>98</v>
      </c>
      <c r="B83" s="19">
        <v>4.2050000000000001</v>
      </c>
      <c r="C83" s="19">
        <v>0.84753171821839191</v>
      </c>
      <c r="F83" s="18" t="s">
        <v>251</v>
      </c>
      <c r="G83" s="19">
        <v>1.0000000000000675E-2</v>
      </c>
      <c r="H83" s="19">
        <v>-2.6673395159870772E-2</v>
      </c>
    </row>
    <row r="84" spans="1:8">
      <c r="A84" s="18" t="s">
        <v>99</v>
      </c>
      <c r="B84" s="19">
        <v>4.08</v>
      </c>
      <c r="C84" s="19">
        <v>0.85360660524252374</v>
      </c>
      <c r="F84" s="18" t="s">
        <v>107</v>
      </c>
      <c r="G84" s="19">
        <v>4.9999999999999822E-2</v>
      </c>
      <c r="H84" s="19">
        <v>3.5619355308655454E-2</v>
      </c>
    </row>
    <row r="85" spans="1:8">
      <c r="A85" s="18" t="s">
        <v>100</v>
      </c>
      <c r="B85" s="19">
        <v>4.0249999999999995</v>
      </c>
      <c r="C85" s="19">
        <v>0.86417278846292955</v>
      </c>
      <c r="F85" s="18" t="s">
        <v>106</v>
      </c>
      <c r="G85" s="19">
        <v>9.9999999999997868E-3</v>
      </c>
      <c r="H85" s="19">
        <v>-2.5076681831756265E-2</v>
      </c>
    </row>
    <row r="86" spans="1:8">
      <c r="A86" s="18" t="s">
        <v>101</v>
      </c>
      <c r="B86" s="19">
        <v>4.1100000000000003</v>
      </c>
      <c r="C86" s="19">
        <v>0.85197165380436024</v>
      </c>
      <c r="F86" s="18" t="s">
        <v>105</v>
      </c>
      <c r="G86" s="19">
        <v>0.12000000000000011</v>
      </c>
      <c r="H86" s="19">
        <v>1.8276968589917342E-2</v>
      </c>
    </row>
    <row r="87" spans="1:8">
      <c r="A87" s="18" t="s">
        <v>102</v>
      </c>
      <c r="B87" s="19">
        <v>4.2749999999999995</v>
      </c>
      <c r="C87" s="19">
        <v>0.89491633082500721</v>
      </c>
      <c r="F87" s="18" t="s">
        <v>104</v>
      </c>
      <c r="G87" s="19">
        <v>7.0000000000000284E-2</v>
      </c>
      <c r="H87" s="19">
        <v>2.6515925423875153E-2</v>
      </c>
    </row>
    <row r="88" spans="1:8">
      <c r="A88" s="18" t="s">
        <v>103</v>
      </c>
      <c r="B88" s="19">
        <v>4.1449999999999996</v>
      </c>
      <c r="C88" s="19">
        <v>0.81071558225969742</v>
      </c>
      <c r="F88" s="18" t="s">
        <v>103</v>
      </c>
      <c r="G88" s="19">
        <v>-0.12999999999999989</v>
      </c>
      <c r="H88" s="19">
        <v>-8.4200748565309791E-2</v>
      </c>
    </row>
    <row r="89" spans="1:8">
      <c r="A89" s="18" t="s">
        <v>104</v>
      </c>
      <c r="B89" s="19">
        <v>4.2149999999999999</v>
      </c>
      <c r="C89" s="19">
        <v>0.83723150768357257</v>
      </c>
      <c r="F89" s="18" t="s">
        <v>102</v>
      </c>
      <c r="G89" s="19">
        <v>0.16499999999999915</v>
      </c>
      <c r="H89" s="19">
        <v>4.2944677020646971E-2</v>
      </c>
    </row>
    <row r="90" spans="1:8">
      <c r="A90" s="18" t="s">
        <v>105</v>
      </c>
      <c r="B90" s="19">
        <v>4.335</v>
      </c>
      <c r="C90" s="19">
        <v>0.85550847627348992</v>
      </c>
      <c r="F90" s="18" t="s">
        <v>101</v>
      </c>
      <c r="G90" s="19">
        <v>8.5000000000000853E-2</v>
      </c>
      <c r="H90" s="19">
        <v>-1.2201134658569313E-2</v>
      </c>
    </row>
    <row r="91" spans="1:8">
      <c r="A91" s="18" t="s">
        <v>106</v>
      </c>
      <c r="B91" s="19">
        <v>4.3449999999999998</v>
      </c>
      <c r="C91" s="19">
        <v>0.83043179444173365</v>
      </c>
      <c r="F91" s="18" t="s">
        <v>100</v>
      </c>
      <c r="G91" s="19">
        <v>-5.5000000000000604E-2</v>
      </c>
      <c r="H91" s="19">
        <v>1.0566183220405811E-2</v>
      </c>
    </row>
    <row r="92" spans="1:8">
      <c r="A92" s="18" t="s">
        <v>107</v>
      </c>
      <c r="B92" s="19">
        <v>4.3949999999999996</v>
      </c>
      <c r="C92" s="19">
        <v>0.8660511497503891</v>
      </c>
      <c r="F92" s="18" t="s">
        <v>99</v>
      </c>
      <c r="G92" s="19">
        <v>-0.125</v>
      </c>
      <c r="H92" s="19">
        <v>6.0748870241318365E-3</v>
      </c>
    </row>
    <row r="93" spans="1:8">
      <c r="A93" s="18" t="s">
        <v>251</v>
      </c>
      <c r="B93" s="19">
        <v>4.4050000000000002</v>
      </c>
      <c r="C93" s="19">
        <v>0.83937775459051833</v>
      </c>
      <c r="F93" s="18" t="s">
        <v>98</v>
      </c>
      <c r="G93" s="19">
        <v>4.9999999999999822E-2</v>
      </c>
      <c r="H93" s="19">
        <v>7.5126620338439309E-3</v>
      </c>
    </row>
    <row r="94" spans="1:8">
      <c r="A94" s="18" t="s">
        <v>252</v>
      </c>
      <c r="B94" s="19">
        <v>4.4800000000000004</v>
      </c>
      <c r="C94" s="19">
        <v>0.88295887871594037</v>
      </c>
      <c r="F94" s="18" t="s">
        <v>97</v>
      </c>
      <c r="G94" s="19">
        <v>1.0000000000000675E-2</v>
      </c>
      <c r="H94" s="19">
        <v>2.3790643302703529E-3</v>
      </c>
    </row>
    <row r="95" spans="1:8">
      <c r="A95" s="18" t="s">
        <v>108</v>
      </c>
      <c r="B95" s="19">
        <v>4.4349999999999996</v>
      </c>
      <c r="C95" s="19">
        <v>0.85129572055250113</v>
      </c>
      <c r="F95" s="18" t="s">
        <v>96</v>
      </c>
      <c r="G95" s="19">
        <v>-0.10000000000000053</v>
      </c>
      <c r="H95" s="19">
        <v>-2.8391843229846447E-2</v>
      </c>
    </row>
    <row r="96" spans="1:8">
      <c r="A96" s="18" t="s">
        <v>109</v>
      </c>
      <c r="B96" s="19">
        <v>4.335</v>
      </c>
      <c r="C96" s="19">
        <v>0.84471417203169974</v>
      </c>
      <c r="F96" s="18" t="s">
        <v>95</v>
      </c>
      <c r="G96" s="19">
        <v>-0.17999999999999972</v>
      </c>
      <c r="H96" s="19">
        <v>2.352408752862889E-2</v>
      </c>
    </row>
    <row r="97" spans="1:8">
      <c r="A97" s="18" t="s">
        <v>110</v>
      </c>
      <c r="B97" s="19">
        <v>4.3149999999999995</v>
      </c>
      <c r="C97" s="19">
        <v>0.86348562078973634</v>
      </c>
      <c r="F97" s="18" t="s">
        <v>94</v>
      </c>
      <c r="G97" s="19">
        <v>-9.5000000000000639E-2</v>
      </c>
      <c r="H97" s="19">
        <v>2.7939906329887076E-2</v>
      </c>
    </row>
    <row r="98" spans="1:8">
      <c r="A98" s="18" t="s">
        <v>111</v>
      </c>
      <c r="B98" s="19">
        <v>4.2450000000000001</v>
      </c>
      <c r="C98" s="19">
        <v>0.84322503676377236</v>
      </c>
      <c r="F98" s="18" t="s">
        <v>93</v>
      </c>
      <c r="G98" s="19">
        <v>2.5000000000000355E-2</v>
      </c>
      <c r="H98" s="19">
        <v>-9.6153000518981457E-2</v>
      </c>
    </row>
    <row r="99" spans="1:8">
      <c r="A99" s="18" t="s">
        <v>112</v>
      </c>
      <c r="B99" s="19">
        <v>4.1550000000000002</v>
      </c>
      <c r="C99" s="19">
        <v>0.82452595912363202</v>
      </c>
      <c r="F99" s="18" t="s">
        <v>92</v>
      </c>
      <c r="G99" s="19">
        <v>6.0000000000000497E-2</v>
      </c>
      <c r="H99" s="19">
        <v>6.2946709263988154E-2</v>
      </c>
    </row>
    <row r="100" spans="1:8">
      <c r="A100" s="18" t="s">
        <v>113</v>
      </c>
      <c r="B100" s="19">
        <v>4.2050000000000001</v>
      </c>
      <c r="C100" s="19">
        <v>0.82605526303721</v>
      </c>
      <c r="F100" s="18" t="s">
        <v>91</v>
      </c>
      <c r="G100" s="19">
        <v>-9.5000000000000639E-2</v>
      </c>
      <c r="H100" s="19">
        <v>-4.3613062932018831E-2</v>
      </c>
    </row>
    <row r="101" spans="1:8">
      <c r="A101" s="18" t="s">
        <v>114</v>
      </c>
      <c r="B101" s="19">
        <v>4.2549999999999999</v>
      </c>
      <c r="C101" s="19">
        <v>0.84411844457305207</v>
      </c>
      <c r="F101" s="18" t="s">
        <v>90</v>
      </c>
      <c r="G101" s="19">
        <v>0.20500000000000007</v>
      </c>
      <c r="H101" s="19">
        <v>-1.3611023990441673E-2</v>
      </c>
    </row>
    <row r="102" spans="1:8">
      <c r="A102" s="18" t="s">
        <v>115</v>
      </c>
      <c r="B102" s="19">
        <v>4.2949999999999999</v>
      </c>
      <c r="C102" s="19">
        <v>0.88844338887899754</v>
      </c>
      <c r="F102" s="18" t="s">
        <v>89</v>
      </c>
      <c r="G102" s="19">
        <v>0</v>
      </c>
      <c r="H102" s="19">
        <v>2.1371237328701831E-2</v>
      </c>
    </row>
    <row r="103" spans="1:8">
      <c r="A103" s="18" t="s">
        <v>116</v>
      </c>
      <c r="B103" s="19">
        <v>4.2050000000000001</v>
      </c>
      <c r="C103" s="19">
        <v>0.84227253204870145</v>
      </c>
      <c r="F103" s="18" t="s">
        <v>88</v>
      </c>
      <c r="G103" s="19">
        <v>1.0000000000000675E-2</v>
      </c>
      <c r="H103" s="19">
        <v>-1.5295127085029225E-2</v>
      </c>
    </row>
    <row r="104" spans="1:8">
      <c r="A104" s="18" t="s">
        <v>117</v>
      </c>
      <c r="B104" s="19">
        <v>4.2700000000000005</v>
      </c>
      <c r="C104" s="19">
        <v>0.83318476282103004</v>
      </c>
      <c r="F104" s="18" t="s">
        <v>87</v>
      </c>
      <c r="G104" s="19">
        <v>5.4999999999999716E-2</v>
      </c>
      <c r="H104" s="19">
        <v>6.1025799745038078E-3</v>
      </c>
    </row>
    <row r="105" spans="1:8">
      <c r="A105" s="18" t="s">
        <v>118</v>
      </c>
      <c r="B105" s="19">
        <v>4.2200000000000006</v>
      </c>
      <c r="C105" s="19">
        <v>0.82079480253288439</v>
      </c>
      <c r="F105" s="18" t="s">
        <v>86</v>
      </c>
      <c r="G105" s="19">
        <v>-3.5000000000000142E-2</v>
      </c>
      <c r="H105" s="19">
        <v>1.4451422004711834E-2</v>
      </c>
    </row>
    <row r="106" spans="1:8">
      <c r="A106" s="18" t="s">
        <v>119</v>
      </c>
      <c r="B106" s="19">
        <v>4.3000000000000007</v>
      </c>
      <c r="C106" s="19">
        <v>0.84709182986651399</v>
      </c>
      <c r="F106" s="18" t="s">
        <v>85</v>
      </c>
      <c r="G106" s="19">
        <v>-0.16500000000000004</v>
      </c>
      <c r="H106" s="19">
        <v>-8.8122502050165252E-3</v>
      </c>
    </row>
    <row r="107" spans="1:8">
      <c r="A107" s="18" t="s">
        <v>120</v>
      </c>
      <c r="B107" s="19">
        <v>4.335</v>
      </c>
      <c r="C107" s="19">
        <v>0.88258708976065581</v>
      </c>
      <c r="F107" s="18" t="s">
        <v>84</v>
      </c>
      <c r="G107" s="19">
        <v>0.24500000000000011</v>
      </c>
      <c r="H107" s="19">
        <v>-1.7851584763767026E-2</v>
      </c>
    </row>
    <row r="108" spans="1:8">
      <c r="A108" s="18" t="s">
        <v>121</v>
      </c>
      <c r="B108" s="19">
        <v>4.2649999999999997</v>
      </c>
      <c r="C108" s="19">
        <v>0.85360778295215578</v>
      </c>
      <c r="F108" s="18" t="s">
        <v>83</v>
      </c>
      <c r="G108" s="19">
        <v>-0.19500000000000028</v>
      </c>
      <c r="H108" s="19">
        <v>-7.9531810451218821E-2</v>
      </c>
    </row>
    <row r="109" spans="1:8">
      <c r="A109" s="18" t="s">
        <v>122</v>
      </c>
      <c r="B109" s="19">
        <v>4.1949999999999994</v>
      </c>
      <c r="C109" s="19">
        <v>0.86274866991849919</v>
      </c>
      <c r="F109" s="18" t="s">
        <v>82</v>
      </c>
      <c r="G109" s="19">
        <v>0.5299999999999998</v>
      </c>
      <c r="H109" s="19">
        <v>0.10390468847599399</v>
      </c>
    </row>
    <row r="110" spans="1:8">
      <c r="A110" s="18" t="s">
        <v>123</v>
      </c>
      <c r="B110" s="19">
        <v>4.2300000000000004</v>
      </c>
      <c r="C110" s="19">
        <v>0.82585339815649306</v>
      </c>
      <c r="F110" s="18" t="s">
        <v>81</v>
      </c>
      <c r="G110" s="19">
        <v>-2.4999999999999467E-2</v>
      </c>
      <c r="H110" s="19">
        <v>-3.3504556540371322E-2</v>
      </c>
    </row>
    <row r="111" spans="1:8">
      <c r="A111" s="18" t="s">
        <v>124</v>
      </c>
      <c r="B111" s="19">
        <v>4.2149999999999999</v>
      </c>
      <c r="C111" s="19">
        <v>0.86267006166820348</v>
      </c>
      <c r="F111" s="18" t="s">
        <v>80</v>
      </c>
      <c r="G111" s="19">
        <v>6.999999999999984E-2</v>
      </c>
      <c r="H111" s="19">
        <v>3.6311864719709597E-2</v>
      </c>
    </row>
    <row r="112" spans="1:8">
      <c r="A112" s="18" t="s">
        <v>125</v>
      </c>
      <c r="B112" s="19">
        <v>4.1100000000000003</v>
      </c>
      <c r="C112" s="19">
        <v>0.83878032658738588</v>
      </c>
      <c r="F112" s="18" t="s">
        <v>79</v>
      </c>
      <c r="G112" s="19">
        <v>7.4999999999999734E-2</v>
      </c>
      <c r="H112" s="19">
        <v>-7.0150426967292567E-3</v>
      </c>
    </row>
    <row r="113" spans="1:8">
      <c r="A113" s="18" t="s">
        <v>126</v>
      </c>
      <c r="B113" s="19">
        <v>4.1000000000000005</v>
      </c>
      <c r="C113" s="19">
        <v>0.84724827691488036</v>
      </c>
      <c r="F113" s="18" t="s">
        <v>78</v>
      </c>
      <c r="G113" s="19">
        <v>0.24500000000000055</v>
      </c>
      <c r="H113" s="19">
        <v>5.2974896741901034E-2</v>
      </c>
    </row>
    <row r="114" spans="1:8">
      <c r="A114" s="18" t="s">
        <v>127</v>
      </c>
      <c r="B114" s="19">
        <v>4.04</v>
      </c>
      <c r="C114" s="19">
        <v>0.83946977676809009</v>
      </c>
      <c r="F114" s="18" t="s">
        <v>77</v>
      </c>
      <c r="G114" s="19">
        <v>8.0000000000000071E-2</v>
      </c>
      <c r="H114" s="19">
        <v>2.7124009259984483E-3</v>
      </c>
    </row>
    <row r="115" spans="1:8">
      <c r="A115" s="18" t="s">
        <v>128</v>
      </c>
      <c r="B115" s="19">
        <v>4.0200000000000005</v>
      </c>
      <c r="C115" s="19">
        <v>0.84409128823692559</v>
      </c>
      <c r="F115" s="18" t="s">
        <v>76</v>
      </c>
      <c r="G115" s="19">
        <v>8.9999999999999858E-2</v>
      </c>
      <c r="H115" s="19">
        <v>-6.9411438102702228E-2</v>
      </c>
    </row>
    <row r="116" spans="1:8">
      <c r="A116" s="18" t="s">
        <v>129</v>
      </c>
      <c r="B116" s="19">
        <v>4.0149999999999997</v>
      </c>
      <c r="C116" s="19">
        <v>0.81759330053535173</v>
      </c>
      <c r="F116" s="18" t="s">
        <v>75</v>
      </c>
      <c r="G116" s="19">
        <v>6.999999999999984E-2</v>
      </c>
      <c r="H116" s="19">
        <v>-6.363868716046106E-3</v>
      </c>
    </row>
    <row r="117" spans="1:8">
      <c r="A117" s="18" t="s">
        <v>130</v>
      </c>
      <c r="B117" s="19">
        <v>4.1000000000000005</v>
      </c>
      <c r="C117" s="19">
        <v>0.83559014848221214</v>
      </c>
      <c r="F117" s="18" t="s">
        <v>74</v>
      </c>
      <c r="G117" s="19">
        <v>-7.5000000000000178E-2</v>
      </c>
      <c r="H117" s="19">
        <v>-5.891221939620106E-3</v>
      </c>
    </row>
    <row r="118" spans="1:8">
      <c r="A118" s="18" t="s">
        <v>131</v>
      </c>
      <c r="B118" s="19">
        <v>4.07</v>
      </c>
      <c r="C118" s="19">
        <v>0.81375933723712812</v>
      </c>
      <c r="F118" s="18" t="s">
        <v>73</v>
      </c>
      <c r="G118" s="19">
        <v>1.5000000000000124E-2</v>
      </c>
      <c r="H118" s="19">
        <v>3.7181223280854159E-2</v>
      </c>
    </row>
    <row r="119" spans="1:8">
      <c r="A119" s="18" t="s">
        <v>132</v>
      </c>
      <c r="B119" s="19">
        <v>4.0149999999999997</v>
      </c>
      <c r="C119" s="19">
        <v>0.78812707418207362</v>
      </c>
      <c r="F119" s="18" t="s">
        <v>72</v>
      </c>
      <c r="G119" s="19">
        <v>-4.5000000000000373E-2</v>
      </c>
      <c r="H119" s="19">
        <v>-2.3460030847256341E-2</v>
      </c>
    </row>
    <row r="120" spans="1:8">
      <c r="A120" s="18" t="s">
        <v>133</v>
      </c>
      <c r="B120" s="19">
        <v>3.9950000000000001</v>
      </c>
      <c r="C120" s="19">
        <v>0.80064650220220157</v>
      </c>
      <c r="F120" s="18" t="s">
        <v>71</v>
      </c>
      <c r="G120" s="19">
        <v>-0.10999999999999988</v>
      </c>
      <c r="H120" s="19">
        <v>3.2200698081092938E-3</v>
      </c>
    </row>
    <row r="121" spans="1:8">
      <c r="A121" s="18" t="s">
        <v>134</v>
      </c>
      <c r="B121" s="19">
        <v>4.0750000000000002</v>
      </c>
      <c r="C121" s="19">
        <v>0.82509417663536055</v>
      </c>
      <c r="F121" s="18" t="s">
        <v>70</v>
      </c>
      <c r="G121" s="19">
        <v>-2.9999999999999805E-2</v>
      </c>
      <c r="H121" s="19">
        <v>1.54772041123592E-2</v>
      </c>
    </row>
    <row r="122" spans="1:8">
      <c r="A122" s="18" t="s">
        <v>135</v>
      </c>
      <c r="B122" s="19">
        <v>4.03</v>
      </c>
      <c r="C122" s="19">
        <v>0.81383103061336382</v>
      </c>
      <c r="F122" s="18" t="s">
        <v>69</v>
      </c>
      <c r="G122" s="19">
        <v>2.9999999999999805E-2</v>
      </c>
      <c r="H122" s="19">
        <v>3.9081107923121472E-2</v>
      </c>
    </row>
    <row r="123" spans="1:8">
      <c r="A123" s="18" t="s">
        <v>136</v>
      </c>
      <c r="B123" s="19">
        <v>4.03</v>
      </c>
      <c r="C123" s="19">
        <v>0.84940851846354981</v>
      </c>
      <c r="F123" s="18" t="s">
        <v>68</v>
      </c>
      <c r="G123" s="19">
        <v>-8.9999999999999858E-2</v>
      </c>
      <c r="H123" s="19">
        <v>-2.623323303379177E-2</v>
      </c>
    </row>
    <row r="124" spans="1:8">
      <c r="A124" s="18" t="s">
        <v>137</v>
      </c>
      <c r="B124" s="19">
        <v>4.0200000000000005</v>
      </c>
      <c r="C124" s="19">
        <v>0.80388311452594197</v>
      </c>
      <c r="F124" s="18" t="s">
        <v>67</v>
      </c>
      <c r="G124" s="19">
        <v>0.13500000000000023</v>
      </c>
      <c r="H124" s="19">
        <v>-2.0649839990721564E-2</v>
      </c>
    </row>
    <row r="125" spans="1:8">
      <c r="A125" s="18" t="s">
        <v>138</v>
      </c>
      <c r="B125" s="19">
        <v>4.0649999999999995</v>
      </c>
      <c r="C125" s="19">
        <v>0.8339038922414912</v>
      </c>
      <c r="F125" s="18" t="s">
        <v>66</v>
      </c>
      <c r="G125" s="19">
        <v>-1.5000000000000124E-2</v>
      </c>
      <c r="H125" s="19">
        <v>1.0412750135500026E-2</v>
      </c>
    </row>
    <row r="126" spans="1:8">
      <c r="A126" s="18" t="s">
        <v>139</v>
      </c>
      <c r="B126" s="19">
        <v>4.0200000000000005</v>
      </c>
      <c r="C126" s="19">
        <v>0.84212003389910217</v>
      </c>
      <c r="F126" s="18" t="s">
        <v>65</v>
      </c>
      <c r="G126" s="19">
        <v>-5.0000000000000266E-2</v>
      </c>
      <c r="H126" s="19">
        <v>-7.8518353129148899E-3</v>
      </c>
    </row>
    <row r="127" spans="1:8">
      <c r="A127" s="18" t="s">
        <v>140</v>
      </c>
      <c r="B127" s="19">
        <v>3.9749999999999996</v>
      </c>
      <c r="C127" s="19">
        <v>0.8307534730727153</v>
      </c>
      <c r="F127" s="18" t="s">
        <v>64</v>
      </c>
      <c r="G127" s="19">
        <v>3.0000000000000249E-2</v>
      </c>
      <c r="H127" s="19">
        <v>-6.215769860735243E-3</v>
      </c>
    </row>
    <row r="128" spans="1:8">
      <c r="A128" s="18" t="s">
        <v>141</v>
      </c>
      <c r="B128" s="19">
        <v>3.9749999999999996</v>
      </c>
      <c r="C128" s="19">
        <v>0.84010646840897341</v>
      </c>
      <c r="F128" s="18" t="s">
        <v>63</v>
      </c>
      <c r="G128" s="19">
        <v>0</v>
      </c>
      <c r="H128" s="19">
        <v>-1.3965243528286209E-2</v>
      </c>
    </row>
    <row r="129" spans="1:8">
      <c r="A129" s="18" t="s">
        <v>142</v>
      </c>
      <c r="B129" s="19">
        <v>3.9749999999999996</v>
      </c>
      <c r="C129" s="19">
        <v>0.87067892107677958</v>
      </c>
      <c r="F129" s="18" t="s">
        <v>62</v>
      </c>
      <c r="G129" s="19">
        <v>2.5000000000000355E-2</v>
      </c>
      <c r="H129" s="19">
        <v>-4.1316893595105597E-2</v>
      </c>
    </row>
    <row r="130" spans="1:8">
      <c r="A130" s="18" t="s">
        <v>143</v>
      </c>
      <c r="B130" s="19">
        <v>3.9950000000000001</v>
      </c>
      <c r="C130" s="19">
        <v>0.80679490705007595</v>
      </c>
      <c r="F130" s="18" t="s">
        <v>61</v>
      </c>
      <c r="G130" s="19">
        <v>0.10999999999999988</v>
      </c>
      <c r="H130" s="19">
        <v>-4.6155828307700375E-2</v>
      </c>
    </row>
    <row r="131" spans="1:8">
      <c r="A131" s="18" t="s">
        <v>144</v>
      </c>
      <c r="B131" s="19">
        <v>4.1050000000000004</v>
      </c>
      <c r="C131" s="19">
        <v>0.82615699913622809</v>
      </c>
      <c r="F131" s="18" t="s">
        <v>60</v>
      </c>
      <c r="G131" s="19">
        <v>4.0000000000000036E-2</v>
      </c>
      <c r="H131" s="19">
        <v>-2.2848657538059758E-2</v>
      </c>
    </row>
    <row r="132" spans="1:8">
      <c r="A132" s="18" t="s">
        <v>145</v>
      </c>
      <c r="B132" s="19">
        <v>4.0750000000000002</v>
      </c>
      <c r="C132" s="19">
        <v>0.82472958838509403</v>
      </c>
      <c r="F132" s="18" t="s">
        <v>59</v>
      </c>
      <c r="G132" s="19">
        <v>-2.0000000000000018E-2</v>
      </c>
      <c r="H132" s="19">
        <v>-4.2385436517378139E-4</v>
      </c>
    </row>
    <row r="133" spans="1:8">
      <c r="A133" s="18" t="s">
        <v>146</v>
      </c>
      <c r="B133" s="19">
        <v>4.04</v>
      </c>
      <c r="C133" s="19">
        <v>0.85375816585871789</v>
      </c>
      <c r="F133" s="18" t="s">
        <v>58</v>
      </c>
      <c r="G133" s="19">
        <v>6.0000000000000053E-2</v>
      </c>
      <c r="H133" s="19">
        <v>-9.2364655979246368E-2</v>
      </c>
    </row>
    <row r="134" spans="1:8">
      <c r="A134" s="18" t="s">
        <v>147</v>
      </c>
      <c r="B134" s="19">
        <v>3.9950000000000001</v>
      </c>
      <c r="C134" s="19">
        <v>0.90219902143229191</v>
      </c>
      <c r="F134" s="18" t="s">
        <v>57</v>
      </c>
      <c r="G134" s="19">
        <v>-1.0000000000000231E-2</v>
      </c>
      <c r="H134" s="19">
        <v>5.9149788305967732E-4</v>
      </c>
    </row>
    <row r="135" spans="1:8">
      <c r="A135" s="18" t="s">
        <v>148</v>
      </c>
      <c r="B135" s="19">
        <v>3.8450000000000002</v>
      </c>
      <c r="C135" s="19">
        <v>0.91180688712756508</v>
      </c>
      <c r="F135" s="18" t="s">
        <v>56</v>
      </c>
      <c r="G135" s="19">
        <v>-2.0000000000000018E-2</v>
      </c>
      <c r="H135" s="19">
        <v>1.2079462896374515E-2</v>
      </c>
    </row>
    <row r="136" spans="1:8">
      <c r="A136" s="18" t="s">
        <v>149</v>
      </c>
      <c r="B136" s="19">
        <v>3.7949999999999999</v>
      </c>
      <c r="C136" s="19">
        <v>0.89511154996298181</v>
      </c>
      <c r="F136" s="18" t="s">
        <v>55</v>
      </c>
      <c r="G136" s="19">
        <v>5.0000000000000266E-2</v>
      </c>
      <c r="H136" s="19">
        <v>-1.1416186517132054E-2</v>
      </c>
    </row>
    <row r="137" spans="1:8">
      <c r="A137" s="18" t="s">
        <v>150</v>
      </c>
      <c r="B137" s="19">
        <v>3.855</v>
      </c>
      <c r="C137" s="19">
        <v>0.88359443264210391</v>
      </c>
      <c r="F137" s="18" t="s">
        <v>54</v>
      </c>
      <c r="G137" s="19">
        <v>-2.0000000000000018E-2</v>
      </c>
      <c r="H137" s="19">
        <v>-8.3500915316224056E-2</v>
      </c>
    </row>
    <row r="138" spans="1:8">
      <c r="A138" s="18" t="s">
        <v>151</v>
      </c>
      <c r="B138" s="19">
        <v>3.8949999999999996</v>
      </c>
      <c r="C138" s="19">
        <v>0.86817520738981724</v>
      </c>
      <c r="F138" s="18" t="s">
        <v>53</v>
      </c>
      <c r="G138" s="19">
        <v>-5.0000000000003375E-3</v>
      </c>
      <c r="H138" s="19">
        <v>2.6502258713524185E-2</v>
      </c>
    </row>
    <row r="139" spans="1:8">
      <c r="A139" s="18" t="s">
        <v>152</v>
      </c>
      <c r="B139" s="19">
        <v>3.8849999999999998</v>
      </c>
      <c r="C139" s="19">
        <v>0.85345182538145181</v>
      </c>
      <c r="F139" s="18" t="s">
        <v>52</v>
      </c>
      <c r="G139" s="19">
        <v>3.5000000000000142E-2</v>
      </c>
      <c r="H139" s="19">
        <v>1.2817060895160104E-2</v>
      </c>
    </row>
    <row r="140" spans="1:8">
      <c r="A140" s="18" t="s">
        <v>153</v>
      </c>
      <c r="B140" s="19">
        <v>3.8650000000000002</v>
      </c>
      <c r="C140" s="19">
        <v>0.86645888695955975</v>
      </c>
      <c r="F140" s="18" t="s">
        <v>51</v>
      </c>
      <c r="G140" s="19">
        <v>-2.9999999999999805E-2</v>
      </c>
      <c r="H140" s="19">
        <v>-3.3490670507025033E-2</v>
      </c>
    </row>
    <row r="141" spans="1:8">
      <c r="A141" s="18" t="s">
        <v>154</v>
      </c>
      <c r="B141" s="19">
        <v>3.8450000000000002</v>
      </c>
      <c r="C141" s="19">
        <v>0.8951040141949953</v>
      </c>
      <c r="F141" s="18" t="s">
        <v>50</v>
      </c>
      <c r="G141" s="19">
        <v>-6.0000000000000053E-2</v>
      </c>
      <c r="H141" s="19">
        <v>4.1610162704350806E-2</v>
      </c>
    </row>
    <row r="142" spans="1:8">
      <c r="A142" s="18" t="s">
        <v>155</v>
      </c>
      <c r="B142" s="19">
        <v>3.7650000000000001</v>
      </c>
      <c r="C142" s="19">
        <v>0.87366934715331013</v>
      </c>
      <c r="F142" s="18" t="s">
        <v>49</v>
      </c>
      <c r="G142" s="19">
        <v>9.9999999999997868E-3</v>
      </c>
      <c r="H142" s="19">
        <v>2.7263984230214255E-2</v>
      </c>
    </row>
    <row r="143" spans="1:8">
      <c r="A143" s="18" t="s">
        <v>156</v>
      </c>
      <c r="B143" s="19">
        <v>3.8050000000000002</v>
      </c>
      <c r="C143" s="19">
        <v>0.9043131383849321</v>
      </c>
      <c r="F143" s="18" t="s">
        <v>48</v>
      </c>
      <c r="G143" s="19">
        <v>-2.0000000000000018E-2</v>
      </c>
      <c r="H143" s="19">
        <v>-1.4965345548092479E-2</v>
      </c>
    </row>
    <row r="144" spans="1:8">
      <c r="A144" s="18" t="s">
        <v>157</v>
      </c>
      <c r="B144" s="19">
        <v>3.6999999999999997</v>
      </c>
      <c r="C144" s="19">
        <v>0.87648274738158749</v>
      </c>
      <c r="F144" s="18" t="s">
        <v>47</v>
      </c>
      <c r="G144" s="19">
        <v>4.0000000000000036E-2</v>
      </c>
      <c r="H144" s="19">
        <v>-9.2064425735708166E-2</v>
      </c>
    </row>
    <row r="145" spans="1:8">
      <c r="A145" s="18" t="s">
        <v>719</v>
      </c>
      <c r="B145" s="19">
        <v>3.77</v>
      </c>
      <c r="C145" s="19">
        <v>0.86246175683130177</v>
      </c>
      <c r="F145" s="18" t="s">
        <v>46</v>
      </c>
      <c r="G145" s="19">
        <v>-2.0000000000000018E-2</v>
      </c>
      <c r="H145" s="19">
        <v>-9.7932950605241764E-3</v>
      </c>
    </row>
    <row r="146" spans="1:8">
      <c r="A146" s="18" t="s">
        <v>159</v>
      </c>
      <c r="B146" s="19">
        <v>3.77</v>
      </c>
      <c r="C146" s="19">
        <v>0.9019264612875304</v>
      </c>
      <c r="F146" s="18" t="s">
        <v>45</v>
      </c>
      <c r="G146" s="19">
        <v>5.500000000000016E-2</v>
      </c>
      <c r="H146" s="19">
        <v>-3.9932378332077523E-2</v>
      </c>
    </row>
    <row r="147" spans="1:8">
      <c r="A147" s="18" t="s">
        <v>160</v>
      </c>
      <c r="B147" s="19">
        <v>3.63</v>
      </c>
      <c r="C147" s="19">
        <v>0.94926924716328553</v>
      </c>
      <c r="F147" s="18" t="s">
        <v>44</v>
      </c>
      <c r="G147" s="19">
        <v>-4.0000000000000036E-2</v>
      </c>
      <c r="H147" s="19">
        <v>2.3898615520334232E-2</v>
      </c>
    </row>
    <row r="148" spans="1:8">
      <c r="A148" s="18" t="s">
        <v>161</v>
      </c>
      <c r="B148" s="19">
        <v>3.56</v>
      </c>
      <c r="C148" s="19">
        <v>0.96240997316998156</v>
      </c>
      <c r="F148" s="18" t="s">
        <v>43</v>
      </c>
      <c r="G148" s="19">
        <v>-9.0000000000000302E-2</v>
      </c>
      <c r="H148" s="19">
        <v>0.10445627365387544</v>
      </c>
    </row>
    <row r="149" spans="1:8">
      <c r="A149" s="18" t="s">
        <v>162</v>
      </c>
      <c r="B149" s="19">
        <v>3.5549999999999997</v>
      </c>
      <c r="C149" s="19">
        <v>1.0133311898249322</v>
      </c>
      <c r="F149" s="18" t="s">
        <v>42</v>
      </c>
      <c r="G149" s="19">
        <v>-5.9999999999999609E-2</v>
      </c>
      <c r="H149" s="19">
        <v>9.9040217172706502E-2</v>
      </c>
    </row>
    <row r="150" spans="1:8">
      <c r="A150" s="18" t="s">
        <v>163</v>
      </c>
      <c r="B150" s="19">
        <v>3.56</v>
      </c>
      <c r="C150" s="19">
        <v>0.98490012917051439</v>
      </c>
      <c r="F150" s="18" t="s">
        <v>41</v>
      </c>
      <c r="G150" s="19">
        <v>-2.4999999999999911E-2</v>
      </c>
      <c r="H150" s="19">
        <v>-3.5611811809371119E-2</v>
      </c>
    </row>
    <row r="151" spans="1:8">
      <c r="A151" s="18" t="s">
        <v>164</v>
      </c>
      <c r="B151" s="19">
        <v>3.5149999999999997</v>
      </c>
      <c r="C151" s="19">
        <v>1.0111831522740093</v>
      </c>
      <c r="F151" s="18" t="s">
        <v>40</v>
      </c>
      <c r="G151" s="19">
        <v>-1.5000000000000124E-2</v>
      </c>
      <c r="H151" s="19">
        <v>3.7749756067351203E-2</v>
      </c>
    </row>
    <row r="152" spans="1:8">
      <c r="A152" s="18" t="s">
        <v>748</v>
      </c>
      <c r="B152" s="19">
        <v>3.59</v>
      </c>
      <c r="C152" s="19">
        <v>0.90928562594270579</v>
      </c>
      <c r="F152" s="18" t="s">
        <v>39</v>
      </c>
      <c r="G152" s="19">
        <v>-9.5000000000000195E-2</v>
      </c>
      <c r="H152" s="19">
        <v>6.9899374988171559E-2</v>
      </c>
    </row>
    <row r="153" spans="1:8">
      <c r="A153" s="18" t="s">
        <v>752</v>
      </c>
      <c r="B153" s="19">
        <v>3.6599999999999997</v>
      </c>
      <c r="C153" s="19">
        <v>0.875728818326452</v>
      </c>
      <c r="F153" s="18" t="s">
        <v>38</v>
      </c>
      <c r="G153" s="19">
        <v>6.4999999999999947E-2</v>
      </c>
      <c r="H153" s="19">
        <v>-5.4477831103928231E-2</v>
      </c>
    </row>
    <row r="154" spans="1:8">
      <c r="A154" s="18" t="s">
        <v>757</v>
      </c>
      <c r="B154" s="19">
        <v>3.6999999999999997</v>
      </c>
      <c r="C154" s="19">
        <v>0.90845864458322145</v>
      </c>
      <c r="F154" s="18" t="s">
        <v>37</v>
      </c>
      <c r="G154" s="19">
        <v>3.0000000000000249E-2</v>
      </c>
      <c r="H154" s="19">
        <v>-4.5238848591617753E-2</v>
      </c>
    </row>
    <row r="155" spans="1:8">
      <c r="A155" s="18" t="s">
        <v>762</v>
      </c>
      <c r="B155" s="19">
        <v>3.65</v>
      </c>
      <c r="C155" s="19">
        <v>0.85983776942586232</v>
      </c>
      <c r="F155" s="18" t="s">
        <v>36</v>
      </c>
      <c r="G155" s="19">
        <v>1.5000000000000124E-2</v>
      </c>
      <c r="H155" s="19">
        <v>-4.8794455748534027E-2</v>
      </c>
    </row>
    <row r="156" spans="1:8">
      <c r="A156" s="18" t="s">
        <v>770</v>
      </c>
      <c r="B156" s="19">
        <v>3.76</v>
      </c>
      <c r="C156" s="19">
        <v>0.89554165009332376</v>
      </c>
      <c r="F156" s="18" t="s">
        <v>35</v>
      </c>
      <c r="G156" s="19">
        <v>5.9999999999999609E-2</v>
      </c>
      <c r="H156" s="19">
        <v>6.5090149921398499E-3</v>
      </c>
    </row>
    <row r="157" spans="1:8">
      <c r="A157" s="18" t="s">
        <v>775</v>
      </c>
      <c r="B157" s="19">
        <v>3.6799999999999997</v>
      </c>
      <c r="C157" s="19">
        <v>0.88836167527510357</v>
      </c>
      <c r="F157" s="18" t="s">
        <v>34</v>
      </c>
      <c r="G157" s="19">
        <v>-3.9999999999999591E-2</v>
      </c>
      <c r="H157" s="19">
        <v>7.2971579319910607E-2</v>
      </c>
    </row>
    <row r="158" spans="1:8">
      <c r="A158" s="18" t="s">
        <v>793</v>
      </c>
      <c r="B158" s="19">
        <v>3.59</v>
      </c>
      <c r="C158" s="19">
        <v>0.92742898162233178</v>
      </c>
      <c r="F158" s="18" t="s">
        <v>33</v>
      </c>
      <c r="G158" s="19">
        <v>-3.0000000000000249E-2</v>
      </c>
      <c r="H158" s="19">
        <v>1.9230793906715782E-2</v>
      </c>
    </row>
    <row r="159" spans="1:8">
      <c r="A159" s="18" t="s">
        <v>798</v>
      </c>
      <c r="B159" s="19">
        <v>3.6</v>
      </c>
      <c r="C159" s="19">
        <v>0.92071906526186842</v>
      </c>
      <c r="F159" s="18" t="s">
        <v>32</v>
      </c>
      <c r="G159" s="19">
        <v>-8.5000000000000409E-2</v>
      </c>
      <c r="H159" s="19">
        <v>2.7446404240905053E-2</v>
      </c>
    </row>
    <row r="160" spans="1:8">
      <c r="A160" s="18" t="s">
        <v>803</v>
      </c>
      <c r="B160" s="19">
        <v>3.56</v>
      </c>
      <c r="C160" s="19">
        <v>0.93496156723867019</v>
      </c>
      <c r="F160" s="18" t="s">
        <v>177</v>
      </c>
      <c r="G160" s="19">
        <v>-1.499999999999968E-2</v>
      </c>
      <c r="H160" s="19">
        <v>2.2338837434740633E-2</v>
      </c>
    </row>
    <row r="161" spans="1:8">
      <c r="A161" s="18" t="s">
        <v>808</v>
      </c>
      <c r="B161" s="19">
        <v>3.5949999999999998</v>
      </c>
      <c r="C161" s="19">
        <v>0.96741087135837933</v>
      </c>
      <c r="F161" s="18" t="s">
        <v>31</v>
      </c>
      <c r="G161" s="19">
        <v>0</v>
      </c>
      <c r="H161" s="19">
        <v>2.9903955326817666E-3</v>
      </c>
    </row>
    <row r="162" spans="1:8">
      <c r="A162" s="18" t="s">
        <v>813</v>
      </c>
      <c r="B162" s="19">
        <v>3.55</v>
      </c>
      <c r="C162" s="19">
        <v>0.94210798536828388</v>
      </c>
      <c r="F162" s="18" t="s">
        <v>30</v>
      </c>
      <c r="G162" s="19">
        <v>-4.9999999999999822E-2</v>
      </c>
      <c r="H162" s="19">
        <v>2.8708547679383578E-3</v>
      </c>
    </row>
    <row r="163" spans="1:8">
      <c r="A163" s="18" t="s">
        <v>818</v>
      </c>
      <c r="B163" s="19">
        <v>3.58</v>
      </c>
      <c r="C163" s="19">
        <v>0.90490640481897167</v>
      </c>
      <c r="F163" s="18" t="s">
        <v>29</v>
      </c>
      <c r="G163" s="19">
        <v>4.0000000000000036E-2</v>
      </c>
      <c r="H163" s="19">
        <v>6.8554838179983868E-3</v>
      </c>
    </row>
    <row r="164" spans="1:8">
      <c r="A164" s="18" t="s">
        <v>823</v>
      </c>
      <c r="B164" s="19">
        <v>3.6999999999999997</v>
      </c>
      <c r="C164" s="19">
        <v>0.8617891383925933</v>
      </c>
      <c r="F164" s="18" t="s">
        <v>28</v>
      </c>
      <c r="G164" s="19">
        <v>-0.10500000000000043</v>
      </c>
      <c r="H164" s="19">
        <v>4.2106000429136259E-3</v>
      </c>
    </row>
    <row r="165" spans="1:8">
      <c r="A165" s="18" t="s">
        <v>828</v>
      </c>
      <c r="B165" s="19">
        <v>3.75</v>
      </c>
      <c r="C165" s="19">
        <v>0.852646747577682</v>
      </c>
      <c r="F165" s="18" t="s">
        <v>27</v>
      </c>
      <c r="G165" s="19">
        <v>-2.9999999999999805E-2</v>
      </c>
      <c r="H165" s="19">
        <v>-5.745540944120231E-2</v>
      </c>
    </row>
    <row r="166" spans="1:8">
      <c r="A166" s="18" t="s">
        <v>833</v>
      </c>
      <c r="B166" s="19">
        <v>3.7649999999999997</v>
      </c>
      <c r="C166" s="19">
        <v>0.87408042789640161</v>
      </c>
      <c r="F166" s="18" t="s">
        <v>26</v>
      </c>
      <c r="G166" s="19">
        <v>1.5000000000000124E-2</v>
      </c>
      <c r="H166" s="19">
        <v>8.0108035679996803E-2</v>
      </c>
    </row>
    <row r="167" spans="1:8">
      <c r="A167" s="18" t="s">
        <v>837</v>
      </c>
      <c r="B167" s="19">
        <v>3.77</v>
      </c>
      <c r="C167" s="19">
        <v>0.90809149211963769</v>
      </c>
      <c r="F167" s="18" t="s">
        <v>25</v>
      </c>
      <c r="G167" s="19">
        <v>-4.0000000000000036E-2</v>
      </c>
      <c r="H167" s="19">
        <v>3.1289041270891271E-2</v>
      </c>
    </row>
    <row r="168" spans="1:8">
      <c r="A168" s="18" t="s">
        <v>842</v>
      </c>
      <c r="B168" s="19">
        <v>3.77</v>
      </c>
      <c r="C168" s="19">
        <v>0.85462320236515188</v>
      </c>
      <c r="F168" s="18" t="s">
        <v>24</v>
      </c>
      <c r="G168" s="19">
        <v>-3.5000000000000142E-2</v>
      </c>
      <c r="H168" s="19">
        <v>-1.1649285300963985E-2</v>
      </c>
    </row>
    <row r="169" spans="1:8">
      <c r="A169" s="18" t="s">
        <v>847</v>
      </c>
      <c r="B169" s="19">
        <v>3.94</v>
      </c>
      <c r="C169" s="19">
        <v>0.83278277682371415</v>
      </c>
      <c r="F169" s="18" t="s">
        <v>23</v>
      </c>
      <c r="G169" s="19">
        <v>-1.499999999999968E-2</v>
      </c>
      <c r="H169" s="19">
        <v>4.6178941458041578E-3</v>
      </c>
    </row>
    <row r="170" spans="1:8">
      <c r="A170" s="18" t="s">
        <v>852</v>
      </c>
      <c r="B170" s="19">
        <v>3.9249999999999998</v>
      </c>
      <c r="C170" s="19">
        <v>0.85723884767587721</v>
      </c>
      <c r="F170" s="18" t="s">
        <v>22</v>
      </c>
      <c r="G170" s="19">
        <v>-4.5000000000000373E-2</v>
      </c>
      <c r="H170" s="19">
        <v>-9.2621130365211357E-4</v>
      </c>
    </row>
    <row r="171" spans="1:8">
      <c r="A171" s="18" t="s">
        <v>857</v>
      </c>
      <c r="B171" s="19">
        <v>3.9449999999999994</v>
      </c>
      <c r="C171" s="19">
        <v>0.88133173263289866</v>
      </c>
      <c r="F171" s="18" t="s">
        <v>21</v>
      </c>
      <c r="G171" s="19">
        <v>4.5000000000000373E-2</v>
      </c>
      <c r="H171" s="19">
        <v>5.1522929345100721E-2</v>
      </c>
    </row>
    <row r="172" spans="1:8">
      <c r="A172" s="18" t="s">
        <v>863</v>
      </c>
      <c r="B172" s="19">
        <v>3.98</v>
      </c>
      <c r="C172" s="19">
        <v>0.85212125647781578</v>
      </c>
      <c r="F172" s="18" t="s">
        <v>20</v>
      </c>
      <c r="G172" s="19" t="e">
        <v>#VALUE!</v>
      </c>
      <c r="H172" s="19" t="e">
        <v>#VALUE!</v>
      </c>
    </row>
    <row r="173" spans="1:8">
      <c r="A173" s="18" t="s">
        <v>726</v>
      </c>
      <c r="B173" s="19">
        <v>3.8288165680473347</v>
      </c>
      <c r="C173" s="19">
        <v>0.91758776104837125</v>
      </c>
      <c r="F173" s="18" t="s">
        <v>726</v>
      </c>
      <c r="G173" s="19" t="e">
        <v>#VALUE!</v>
      </c>
      <c r="H173" s="19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18"/>
  <sheetViews>
    <sheetView workbookViewId="0">
      <selection activeCell="B10" sqref="B10"/>
    </sheetView>
  </sheetViews>
  <sheetFormatPr defaultRowHeight="15"/>
  <cols>
    <col min="2" max="9" width="17" customWidth="1"/>
  </cols>
  <sheetData>
    <row r="2" spans="2:9">
      <c r="D2" s="10">
        <f>LastAvailableDate-1</f>
        <v>42185</v>
      </c>
      <c r="E2" s="10">
        <f>WORKDAY(LastAvailableDate,-5,)</f>
        <v>42179</v>
      </c>
      <c r="F2" s="10">
        <f>WORKDAY(LastAvailableDate,-21,0)</f>
        <v>42157</v>
      </c>
      <c r="G2" s="10">
        <f>WORKDAY(LastAvailableDate,-66,0)</f>
        <v>42094</v>
      </c>
      <c r="H2" s="10">
        <f>WORKDAY(LastAvailableDate,-110,0)</f>
        <v>42032</v>
      </c>
      <c r="I2" s="10">
        <f>WORKDAY(LastAvailableDate,-235,0)</f>
        <v>41857</v>
      </c>
    </row>
    <row r="3" spans="2:9">
      <c r="B3" s="22"/>
      <c r="C3" s="22" t="s">
        <v>18</v>
      </c>
      <c r="D3" s="26" t="s">
        <v>739</v>
      </c>
      <c r="E3" s="27" t="s">
        <v>740</v>
      </c>
      <c r="F3" s="29" t="s">
        <v>741</v>
      </c>
      <c r="G3" s="30" t="s">
        <v>742</v>
      </c>
      <c r="H3" s="27" t="s">
        <v>743</v>
      </c>
      <c r="I3" s="22" t="s">
        <v>744</v>
      </c>
    </row>
    <row r="4" spans="2:9">
      <c r="B4" s="25" t="s">
        <v>732</v>
      </c>
      <c r="C4" s="31">
        <f>VLOOKUP(TEXT(LastAvailableDate,"yyyy-mm-dd"),CurrentMtgRatesDataTable8[#All],3,0)</f>
        <v>3.98</v>
      </c>
      <c r="D4" s="28">
        <f>IF(ISNA(VLOOKUP(TEXT(D2,"yyyy-mm-dd"),CurrentMtgRatesDataTable8[#All],3,0)),VLOOKUP(TEXT(D2-1,"yyyy-mm-dd"),CurrentMtgRatesDataTable8[#All],3,0),VLOOKUP(TEXT(D2,"yyyy-mm-dd"),CurrentMtgRatesDataTable8[#All],3,0))</f>
        <v>3.98</v>
      </c>
      <c r="E4" s="28">
        <f>IF(ISNA(VLOOKUP(TEXT(E2,"yyyy-mm-dd"),CurrentMtgRatesDataTable8[#All],3,0)),VLOOKUP(TEXT(E2-1,"yyyy-mm-dd"),CurrentMtgRatesDataTable8[#All],3,0),VLOOKUP(TEXT(E2,"yyyy-mm-dd"),CurrentMtgRatesDataTable8[#All],3,0))</f>
        <v>3.9449999999999994</v>
      </c>
      <c r="F4" s="28">
        <f>IF(ISNA(VLOOKUP(TEXT(F2,"yyyy-mm-dd"),CurrentMtgRatesDataTable8[#All],3,0)),VLOOKUP(TEXT(F2-1,"yyyy-mm-dd"),CurrentMtgRatesDataTable8[#All],3,0),VLOOKUP(TEXT(F2,"yyyy-mm-dd"),CurrentMtgRatesDataTable8[#All],3,0))</f>
        <v>3.77</v>
      </c>
      <c r="G4" s="28">
        <f>IF(ISNA(VLOOKUP(TEXT(G2,"yyyy-mm-dd"),CurrentMtgRatesDataTable8[#All],3,0)),VLOOKUP(TEXT(G2-1,"yyyy-mm-dd"),CurrentMtgRatesDataTable8[#All],3,0),VLOOKUP(TEXT(G2,"yyyy-mm-dd"),CurrentMtgRatesDataTable8[#All],3,0))</f>
        <v>3.6</v>
      </c>
      <c r="H4" s="28">
        <f>IF(ISNA(VLOOKUP(TEXT(H2,"yyyy-mm-dd"),CurrentMtgRatesDataTable8[#All],3,0)),VLOOKUP(TEXT(H2-1,"yyyy-mm-dd"),CurrentMtgRatesDataTable8[#All],3,0),VLOOKUP(TEXT(H2,"yyyy-mm-dd"),CurrentMtgRatesDataTable8[#All],3,0))</f>
        <v>3.56</v>
      </c>
      <c r="I4" s="28">
        <f>IF(ISNA(VLOOKUP(TEXT(I2,"yyyy-mm-dd"),CurrentMtgRatesDataTable8[#All],3,0)),VLOOKUP(TEXT(I2-1,"yyyy-mm-dd"),CurrentMtgRatesDataTable8[#All],3,0),VLOOKUP(TEXT(I2,"yyyy-mm-dd"),CurrentMtgRatesDataTable8[#All],3,0))</f>
        <v>4.0649999999999995</v>
      </c>
    </row>
    <row r="5" spans="2:9">
      <c r="B5" s="25" t="s">
        <v>731</v>
      </c>
      <c r="C5" s="24">
        <f>VLOOKUP(TEXT(LastAvailableDate,"yyyy-mm-dd"),CurrentMtgRatesDataTable8[#All],11,0)</f>
        <v>0.85212125647781578</v>
      </c>
      <c r="D5" s="28">
        <f>IF(ISNA(VLOOKUP(TEXT(D2,"yyyy-mm-dd"),CurrentMtgRatesDataTable8[#All],11,0)),VLOOKUP(TEXT(D2-1,"yyyy-mm-dd"),CurrentMtgRatesDataTable8[#All],11,0),VLOOKUP(TEXT(D2,"yyyy-mm-dd"),CurrentMtgRatesDataTable8[#All],11,0))</f>
        <v>0.88133173263289866</v>
      </c>
      <c r="E5" s="28">
        <f>IF(ISNA(VLOOKUP(TEXT(E2,"yyyy-mm-dd"),CurrentMtgRatesDataTable8[#All],11,0)),VLOOKUP(TEXT(E2-1,"yyyy-mm-dd"),CurrentMtgRatesDataTable8[#All],11,0),VLOOKUP(TEXT(E2,"yyyy-mm-dd"),CurrentMtgRatesDataTable8[#All],11,0))</f>
        <v>0.88133173263289866</v>
      </c>
      <c r="F5" s="28">
        <f>IF(ISNA(VLOOKUP(TEXT(F2,"yyyy-mm-dd"),CurrentMtgRatesDataTable8[#All],11,0)),VLOOKUP(TEXT(F2-1,"yyyy-mm-dd"),CurrentMtgRatesDataTable8[#All],11,0),VLOOKUP(TEXT(F2,"yyyy-mm-dd"),CurrentMtgRatesDataTable8[#All],11,0))</f>
        <v>0.90809149211963769</v>
      </c>
      <c r="G5" s="28">
        <f>IF(ISNA(VLOOKUP(TEXT(G2,"yyyy-mm-dd"),CurrentMtgRatesDataTable8[#All],11,0)),VLOOKUP(TEXT(G2-1,"yyyy-mm-dd"),CurrentMtgRatesDataTable8[#All],11,0),VLOOKUP(TEXT(G2,"yyyy-mm-dd"),CurrentMtgRatesDataTable8[#All],11,0))</f>
        <v>0.92742898162233178</v>
      </c>
      <c r="H5" s="28">
        <f>IF(ISNA(VLOOKUP(TEXT(H2,"yyyy-mm-dd"),CurrentMtgRatesDataTable8[#All],11,0)),VLOOKUP(TEXT(H2-1,"yyyy-mm-dd"),CurrentMtgRatesDataTable8[#All],11,0),VLOOKUP(TEXT(H2,"yyyy-mm-dd"),CurrentMtgRatesDataTable8[#All],11,0))</f>
        <v>0.98490012917051439</v>
      </c>
      <c r="I5" s="28">
        <f>IF(ISNA(VLOOKUP(TEXT(I2,"yyyy-mm-dd"),CurrentMtgRatesDataTable8[#All],11,0)),VLOOKUP(TEXT(I2-1,"yyyy-mm-dd"),CurrentMtgRatesDataTable8[#All],11,0),VLOOKUP(TEXT(I2,"yyyy-mm-dd"),CurrentMtgRatesDataTable8[#All],11,0))</f>
        <v>0.8339038922414912</v>
      </c>
    </row>
    <row r="9" spans="2:9">
      <c r="B9" t="s">
        <v>780</v>
      </c>
      <c r="C9" t="s">
        <v>783</v>
      </c>
      <c r="D9" t="s">
        <v>784</v>
      </c>
    </row>
    <row r="10" spans="2:9">
      <c r="B10" t="str">
        <f>'Dynamic Pivot'!$F$4</f>
        <v>2015-07-01</v>
      </c>
      <c r="C10" s="42">
        <f>'Dynamic Pivot'!$H4*100</f>
        <v>-2.9210476155082876</v>
      </c>
      <c r="D10" s="42">
        <f>'Dynamic Pivot'!$G4*100</f>
        <v>3.5000000000000586</v>
      </c>
    </row>
    <row r="11" spans="2:9">
      <c r="B11" t="str">
        <f>'Dynamic Pivot'!$F$5</f>
        <v>2015-06-24</v>
      </c>
      <c r="C11" s="42">
        <f>'Dynamic Pivot'!$H5*100</f>
        <v>2.4092884957021443</v>
      </c>
      <c r="D11" s="42">
        <f>'Dynamic Pivot'!$G5*100</f>
        <v>1.9999999999999574</v>
      </c>
    </row>
    <row r="12" spans="2:9">
      <c r="B12" t="str">
        <f>'Dynamic Pivot'!$F$6</f>
        <v>2015-06-17</v>
      </c>
      <c r="C12" s="42">
        <f>'Dynamic Pivot'!$H6*100</f>
        <v>2.4456070852163059</v>
      </c>
      <c r="D12" s="42">
        <f>'Dynamic Pivot'!$G6*100</f>
        <v>-1.5000000000000124</v>
      </c>
    </row>
    <row r="13" spans="2:9">
      <c r="B13" t="str">
        <f>'Dynamic Pivot'!$F$7</f>
        <v>2015-06-10</v>
      </c>
      <c r="C13" s="42">
        <f>'Dynamic Pivot'!$H7*100</f>
        <v>-2.1840425541437725</v>
      </c>
      <c r="D13" s="42">
        <f>'Dynamic Pivot'!$G7*100</f>
        <v>16.999999999999993</v>
      </c>
    </row>
    <row r="14" spans="2:9">
      <c r="B14" t="str">
        <f>'Dynamic Pivot'!$F$8</f>
        <v>2015-06-03</v>
      </c>
      <c r="C14" s="42">
        <f>'Dynamic Pivot'!$H8*100</f>
        <v>-5.3468289754485809</v>
      </c>
      <c r="D14" s="42">
        <f>'Dynamic Pivot'!$G8*100</f>
        <v>0</v>
      </c>
    </row>
    <row r="15" spans="2:9">
      <c r="B15" t="str">
        <f>'Dynamic Pivot'!$F$9</f>
        <v>2015-05-27</v>
      </c>
      <c r="C15" s="42">
        <f>'Dynamic Pivot'!$H9*100</f>
        <v>3.4011064223236076</v>
      </c>
      <c r="D15" s="42">
        <f>'Dynamic Pivot'!$G9*100</f>
        <v>0.50000000000003375</v>
      </c>
    </row>
    <row r="16" spans="2:9">
      <c r="B16" t="str">
        <f>'Dynamic Pivot'!$F$10</f>
        <v>2015-05-20</v>
      </c>
      <c r="C16" s="42">
        <f>'Dynamic Pivot'!$H10*100</f>
        <v>2.1433680318719617</v>
      </c>
      <c r="D16" s="42">
        <f>'Dynamic Pivot'!$G10*100</f>
        <v>1.499999999999968</v>
      </c>
    </row>
    <row r="17" spans="2:4">
      <c r="B17" t="str">
        <f>'Dynamic Pivot'!$F$11</f>
        <v>2015-05-13</v>
      </c>
      <c r="C17" s="42">
        <f>'Dynamic Pivot'!$H11*100</f>
        <v>-0.91423908149113053</v>
      </c>
      <c r="D17" s="42">
        <f>'Dynamic Pivot'!$G11*100</f>
        <v>5.0000000000000266</v>
      </c>
    </row>
    <row r="18" spans="2:4">
      <c r="B18" t="str">
        <f>'Dynamic Pivot'!$F$12</f>
        <v>2015-05-06</v>
      </c>
      <c r="C18" s="42">
        <f>'Dynamic Pivot'!$H12*100</f>
        <v>-4.3117266426378364</v>
      </c>
      <c r="D18" s="42">
        <f>'Dynamic Pivot'!$G12*100</f>
        <v>11.999999999999966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Dynamic Pivot</vt:lpstr>
      <vt:lpstr>Historic Change</vt:lpstr>
      <vt:lpstr>CurrentCloseDate</vt:lpstr>
      <vt:lpstr>DatabaseEnv</vt:lpstr>
      <vt:lpstr>LastAvailableDate</vt:lpstr>
      <vt:lpstr>LastSurveyDate</vt:lpstr>
      <vt:lpstr>newDataPoint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2015-07-09T14:18:22Z</cp:lastPrinted>
  <dcterms:created xsi:type="dcterms:W3CDTF">2013-04-04T19:42:48Z</dcterms:created>
  <dcterms:modified xsi:type="dcterms:W3CDTF">2015-07-09T14:18:39Z</dcterms:modified>
</cp:coreProperties>
</file>